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https://usfema-my.sharepoint.com/personal/0492734585_fema_dhs_gov1/Documents/Desktop/Chart As/"/>
    </mc:Choice>
  </mc:AlternateContent>
  <xr:revisionPtr revIDLastSave="0" documentId="8_{202663FD-F7FB-469D-AAA9-2489851712CA}" xr6:coauthVersionLast="47" xr6:coauthVersionMax="47" xr10:uidLastSave="{00000000-0000-0000-0000-000000000000}"/>
  <bookViews>
    <workbookView xWindow="-108" yWindow="-108" windowWidth="23256" windowHeight="12456" xr2:uid="{00000000-000D-0000-FFFF-FFFF00000000}"/>
  </bookViews>
  <sheets>
    <sheet name="Summary" sheetId="22" r:id="rId1"/>
    <sheet name="Input Sheet" sheetId="1" r:id="rId2"/>
    <sheet name="Applicants" sheetId="21" state="hidden" r:id="rId3"/>
    <sheet name="Reductions" sheetId="12" state="hidden" r:id="rId4"/>
    <sheet name="RVAR" sheetId="18" r:id="rId5"/>
    <sheet name="PCI Indicator" sheetId="20" state="hidden" r:id="rId6"/>
    <sheet name="County Populations" sheetId="2" state="hidden" r:id="rId7"/>
    <sheet name="Programming Notes" sheetId="6" state="hidden" r:id="rId8"/>
  </sheets>
  <externalReferences>
    <externalReference r:id="rId9"/>
  </externalReferences>
  <definedNames>
    <definedName name="_xlnm._FilterDatabase" localSheetId="0" hidden="1">Summary!#REF!</definedName>
    <definedName name="_xlnm.Print_Area" localSheetId="0">OFFSET(Summary!#REF!,0,0,MATCH("Grand Total",Summary!XFD:XFD,0),14)</definedName>
    <definedName name="_xlnm.Print_Titles" localSheetId="0">Summary!#REF!</definedName>
    <definedName name="SelCounty" localSheetId="3">OFFSET('[1]County Populations'!$C$2,'[1]County Populations'!$M$6-1,0,'[1]County Populations'!$M$7-'[1]County Populations'!$M$6+1,1)</definedName>
    <definedName name="SelCounty">OFFSET('County Populations'!#REF!,'County Populations'!#REF!-1,0,'County Populations'!#REF!-'County Populations'!#REF!+1,1)</definedName>
    <definedName name="SelState">OFFSET('County Populations'!#REF!,'County Populations'!#REF!-1,0,'County Populations'!#REF!-'County Populations'!#REF!+1,1)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2" l="1"/>
  <c r="F13" i="22"/>
  <c r="F16" i="22"/>
  <c r="F19" i="22"/>
  <c r="J18" i="22"/>
  <c r="I18" i="22"/>
  <c r="H18" i="22"/>
  <c r="G18" i="22"/>
  <c r="F18" i="22"/>
  <c r="E18" i="22"/>
  <c r="D18" i="22"/>
  <c r="C18" i="22"/>
  <c r="J15" i="22"/>
  <c r="I15" i="22"/>
  <c r="H15" i="22"/>
  <c r="G15" i="22"/>
  <c r="F15" i="22"/>
  <c r="E15" i="22"/>
  <c r="D15" i="22"/>
  <c r="C15" i="22"/>
  <c r="J12" i="22"/>
  <c r="I12" i="22"/>
  <c r="H12" i="22"/>
  <c r="G12" i="22"/>
  <c r="F12" i="22"/>
  <c r="E12" i="22"/>
  <c r="D12" i="22"/>
  <c r="C12" i="22"/>
  <c r="L9" i="22"/>
  <c r="J9" i="22"/>
  <c r="I9" i="22"/>
  <c r="H9" i="22"/>
  <c r="G9" i="22"/>
  <c r="F9" i="22"/>
  <c r="E9" i="22"/>
  <c r="D9" i="22"/>
  <c r="C9" i="22"/>
  <c r="L18" i="22"/>
  <c r="L15" i="22"/>
  <c r="L12" i="22"/>
  <c r="L6" i="22" a="1"/>
  <c r="L6" i="22" s="1"/>
  <c r="M22" i="22" a="1"/>
  <c r="M22" i="22"/>
  <c r="M23" i="22" a="1"/>
  <c r="M23" i="22" s="1"/>
  <c r="M24" i="22" a="1"/>
  <c r="M24" i="22"/>
  <c r="M25" i="22" a="1"/>
  <c r="M25" i="22"/>
  <c r="M26" i="22" a="1"/>
  <c r="M26" i="22"/>
  <c r="M27" i="22" a="1"/>
  <c r="M27" i="22"/>
  <c r="M28" i="22" a="1"/>
  <c r="M28" i="22"/>
  <c r="M29" i="22" a="1"/>
  <c r="M29" i="22"/>
  <c r="M30" i="22" a="1"/>
  <c r="M30" i="22"/>
  <c r="M31" i="22" a="1"/>
  <c r="M31" i="22" s="1"/>
  <c r="M32" i="22" a="1"/>
  <c r="M32" i="22"/>
  <c r="M33" i="22" a="1"/>
  <c r="M33" i="22"/>
  <c r="M34" i="22" a="1"/>
  <c r="M34" i="22"/>
  <c r="M35" i="22" a="1"/>
  <c r="M35" i="22"/>
  <c r="M36" i="22" a="1"/>
  <c r="M36" i="22"/>
  <c r="M37" i="22" a="1"/>
  <c r="M37" i="22"/>
  <c r="M38" i="22" a="1"/>
  <c r="M38" i="22"/>
  <c r="M39" i="22" a="1"/>
  <c r="M39" i="22" s="1"/>
  <c r="M40" i="22" a="1"/>
  <c r="M40" i="22"/>
  <c r="M41" i="22" a="1"/>
  <c r="M41" i="22"/>
  <c r="M42" i="22" a="1"/>
  <c r="M42" i="22"/>
  <c r="M43" i="22" a="1"/>
  <c r="M43" i="22"/>
  <c r="M44" i="22" a="1"/>
  <c r="M44" i="22" s="1"/>
  <c r="M45" i="22" a="1"/>
  <c r="M45" i="22"/>
  <c r="M46" i="22" a="1"/>
  <c r="M46" i="22"/>
  <c r="M47" i="22" a="1"/>
  <c r="M47" i="22" s="1"/>
  <c r="M48" i="22" a="1"/>
  <c r="M48" i="22"/>
  <c r="M49" i="22" a="1"/>
  <c r="M49" i="22"/>
  <c r="M50" i="22" a="1"/>
  <c r="M50" i="22"/>
  <c r="M51" i="22" a="1"/>
  <c r="M51" i="22"/>
  <c r="M52" i="22" a="1"/>
  <c r="M52" i="22"/>
  <c r="M53" i="22" a="1"/>
  <c r="M53" i="22"/>
  <c r="M54" i="22" a="1"/>
  <c r="M54" i="22"/>
  <c r="M55" i="22" a="1"/>
  <c r="M55" i="22" s="1"/>
  <c r="M56" i="22" a="1"/>
  <c r="M56" i="22"/>
  <c r="M57" i="22" a="1"/>
  <c r="M57" i="22"/>
  <c r="M58" i="22" a="1"/>
  <c r="M58" i="22"/>
  <c r="M59" i="22" a="1"/>
  <c r="M59" i="22"/>
  <c r="M60" i="22" a="1"/>
  <c r="M60" i="22"/>
  <c r="M61" i="22" a="1"/>
  <c r="M61" i="22"/>
  <c r="M62" i="22" a="1"/>
  <c r="M62" i="22"/>
  <c r="M63" i="22" a="1"/>
  <c r="M63" i="22" s="1"/>
  <c r="M64" i="22" a="1"/>
  <c r="M64" i="22"/>
  <c r="M65" i="22" a="1"/>
  <c r="M65" i="22"/>
  <c r="M66" i="22" a="1"/>
  <c r="M66" i="22"/>
  <c r="M67" i="22" a="1"/>
  <c r="M67" i="22"/>
  <c r="M68" i="22" a="1"/>
  <c r="M68" i="22"/>
  <c r="M69" i="22" a="1"/>
  <c r="M69" i="22"/>
  <c r="M70" i="22" a="1"/>
  <c r="M70" i="22"/>
  <c r="M71" i="22" a="1"/>
  <c r="M71" i="22" s="1"/>
  <c r="M72" i="22" a="1"/>
  <c r="M72" i="22"/>
  <c r="M73" i="22" a="1"/>
  <c r="M73" i="22"/>
  <c r="M74" i="22" a="1"/>
  <c r="M74" i="22"/>
  <c r="M75" i="22" a="1"/>
  <c r="M75" i="22"/>
  <c r="M76" i="22" a="1"/>
  <c r="M76" i="22"/>
  <c r="M77" i="22" a="1"/>
  <c r="M77" i="22"/>
  <c r="M78" i="22" a="1"/>
  <c r="M78" i="22"/>
  <c r="M79" i="22" a="1"/>
  <c r="M79" i="22" s="1"/>
  <c r="M80" i="22" a="1"/>
  <c r="M80" i="22"/>
  <c r="M81" i="22" a="1"/>
  <c r="M81" i="22"/>
  <c r="M82" i="22" a="1"/>
  <c r="M82" i="22"/>
  <c r="M83" i="22" a="1"/>
  <c r="M83" i="22"/>
  <c r="M84" i="22" a="1"/>
  <c r="M84" i="22"/>
  <c r="M85" i="22" a="1"/>
  <c r="M85" i="22"/>
  <c r="M86" i="22" a="1"/>
  <c r="M86" i="22"/>
  <c r="M87" i="22" a="1"/>
  <c r="M87" i="22" s="1"/>
  <c r="M88" i="22" a="1"/>
  <c r="M88" i="22"/>
  <c r="M89" i="22" a="1"/>
  <c r="M89" i="22"/>
  <c r="M90" i="22" a="1"/>
  <c r="M90" i="22"/>
  <c r="M91" i="22" a="1"/>
  <c r="M91" i="22"/>
  <c r="M92" i="22" a="1"/>
  <c r="M92" i="22"/>
  <c r="M93" i="22" a="1"/>
  <c r="M93" i="22"/>
  <c r="M94" i="22" a="1"/>
  <c r="M94" i="22"/>
  <c r="M95" i="22" a="1"/>
  <c r="M95" i="22" s="1"/>
  <c r="M96" i="22" a="1"/>
  <c r="M96" i="22"/>
  <c r="M97" i="22" a="1"/>
  <c r="M97" i="22"/>
  <c r="M98" i="22" a="1"/>
  <c r="M98" i="22"/>
  <c r="M99" i="22" a="1"/>
  <c r="M99" i="22"/>
  <c r="M100" i="22" a="1"/>
  <c r="M100" i="22"/>
  <c r="M101" i="22" a="1"/>
  <c r="M101" i="22"/>
  <c r="M102" i="22" a="1"/>
  <c r="M102" i="22"/>
  <c r="M103" i="22" a="1"/>
  <c r="M103" i="22" s="1"/>
  <c r="M104" i="22" a="1"/>
  <c r="M104" i="22"/>
  <c r="M105" i="22" a="1"/>
  <c r="M105" i="22"/>
  <c r="M106" i="22" a="1"/>
  <c r="M106" i="22"/>
  <c r="M107" i="22" a="1"/>
  <c r="M107" i="22"/>
  <c r="M108" i="22" a="1"/>
  <c r="M108" i="22"/>
  <c r="M109" i="22" a="1"/>
  <c r="M109" i="22"/>
  <c r="M110" i="22" a="1"/>
  <c r="M110" i="22"/>
  <c r="M111" i="22" a="1"/>
  <c r="M111" i="22" s="1"/>
  <c r="M112" i="22" a="1"/>
  <c r="M112" i="22"/>
  <c r="M113" i="22" a="1"/>
  <c r="M113" i="22"/>
  <c r="K18" i="22"/>
  <c r="C105" i="22"/>
  <c r="D105" i="22"/>
  <c r="E105" i="22"/>
  <c r="F105" i="22"/>
  <c r="G105" i="22"/>
  <c r="H105" i="22"/>
  <c r="I105" i="22"/>
  <c r="K105" i="22"/>
  <c r="C106" i="22"/>
  <c r="D106" i="22"/>
  <c r="E106" i="22"/>
  <c r="F106" i="22"/>
  <c r="G106" i="22"/>
  <c r="H106" i="22"/>
  <c r="I106" i="22"/>
  <c r="K106" i="22"/>
  <c r="C107" i="22"/>
  <c r="D107" i="22"/>
  <c r="E107" i="22"/>
  <c r="F107" i="22"/>
  <c r="G107" i="22"/>
  <c r="H107" i="22"/>
  <c r="I107" i="22"/>
  <c r="J107" i="22"/>
  <c r="K107" i="22"/>
  <c r="C108" i="22"/>
  <c r="D108" i="22"/>
  <c r="E108" i="22"/>
  <c r="F108" i="22"/>
  <c r="G108" i="22"/>
  <c r="H108" i="22"/>
  <c r="I108" i="22"/>
  <c r="K108" i="22"/>
  <c r="C109" i="22"/>
  <c r="D109" i="22"/>
  <c r="E109" i="22"/>
  <c r="F109" i="22"/>
  <c r="G109" i="22"/>
  <c r="H109" i="22"/>
  <c r="I109" i="22"/>
  <c r="J109" i="22"/>
  <c r="L109" i="22" s="1"/>
  <c r="K109" i="22"/>
  <c r="C110" i="22"/>
  <c r="D110" i="22"/>
  <c r="E110" i="22"/>
  <c r="F110" i="22"/>
  <c r="G110" i="22"/>
  <c r="H110" i="22"/>
  <c r="I110" i="22"/>
  <c r="K110" i="22"/>
  <c r="C111" i="22"/>
  <c r="D111" i="22"/>
  <c r="E111" i="22"/>
  <c r="F111" i="22"/>
  <c r="G111" i="22"/>
  <c r="H111" i="22"/>
  <c r="I111" i="22"/>
  <c r="K111" i="22"/>
  <c r="C112" i="22"/>
  <c r="J112" i="22" s="1"/>
  <c r="L112" i="22" s="1"/>
  <c r="D112" i="22"/>
  <c r="E112" i="22"/>
  <c r="F112" i="22"/>
  <c r="G112" i="22"/>
  <c r="H112" i="22"/>
  <c r="I112" i="22"/>
  <c r="K112" i="22"/>
  <c r="C113" i="22"/>
  <c r="D113" i="22"/>
  <c r="E113" i="22"/>
  <c r="F113" i="22"/>
  <c r="G113" i="22"/>
  <c r="H113" i="22"/>
  <c r="I113" i="22"/>
  <c r="K113" i="22"/>
  <c r="C90" i="22"/>
  <c r="D90" i="22"/>
  <c r="E90" i="22"/>
  <c r="F90" i="22"/>
  <c r="G90" i="22"/>
  <c r="H90" i="22"/>
  <c r="I90" i="22"/>
  <c r="K90" i="22"/>
  <c r="C91" i="22"/>
  <c r="D91" i="22"/>
  <c r="E91" i="22"/>
  <c r="F91" i="22"/>
  <c r="G91" i="22"/>
  <c r="H91" i="22"/>
  <c r="I91" i="22"/>
  <c r="K91" i="22"/>
  <c r="C92" i="22"/>
  <c r="D92" i="22"/>
  <c r="E92" i="22"/>
  <c r="F92" i="22"/>
  <c r="G92" i="22"/>
  <c r="H92" i="22"/>
  <c r="I92" i="22"/>
  <c r="K92" i="22"/>
  <c r="C93" i="22"/>
  <c r="D93" i="22"/>
  <c r="E93" i="22"/>
  <c r="F93" i="22"/>
  <c r="G93" i="22"/>
  <c r="H93" i="22"/>
  <c r="I93" i="22"/>
  <c r="K93" i="22"/>
  <c r="C94" i="22"/>
  <c r="D94" i="22"/>
  <c r="E94" i="22"/>
  <c r="F94" i="22"/>
  <c r="G94" i="22"/>
  <c r="H94" i="22"/>
  <c r="I94" i="22"/>
  <c r="K94" i="22"/>
  <c r="C95" i="22"/>
  <c r="D95" i="22"/>
  <c r="E95" i="22"/>
  <c r="F95" i="22"/>
  <c r="G95" i="22"/>
  <c r="H95" i="22"/>
  <c r="I95" i="22"/>
  <c r="K95" i="22"/>
  <c r="C96" i="22"/>
  <c r="D96" i="22"/>
  <c r="E96" i="22"/>
  <c r="F96" i="22"/>
  <c r="G96" i="22"/>
  <c r="H96" i="22"/>
  <c r="I96" i="22"/>
  <c r="K96" i="22"/>
  <c r="C97" i="22"/>
  <c r="D97" i="22"/>
  <c r="E97" i="22"/>
  <c r="F97" i="22"/>
  <c r="G97" i="22"/>
  <c r="H97" i="22"/>
  <c r="I97" i="22"/>
  <c r="K97" i="22"/>
  <c r="C98" i="22"/>
  <c r="D98" i="22"/>
  <c r="E98" i="22"/>
  <c r="F98" i="22"/>
  <c r="G98" i="22"/>
  <c r="H98" i="22"/>
  <c r="I98" i="22"/>
  <c r="K98" i="22"/>
  <c r="C99" i="22"/>
  <c r="D99" i="22"/>
  <c r="E99" i="22"/>
  <c r="F99" i="22"/>
  <c r="G99" i="22"/>
  <c r="H99" i="22"/>
  <c r="I99" i="22"/>
  <c r="K99" i="22"/>
  <c r="C100" i="22"/>
  <c r="D100" i="22"/>
  <c r="E100" i="22"/>
  <c r="F100" i="22"/>
  <c r="G100" i="22"/>
  <c r="H100" i="22"/>
  <c r="I100" i="22"/>
  <c r="K100" i="22"/>
  <c r="C101" i="22"/>
  <c r="D101" i="22"/>
  <c r="E101" i="22"/>
  <c r="F101" i="22"/>
  <c r="G101" i="22"/>
  <c r="H101" i="22"/>
  <c r="I101" i="22"/>
  <c r="K101" i="22"/>
  <c r="C102" i="22"/>
  <c r="D102" i="22"/>
  <c r="E102" i="22"/>
  <c r="F102" i="22"/>
  <c r="G102" i="22"/>
  <c r="H102" i="22"/>
  <c r="I102" i="22"/>
  <c r="K102" i="22"/>
  <c r="C103" i="22"/>
  <c r="D103" i="22"/>
  <c r="E103" i="22"/>
  <c r="F103" i="22"/>
  <c r="G103" i="22"/>
  <c r="H103" i="22"/>
  <c r="I103" i="22"/>
  <c r="K103" i="22"/>
  <c r="C104" i="22"/>
  <c r="D104" i="22"/>
  <c r="E104" i="22"/>
  <c r="F104" i="22"/>
  <c r="G104" i="22"/>
  <c r="H104" i="22"/>
  <c r="I104" i="22"/>
  <c r="K104" i="22"/>
  <c r="B9" i="18"/>
  <c r="J108" i="22" l="1"/>
  <c r="L108" i="22" s="1"/>
  <c r="J113" i="22"/>
  <c r="J111" i="22"/>
  <c r="L111" i="22" s="1"/>
  <c r="L107" i="22"/>
  <c r="J105" i="22"/>
  <c r="L113" i="22"/>
  <c r="L105" i="22"/>
  <c r="J110" i="22"/>
  <c r="L110" i="22" s="1"/>
  <c r="J106" i="22"/>
  <c r="L106" i="22" s="1"/>
  <c r="E106" i="18"/>
  <c r="E108" i="18"/>
  <c r="E107" i="18"/>
  <c r="E105" i="18"/>
  <c r="E104" i="18"/>
  <c r="E103" i="18"/>
  <c r="E102" i="18"/>
  <c r="E101" i="18"/>
  <c r="E100" i="18"/>
  <c r="J101" i="22"/>
  <c r="J104" i="22"/>
  <c r="J96" i="22"/>
  <c r="J92" i="22"/>
  <c r="J90" i="22"/>
  <c r="J93" i="22"/>
  <c r="J100" i="22"/>
  <c r="J97" i="22"/>
  <c r="J103" i="22"/>
  <c r="J91" i="22"/>
  <c r="J98" i="22"/>
  <c r="J102" i="22"/>
  <c r="J95" i="22"/>
  <c r="J94" i="22"/>
  <c r="J99" i="22"/>
  <c r="B1" i="1" a="1"/>
  <c r="B1" i="1" s="1"/>
  <c r="K15" i="22"/>
  <c r="K12" i="22"/>
  <c r="K9" i="22"/>
  <c r="K6" i="22"/>
  <c r="L103" i="22" l="1"/>
  <c r="E98" i="18"/>
  <c r="L97" i="22"/>
  <c r="E92" i="18"/>
  <c r="L96" i="22"/>
  <c r="E91" i="18"/>
  <c r="L101" i="22"/>
  <c r="E96" i="18"/>
  <c r="L99" i="22"/>
  <c r="E94" i="18"/>
  <c r="L94" i="22"/>
  <c r="E89" i="18"/>
  <c r="L95" i="22"/>
  <c r="E90" i="18"/>
  <c r="L102" i="22"/>
  <c r="E97" i="18"/>
  <c r="L98" i="22"/>
  <c r="E93" i="18"/>
  <c r="L91" i="22"/>
  <c r="E86" i="18"/>
  <c r="L100" i="22"/>
  <c r="E95" i="18"/>
  <c r="L93" i="22"/>
  <c r="E88" i="18"/>
  <c r="L90" i="22"/>
  <c r="E85" i="18"/>
  <c r="L92" i="22"/>
  <c r="E87" i="18"/>
  <c r="L104" i="22"/>
  <c r="E99" i="18"/>
  <c r="B13" i="18"/>
  <c r="C22" i="22"/>
  <c r="D22" i="22"/>
  <c r="E22" i="22"/>
  <c r="F22" i="22"/>
  <c r="G22" i="22"/>
  <c r="H22" i="22"/>
  <c r="I22" i="22"/>
  <c r="K22" i="22"/>
  <c r="C23" i="22"/>
  <c r="D23" i="22"/>
  <c r="E23" i="22"/>
  <c r="F23" i="22"/>
  <c r="G23" i="22"/>
  <c r="H23" i="22"/>
  <c r="I23" i="22"/>
  <c r="K23" i="22"/>
  <c r="C24" i="22"/>
  <c r="D24" i="22"/>
  <c r="E24" i="22"/>
  <c r="F24" i="22"/>
  <c r="G24" i="22"/>
  <c r="H24" i="22"/>
  <c r="I24" i="22"/>
  <c r="K24" i="22"/>
  <c r="D6" i="1"/>
  <c r="J23" i="22" l="1"/>
  <c r="L23" i="22" s="1"/>
  <c r="J24" i="22"/>
  <c r="L24" i="22" s="1"/>
  <c r="J22" i="22"/>
  <c r="K25" i="22"/>
  <c r="K26" i="22"/>
  <c r="K27" i="22"/>
  <c r="K28" i="22"/>
  <c r="K29" i="22"/>
  <c r="K30" i="22"/>
  <c r="K31" i="22"/>
  <c r="K32" i="22"/>
  <c r="K33" i="22"/>
  <c r="K34" i="22"/>
  <c r="K35" i="22"/>
  <c r="K36" i="22"/>
  <c r="K37" i="22"/>
  <c r="K38" i="22"/>
  <c r="K39" i="22"/>
  <c r="K40" i="22"/>
  <c r="K41" i="22"/>
  <c r="K42" i="22"/>
  <c r="K43" i="22"/>
  <c r="K44" i="22"/>
  <c r="K45" i="22"/>
  <c r="K46" i="22"/>
  <c r="K47" i="22"/>
  <c r="K48" i="22"/>
  <c r="K49" i="22"/>
  <c r="K50" i="22"/>
  <c r="K51" i="22"/>
  <c r="K52" i="22"/>
  <c r="K53" i="22"/>
  <c r="K54" i="22"/>
  <c r="K55" i="22"/>
  <c r="K56" i="22"/>
  <c r="K57" i="22"/>
  <c r="K58" i="22"/>
  <c r="K59" i="22"/>
  <c r="K60" i="22"/>
  <c r="K61" i="22"/>
  <c r="K62" i="22"/>
  <c r="K63" i="22"/>
  <c r="K64" i="22"/>
  <c r="K65" i="22"/>
  <c r="K66" i="22"/>
  <c r="K67" i="22"/>
  <c r="K68" i="22"/>
  <c r="K69" i="22"/>
  <c r="K70" i="22"/>
  <c r="K71" i="22"/>
  <c r="K72" i="22"/>
  <c r="K73" i="22"/>
  <c r="K74" i="22"/>
  <c r="K75" i="22"/>
  <c r="K76" i="22"/>
  <c r="K77" i="22"/>
  <c r="K78" i="22"/>
  <c r="K79" i="22"/>
  <c r="K80" i="22"/>
  <c r="K81" i="22"/>
  <c r="K82" i="22"/>
  <c r="K83" i="22"/>
  <c r="K84" i="22"/>
  <c r="K85" i="22"/>
  <c r="K86" i="22"/>
  <c r="K87" i="22"/>
  <c r="K88" i="22"/>
  <c r="K89" i="22"/>
  <c r="C25" i="22"/>
  <c r="D25" i="22"/>
  <c r="E25" i="22"/>
  <c r="F25" i="22"/>
  <c r="G25" i="22"/>
  <c r="H25" i="22"/>
  <c r="I25" i="22"/>
  <c r="C26" i="22"/>
  <c r="D26" i="22"/>
  <c r="E26" i="22"/>
  <c r="F26" i="22"/>
  <c r="G26" i="22"/>
  <c r="H26" i="22"/>
  <c r="I26" i="22"/>
  <c r="C27" i="22"/>
  <c r="D27" i="22"/>
  <c r="E27" i="22"/>
  <c r="F27" i="22"/>
  <c r="G27" i="22"/>
  <c r="H27" i="22"/>
  <c r="I27" i="22"/>
  <c r="C28" i="22"/>
  <c r="D28" i="22"/>
  <c r="E28" i="22"/>
  <c r="F28" i="22"/>
  <c r="G28" i="22"/>
  <c r="H28" i="22"/>
  <c r="I28" i="22"/>
  <c r="C29" i="22"/>
  <c r="D29" i="22"/>
  <c r="E29" i="22"/>
  <c r="F29" i="22"/>
  <c r="G29" i="22"/>
  <c r="H29" i="22"/>
  <c r="I29" i="22"/>
  <c r="C30" i="22"/>
  <c r="D30" i="22"/>
  <c r="E30" i="22"/>
  <c r="F30" i="22"/>
  <c r="G30" i="22"/>
  <c r="H30" i="22"/>
  <c r="I30" i="22"/>
  <c r="C31" i="22"/>
  <c r="D31" i="22"/>
  <c r="E31" i="22"/>
  <c r="F31" i="22"/>
  <c r="G31" i="22"/>
  <c r="H31" i="22"/>
  <c r="I31" i="22"/>
  <c r="C32" i="22"/>
  <c r="D32" i="22"/>
  <c r="E32" i="22"/>
  <c r="F32" i="22"/>
  <c r="G32" i="22"/>
  <c r="H32" i="22"/>
  <c r="I32" i="22"/>
  <c r="C33" i="22"/>
  <c r="D33" i="22"/>
  <c r="E33" i="22"/>
  <c r="F33" i="22"/>
  <c r="G33" i="22"/>
  <c r="H33" i="22"/>
  <c r="I33" i="22"/>
  <c r="C34" i="22"/>
  <c r="D34" i="22"/>
  <c r="E34" i="22"/>
  <c r="F34" i="22"/>
  <c r="G34" i="22"/>
  <c r="H34" i="22"/>
  <c r="I34" i="22"/>
  <c r="C35" i="22"/>
  <c r="D35" i="22"/>
  <c r="E35" i="22"/>
  <c r="F35" i="22"/>
  <c r="G35" i="22"/>
  <c r="H35" i="22"/>
  <c r="I35" i="22"/>
  <c r="C36" i="22"/>
  <c r="D36" i="22"/>
  <c r="E36" i="22"/>
  <c r="F36" i="22"/>
  <c r="G36" i="22"/>
  <c r="H36" i="22"/>
  <c r="I36" i="22"/>
  <c r="C37" i="22"/>
  <c r="D37" i="22"/>
  <c r="E37" i="22"/>
  <c r="F37" i="22"/>
  <c r="G37" i="22"/>
  <c r="H37" i="22"/>
  <c r="I37" i="22"/>
  <c r="C38" i="22"/>
  <c r="D38" i="22"/>
  <c r="E38" i="22"/>
  <c r="F38" i="22"/>
  <c r="G38" i="22"/>
  <c r="H38" i="22"/>
  <c r="I38" i="22"/>
  <c r="C39" i="22"/>
  <c r="D39" i="22"/>
  <c r="E39" i="22"/>
  <c r="F39" i="22"/>
  <c r="G39" i="22"/>
  <c r="H39" i="22"/>
  <c r="I39" i="22"/>
  <c r="C40" i="22"/>
  <c r="D40" i="22"/>
  <c r="E40" i="22"/>
  <c r="F40" i="22"/>
  <c r="G40" i="22"/>
  <c r="H40" i="22"/>
  <c r="I40" i="22"/>
  <c r="C41" i="22"/>
  <c r="D41" i="22"/>
  <c r="E41" i="22"/>
  <c r="F41" i="22"/>
  <c r="G41" i="22"/>
  <c r="H41" i="22"/>
  <c r="I41" i="22"/>
  <c r="C42" i="22"/>
  <c r="D42" i="22"/>
  <c r="E42" i="22"/>
  <c r="F42" i="22"/>
  <c r="G42" i="22"/>
  <c r="H42" i="22"/>
  <c r="I42" i="22"/>
  <c r="C43" i="22"/>
  <c r="D43" i="22"/>
  <c r="E43" i="22"/>
  <c r="F43" i="22"/>
  <c r="G43" i="22"/>
  <c r="H43" i="22"/>
  <c r="I43" i="22"/>
  <c r="C44" i="22"/>
  <c r="D44" i="22"/>
  <c r="E44" i="22"/>
  <c r="F44" i="22"/>
  <c r="G44" i="22"/>
  <c r="H44" i="22"/>
  <c r="I44" i="22"/>
  <c r="C45" i="22"/>
  <c r="D45" i="22"/>
  <c r="E45" i="22"/>
  <c r="F45" i="22"/>
  <c r="G45" i="22"/>
  <c r="H45" i="22"/>
  <c r="I45" i="22"/>
  <c r="C46" i="22"/>
  <c r="D46" i="22"/>
  <c r="E46" i="22"/>
  <c r="F46" i="22"/>
  <c r="G46" i="22"/>
  <c r="H46" i="22"/>
  <c r="I46" i="22"/>
  <c r="C47" i="22"/>
  <c r="D47" i="22"/>
  <c r="E47" i="22"/>
  <c r="F47" i="22"/>
  <c r="G47" i="22"/>
  <c r="H47" i="22"/>
  <c r="I47" i="22"/>
  <c r="C48" i="22"/>
  <c r="D48" i="22"/>
  <c r="E48" i="22"/>
  <c r="F48" i="22"/>
  <c r="G48" i="22"/>
  <c r="H48" i="22"/>
  <c r="I48" i="22"/>
  <c r="C49" i="22"/>
  <c r="D49" i="22"/>
  <c r="E49" i="22"/>
  <c r="F49" i="22"/>
  <c r="G49" i="22"/>
  <c r="H49" i="22"/>
  <c r="I49" i="22"/>
  <c r="C50" i="22"/>
  <c r="D50" i="22"/>
  <c r="E50" i="22"/>
  <c r="F50" i="22"/>
  <c r="G50" i="22"/>
  <c r="H50" i="22"/>
  <c r="I50" i="22"/>
  <c r="C51" i="22"/>
  <c r="D51" i="22"/>
  <c r="E51" i="22"/>
  <c r="F51" i="22"/>
  <c r="G51" i="22"/>
  <c r="H51" i="22"/>
  <c r="I51" i="22"/>
  <c r="C52" i="22"/>
  <c r="D52" i="22"/>
  <c r="E52" i="22"/>
  <c r="F52" i="22"/>
  <c r="G52" i="22"/>
  <c r="H52" i="22"/>
  <c r="I52" i="22"/>
  <c r="C53" i="22"/>
  <c r="D53" i="22"/>
  <c r="E53" i="22"/>
  <c r="F53" i="22"/>
  <c r="G53" i="22"/>
  <c r="H53" i="22"/>
  <c r="I53" i="22"/>
  <c r="C54" i="22"/>
  <c r="D54" i="22"/>
  <c r="E54" i="22"/>
  <c r="F54" i="22"/>
  <c r="G54" i="22"/>
  <c r="H54" i="22"/>
  <c r="I54" i="22"/>
  <c r="C55" i="22"/>
  <c r="D55" i="22"/>
  <c r="E55" i="22"/>
  <c r="F55" i="22"/>
  <c r="G55" i="22"/>
  <c r="H55" i="22"/>
  <c r="I55" i="22"/>
  <c r="C56" i="22"/>
  <c r="D56" i="22"/>
  <c r="E56" i="22"/>
  <c r="F56" i="22"/>
  <c r="G56" i="22"/>
  <c r="H56" i="22"/>
  <c r="I56" i="22"/>
  <c r="C57" i="22"/>
  <c r="D57" i="22"/>
  <c r="E57" i="22"/>
  <c r="F57" i="22"/>
  <c r="G57" i="22"/>
  <c r="H57" i="22"/>
  <c r="I57" i="22"/>
  <c r="C58" i="22"/>
  <c r="D58" i="22"/>
  <c r="E58" i="22"/>
  <c r="F58" i="22"/>
  <c r="G58" i="22"/>
  <c r="H58" i="22"/>
  <c r="I58" i="22"/>
  <c r="C59" i="22"/>
  <c r="D59" i="22"/>
  <c r="E59" i="22"/>
  <c r="F59" i="22"/>
  <c r="G59" i="22"/>
  <c r="H59" i="22"/>
  <c r="I59" i="22"/>
  <c r="C60" i="22"/>
  <c r="D60" i="22"/>
  <c r="E60" i="22"/>
  <c r="F60" i="22"/>
  <c r="G60" i="22"/>
  <c r="H60" i="22"/>
  <c r="I60" i="22"/>
  <c r="C61" i="22"/>
  <c r="D61" i="22"/>
  <c r="E61" i="22"/>
  <c r="F61" i="22"/>
  <c r="G61" i="22"/>
  <c r="H61" i="22"/>
  <c r="I61" i="22"/>
  <c r="C62" i="22"/>
  <c r="D62" i="22"/>
  <c r="E62" i="22"/>
  <c r="F62" i="22"/>
  <c r="G62" i="22"/>
  <c r="H62" i="22"/>
  <c r="I62" i="22"/>
  <c r="C63" i="22"/>
  <c r="D63" i="22"/>
  <c r="E63" i="22"/>
  <c r="F63" i="22"/>
  <c r="G63" i="22"/>
  <c r="H63" i="22"/>
  <c r="I63" i="22"/>
  <c r="C64" i="22"/>
  <c r="D64" i="22"/>
  <c r="E64" i="22"/>
  <c r="F64" i="22"/>
  <c r="G64" i="22"/>
  <c r="H64" i="22"/>
  <c r="I64" i="22"/>
  <c r="C65" i="22"/>
  <c r="D65" i="22"/>
  <c r="E65" i="22"/>
  <c r="F65" i="22"/>
  <c r="G65" i="22"/>
  <c r="H65" i="22"/>
  <c r="I65" i="22"/>
  <c r="C66" i="22"/>
  <c r="D66" i="22"/>
  <c r="E66" i="22"/>
  <c r="F66" i="22"/>
  <c r="G66" i="22"/>
  <c r="H66" i="22"/>
  <c r="I66" i="22"/>
  <c r="C67" i="22"/>
  <c r="D67" i="22"/>
  <c r="E67" i="22"/>
  <c r="F67" i="22"/>
  <c r="G67" i="22"/>
  <c r="H67" i="22"/>
  <c r="I67" i="22"/>
  <c r="C68" i="22"/>
  <c r="D68" i="22"/>
  <c r="E68" i="22"/>
  <c r="F68" i="22"/>
  <c r="G68" i="22"/>
  <c r="H68" i="22"/>
  <c r="I68" i="22"/>
  <c r="C69" i="22"/>
  <c r="D69" i="22"/>
  <c r="E69" i="22"/>
  <c r="F69" i="22"/>
  <c r="G69" i="22"/>
  <c r="H69" i="22"/>
  <c r="I69" i="22"/>
  <c r="C70" i="22"/>
  <c r="D70" i="22"/>
  <c r="E70" i="22"/>
  <c r="F70" i="22"/>
  <c r="G70" i="22"/>
  <c r="H70" i="22"/>
  <c r="I70" i="22"/>
  <c r="C71" i="22"/>
  <c r="D71" i="22"/>
  <c r="E71" i="22"/>
  <c r="F71" i="22"/>
  <c r="G71" i="22"/>
  <c r="H71" i="22"/>
  <c r="I71" i="22"/>
  <c r="C72" i="22"/>
  <c r="D72" i="22"/>
  <c r="E72" i="22"/>
  <c r="F72" i="22"/>
  <c r="G72" i="22"/>
  <c r="H72" i="22"/>
  <c r="I72" i="22"/>
  <c r="C73" i="22"/>
  <c r="D73" i="22"/>
  <c r="E73" i="22"/>
  <c r="F73" i="22"/>
  <c r="G73" i="22"/>
  <c r="H73" i="22"/>
  <c r="I73" i="22"/>
  <c r="C74" i="22"/>
  <c r="D74" i="22"/>
  <c r="E74" i="22"/>
  <c r="F74" i="22"/>
  <c r="G74" i="22"/>
  <c r="H74" i="22"/>
  <c r="I74" i="22"/>
  <c r="C75" i="22"/>
  <c r="D75" i="22"/>
  <c r="E75" i="22"/>
  <c r="F75" i="22"/>
  <c r="G75" i="22"/>
  <c r="H75" i="22"/>
  <c r="I75" i="22"/>
  <c r="C76" i="22"/>
  <c r="D76" i="22"/>
  <c r="E76" i="22"/>
  <c r="F76" i="22"/>
  <c r="G76" i="22"/>
  <c r="H76" i="22"/>
  <c r="I76" i="22"/>
  <c r="C77" i="22"/>
  <c r="D77" i="22"/>
  <c r="E77" i="22"/>
  <c r="F77" i="22"/>
  <c r="G77" i="22"/>
  <c r="H77" i="22"/>
  <c r="I77" i="22"/>
  <c r="C78" i="22"/>
  <c r="D78" i="22"/>
  <c r="E78" i="22"/>
  <c r="F78" i="22"/>
  <c r="G78" i="22"/>
  <c r="H78" i="22"/>
  <c r="I78" i="22"/>
  <c r="C79" i="22"/>
  <c r="D79" i="22"/>
  <c r="E79" i="22"/>
  <c r="F79" i="22"/>
  <c r="G79" i="22"/>
  <c r="H79" i="22"/>
  <c r="I79" i="22"/>
  <c r="C80" i="22"/>
  <c r="D80" i="22"/>
  <c r="E80" i="22"/>
  <c r="F80" i="22"/>
  <c r="G80" i="22"/>
  <c r="H80" i="22"/>
  <c r="I80" i="22"/>
  <c r="C81" i="22"/>
  <c r="D81" i="22"/>
  <c r="E81" i="22"/>
  <c r="F81" i="22"/>
  <c r="G81" i="22"/>
  <c r="H81" i="22"/>
  <c r="I81" i="22"/>
  <c r="C82" i="22"/>
  <c r="D82" i="22"/>
  <c r="E82" i="22"/>
  <c r="F82" i="22"/>
  <c r="G82" i="22"/>
  <c r="H82" i="22"/>
  <c r="I82" i="22"/>
  <c r="C83" i="22"/>
  <c r="D83" i="22"/>
  <c r="E83" i="22"/>
  <c r="F83" i="22"/>
  <c r="G83" i="22"/>
  <c r="H83" i="22"/>
  <c r="I83" i="22"/>
  <c r="C84" i="22"/>
  <c r="D84" i="22"/>
  <c r="E84" i="22"/>
  <c r="F84" i="22"/>
  <c r="G84" i="22"/>
  <c r="H84" i="22"/>
  <c r="I84" i="22"/>
  <c r="C85" i="22"/>
  <c r="D85" i="22"/>
  <c r="E85" i="22"/>
  <c r="F85" i="22"/>
  <c r="G85" i="22"/>
  <c r="H85" i="22"/>
  <c r="I85" i="22"/>
  <c r="C86" i="22"/>
  <c r="D86" i="22"/>
  <c r="E86" i="22"/>
  <c r="F86" i="22"/>
  <c r="G86" i="22"/>
  <c r="H86" i="22"/>
  <c r="I86" i="22"/>
  <c r="C87" i="22"/>
  <c r="D87" i="22"/>
  <c r="E87" i="22"/>
  <c r="F87" i="22"/>
  <c r="G87" i="22"/>
  <c r="H87" i="22"/>
  <c r="I87" i="22"/>
  <c r="C88" i="22"/>
  <c r="D88" i="22"/>
  <c r="E88" i="22"/>
  <c r="F88" i="22"/>
  <c r="G88" i="22"/>
  <c r="H88" i="22"/>
  <c r="I88" i="22"/>
  <c r="C89" i="22"/>
  <c r="D89" i="22"/>
  <c r="E89" i="22"/>
  <c r="F89" i="22"/>
  <c r="G89" i="22"/>
  <c r="H89" i="22"/>
  <c r="I89" i="22"/>
  <c r="G6" i="22" l="1"/>
  <c r="F6" i="22"/>
  <c r="I6" i="22"/>
  <c r="E6" i="22"/>
  <c r="D6" i="22"/>
  <c r="H6" i="22"/>
  <c r="C6" i="22"/>
  <c r="L22" i="22"/>
  <c r="J32" i="22"/>
  <c r="E24" i="18" s="1"/>
  <c r="J34" i="22"/>
  <c r="J43" i="22"/>
  <c r="J76" i="22"/>
  <c r="J78" i="22"/>
  <c r="E70" i="18" s="1"/>
  <c r="J54" i="22"/>
  <c r="J26" i="22"/>
  <c r="E18" i="18" s="1"/>
  <c r="J48" i="22"/>
  <c r="J39" i="22"/>
  <c r="J59" i="22"/>
  <c r="J82" i="22"/>
  <c r="J75" i="22"/>
  <c r="J68" i="22"/>
  <c r="E60" i="18" s="1"/>
  <c r="J46" i="22"/>
  <c r="J79" i="22"/>
  <c r="J38" i="22"/>
  <c r="J87" i="22"/>
  <c r="E79" i="18" s="1"/>
  <c r="J60" i="22"/>
  <c r="J51" i="22"/>
  <c r="J31" i="22"/>
  <c r="E23" i="18" s="1"/>
  <c r="J62" i="22"/>
  <c r="E54" i="18" s="1"/>
  <c r="J88" i="22"/>
  <c r="J35" i="22"/>
  <c r="J72" i="22"/>
  <c r="J52" i="22"/>
  <c r="J28" i="22"/>
  <c r="E20" i="18" s="1"/>
  <c r="J42" i="22"/>
  <c r="E34" i="18" s="1"/>
  <c r="J70" i="22"/>
  <c r="J30" i="22"/>
  <c r="J33" i="22"/>
  <c r="J67" i="22"/>
  <c r="E59" i="18" s="1"/>
  <c r="J40" i="22"/>
  <c r="E32" i="18" s="1"/>
  <c r="J84" i="22"/>
  <c r="E76" i="18" s="1"/>
  <c r="J56" i="22"/>
  <c r="E48" i="18" s="1"/>
  <c r="J71" i="22"/>
  <c r="E63" i="18" s="1"/>
  <c r="J58" i="22"/>
  <c r="J47" i="22"/>
  <c r="E39" i="18" s="1"/>
  <c r="J55" i="22"/>
  <c r="E47" i="18" s="1"/>
  <c r="J86" i="22"/>
  <c r="J36" i="22"/>
  <c r="J25" i="22"/>
  <c r="J66" i="22"/>
  <c r="J53" i="22"/>
  <c r="J61" i="22"/>
  <c r="J64" i="22"/>
  <c r="E56" i="18" s="1"/>
  <c r="J83" i="22"/>
  <c r="J81" i="22"/>
  <c r="J44" i="22"/>
  <c r="J63" i="22"/>
  <c r="J45" i="22"/>
  <c r="E37" i="18" s="1"/>
  <c r="J80" i="22"/>
  <c r="E72" i="18" s="1"/>
  <c r="J73" i="22"/>
  <c r="E65" i="18" s="1"/>
  <c r="J27" i="22"/>
  <c r="E19" i="18" s="1"/>
  <c r="J50" i="22"/>
  <c r="E42" i="18" s="1"/>
  <c r="J89" i="22"/>
  <c r="J74" i="22"/>
  <c r="J29" i="22"/>
  <c r="J57" i="22"/>
  <c r="J37" i="22"/>
  <c r="J65" i="22"/>
  <c r="J85" i="22"/>
  <c r="E77" i="18" s="1"/>
  <c r="J49" i="22"/>
  <c r="E41" i="18" s="1"/>
  <c r="J77" i="22"/>
  <c r="J41" i="22"/>
  <c r="E33" i="18" s="1"/>
  <c r="J69" i="22"/>
  <c r="E61" i="18" s="1"/>
  <c r="E46" i="18" l="1"/>
  <c r="E67" i="18"/>
  <c r="E43" i="18"/>
  <c r="E55" i="18"/>
  <c r="E36" i="18"/>
  <c r="E30" i="18"/>
  <c r="E38" i="18"/>
  <c r="E69" i="18"/>
  <c r="J6" i="22"/>
  <c r="E68" i="18"/>
  <c r="E35" i="18"/>
  <c r="E80" i="18"/>
  <c r="E83" i="18"/>
  <c r="E50" i="18"/>
  <c r="E26" i="18"/>
  <c r="E75" i="18"/>
  <c r="E29" i="18"/>
  <c r="E82" i="18"/>
  <c r="E62" i="18"/>
  <c r="E45" i="18"/>
  <c r="E49" i="18"/>
  <c r="E58" i="18"/>
  <c r="E74" i="18"/>
  <c r="E21" i="18"/>
  <c r="E44" i="18"/>
  <c r="E51" i="18"/>
  <c r="E66" i="18"/>
  <c r="E28" i="18"/>
  <c r="E64" i="18"/>
  <c r="E31" i="18"/>
  <c r="E73" i="18"/>
  <c r="E71" i="18"/>
  <c r="E57" i="18"/>
  <c r="E81" i="18"/>
  <c r="E84" i="18"/>
  <c r="E78" i="18"/>
  <c r="E27" i="18"/>
  <c r="E40" i="18"/>
  <c r="E52" i="18"/>
  <c r="E25" i="18"/>
  <c r="E22" i="18"/>
  <c r="E53" i="18"/>
  <c r="E7" i="22"/>
  <c r="E17" i="18"/>
  <c r="E6" i="1"/>
  <c r="F6" i="1"/>
  <c r="G6" i="1"/>
  <c r="H6" i="1"/>
  <c r="I6" i="1"/>
  <c r="J6" i="1"/>
  <c r="D7" i="22" l="1"/>
  <c r="C7" i="22"/>
  <c r="G7" i="22"/>
  <c r="I7" i="22"/>
  <c r="H7" i="22"/>
  <c r="M114" i="22"/>
  <c r="M115" i="22"/>
  <c r="M116" i="22"/>
  <c r="M117" i="22"/>
  <c r="M118" i="22"/>
  <c r="M119" i="22"/>
  <c r="M120" i="22"/>
  <c r="M121" i="22"/>
  <c r="M122" i="22"/>
  <c r="M123" i="22"/>
  <c r="M124" i="22"/>
  <c r="M125" i="22"/>
  <c r="M126" i="22"/>
  <c r="M127" i="22"/>
  <c r="M128" i="22"/>
  <c r="M129" i="22"/>
  <c r="M130" i="22"/>
  <c r="M131" i="22"/>
  <c r="M132" i="22"/>
  <c r="M133" i="22"/>
  <c r="M134" i="22"/>
  <c r="M135" i="22"/>
  <c r="M136" i="22"/>
  <c r="M137" i="22"/>
  <c r="M138" i="22"/>
  <c r="M139" i="22"/>
  <c r="M140" i="22"/>
  <c r="M141" i="22"/>
  <c r="M142" i="22"/>
  <c r="M143" i="22"/>
  <c r="M144" i="22"/>
  <c r="M145" i="22"/>
  <c r="M146" i="22"/>
  <c r="M147" i="22"/>
  <c r="M148" i="22"/>
  <c r="M149" i="22"/>
  <c r="M150" i="22"/>
  <c r="M151" i="22"/>
  <c r="M152" i="22"/>
  <c r="M153" i="22"/>
  <c r="M154" i="22"/>
  <c r="M155" i="22"/>
  <c r="M156" i="22"/>
  <c r="M157" i="22"/>
  <c r="M158" i="22"/>
  <c r="M159" i="22"/>
  <c r="M160" i="22"/>
  <c r="M161" i="22"/>
  <c r="M162" i="22"/>
  <c r="M163" i="22"/>
  <c r="M164" i="22"/>
  <c r="M165" i="22"/>
  <c r="M166" i="22"/>
  <c r="M167" i="22"/>
  <c r="M168" i="22"/>
  <c r="M169" i="22"/>
  <c r="M170" i="22"/>
  <c r="M171" i="22"/>
  <c r="M172" i="22"/>
  <c r="M173" i="22"/>
  <c r="M174" i="22"/>
  <c r="M175" i="22"/>
  <c r="M176" i="22"/>
  <c r="M177" i="22"/>
  <c r="M178" i="22"/>
  <c r="M179" i="22"/>
  <c r="M180" i="22"/>
  <c r="M181" i="22"/>
  <c r="M182" i="22"/>
  <c r="M183" i="22"/>
  <c r="M184" i="22"/>
  <c r="M185" i="22"/>
  <c r="M186" i="22"/>
  <c r="M187" i="22"/>
  <c r="M188" i="22"/>
  <c r="M189" i="22"/>
  <c r="M190" i="22"/>
  <c r="M191" i="22"/>
  <c r="M192" i="22"/>
  <c r="M193" i="22"/>
  <c r="M194" i="22"/>
  <c r="M195" i="22"/>
  <c r="M196" i="22"/>
  <c r="M197" i="22"/>
  <c r="M198" i="22"/>
  <c r="M199" i="22"/>
  <c r="M200" i="22"/>
  <c r="M201" i="22"/>
  <c r="M202" i="22"/>
  <c r="M203" i="22"/>
  <c r="M204" i="22"/>
  <c r="M205" i="22"/>
  <c r="M206" i="22"/>
  <c r="M207" i="22"/>
  <c r="M208" i="22"/>
  <c r="M209" i="22"/>
  <c r="M210" i="22"/>
  <c r="M211" i="22"/>
  <c r="M212" i="22"/>
  <c r="M213" i="22"/>
  <c r="M214" i="22"/>
  <c r="M215" i="22"/>
  <c r="M216" i="22"/>
  <c r="M217" i="22"/>
  <c r="M218" i="22"/>
  <c r="M219" i="22"/>
  <c r="M220" i="22"/>
  <c r="M221" i="22"/>
  <c r="M222" i="22"/>
  <c r="M223" i="22"/>
  <c r="M224" i="22"/>
  <c r="M225" i="22"/>
  <c r="M226" i="22"/>
  <c r="M227" i="22"/>
  <c r="M228" i="22"/>
  <c r="M229" i="22"/>
  <c r="M230" i="22"/>
  <c r="M231" i="22"/>
  <c r="M232" i="22"/>
  <c r="M233" i="22"/>
  <c r="M234" i="22"/>
  <c r="M235" i="22"/>
  <c r="M236" i="22"/>
  <c r="M237" i="22"/>
  <c r="M238" i="22"/>
  <c r="M239" i="22"/>
  <c r="M240" i="22"/>
  <c r="M241" i="22"/>
  <c r="M242" i="22"/>
  <c r="M243" i="22"/>
  <c r="M244" i="22"/>
  <c r="M245" i="22"/>
  <c r="M246" i="22"/>
  <c r="M247" i="22"/>
  <c r="M248" i="22"/>
  <c r="M249" i="22"/>
  <c r="M250" i="22"/>
  <c r="M251" i="22"/>
  <c r="M252" i="22"/>
  <c r="M253" i="22"/>
  <c r="M254" i="22"/>
  <c r="M255" i="22"/>
  <c r="M256" i="22"/>
  <c r="M257" i="22"/>
  <c r="M258" i="22"/>
  <c r="M259" i="22"/>
  <c r="M260" i="22"/>
  <c r="M261" i="22"/>
  <c r="M262" i="22"/>
  <c r="M263" i="22"/>
  <c r="M264" i="22"/>
  <c r="M265" i="22"/>
  <c r="M266" i="22"/>
  <c r="M267" i="22"/>
  <c r="M268" i="22"/>
  <c r="M269" i="22"/>
  <c r="M270" i="22"/>
  <c r="M271" i="22"/>
  <c r="M272" i="22"/>
  <c r="M273" i="22"/>
  <c r="M274" i="22"/>
  <c r="M275" i="22"/>
  <c r="M276" i="22"/>
  <c r="M277" i="22"/>
  <c r="M278" i="22"/>
  <c r="M279" i="22"/>
  <c r="M280" i="22"/>
  <c r="M281" i="22"/>
  <c r="M282" i="22"/>
  <c r="M283" i="22"/>
  <c r="M284" i="22"/>
  <c r="M285" i="22"/>
  <c r="M286" i="22"/>
  <c r="M287" i="22"/>
  <c r="M288" i="22"/>
  <c r="M289" i="22"/>
  <c r="M290" i="22"/>
  <c r="M291" i="22"/>
  <c r="M292" i="22"/>
  <c r="M293" i="22"/>
  <c r="M294" i="22"/>
  <c r="M295" i="22"/>
  <c r="M296" i="22"/>
  <c r="M297" i="22"/>
  <c r="M298" i="22"/>
  <c r="M299" i="22"/>
  <c r="M300" i="22"/>
  <c r="M301" i="22"/>
  <c r="M302" i="22"/>
  <c r="M303" i="22"/>
  <c r="M304" i="22"/>
  <c r="M305" i="22"/>
  <c r="M306" i="22"/>
  <c r="M307" i="22"/>
  <c r="M308" i="22"/>
  <c r="M309" i="22"/>
  <c r="M310" i="22"/>
  <c r="M311" i="22"/>
  <c r="M312" i="22"/>
  <c r="M313" i="22"/>
  <c r="M314" i="22"/>
  <c r="M315" i="22"/>
  <c r="M316" i="22"/>
  <c r="M317" i="22"/>
  <c r="M318" i="22"/>
  <c r="M319" i="22"/>
  <c r="M320" i="22"/>
  <c r="M321" i="22"/>
  <c r="M322" i="22"/>
  <c r="M323" i="22"/>
  <c r="M324" i="22"/>
  <c r="M325" i="22"/>
  <c r="M326" i="22"/>
  <c r="M327" i="22"/>
  <c r="M328" i="22"/>
  <c r="M329" i="22"/>
  <c r="M330" i="22"/>
  <c r="M331" i="22"/>
  <c r="M332" i="22"/>
  <c r="M333" i="22"/>
  <c r="M334" i="22"/>
  <c r="M335" i="22"/>
  <c r="M336" i="22"/>
  <c r="M337" i="22"/>
  <c r="M338" i="22"/>
  <c r="M339" i="22"/>
  <c r="M340" i="22"/>
  <c r="M341" i="22"/>
  <c r="M342" i="22"/>
  <c r="M343" i="22"/>
  <c r="M344" i="22"/>
  <c r="M345" i="22"/>
  <c r="M346" i="22"/>
  <c r="M347" i="22"/>
  <c r="M348" i="22"/>
  <c r="M349" i="22"/>
  <c r="M350" i="22"/>
  <c r="M351" i="22"/>
  <c r="M352" i="22"/>
  <c r="M353" i="22"/>
  <c r="M354" i="22"/>
  <c r="M355" i="22"/>
  <c r="M356" i="22"/>
  <c r="M357" i="22"/>
  <c r="M358" i="22"/>
  <c r="M359" i="22"/>
  <c r="M360" i="22"/>
  <c r="M361" i="22"/>
  <c r="M362" i="22"/>
  <c r="M363" i="22"/>
  <c r="M364" i="22"/>
  <c r="M365" i="22"/>
  <c r="M366" i="22"/>
  <c r="M367" i="22"/>
  <c r="M368" i="22"/>
  <c r="M369" i="22"/>
  <c r="M370" i="22"/>
  <c r="M371" i="22"/>
  <c r="M372" i="22"/>
  <c r="M373" i="22"/>
  <c r="M374" i="22"/>
  <c r="M375" i="22"/>
  <c r="M376" i="22"/>
  <c r="M377" i="22"/>
  <c r="M378" i="22"/>
  <c r="M379" i="22"/>
  <c r="M380" i="22"/>
  <c r="M381" i="22"/>
  <c r="M382" i="22"/>
  <c r="M383" i="22"/>
  <c r="M384" i="22"/>
  <c r="M385" i="22"/>
  <c r="M386" i="22"/>
  <c r="M387" i="22"/>
  <c r="M388" i="22"/>
  <c r="M389" i="22"/>
  <c r="M390" i="22"/>
  <c r="M391" i="22"/>
  <c r="M392" i="22"/>
  <c r="M393" i="22"/>
  <c r="M394" i="22"/>
  <c r="M395" i="22"/>
  <c r="M396" i="22"/>
  <c r="M397" i="22"/>
  <c r="M398" i="22"/>
  <c r="M399" i="22"/>
  <c r="M400" i="22"/>
  <c r="M401" i="22"/>
  <c r="M402" i="22"/>
  <c r="M403" i="22"/>
  <c r="M404" i="22"/>
  <c r="M405" i="22"/>
  <c r="M406" i="22"/>
  <c r="M407" i="22"/>
  <c r="M408" i="22"/>
  <c r="M409" i="22"/>
  <c r="M410" i="22"/>
  <c r="M411" i="22"/>
  <c r="M412" i="22"/>
  <c r="M413" i="22"/>
  <c r="M414" i="22"/>
  <c r="M415" i="22"/>
  <c r="M416" i="22"/>
  <c r="M417" i="22"/>
  <c r="M418" i="22"/>
  <c r="M419" i="22"/>
  <c r="M420" i="22"/>
  <c r="M421" i="22"/>
  <c r="M422" i="22"/>
  <c r="M423" i="22"/>
  <c r="M424" i="22"/>
  <c r="M425" i="22"/>
  <c r="M426" i="22"/>
  <c r="M427" i="22"/>
  <c r="M428" i="22"/>
  <c r="L428" i="22"/>
  <c r="K428" i="22"/>
  <c r="L427" i="22"/>
  <c r="K427" i="22"/>
  <c r="L426" i="22"/>
  <c r="K426" i="22"/>
  <c r="L425" i="22"/>
  <c r="K425" i="22"/>
  <c r="L424" i="22"/>
  <c r="K424" i="22"/>
  <c r="L423" i="22"/>
  <c r="K423" i="22"/>
  <c r="L422" i="22"/>
  <c r="K422" i="22"/>
  <c r="L421" i="22"/>
  <c r="K421" i="22"/>
  <c r="L420" i="22"/>
  <c r="K420" i="22"/>
  <c r="L419" i="22"/>
  <c r="K419" i="22"/>
  <c r="L418" i="22"/>
  <c r="K418" i="22"/>
  <c r="L417" i="22"/>
  <c r="K417" i="22"/>
  <c r="L416" i="22"/>
  <c r="K416" i="22"/>
  <c r="L415" i="22"/>
  <c r="K415" i="22"/>
  <c r="L414" i="22"/>
  <c r="K414" i="22"/>
  <c r="L413" i="22"/>
  <c r="K413" i="22"/>
  <c r="L412" i="22"/>
  <c r="K412" i="22"/>
  <c r="L411" i="22"/>
  <c r="K411" i="22"/>
  <c r="L410" i="22"/>
  <c r="K410" i="22"/>
  <c r="L409" i="22"/>
  <c r="K409" i="22"/>
  <c r="L408" i="22"/>
  <c r="K408" i="22"/>
  <c r="L407" i="22"/>
  <c r="K407" i="22"/>
  <c r="L406" i="22"/>
  <c r="K406" i="22"/>
  <c r="L405" i="22"/>
  <c r="K405" i="22"/>
  <c r="L404" i="22"/>
  <c r="K404" i="22"/>
  <c r="L403" i="22"/>
  <c r="K403" i="22"/>
  <c r="L402" i="22"/>
  <c r="K402" i="22"/>
  <c r="L401" i="22"/>
  <c r="K401" i="22"/>
  <c r="L400" i="22"/>
  <c r="K400" i="22"/>
  <c r="L399" i="22"/>
  <c r="K399" i="22"/>
  <c r="L398" i="22"/>
  <c r="K398" i="22"/>
  <c r="L397" i="22"/>
  <c r="K397" i="22"/>
  <c r="L396" i="22"/>
  <c r="K396" i="22"/>
  <c r="L395" i="22"/>
  <c r="K395" i="22"/>
  <c r="L394" i="22"/>
  <c r="K394" i="22"/>
  <c r="L393" i="22"/>
  <c r="K393" i="22"/>
  <c r="L392" i="22"/>
  <c r="K392" i="22"/>
  <c r="L391" i="22"/>
  <c r="K391" i="22"/>
  <c r="L390" i="22"/>
  <c r="K390" i="22"/>
  <c r="L389" i="22"/>
  <c r="K389" i="22"/>
  <c r="L388" i="22"/>
  <c r="K388" i="22"/>
  <c r="L387" i="22"/>
  <c r="K387" i="22"/>
  <c r="L386" i="22"/>
  <c r="K386" i="22"/>
  <c r="L385" i="22"/>
  <c r="K385" i="22"/>
  <c r="L384" i="22"/>
  <c r="K384" i="22"/>
  <c r="L383" i="22"/>
  <c r="K383" i="22"/>
  <c r="L382" i="22"/>
  <c r="K382" i="22"/>
  <c r="L381" i="22"/>
  <c r="K381" i="22"/>
  <c r="L380" i="22"/>
  <c r="K380" i="22"/>
  <c r="L379" i="22"/>
  <c r="K379" i="22"/>
  <c r="L378" i="22"/>
  <c r="K378" i="22"/>
  <c r="L377" i="22"/>
  <c r="K377" i="22"/>
  <c r="L376" i="22"/>
  <c r="K376" i="22"/>
  <c r="L375" i="22"/>
  <c r="K375" i="22"/>
  <c r="L374" i="22"/>
  <c r="K374" i="22"/>
  <c r="L373" i="22"/>
  <c r="K373" i="22"/>
  <c r="L372" i="22"/>
  <c r="K372" i="22"/>
  <c r="L371" i="22"/>
  <c r="K371" i="22"/>
  <c r="L370" i="22"/>
  <c r="K370" i="22"/>
  <c r="L369" i="22"/>
  <c r="K369" i="22"/>
  <c r="L368" i="22"/>
  <c r="K368" i="22"/>
  <c r="L367" i="22"/>
  <c r="K367" i="22"/>
  <c r="L366" i="22"/>
  <c r="K366" i="22"/>
  <c r="L365" i="22"/>
  <c r="K365" i="22"/>
  <c r="L364" i="22"/>
  <c r="K364" i="22"/>
  <c r="L363" i="22"/>
  <c r="K363" i="22"/>
  <c r="L362" i="22"/>
  <c r="K362" i="22"/>
  <c r="L361" i="22"/>
  <c r="K361" i="22"/>
  <c r="L360" i="22"/>
  <c r="K360" i="22"/>
  <c r="L359" i="22"/>
  <c r="K359" i="22"/>
  <c r="L358" i="22"/>
  <c r="K358" i="22"/>
  <c r="L357" i="22"/>
  <c r="K357" i="22"/>
  <c r="L356" i="22"/>
  <c r="K356" i="22"/>
  <c r="L355" i="22"/>
  <c r="K355" i="22"/>
  <c r="L354" i="22"/>
  <c r="K354" i="22"/>
  <c r="L353" i="22"/>
  <c r="K353" i="22"/>
  <c r="L352" i="22"/>
  <c r="K352" i="22"/>
  <c r="L351" i="22"/>
  <c r="K351" i="22"/>
  <c r="L350" i="22"/>
  <c r="K350" i="22"/>
  <c r="L349" i="22"/>
  <c r="K349" i="22"/>
  <c r="L348" i="22"/>
  <c r="K348" i="22"/>
  <c r="L347" i="22"/>
  <c r="K347" i="22"/>
  <c r="L346" i="22"/>
  <c r="K346" i="22"/>
  <c r="L345" i="22"/>
  <c r="K345" i="22"/>
  <c r="L344" i="22"/>
  <c r="K344" i="22"/>
  <c r="L343" i="22"/>
  <c r="K343" i="22"/>
  <c r="L342" i="22"/>
  <c r="K342" i="22"/>
  <c r="L341" i="22"/>
  <c r="K341" i="22"/>
  <c r="L340" i="22"/>
  <c r="K340" i="22"/>
  <c r="L339" i="22"/>
  <c r="K339" i="22"/>
  <c r="L338" i="22"/>
  <c r="K338" i="22"/>
  <c r="L337" i="22"/>
  <c r="K337" i="22"/>
  <c r="L336" i="22"/>
  <c r="K336" i="22"/>
  <c r="L335" i="22"/>
  <c r="K335" i="22"/>
  <c r="L334" i="22"/>
  <c r="K334" i="22"/>
  <c r="L333" i="22"/>
  <c r="K333" i="22"/>
  <c r="L332" i="22"/>
  <c r="K332" i="22"/>
  <c r="L331" i="22"/>
  <c r="K331" i="22"/>
  <c r="L330" i="22"/>
  <c r="K330" i="22"/>
  <c r="L329" i="22"/>
  <c r="K329" i="22"/>
  <c r="L328" i="22"/>
  <c r="K328" i="22"/>
  <c r="L327" i="22"/>
  <c r="K327" i="22"/>
  <c r="L326" i="22"/>
  <c r="K326" i="22"/>
  <c r="L325" i="22"/>
  <c r="K325" i="22"/>
  <c r="L324" i="22"/>
  <c r="K324" i="22"/>
  <c r="L323" i="22"/>
  <c r="K323" i="22"/>
  <c r="L322" i="22"/>
  <c r="K322" i="22"/>
  <c r="L321" i="22"/>
  <c r="K321" i="22"/>
  <c r="L320" i="22"/>
  <c r="K320" i="22"/>
  <c r="L319" i="22"/>
  <c r="K319" i="22"/>
  <c r="L318" i="22"/>
  <c r="K318" i="22"/>
  <c r="L317" i="22"/>
  <c r="K317" i="22"/>
  <c r="L316" i="22"/>
  <c r="K316" i="22"/>
  <c r="L315" i="22"/>
  <c r="K315" i="22"/>
  <c r="L314" i="22"/>
  <c r="K314" i="22"/>
  <c r="L313" i="22"/>
  <c r="K313" i="22"/>
  <c r="L312" i="22"/>
  <c r="K312" i="22"/>
  <c r="L311" i="22"/>
  <c r="K311" i="22"/>
  <c r="L310" i="22"/>
  <c r="K310" i="22"/>
  <c r="L309" i="22"/>
  <c r="K309" i="22"/>
  <c r="L308" i="22"/>
  <c r="K308" i="22"/>
  <c r="L307" i="22"/>
  <c r="K307" i="22"/>
  <c r="L306" i="22"/>
  <c r="K306" i="22"/>
  <c r="L305" i="22"/>
  <c r="K305" i="22"/>
  <c r="L304" i="22"/>
  <c r="K304" i="22"/>
  <c r="L303" i="22"/>
  <c r="K303" i="22"/>
  <c r="L302" i="22"/>
  <c r="K302" i="22"/>
  <c r="L301" i="22"/>
  <c r="K301" i="22"/>
  <c r="L300" i="22"/>
  <c r="K300" i="22"/>
  <c r="L299" i="22"/>
  <c r="K299" i="22"/>
  <c r="L298" i="22"/>
  <c r="K298" i="22"/>
  <c r="L297" i="22"/>
  <c r="K297" i="22"/>
  <c r="L296" i="22"/>
  <c r="K296" i="22"/>
  <c r="L295" i="22"/>
  <c r="K295" i="22"/>
  <c r="L294" i="22"/>
  <c r="K294" i="22"/>
  <c r="L293" i="22"/>
  <c r="K293" i="22"/>
  <c r="L292" i="22"/>
  <c r="K292" i="22"/>
  <c r="L291" i="22"/>
  <c r="K291" i="22"/>
  <c r="L290" i="22"/>
  <c r="K290" i="22"/>
  <c r="L289" i="22"/>
  <c r="K289" i="22"/>
  <c r="L288" i="22"/>
  <c r="K288" i="22"/>
  <c r="L287" i="22"/>
  <c r="K287" i="22"/>
  <c r="L286" i="22"/>
  <c r="K286" i="22"/>
  <c r="L285" i="22"/>
  <c r="K285" i="22"/>
  <c r="L284" i="22"/>
  <c r="K284" i="22"/>
  <c r="L283" i="22"/>
  <c r="K283" i="22"/>
  <c r="L282" i="22"/>
  <c r="K282" i="22"/>
  <c r="L281" i="22"/>
  <c r="K281" i="22"/>
  <c r="L280" i="22"/>
  <c r="K280" i="22"/>
  <c r="L279" i="22"/>
  <c r="K279" i="22"/>
  <c r="L278" i="22"/>
  <c r="K278" i="22"/>
  <c r="L277" i="22"/>
  <c r="K277" i="22"/>
  <c r="L276" i="22"/>
  <c r="K276" i="22"/>
  <c r="L275" i="22"/>
  <c r="K275" i="22"/>
  <c r="L274" i="22"/>
  <c r="K274" i="22"/>
  <c r="L273" i="22"/>
  <c r="K273" i="22"/>
  <c r="L272" i="22"/>
  <c r="K272" i="22"/>
  <c r="L271" i="22"/>
  <c r="K271" i="22"/>
  <c r="L270" i="22"/>
  <c r="K270" i="22"/>
  <c r="L269" i="22"/>
  <c r="K269" i="22"/>
  <c r="L268" i="22"/>
  <c r="K268" i="22"/>
  <c r="L267" i="22"/>
  <c r="K267" i="22"/>
  <c r="L266" i="22"/>
  <c r="K266" i="22"/>
  <c r="L265" i="22"/>
  <c r="K265" i="22"/>
  <c r="L264" i="22"/>
  <c r="K264" i="22"/>
  <c r="L263" i="22"/>
  <c r="K263" i="22"/>
  <c r="L262" i="22"/>
  <c r="K262" i="22"/>
  <c r="L261" i="22"/>
  <c r="K261" i="22"/>
  <c r="L260" i="22"/>
  <c r="K260" i="22"/>
  <c r="L259" i="22"/>
  <c r="K259" i="22"/>
  <c r="L258" i="22"/>
  <c r="K258" i="22"/>
  <c r="L257" i="22"/>
  <c r="K257" i="22"/>
  <c r="L256" i="22"/>
  <c r="K256" i="22"/>
  <c r="L255" i="22"/>
  <c r="K255" i="22"/>
  <c r="L254" i="22"/>
  <c r="K254" i="22"/>
  <c r="L253" i="22"/>
  <c r="K253" i="22"/>
  <c r="L252" i="22"/>
  <c r="K252" i="22"/>
  <c r="L251" i="22"/>
  <c r="K251" i="22"/>
  <c r="L250" i="22"/>
  <c r="K250" i="22"/>
  <c r="L249" i="22"/>
  <c r="K249" i="22"/>
  <c r="L248" i="22"/>
  <c r="K248" i="22"/>
  <c r="L247" i="22"/>
  <c r="K247" i="22"/>
  <c r="L246" i="22"/>
  <c r="K246" i="22"/>
  <c r="L245" i="22"/>
  <c r="K245" i="22"/>
  <c r="L244" i="22"/>
  <c r="K244" i="22"/>
  <c r="L243" i="22"/>
  <c r="K243" i="22"/>
  <c r="L242" i="22"/>
  <c r="K242" i="22"/>
  <c r="L241" i="22"/>
  <c r="K241" i="22"/>
  <c r="L240" i="22"/>
  <c r="K240" i="22"/>
  <c r="L239" i="22"/>
  <c r="K239" i="22"/>
  <c r="L238" i="22"/>
  <c r="K238" i="22"/>
  <c r="L237" i="22"/>
  <c r="K237" i="22"/>
  <c r="L236" i="22"/>
  <c r="K236" i="22"/>
  <c r="L235" i="22"/>
  <c r="K235" i="22"/>
  <c r="L234" i="22"/>
  <c r="K234" i="22"/>
  <c r="L233" i="22"/>
  <c r="K233" i="22"/>
  <c r="L232" i="22"/>
  <c r="K232" i="22"/>
  <c r="L231" i="22"/>
  <c r="K231" i="22"/>
  <c r="L230" i="22"/>
  <c r="K230" i="22"/>
  <c r="L229" i="22"/>
  <c r="K229" i="22"/>
  <c r="L228" i="22"/>
  <c r="K228" i="22"/>
  <c r="L227" i="22"/>
  <c r="K227" i="22"/>
  <c r="L226" i="22"/>
  <c r="K226" i="22"/>
  <c r="L225" i="22"/>
  <c r="K225" i="22"/>
  <c r="L224" i="22"/>
  <c r="K224" i="22"/>
  <c r="L223" i="22"/>
  <c r="K223" i="22"/>
  <c r="L222" i="22"/>
  <c r="K222" i="22"/>
  <c r="L221" i="22"/>
  <c r="K221" i="22"/>
  <c r="L220" i="22"/>
  <c r="K220" i="22"/>
  <c r="L219" i="22"/>
  <c r="K219" i="22"/>
  <c r="L218" i="22"/>
  <c r="K218" i="22"/>
  <c r="L217" i="22"/>
  <c r="K217" i="22"/>
  <c r="L216" i="22"/>
  <c r="K216" i="22"/>
  <c r="L215" i="22"/>
  <c r="K215" i="22"/>
  <c r="L214" i="22"/>
  <c r="K214" i="22"/>
  <c r="L213" i="22"/>
  <c r="K213" i="22"/>
  <c r="L212" i="22"/>
  <c r="K212" i="22"/>
  <c r="L211" i="22"/>
  <c r="K211" i="22"/>
  <c r="L210" i="22"/>
  <c r="K210" i="22"/>
  <c r="L209" i="22"/>
  <c r="K209" i="22"/>
  <c r="L208" i="22"/>
  <c r="K208" i="22"/>
  <c r="L207" i="22"/>
  <c r="K207" i="22"/>
  <c r="L206" i="22"/>
  <c r="K206" i="22"/>
  <c r="L205" i="22"/>
  <c r="K205" i="22"/>
  <c r="L204" i="22"/>
  <c r="K204" i="22"/>
  <c r="L203" i="22"/>
  <c r="K203" i="22"/>
  <c r="L202" i="22"/>
  <c r="K202" i="22"/>
  <c r="L201" i="22"/>
  <c r="K201" i="22"/>
  <c r="L200" i="22"/>
  <c r="K200" i="22"/>
  <c r="L199" i="22"/>
  <c r="K199" i="22"/>
  <c r="L198" i="22"/>
  <c r="K198" i="22"/>
  <c r="L197" i="22"/>
  <c r="K197" i="22"/>
  <c r="L196" i="22"/>
  <c r="K196" i="22"/>
  <c r="L195" i="22"/>
  <c r="K195" i="22"/>
  <c r="L194" i="22"/>
  <c r="K194" i="22"/>
  <c r="L193" i="22"/>
  <c r="K193" i="22"/>
  <c r="L192" i="22"/>
  <c r="K192" i="22"/>
  <c r="L191" i="22"/>
  <c r="K191" i="22"/>
  <c r="L190" i="22"/>
  <c r="K190" i="22"/>
  <c r="L189" i="22"/>
  <c r="K189" i="22"/>
  <c r="L188" i="22"/>
  <c r="K188" i="22"/>
  <c r="L187" i="22"/>
  <c r="K187" i="22"/>
  <c r="L186" i="22"/>
  <c r="K186" i="22"/>
  <c r="L185" i="22"/>
  <c r="K185" i="22"/>
  <c r="L184" i="22"/>
  <c r="K184" i="22"/>
  <c r="L183" i="22"/>
  <c r="K183" i="22"/>
  <c r="L182" i="22"/>
  <c r="K182" i="22"/>
  <c r="L181" i="22"/>
  <c r="K181" i="22"/>
  <c r="L180" i="22"/>
  <c r="K180" i="22"/>
  <c r="L179" i="22"/>
  <c r="K179" i="22"/>
  <c r="L178" i="22"/>
  <c r="K178" i="22"/>
  <c r="L177" i="22"/>
  <c r="K177" i="22"/>
  <c r="L176" i="22"/>
  <c r="K176" i="22"/>
  <c r="L175" i="22"/>
  <c r="K175" i="22"/>
  <c r="L174" i="22"/>
  <c r="K174" i="22"/>
  <c r="L173" i="22"/>
  <c r="K173" i="22"/>
  <c r="L172" i="22"/>
  <c r="K172" i="22"/>
  <c r="L171" i="22"/>
  <c r="K171" i="22"/>
  <c r="L170" i="22"/>
  <c r="K170" i="22"/>
  <c r="L169" i="22"/>
  <c r="K169" i="22"/>
  <c r="L168" i="22"/>
  <c r="K168" i="22"/>
  <c r="L167" i="22"/>
  <c r="K167" i="22"/>
  <c r="L166" i="22"/>
  <c r="K166" i="22"/>
  <c r="L165" i="22"/>
  <c r="K165" i="22"/>
  <c r="L164" i="22"/>
  <c r="K164" i="22"/>
  <c r="L163" i="22"/>
  <c r="K163" i="22"/>
  <c r="L162" i="22"/>
  <c r="K162" i="22"/>
  <c r="L161" i="22"/>
  <c r="K161" i="22"/>
  <c r="L160" i="22"/>
  <c r="K160" i="22"/>
  <c r="L159" i="22"/>
  <c r="K159" i="22"/>
  <c r="L158" i="22"/>
  <c r="K158" i="22"/>
  <c r="L157" i="22"/>
  <c r="K157" i="22"/>
  <c r="L156" i="22"/>
  <c r="K156" i="22"/>
  <c r="L155" i="22"/>
  <c r="K155" i="22"/>
  <c r="L154" i="22"/>
  <c r="K154" i="22"/>
  <c r="L153" i="22"/>
  <c r="K153" i="22"/>
  <c r="L152" i="22"/>
  <c r="K152" i="22"/>
  <c r="L151" i="22"/>
  <c r="K151" i="22"/>
  <c r="L150" i="22"/>
  <c r="K150" i="22"/>
  <c r="L149" i="22"/>
  <c r="K149" i="22"/>
  <c r="L148" i="22"/>
  <c r="K148" i="22"/>
  <c r="L147" i="22"/>
  <c r="K147" i="22"/>
  <c r="L146" i="22"/>
  <c r="K146" i="22"/>
  <c r="L145" i="22"/>
  <c r="K145" i="22"/>
  <c r="L144" i="22"/>
  <c r="K144" i="22"/>
  <c r="L143" i="22"/>
  <c r="K143" i="22"/>
  <c r="L142" i="22"/>
  <c r="K142" i="22"/>
  <c r="L141" i="22"/>
  <c r="K141" i="22"/>
  <c r="L140" i="22"/>
  <c r="K140" i="22"/>
  <c r="L139" i="22"/>
  <c r="K139" i="22"/>
  <c r="L138" i="22"/>
  <c r="K138" i="22"/>
  <c r="L137" i="22"/>
  <c r="K137" i="22"/>
  <c r="L136" i="22"/>
  <c r="K136" i="22"/>
  <c r="L135" i="22"/>
  <c r="K135" i="22"/>
  <c r="L134" i="22"/>
  <c r="K134" i="22"/>
  <c r="L133" i="22"/>
  <c r="K133" i="22"/>
  <c r="L132" i="22"/>
  <c r="K132" i="22"/>
  <c r="L131" i="22"/>
  <c r="K131" i="22"/>
  <c r="L130" i="22"/>
  <c r="K130" i="22"/>
  <c r="L129" i="22"/>
  <c r="K129" i="22"/>
  <c r="L128" i="22"/>
  <c r="K128" i="22"/>
  <c r="L127" i="22"/>
  <c r="K127" i="22"/>
  <c r="L126" i="22"/>
  <c r="K126" i="22"/>
  <c r="L125" i="22"/>
  <c r="K125" i="22"/>
  <c r="L124" i="22"/>
  <c r="K124" i="22"/>
  <c r="L123" i="22"/>
  <c r="K123" i="22"/>
  <c r="L122" i="22"/>
  <c r="K122" i="22"/>
  <c r="L121" i="22"/>
  <c r="K121" i="22"/>
  <c r="L120" i="22"/>
  <c r="K120" i="22"/>
  <c r="L119" i="22"/>
  <c r="K119" i="22"/>
  <c r="L118" i="22"/>
  <c r="K118" i="22"/>
  <c r="L117" i="22"/>
  <c r="K117" i="22"/>
  <c r="L116" i="22"/>
  <c r="K116" i="22"/>
  <c r="L115" i="22"/>
  <c r="K115" i="22"/>
  <c r="L114" i="22"/>
  <c r="K114" i="22"/>
  <c r="A2" i="22"/>
  <c r="B121" i="21" l="1"/>
  <c r="C28" i="20" l="1"/>
  <c r="G28" i="20" s="1"/>
  <c r="E15" i="20"/>
  <c r="E16" i="20"/>
  <c r="E17" i="20"/>
  <c r="E18" i="20"/>
  <c r="E19" i="20"/>
  <c r="E20" i="20"/>
  <c r="E21" i="20"/>
  <c r="E22" i="20"/>
  <c r="E23" i="20"/>
  <c r="E24" i="20"/>
  <c r="E25" i="20"/>
  <c r="E26" i="20"/>
  <c r="E27" i="20"/>
  <c r="E28" i="20"/>
  <c r="E29" i="20"/>
  <c r="E30" i="20"/>
  <c r="E31" i="20"/>
  <c r="E32" i="20"/>
  <c r="E33" i="20"/>
  <c r="E34" i="20"/>
  <c r="E35" i="20"/>
  <c r="E36" i="20"/>
  <c r="E37" i="20"/>
  <c r="E38" i="20"/>
  <c r="E39" i="20"/>
  <c r="E40" i="20"/>
  <c r="E41" i="20"/>
  <c r="E42" i="20"/>
  <c r="E43" i="20"/>
  <c r="E44" i="20"/>
  <c r="E45" i="20"/>
  <c r="E46" i="20"/>
  <c r="E47" i="20"/>
  <c r="E48" i="20"/>
  <c r="E49" i="20"/>
  <c r="E50" i="20"/>
  <c r="E51" i="20"/>
  <c r="E52" i="20"/>
  <c r="E53" i="20"/>
  <c r="E54" i="20"/>
  <c r="E55" i="20"/>
  <c r="E56" i="20"/>
  <c r="E14" i="20"/>
  <c r="C45" i="20"/>
  <c r="F45" i="20" s="1"/>
  <c r="C46" i="20"/>
  <c r="F46" i="20" s="1"/>
  <c r="C47" i="20"/>
  <c r="F47" i="20" s="1"/>
  <c r="C48" i="20"/>
  <c r="C49" i="20"/>
  <c r="F49" i="20" s="1"/>
  <c r="C50" i="20"/>
  <c r="F50" i="20" s="1"/>
  <c r="C51" i="20"/>
  <c r="F51" i="20" s="1"/>
  <c r="C52" i="20"/>
  <c r="F52" i="20" s="1"/>
  <c r="C53" i="20"/>
  <c r="C54" i="20"/>
  <c r="F54" i="20" s="1"/>
  <c r="C55" i="20"/>
  <c r="C56" i="20"/>
  <c r="F56" i="20" s="1"/>
  <c r="C15" i="20"/>
  <c r="F15" i="20" s="1"/>
  <c r="C16" i="20"/>
  <c r="F16" i="20" s="1"/>
  <c r="C17" i="20"/>
  <c r="F17" i="20" s="1"/>
  <c r="C18" i="20"/>
  <c r="G18" i="20" s="1"/>
  <c r="C19" i="20"/>
  <c r="F19" i="20" s="1"/>
  <c r="C20" i="20"/>
  <c r="G20" i="20" s="1"/>
  <c r="C21" i="20"/>
  <c r="F21" i="20" s="1"/>
  <c r="C22" i="20"/>
  <c r="F22" i="20" s="1"/>
  <c r="C23" i="20"/>
  <c r="G23" i="20" s="1"/>
  <c r="C24" i="20"/>
  <c r="G24" i="20" s="1"/>
  <c r="C25" i="20"/>
  <c r="F25" i="20" s="1"/>
  <c r="C26" i="20"/>
  <c r="F26" i="20" s="1"/>
  <c r="C27" i="20"/>
  <c r="F27" i="20" s="1"/>
  <c r="C29" i="20"/>
  <c r="F29" i="20" s="1"/>
  <c r="C30" i="20"/>
  <c r="F30" i="20" s="1"/>
  <c r="C31" i="20"/>
  <c r="G31" i="20" s="1"/>
  <c r="C32" i="20"/>
  <c r="F32" i="20" s="1"/>
  <c r="C33" i="20"/>
  <c r="G33" i="20" s="1"/>
  <c r="C34" i="20"/>
  <c r="F34" i="20" s="1"/>
  <c r="C35" i="20"/>
  <c r="F35" i="20" s="1"/>
  <c r="C36" i="20"/>
  <c r="G36" i="20" s="1"/>
  <c r="C37" i="20"/>
  <c r="G37" i="20" s="1"/>
  <c r="C38" i="20"/>
  <c r="F38" i="20" s="1"/>
  <c r="C39" i="20"/>
  <c r="F39" i="20" s="1"/>
  <c r="C40" i="20"/>
  <c r="F40" i="20" s="1"/>
  <c r="C41" i="20"/>
  <c r="F41" i="20" s="1"/>
  <c r="C42" i="20"/>
  <c r="F42" i="20" s="1"/>
  <c r="C43" i="20"/>
  <c r="G43" i="20" s="1"/>
  <c r="C44" i="20"/>
  <c r="F44" i="20" s="1"/>
  <c r="C14" i="20"/>
  <c r="G14" i="20" s="1"/>
  <c r="F14" i="20" l="1"/>
  <c r="F36" i="20"/>
  <c r="F33" i="20"/>
  <c r="F23" i="20"/>
  <c r="F20" i="20"/>
  <c r="F43" i="20"/>
  <c r="F37" i="20"/>
  <c r="F31" i="20"/>
  <c r="F24" i="20"/>
  <c r="F18" i="20"/>
  <c r="G42" i="20"/>
  <c r="G30" i="20"/>
  <c r="G17" i="20"/>
  <c r="G41" i="20"/>
  <c r="G35" i="20"/>
  <c r="G29" i="20"/>
  <c r="G22" i="20"/>
  <c r="G16" i="20"/>
  <c r="G40" i="20"/>
  <c r="G34" i="20"/>
  <c r="G27" i="20"/>
  <c r="G21" i="20"/>
  <c r="G15" i="20"/>
  <c r="G39" i="20"/>
  <c r="G26" i="20"/>
  <c r="G44" i="20"/>
  <c r="G38" i="20"/>
  <c r="G32" i="20"/>
  <c r="G25" i="20"/>
  <c r="G19" i="20"/>
  <c r="F28" i="20"/>
  <c r="F55" i="20"/>
  <c r="F53" i="20"/>
  <c r="F48" i="20"/>
  <c r="G56" i="20"/>
  <c r="G50" i="20"/>
  <c r="G55" i="20"/>
  <c r="G49" i="20"/>
  <c r="G54" i="20"/>
  <c r="G48" i="20"/>
  <c r="G53" i="20"/>
  <c r="G47" i="20"/>
  <c r="G52" i="20"/>
  <c r="G46" i="20"/>
  <c r="G51" i="20"/>
  <c r="G45" i="20"/>
  <c r="B10" i="20" l="1"/>
  <c r="C11" i="20"/>
  <c r="E11" i="20" s="1"/>
  <c r="B11" i="20"/>
  <c r="G11" i="20" l="1"/>
  <c r="C10" i="20" l="1"/>
  <c r="E10" i="20" s="1"/>
  <c r="G10" i="20" s="1"/>
  <c r="E7" i="20"/>
  <c r="D7" i="20"/>
  <c r="G86" i="12"/>
  <c r="G87" i="12"/>
  <c r="G88" i="12"/>
  <c r="G89" i="12"/>
  <c r="G90" i="12"/>
  <c r="G1" i="12"/>
  <c r="L34" i="22" l="1"/>
  <c r="L36" i="22"/>
  <c r="L38" i="22"/>
  <c r="L80" i="22"/>
  <c r="L27" i="22"/>
  <c r="L29" i="22"/>
  <c r="L53" i="22"/>
  <c r="L55" i="22"/>
  <c r="L57" i="22"/>
  <c r="L62" i="22"/>
  <c r="L64" i="22"/>
  <c r="L66" i="22"/>
  <c r="L31" i="22"/>
  <c r="L44" i="22"/>
  <c r="L59" i="22"/>
  <c r="L68" i="22"/>
  <c r="L70" i="22"/>
  <c r="L77" i="22"/>
  <c r="L50" i="22"/>
  <c r="L72" i="22"/>
  <c r="L74" i="22"/>
  <c r="L33" i="22"/>
  <c r="L45" i="22"/>
  <c r="L69" i="22"/>
  <c r="L71" i="22"/>
  <c r="L47" i="22"/>
  <c r="L78" i="22"/>
  <c r="L32" i="22"/>
  <c r="L49" i="22"/>
  <c r="L60" i="22"/>
  <c r="L73" i="22"/>
  <c r="L51" i="22"/>
  <c r="L89" i="22"/>
  <c r="L75" i="22"/>
  <c r="L54" i="22"/>
  <c r="L52" i="22"/>
  <c r="L40" i="22"/>
  <c r="L42" i="22"/>
  <c r="L46" i="22"/>
  <c r="L48" i="22"/>
  <c r="L79" i="22"/>
  <c r="L28" i="22"/>
  <c r="L85" i="22"/>
  <c r="L87" i="22"/>
  <c r="L65" i="22"/>
  <c r="L63" i="22"/>
  <c r="L37" i="22"/>
  <c r="L41" i="22"/>
  <c r="L76" i="22"/>
  <c r="L30" i="22"/>
  <c r="L81" i="22"/>
  <c r="L83" i="22"/>
  <c r="L26" i="22"/>
  <c r="L67" i="22"/>
  <c r="L61" i="22"/>
  <c r="L39" i="22"/>
  <c r="L58" i="22"/>
  <c r="L88" i="22"/>
  <c r="L56" i="22"/>
  <c r="L35" i="22"/>
  <c r="L43" i="22"/>
  <c r="L82" i="22"/>
  <c r="L86" i="22"/>
  <c r="L25" i="22"/>
  <c r="L84" i="22"/>
  <c r="M18" i="22" l="1"/>
  <c r="M12" i="22"/>
  <c r="D16" i="22" l="1"/>
  <c r="I19" i="22"/>
  <c r="C19" i="22"/>
  <c r="E19" i="22"/>
  <c r="G19" i="22"/>
  <c r="H19" i="22"/>
  <c r="D19" i="22"/>
  <c r="E16" i="22"/>
  <c r="C16" i="22"/>
  <c r="G16" i="22"/>
  <c r="G13" i="22"/>
  <c r="C13" i="22"/>
  <c r="I13" i="22"/>
  <c r="H16" i="22"/>
  <c r="D13" i="22"/>
  <c r="E13" i="22"/>
  <c r="I16" i="22"/>
  <c r="H13" i="2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<sst xmlns="http://schemas.openxmlformats.org/spreadsheetml/2006/main" count="579" uniqueCount="444">
  <si>
    <t>Cat A
Debris</t>
  </si>
  <si>
    <t>Cat B
Emergency</t>
  </si>
  <si>
    <t>Cat C
Roads</t>
  </si>
  <si>
    <t>Cat D
Water</t>
  </si>
  <si>
    <t>Cat E
Buildings</t>
  </si>
  <si>
    <t xml:space="preserve">Cat F
Utilities </t>
  </si>
  <si>
    <t>Cat G
Other</t>
  </si>
  <si>
    <t>Total</t>
  </si>
  <si>
    <t>Total Counties</t>
  </si>
  <si>
    <t>GRAND TOTAL:</t>
  </si>
  <si>
    <t>PERCENTAGE:</t>
  </si>
  <si>
    <t>County</t>
  </si>
  <si>
    <t>Subrecipient</t>
  </si>
  <si>
    <t>Cat A</t>
  </si>
  <si>
    <t>Cat B</t>
  </si>
  <si>
    <t>Cat C</t>
  </si>
  <si>
    <t>Cat D</t>
  </si>
  <si>
    <t>Cat E</t>
  </si>
  <si>
    <t>Cat F</t>
  </si>
  <si>
    <t>Cat G</t>
  </si>
  <si>
    <t>Alcona</t>
  </si>
  <si>
    <t>Allegan</t>
  </si>
  <si>
    <t>Alpena</t>
  </si>
  <si>
    <t>Antrim</t>
  </si>
  <si>
    <t>Benzie</t>
  </si>
  <si>
    <t>Charlevoix</t>
  </si>
  <si>
    <t>Cheboygan</t>
  </si>
  <si>
    <t>Clare</t>
  </si>
  <si>
    <t>Crawford</t>
  </si>
  <si>
    <t>Eaton</t>
  </si>
  <si>
    <t>Emmet</t>
  </si>
  <si>
    <t>Grand Traverse</t>
  </si>
  <si>
    <t>Gratiot</t>
  </si>
  <si>
    <t>Iron</t>
  </si>
  <si>
    <t>Jackson</t>
  </si>
  <si>
    <t>Kalamazoo</t>
  </si>
  <si>
    <t>Kalkaska</t>
  </si>
  <si>
    <t>Lake</t>
  </si>
  <si>
    <t>Leelanau</t>
  </si>
  <si>
    <t>Manistee</t>
  </si>
  <si>
    <t>Marquette</t>
  </si>
  <si>
    <t>Mecosta</t>
  </si>
  <si>
    <t>Menominee</t>
  </si>
  <si>
    <t>Missaukee</t>
  </si>
  <si>
    <t>Montcalm</t>
  </si>
  <si>
    <t>Montmorency</t>
  </si>
  <si>
    <t>Muskegon</t>
  </si>
  <si>
    <t>Newaygo</t>
  </si>
  <si>
    <t>Ogemaw</t>
  </si>
  <si>
    <t>Osceola</t>
  </si>
  <si>
    <t>Oscoda</t>
  </si>
  <si>
    <t>Presque Isle</t>
  </si>
  <si>
    <t>Roscommon</t>
  </si>
  <si>
    <t>Saginaw</t>
  </si>
  <si>
    <t>Shiawassee</t>
  </si>
  <si>
    <t>Tuscola</t>
  </si>
  <si>
    <t>Wexford</t>
  </si>
  <si>
    <t>Grand Total</t>
  </si>
  <si>
    <t>Event Type:</t>
  </si>
  <si>
    <t>Incident Start:</t>
  </si>
  <si>
    <t>State Per Capita:</t>
  </si>
  <si>
    <t>State Code:</t>
  </si>
  <si>
    <t>PDA Start:</t>
  </si>
  <si>
    <t>Incident End:</t>
  </si>
  <si>
    <t>County Per Capita:</t>
  </si>
  <si>
    <t>Status</t>
  </si>
  <si>
    <t>A</t>
  </si>
  <si>
    <t>B</t>
  </si>
  <si>
    <t>C</t>
  </si>
  <si>
    <t>D</t>
  </si>
  <si>
    <t>E</t>
  </si>
  <si>
    <t>F</t>
  </si>
  <si>
    <t>G</t>
  </si>
  <si>
    <t>Alcona County Road Commission</t>
  </si>
  <si>
    <t>PIE&amp;G - Alcona</t>
  </si>
  <si>
    <t>City of Douglas</t>
  </si>
  <si>
    <t>City of Plainwell</t>
  </si>
  <si>
    <t>Gun Plain Township</t>
  </si>
  <si>
    <t>Alpena Road Commission</t>
  </si>
  <si>
    <t>Alpena, City of</t>
  </si>
  <si>
    <t>Antrim County</t>
  </si>
  <si>
    <t>Village of Bellaire</t>
  </si>
  <si>
    <t>Benzie County Road Commission</t>
  </si>
  <si>
    <t>Benzonia Township</t>
  </si>
  <si>
    <t>Betsie Valley Trail</t>
  </si>
  <si>
    <t>Homstead Dam - Benzie Labor emergency protective measures</t>
  </si>
  <si>
    <t>Village of Beulah</t>
  </si>
  <si>
    <t>Charlevoix County Road Commission</t>
  </si>
  <si>
    <t>City of Charlevoix</t>
  </si>
  <si>
    <t xml:space="preserve">City of East Jordan </t>
  </si>
  <si>
    <t>St. James Township</t>
  </si>
  <si>
    <t>Cheboygan County Road Commission</t>
  </si>
  <si>
    <t>Cheboygan EOC</t>
  </si>
  <si>
    <t>MDNR - Cheboygan County</t>
  </si>
  <si>
    <t>Michigan State Police - Cheboygan</t>
  </si>
  <si>
    <t>PIE&amp;G - Cheboygan</t>
  </si>
  <si>
    <t>Tuscarora Township</t>
  </si>
  <si>
    <t>Clare County Road Commission</t>
  </si>
  <si>
    <t>Great Lakes Energy Co-Op - Clare</t>
  </si>
  <si>
    <t>Au Sable Woods Association</t>
  </si>
  <si>
    <t>Crawford County</t>
  </si>
  <si>
    <t>Crawford Road Commission</t>
  </si>
  <si>
    <t>South Branch Fire Dept</t>
  </si>
  <si>
    <t>Eaton County Drain Commission</t>
  </si>
  <si>
    <t>Eaton County Road Commission</t>
  </si>
  <si>
    <t>EGLE - Eaton County</t>
  </si>
  <si>
    <t>Michigan State Police EOC - Eaton County</t>
  </si>
  <si>
    <t>Village of Mulliken</t>
  </si>
  <si>
    <t>Emmet County Park &amp; Recreation Department</t>
  </si>
  <si>
    <t>MDNR - Emmet County</t>
  </si>
  <si>
    <t>Pellston Regional Airport</t>
  </si>
  <si>
    <t>Garfield Township</t>
  </si>
  <si>
    <t>Grand Traverse County Parks</t>
  </si>
  <si>
    <t>Grand Traverse County Roads</t>
  </si>
  <si>
    <t>MDNR - Grand Traverse County</t>
  </si>
  <si>
    <t>Traverse City</t>
  </si>
  <si>
    <t>Alma College</t>
  </si>
  <si>
    <t xml:space="preserve">City of Alma </t>
  </si>
  <si>
    <t xml:space="preserve">City of St. Louis </t>
  </si>
  <si>
    <t>Fulton Township</t>
  </si>
  <si>
    <t>Gratiot Co Drain Commission</t>
  </si>
  <si>
    <t>Village of Perrinton</t>
  </si>
  <si>
    <t>Iron County Road Commission</t>
  </si>
  <si>
    <t>Jackson County Road Commission</t>
  </si>
  <si>
    <t>Titler Farm Barn</t>
  </si>
  <si>
    <t>Village of Parm</t>
  </si>
  <si>
    <t>Kalamazoo, City of</t>
  </si>
  <si>
    <t>Boardman Township</t>
  </si>
  <si>
    <t>Kalkaska Library</t>
  </si>
  <si>
    <t>Kalkaska Public Works</t>
  </si>
  <si>
    <t>Kalkaska Road Commission</t>
  </si>
  <si>
    <t>Village of Kalkaska</t>
  </si>
  <si>
    <t>MDNR - Lake County</t>
  </si>
  <si>
    <t>Newkirk</t>
  </si>
  <si>
    <t>Leelanau County</t>
  </si>
  <si>
    <t>MDNR - Leelanau County</t>
  </si>
  <si>
    <t>Manistee City WWTP</t>
  </si>
  <si>
    <t xml:space="preserve">Manistee County Road Commission </t>
  </si>
  <si>
    <t>MDNR - Manistee County</t>
  </si>
  <si>
    <t xml:space="preserve">Ishpeming, City of </t>
  </si>
  <si>
    <t>Marquette County Road Commission</t>
  </si>
  <si>
    <t>Mecosta County Parks Commission</t>
  </si>
  <si>
    <t>Menominee County</t>
  </si>
  <si>
    <t>Missaukee County Road Commission</t>
  </si>
  <si>
    <t>Montcalm County Road Commission</t>
  </si>
  <si>
    <t>Sheridan Fire Department</t>
  </si>
  <si>
    <t xml:space="preserve">Stanton, City of </t>
  </si>
  <si>
    <t>Montmorency County Road Commission</t>
  </si>
  <si>
    <t>PIE&amp;G - Montmorency</t>
  </si>
  <si>
    <t>Emergency Operations Center (EOC)</t>
  </si>
  <si>
    <t>Bridgeton Township</t>
  </si>
  <si>
    <t>City of Grant</t>
  </si>
  <si>
    <t>City of Newaygo</t>
  </si>
  <si>
    <t>County of Newaygo</t>
  </si>
  <si>
    <t>Great Lakes Energy Co-Op - Newaygo</t>
  </si>
  <si>
    <t>MDNR - Newaygo County</t>
  </si>
  <si>
    <t>Village of Hesperia</t>
  </si>
  <si>
    <t>MDNR - Ogemaw County</t>
  </si>
  <si>
    <t>Ogemaw County Road Commission</t>
  </si>
  <si>
    <t>Ogemaw District Library</t>
  </si>
  <si>
    <t>Evart Area Fire Department</t>
  </si>
  <si>
    <t>Evart City</t>
  </si>
  <si>
    <t>Great Lakes Energy Co-Op - Osceola</t>
  </si>
  <si>
    <t>Hersey Township</t>
  </si>
  <si>
    <t>Lincoln Township Fire Department</t>
  </si>
  <si>
    <t>MDNR - Osceola County</t>
  </si>
  <si>
    <t>Osceola County Emergency Management</t>
  </si>
  <si>
    <t>Osceola County Road Commission</t>
  </si>
  <si>
    <t>MDNR - Oscoda County</t>
  </si>
  <si>
    <t>Oscoda County Road Commission</t>
  </si>
  <si>
    <t>MDNR - Presque Isle County</t>
  </si>
  <si>
    <t>PIE&amp;G - Presque Isle</t>
  </si>
  <si>
    <t>Presque Isle County Rd Commission</t>
  </si>
  <si>
    <t>Beacon Assembly of God</t>
  </si>
  <si>
    <t>MDNR - Roscommon</t>
  </si>
  <si>
    <t>Road Commission</t>
  </si>
  <si>
    <t>Roscommon Township -Sperry Park</t>
  </si>
  <si>
    <t>Village of Roscommon</t>
  </si>
  <si>
    <t>City of Frankenmuth</t>
  </si>
  <si>
    <t>Nouvel Catholic Central Elementary School</t>
  </si>
  <si>
    <t>Saginaw County Parks &amp; Recreation</t>
  </si>
  <si>
    <t>Saginaw County Road Commission</t>
  </si>
  <si>
    <t>Saginaw Township Community Schools</t>
  </si>
  <si>
    <t>Shiawassee County Road Comission</t>
  </si>
  <si>
    <t>Shiawassee Twp Fire Department</t>
  </si>
  <si>
    <t>Tuscalo County Road Commission</t>
  </si>
  <si>
    <t>City of Cadillac</t>
  </si>
  <si>
    <t>County Road Comm</t>
  </si>
  <si>
    <t>Lake Mitchell Sewer Authority</t>
  </si>
  <si>
    <t>MDNR - Wexford County</t>
  </si>
  <si>
    <t>Applicant</t>
  </si>
  <si>
    <t>Count</t>
  </si>
  <si>
    <t>MDNR- Benzie County</t>
  </si>
  <si>
    <t>MDNR - Crawford County</t>
  </si>
  <si>
    <t>Total Reductions</t>
  </si>
  <si>
    <t>Cat</t>
  </si>
  <si>
    <t>Original</t>
  </si>
  <si>
    <t>Eligible</t>
  </si>
  <si>
    <t>Reduction</t>
  </si>
  <si>
    <t>Reduction Category</t>
  </si>
  <si>
    <t>Notes</t>
  </si>
  <si>
    <t>Timeline</t>
  </si>
  <si>
    <t>Date</t>
  </si>
  <si>
    <t>Incident Period</t>
  </si>
  <si>
    <t>PDA Timeline</t>
  </si>
  <si>
    <t>PDA Stats - Indiana</t>
  </si>
  <si>
    <t>Applicants</t>
  </si>
  <si>
    <t>Map</t>
  </si>
  <si>
    <t>Counties</t>
  </si>
  <si>
    <t>Total &amp; State Threshold</t>
  </si>
  <si>
    <t>PDA Total</t>
  </si>
  <si>
    <t>State Threshold</t>
  </si>
  <si>
    <t>Indicators &amp; Projects</t>
  </si>
  <si>
    <t>Statewide Indicator</t>
  </si>
  <si>
    <t>Countywide Indicator</t>
  </si>
  <si>
    <t>Small Project Minimum</t>
  </si>
  <si>
    <t>Large Project Threshold</t>
  </si>
  <si>
    <t>Damage Category</t>
  </si>
  <si>
    <t>Arenac</t>
  </si>
  <si>
    <t>Category A</t>
  </si>
  <si>
    <t>Barry</t>
  </si>
  <si>
    <t>Category B</t>
  </si>
  <si>
    <t>Category C</t>
  </si>
  <si>
    <t>Category D</t>
  </si>
  <si>
    <t>Category E</t>
  </si>
  <si>
    <t>Category F</t>
  </si>
  <si>
    <t>Category G</t>
  </si>
  <si>
    <t>FEMA Team</t>
  </si>
  <si>
    <t>State Team</t>
  </si>
  <si>
    <t>Iosco</t>
  </si>
  <si>
    <t>Oakland</t>
  </si>
  <si>
    <t>Oceana</t>
  </si>
  <si>
    <t>Washtenaw</t>
  </si>
  <si>
    <r>
      <t>Public Assistance</t>
    </r>
    <r>
      <rPr>
        <b/>
        <sz val="14"/>
        <color theme="0"/>
        <rFont val="Segoe UI"/>
        <family val="2"/>
      </rPr>
      <t xml:space="preserve">
Preliminary Damage Assessments (PDA) </t>
    </r>
  </si>
  <si>
    <t>STATE/TERRITORY</t>
  </si>
  <si>
    <t>POPULATION</t>
  </si>
  <si>
    <t>STATE PCI</t>
  </si>
  <si>
    <t>COUNTY PCI</t>
  </si>
  <si>
    <t>STATUS</t>
  </si>
  <si>
    <t>Michigan</t>
  </si>
  <si>
    <t>TBD</t>
  </si>
  <si>
    <t>INCIDENT NAME</t>
  </si>
  <si>
    <t>INCIDENT START</t>
  </si>
  <si>
    <t>INCIDENT END DATE</t>
  </si>
  <si>
    <t>INCIDENT TYPE</t>
  </si>
  <si>
    <t>FACTOR</t>
  </si>
  <si>
    <t>TOTAL</t>
  </si>
  <si>
    <t>STATE PCI TARGET</t>
  </si>
  <si>
    <t>% STATE PCI Target</t>
  </si>
  <si>
    <t>PERCENT STATE PCI</t>
  </si>
  <si>
    <t>Met PCI</t>
  </si>
  <si>
    <t>&gt;=75</t>
  </si>
  <si>
    <t>Met or Exceeded 50% PCI</t>
  </si>
  <si>
    <t>&gt;=100</t>
  </si>
  <si>
    <t>COUNTY</t>
  </si>
  <si>
    <t>VALIDATED COSTS</t>
  </si>
  <si>
    <t>COUNTY PCI TARGET</t>
  </si>
  <si>
    <t>MEETS 100% INDICATOR</t>
  </si>
  <si>
    <t>MEETS 50% INDICATOR</t>
  </si>
  <si>
    <t>Population</t>
  </si>
  <si>
    <t>State Agencies</t>
  </si>
  <si>
    <t>Iowa</t>
  </si>
  <si>
    <t>Washington</t>
  </si>
  <si>
    <t>Jefferson</t>
  </si>
  <si>
    <t>Monroe</t>
  </si>
  <si>
    <t>Clark</t>
  </si>
  <si>
    <t>Columbia</t>
  </si>
  <si>
    <t>Grant</t>
  </si>
  <si>
    <t>Lafayette</t>
  </si>
  <si>
    <t>Lincoln</t>
  </si>
  <si>
    <t>Polk</t>
  </si>
  <si>
    <t>Adams</t>
  </si>
  <si>
    <t>Douglas</t>
  </si>
  <si>
    <t>Taylor</t>
  </si>
  <si>
    <t>Dodge</t>
  </si>
  <si>
    <t>Pierce</t>
  </si>
  <si>
    <t>Winnebago</t>
  </si>
  <si>
    <t>Oneida</t>
  </si>
  <si>
    <t>Brown</t>
  </si>
  <si>
    <t>Richland</t>
  </si>
  <si>
    <t>Green</t>
  </si>
  <si>
    <t>Vernon</t>
  </si>
  <si>
    <t>Chippewa</t>
  </si>
  <si>
    <t>Rock</t>
  </si>
  <si>
    <t>Dunn</t>
  </si>
  <si>
    <t>Buffalo</t>
  </si>
  <si>
    <t>Ashland</t>
  </si>
  <si>
    <t>Portage</t>
  </si>
  <si>
    <t>Wood</t>
  </si>
  <si>
    <t>Forest</t>
  </si>
  <si>
    <t>Florence</t>
  </si>
  <si>
    <t>Walworth</t>
  </si>
  <si>
    <t>Rusk</t>
  </si>
  <si>
    <t>St. Croix</t>
  </si>
  <si>
    <t>Barron</t>
  </si>
  <si>
    <t>Bayfield</t>
  </si>
  <si>
    <t>Burnett</t>
  </si>
  <si>
    <t>Calumet</t>
  </si>
  <si>
    <t>Dane</t>
  </si>
  <si>
    <t>Door</t>
  </si>
  <si>
    <t>Eau Claire</t>
  </si>
  <si>
    <t>Fond du Lac</t>
  </si>
  <si>
    <t>Green Lake</t>
  </si>
  <si>
    <t>Juneau</t>
  </si>
  <si>
    <t>Kenosha</t>
  </si>
  <si>
    <t>Kewaunee</t>
  </si>
  <si>
    <t>La Crosse</t>
  </si>
  <si>
    <t>Langlade</t>
  </si>
  <si>
    <t>Manitowoc</t>
  </si>
  <si>
    <t>Marathon</t>
  </si>
  <si>
    <t>Marinette</t>
  </si>
  <si>
    <t>Milwaukee</t>
  </si>
  <si>
    <t>Oconto</t>
  </si>
  <si>
    <t>Outagamie</t>
  </si>
  <si>
    <t>Ozaukee</t>
  </si>
  <si>
    <t>Pepin</t>
  </si>
  <si>
    <t>Price</t>
  </si>
  <si>
    <t>Racine</t>
  </si>
  <si>
    <t>Sauk</t>
  </si>
  <si>
    <t>Sawyer</t>
  </si>
  <si>
    <t>Shawano</t>
  </si>
  <si>
    <t>Sheboygan</t>
  </si>
  <si>
    <t>Trempealeau</t>
  </si>
  <si>
    <t>Vilas</t>
  </si>
  <si>
    <t>Washburn</t>
  </si>
  <si>
    <t>Waukesha</t>
  </si>
  <si>
    <t>Waupaca</t>
  </si>
  <si>
    <t>Waushara</t>
  </si>
  <si>
    <t>Developed by Anthony James Wright, anthony.wright@fema.dhs.gov</t>
  </si>
  <si>
    <t>Concept of Operations</t>
  </si>
  <si>
    <t>The basic structure of the workbook is a input sheet with a table, a summary sheet with a pivot table, and a static data sheet for data validation and population data lookup.</t>
  </si>
  <si>
    <t>Input Sheet</t>
  </si>
  <si>
    <t>The input sheet is broken into two parts, basic data entry in the first two rows, and the table for entry of the damage data in rows 4 and below.</t>
  </si>
  <si>
    <t>BASIC DATA ENTRY: The first two rows are to collect basic data to show on the header of the summary page. It also includes the identification of the two letter state code, which drives data validation for the county, and is needed to complete the lookup of state and county population data (see data validation).</t>
  </si>
  <si>
    <t>Region Selection: Must choose between 1-10, this drives the State List</t>
  </si>
  <si>
    <t>State Selection: Must choose from drop down (will show all states if Region is blank)</t>
  </si>
  <si>
    <t>State and County Data Validation: Based on an offset formula in the name manger (SelState and SelCounty). These offset formulas use the calculations on the County Populations Tab to determine which state/county to show first and last. The State list must be ordered by Region, and the County list must be ordered by state in order for these formulas to work. 
If the data validation encounters an error, for State it will display all states, for County it will only display the word "County."</t>
  </si>
  <si>
    <t>DAMAGE TABLE: This is a simply excel table designed to capture the damage data by subrecipient and county. This table includes data validation for all but the subrecipient column. Adding additional columns in the middle of this table will invalidate calculated field "Subtotal." Data Validation is as follows:</t>
  </si>
  <si>
    <t>-Subrecipient: None</t>
  </si>
  <si>
    <t>-County: Must select the county from the list. See State/County select below for more information.</t>
  </si>
  <si>
    <t>-Cat A-G: Must be a positive decimal number</t>
  </si>
  <si>
    <t>On the Population Table:</t>
  </si>
  <si>
    <t>(1) For each state a line for "State Agencies" needs to be added to permit non-localalized damages. Exact Wording Required to match formulas and conditional formating.</t>
  </si>
  <si>
    <t>(2) For each state a line for "Grand Total" is needed with the state population. Exact wording is required. Grand total must be the last line for that state.</t>
  </si>
  <si>
    <t>TOTAL:</t>
  </si>
  <si>
    <t>Totals</t>
  </si>
  <si>
    <t>County PCI Target</t>
  </si>
  <si>
    <t>Target</t>
  </si>
  <si>
    <t>% County PCI Target</t>
  </si>
  <si>
    <t>State 
Population</t>
  </si>
  <si>
    <t>Met 
100% Threshold</t>
  </si>
  <si>
    <t>Percent to 
Overall Threshold</t>
  </si>
  <si>
    <t xml:space="preserve">Couties: </t>
  </si>
  <si>
    <t xml:space="preserve">Applicants: </t>
  </si>
  <si>
    <t>WI PDA - (INSERT MONTH/YEAR HERE)</t>
  </si>
  <si>
    <t>Population:</t>
  </si>
  <si>
    <t>Cass</t>
  </si>
  <si>
    <t>Clinton</t>
  </si>
  <si>
    <t>St. Joseph</t>
  </si>
  <si>
    <t>Wayne</t>
  </si>
  <si>
    <t>IN</t>
  </si>
  <si>
    <t>FEMA Region 5 - Indiana</t>
  </si>
  <si>
    <t>Allen</t>
  </si>
  <si>
    <t>Bartholomew</t>
  </si>
  <si>
    <t>Benton</t>
  </si>
  <si>
    <t>Blackford</t>
  </si>
  <si>
    <t>Boone</t>
  </si>
  <si>
    <t>Carroll</t>
  </si>
  <si>
    <t>Clay</t>
  </si>
  <si>
    <t>Daviess</t>
  </si>
  <si>
    <t>Dearborn</t>
  </si>
  <si>
    <t>Decatur</t>
  </si>
  <si>
    <t>DeKalb</t>
  </si>
  <si>
    <t>Delaware</t>
  </si>
  <si>
    <t>Dubois</t>
  </si>
  <si>
    <t>Elkhart</t>
  </si>
  <si>
    <t>Fayette</t>
  </si>
  <si>
    <t>Floyd</t>
  </si>
  <si>
    <t>Fountain</t>
  </si>
  <si>
    <t>Franklin</t>
  </si>
  <si>
    <t>Fulton</t>
  </si>
  <si>
    <t>Gibson</t>
  </si>
  <si>
    <t>Greene</t>
  </si>
  <si>
    <t>Hamilton</t>
  </si>
  <si>
    <t>Hancock</t>
  </si>
  <si>
    <t>Harrison</t>
  </si>
  <si>
    <t>Hendricks</t>
  </si>
  <si>
    <t>Henry</t>
  </si>
  <si>
    <t>Howard</t>
  </si>
  <si>
    <t>Huntington</t>
  </si>
  <si>
    <t>Jasper</t>
  </si>
  <si>
    <t>Jay</t>
  </si>
  <si>
    <t>Jennings</t>
  </si>
  <si>
    <t>Johnson</t>
  </si>
  <si>
    <t>Knox</t>
  </si>
  <si>
    <t>Kosciusko</t>
  </si>
  <si>
    <t>LaGrange</t>
  </si>
  <si>
    <t>LaPorte</t>
  </si>
  <si>
    <t>Lawrence</t>
  </si>
  <si>
    <t>Madison</t>
  </si>
  <si>
    <t>Marion</t>
  </si>
  <si>
    <t>Marshall</t>
  </si>
  <si>
    <t>Martin</t>
  </si>
  <si>
    <t>Miami</t>
  </si>
  <si>
    <t>Montgomery</t>
  </si>
  <si>
    <t>Morgan</t>
  </si>
  <si>
    <t>Newton</t>
  </si>
  <si>
    <t>Noble</t>
  </si>
  <si>
    <t>Ohio</t>
  </si>
  <si>
    <t>Orange</t>
  </si>
  <si>
    <t>Owen</t>
  </si>
  <si>
    <t>Parke</t>
  </si>
  <si>
    <t>Perry</t>
  </si>
  <si>
    <t>Pike</t>
  </si>
  <si>
    <t>Porter</t>
  </si>
  <si>
    <t>Posey</t>
  </si>
  <si>
    <t>Pulaski</t>
  </si>
  <si>
    <t>Putnam</t>
  </si>
  <si>
    <t>Randolph</t>
  </si>
  <si>
    <t>Ripley</t>
  </si>
  <si>
    <t>Rush</t>
  </si>
  <si>
    <t>Scott</t>
  </si>
  <si>
    <t>Shelby</t>
  </si>
  <si>
    <t>Spencer</t>
  </si>
  <si>
    <t>Starke</t>
  </si>
  <si>
    <t>Steuben</t>
  </si>
  <si>
    <t>Sullivan</t>
  </si>
  <si>
    <t>Switzerland</t>
  </si>
  <si>
    <t>Tippecanoe</t>
  </si>
  <si>
    <t>Tipton</t>
  </si>
  <si>
    <t>Union</t>
  </si>
  <si>
    <t>Vanderburgh</t>
  </si>
  <si>
    <t>Vermillion</t>
  </si>
  <si>
    <t>Vigo</t>
  </si>
  <si>
    <t>Wabash</t>
  </si>
  <si>
    <t>Warren</t>
  </si>
  <si>
    <t>Warrick</t>
  </si>
  <si>
    <t>Wells</t>
  </si>
  <si>
    <t>White</t>
  </si>
  <si>
    <t>Whitley</t>
  </si>
  <si>
    <t>Met 
50% Threshold</t>
  </si>
  <si>
    <t>Did Not 
Meet Threshold</t>
  </si>
  <si>
    <t>Validated 
Grand 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</si>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</sst>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quot;$&quot;#,##0.00"/>
    <numFmt numFmtId="167" formatCode="&quot;$&quot;#,##0"/>
  </numFmts>
  <fonts count="29" x14ac:knownFonts="1">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10"/>
      <name val="Arial"/>
      <family val="2"/>
    </font>
    <font>
      <b/>
      <sz val="11"/>
      <color theme="0"/>
      <name val="Calibri"/>
      <family val="2"/>
      <scheme val="minor"/>
    </font>
    <font>
      <sz val="11"/>
      <name val="Calibri"/>
      <family val="2"/>
      <scheme val="minor"/>
    </font>
    <font>
      <b/>
      <sz val="11"/>
      <color rgb="FFFF0000"/>
      <name val="Calibri"/>
      <family val="2"/>
      <scheme val="minor"/>
    </font>
    <font>
      <sz val="10"/>
      <name val="Arial"/>
      <family val="2"/>
    </font>
    <font>
      <sz val="8"/>
      <name val="Calibri"/>
      <family val="2"/>
      <scheme val="minor"/>
    </font>
    <font>
      <sz val="10"/>
      <name val="Arial"/>
      <family val="2"/>
    </font>
    <font>
      <sz val="10"/>
      <name val="Arial"/>
      <family val="2"/>
    </font>
    <font>
      <sz val="10"/>
      <color theme="0"/>
      <name val="Arial"/>
      <family val="2"/>
    </font>
    <font>
      <sz val="10"/>
      <name val="Arial"/>
      <family val="2"/>
    </font>
    <font>
      <sz val="10"/>
      <name val="Arial"/>
      <family val="2"/>
    </font>
    <font>
      <sz val="11"/>
      <color theme="0"/>
      <name val="Calibri"/>
      <family val="2"/>
      <scheme val="minor"/>
    </font>
    <font>
      <b/>
      <sz val="16"/>
      <color theme="0"/>
      <name val="Calibri"/>
      <family val="2"/>
      <scheme val="minor"/>
    </font>
    <font>
      <b/>
      <sz val="11"/>
      <name val="Calibri"/>
      <family val="2"/>
      <scheme val="minor"/>
    </font>
    <font>
      <b/>
      <sz val="14"/>
      <color theme="0"/>
      <name val="Segoe UI"/>
      <family val="2"/>
    </font>
    <font>
      <sz val="11"/>
      <color theme="1"/>
      <name val="Segoe UI"/>
      <family val="2"/>
    </font>
    <font>
      <b/>
      <sz val="11"/>
      <color theme="1"/>
      <name val="Segoe UI"/>
      <family val="2"/>
    </font>
    <font>
      <b/>
      <sz val="11"/>
      <color theme="0"/>
      <name val="Segoe UI"/>
      <family val="2"/>
    </font>
    <font>
      <sz val="10"/>
      <color theme="1"/>
      <name val="Segoe UI"/>
      <family val="2"/>
    </font>
    <font>
      <b/>
      <sz val="11"/>
      <name val="Segoe UI"/>
      <family val="2"/>
    </font>
    <font>
      <sz val="11"/>
      <color rgb="FF9C0006"/>
      <name val="Segoe UI"/>
      <family val="2"/>
    </font>
    <font>
      <sz val="11"/>
      <color rgb="FF006100"/>
      <name val="Segoe UI"/>
      <family val="2"/>
    </font>
    <font>
      <sz val="11"/>
      <name val="Segoe UI"/>
      <family val="2"/>
    </font>
    <font>
      <sz val="10"/>
      <name val="Arial"/>
      <family val="2"/>
    </font>
    <font>
      <b/>
      <sz val="14"/>
      <color theme="0"/>
      <name val="Calibri"/>
      <family val="2"/>
      <scheme val="minor"/>
    </font>
  </fonts>
  <fills count="29">
    <fill>
      <patternFill patternType="none"/>
    </fill>
    <fill>
      <patternFill patternType="gray125"/>
    </fill>
    <fill>
      <patternFill patternType="solid">
        <fgColor indexed="2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FF99"/>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005287"/>
        <bgColor indexed="64"/>
      </patternFill>
    </fill>
    <fill>
      <patternFill patternType="solid">
        <fgColor theme="0"/>
        <bgColor indexed="64"/>
      </patternFill>
    </fill>
    <fill>
      <patternFill patternType="solid">
        <fgColor rgb="FFE08493"/>
        <bgColor indexed="64"/>
      </patternFill>
    </fill>
    <fill>
      <patternFill patternType="solid">
        <fgColor rgb="FFABC994"/>
        <bgColor indexed="64"/>
      </patternFill>
    </fill>
    <fill>
      <patternFill patternType="solid">
        <fgColor rgb="FFA49AB5"/>
        <bgColor indexed="64"/>
      </patternFill>
    </fill>
    <fill>
      <patternFill patternType="solid">
        <fgColor rgb="FFB8D9E8"/>
        <bgColor indexed="64"/>
      </patternFill>
    </fill>
    <fill>
      <patternFill patternType="solid">
        <fgColor rgb="FFFFC7CE"/>
        <bgColor indexed="64"/>
      </patternFill>
    </fill>
    <fill>
      <patternFill patternType="solid">
        <fgColor rgb="FFC6EFCE"/>
        <bgColor indexed="64"/>
      </patternFill>
    </fill>
    <fill>
      <patternFill patternType="solid">
        <fgColor rgb="FFFFFF66"/>
        <bgColor indexed="64"/>
      </patternFill>
    </fill>
    <fill>
      <patternFill patternType="solid">
        <fgColor rgb="FFB8CFDE"/>
        <bgColor indexed="64"/>
      </patternFill>
    </fill>
    <fill>
      <patternFill patternType="solid">
        <fgColor rgb="FF005288"/>
        <bgColor indexed="64"/>
      </patternFill>
    </fill>
    <fill>
      <patternFill patternType="solid">
        <fgColor rgb="FF7AA5C1"/>
        <bgColor indexed="64"/>
      </patternFill>
    </fill>
    <fill>
      <patternFill patternType="solid">
        <fgColor rgb="FF85B063"/>
        <bgColor indexed="64"/>
      </patternFill>
    </fill>
    <fill>
      <patternFill patternType="solid">
        <fgColor rgb="FFC0C2C4"/>
        <bgColor indexed="64"/>
      </patternFill>
    </fill>
    <fill>
      <patternFill patternType="solid">
        <fgColor rgb="FFEEBDC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2">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8" fillId="0" borderId="0"/>
    <xf numFmtId="0" fontId="4" fillId="0" borderId="0"/>
    <xf numFmtId="0" fontId="10" fillId="0" borderId="0"/>
    <xf numFmtId="44" fontId="4" fillId="0" borderId="0" applyFont="0" applyFill="0" applyBorder="0" applyAlignment="0" applyProtection="0"/>
    <xf numFmtId="0" fontId="11" fillId="0" borderId="0"/>
    <xf numFmtId="0" fontId="1" fillId="0" borderId="0"/>
    <xf numFmtId="0" fontId="13" fillId="0" borderId="0"/>
    <xf numFmtId="0" fontId="14" fillId="0" borderId="0"/>
  </cellStyleXfs>
  <cellXfs count="264">
    <xf numFmtId="0" fontId="0" fillId="0" borderId="0" xfId="0"/>
    <xf numFmtId="0" fontId="0" fillId="0" borderId="0" xfId="0" applyAlignment="1">
      <alignment horizontal="center"/>
    </xf>
    <xf numFmtId="3" fontId="4" fillId="0" borderId="0" xfId="0" applyNumberFormat="1" applyFont="1"/>
    <xf numFmtId="0" fontId="0" fillId="0" borderId="0" xfId="0" applyFont="1"/>
    <xf numFmtId="0" fontId="0" fillId="0" borderId="4" xfId="1" applyNumberFormat="1" applyFont="1" applyBorder="1" applyAlignment="1" applyProtection="1">
      <alignment horizontal="center"/>
      <protection locked="0"/>
    </xf>
    <xf numFmtId="14" fontId="0" fillId="0" borderId="4" xfId="1" applyNumberFormat="1" applyFont="1" applyBorder="1" applyAlignment="1" applyProtection="1">
      <alignment horizontal="center"/>
      <protection locked="0"/>
    </xf>
    <xf numFmtId="14" fontId="0" fillId="0" borderId="5" xfId="1" applyNumberFormat="1" applyFont="1" applyBorder="1" applyAlignment="1" applyProtection="1">
      <alignment horizontal="center"/>
      <protection locked="0"/>
    </xf>
    <xf numFmtId="0" fontId="0" fillId="0" borderId="0" xfId="0" applyProtection="1">
      <protection locked="0"/>
    </xf>
    <xf numFmtId="0" fontId="0" fillId="0" borderId="0" xfId="0" applyNumberFormat="1" applyProtection="1">
      <protection locked="0"/>
    </xf>
    <xf numFmtId="164" fontId="0" fillId="0" borderId="0" xfId="1" applyNumberFormat="1" applyFont="1" applyProtection="1">
      <protection locked="0"/>
    </xf>
    <xf numFmtId="0" fontId="2" fillId="0" borderId="4" xfId="0" applyNumberFormat="1" applyFont="1" applyBorder="1" applyProtection="1"/>
    <xf numFmtId="0" fontId="2" fillId="0" borderId="4" xfId="0" applyFont="1" applyBorder="1" applyAlignment="1" applyProtection="1"/>
    <xf numFmtId="0" fontId="2" fillId="0" borderId="5" xfId="0" applyNumberFormat="1" applyFont="1" applyBorder="1" applyProtection="1"/>
    <xf numFmtId="0" fontId="2" fillId="0" borderId="5" xfId="0" applyFont="1" applyBorder="1" applyAlignment="1" applyProtection="1"/>
    <xf numFmtId="0" fontId="0" fillId="0" borderId="0" xfId="0" applyProtection="1"/>
    <xf numFmtId="0" fontId="0" fillId="0" borderId="0" xfId="0" applyNumberFormat="1" applyProtection="1"/>
    <xf numFmtId="164" fontId="0" fillId="0" borderId="0" xfId="1" applyNumberFormat="1" applyFont="1" applyProtection="1"/>
    <xf numFmtId="0" fontId="3" fillId="2" borderId="0" xfId="0" applyFont="1" applyFill="1" applyBorder="1" applyProtection="1"/>
    <xf numFmtId="0" fontId="3" fillId="2" borderId="0" xfId="0" applyNumberFormat="1" applyFont="1" applyFill="1" applyBorder="1" applyProtection="1"/>
    <xf numFmtId="0" fontId="0" fillId="0" borderId="0" xfId="0" applyAlignment="1">
      <alignment wrapText="1"/>
    </xf>
    <xf numFmtId="0" fontId="2" fillId="0" borderId="0" xfId="0" applyFont="1" applyAlignment="1">
      <alignment horizontal="center" wrapText="1"/>
    </xf>
    <xf numFmtId="0" fontId="0" fillId="0" borderId="0" xfId="0" quotePrefix="1" applyAlignment="1">
      <alignment wrapText="1"/>
    </xf>
    <xf numFmtId="0" fontId="4" fillId="0" borderId="0" xfId="0" applyFont="1" applyFill="1" applyBorder="1"/>
    <xf numFmtId="0" fontId="4" fillId="0" borderId="0" xfId="0" quotePrefix="1" applyFont="1" applyFill="1" applyAlignment="1" applyProtection="1">
      <alignment horizontal="left"/>
      <protection locked="0"/>
    </xf>
    <xf numFmtId="0" fontId="4" fillId="0" borderId="0" xfId="0" applyFont="1" applyFill="1" applyProtection="1">
      <protection locked="0"/>
    </xf>
    <xf numFmtId="0" fontId="4" fillId="0" borderId="0" xfId="0" applyNumberFormat="1" applyFont="1" applyFill="1" applyProtection="1">
      <protection locked="0"/>
    </xf>
    <xf numFmtId="166" fontId="4" fillId="0" borderId="0" xfId="1" applyNumberFormat="1" applyFont="1" applyFill="1" applyProtection="1">
      <protection locked="0"/>
    </xf>
    <xf numFmtId="167" fontId="10" fillId="0" borderId="0" xfId="6" applyNumberFormat="1" applyProtection="1">
      <protection locked="0"/>
    </xf>
    <xf numFmtId="164" fontId="3" fillId="3" borderId="0" xfId="1" applyNumberFormat="1" applyFont="1" applyFill="1" applyBorder="1" applyAlignment="1" applyProtection="1">
      <alignment horizontal="center"/>
    </xf>
    <xf numFmtId="164" fontId="3" fillId="4" borderId="0" xfId="1" applyNumberFormat="1" applyFont="1" applyFill="1" applyBorder="1" applyAlignment="1" applyProtection="1">
      <alignment horizontal="center"/>
    </xf>
    <xf numFmtId="0" fontId="11" fillId="7" borderId="0" xfId="8" applyFill="1"/>
    <xf numFmtId="0" fontId="11" fillId="12" borderId="0" xfId="8" applyFill="1"/>
    <xf numFmtId="167" fontId="11" fillId="0" borderId="0" xfId="8" applyNumberFormat="1" applyProtection="1">
      <protection locked="0"/>
    </xf>
    <xf numFmtId="6" fontId="11" fillId="0" borderId="0" xfId="8" applyNumberFormat="1"/>
    <xf numFmtId="0" fontId="11" fillId="0" borderId="0" xfId="8"/>
    <xf numFmtId="0" fontId="12" fillId="8" borderId="0" xfId="8" applyFont="1" applyFill="1"/>
    <xf numFmtId="0" fontId="12" fillId="9" borderId="0" xfId="8" applyFont="1" applyFill="1"/>
    <xf numFmtId="0" fontId="12" fillId="10" borderId="0" xfId="8" applyFont="1" applyFill="1"/>
    <xf numFmtId="0" fontId="4" fillId="0" borderId="0" xfId="6" applyFont="1" applyFill="1" applyProtection="1">
      <protection locked="0"/>
    </xf>
    <xf numFmtId="6" fontId="3" fillId="6" borderId="7" xfId="8" applyNumberFormat="1" applyFont="1" applyFill="1" applyBorder="1" applyAlignment="1">
      <alignment vertical="center"/>
    </xf>
    <xf numFmtId="0" fontId="11" fillId="0" borderId="0" xfId="8" applyFill="1" applyProtection="1">
      <protection locked="0"/>
    </xf>
    <xf numFmtId="6" fontId="11" fillId="0" borderId="0" xfId="8" applyNumberFormat="1" applyProtection="1"/>
    <xf numFmtId="0" fontId="11" fillId="7" borderId="0" xfId="8" applyFill="1" applyAlignment="1">
      <alignment wrapText="1"/>
    </xf>
    <xf numFmtId="0" fontId="12" fillId="11" borderId="0" xfId="8" applyFont="1" applyFill="1" applyAlignment="1">
      <alignment wrapText="1"/>
    </xf>
    <xf numFmtId="0" fontId="11" fillId="0" borderId="0" xfId="8" applyAlignment="1" applyProtection="1">
      <alignment wrapText="1"/>
      <protection locked="0"/>
    </xf>
    <xf numFmtId="0" fontId="4" fillId="0" borderId="0" xfId="8" applyFont="1" applyAlignment="1" applyProtection="1">
      <alignment wrapText="1"/>
      <protection locked="0"/>
    </xf>
    <xf numFmtId="0" fontId="11" fillId="0" borderId="0" xfId="8" applyAlignment="1">
      <alignment wrapText="1"/>
    </xf>
    <xf numFmtId="167" fontId="4" fillId="0" borderId="0" xfId="8" applyNumberFormat="1" applyFont="1" applyProtection="1">
      <protection locked="0"/>
    </xf>
    <xf numFmtId="0" fontId="11" fillId="13" borderId="0" xfId="8" applyFill="1" applyProtection="1">
      <protection locked="0"/>
    </xf>
    <xf numFmtId="0" fontId="11" fillId="0" borderId="0" xfId="8" applyProtection="1">
      <protection locked="0"/>
    </xf>
    <xf numFmtId="167" fontId="13" fillId="0" borderId="0" xfId="10" applyNumberFormat="1" applyProtection="1">
      <protection locked="0"/>
    </xf>
    <xf numFmtId="0" fontId="4" fillId="0" borderId="0" xfId="10" applyFont="1" applyProtection="1">
      <protection locked="0"/>
    </xf>
    <xf numFmtId="0" fontId="13" fillId="0" borderId="0" xfId="10" applyProtection="1">
      <protection locked="0"/>
    </xf>
    <xf numFmtId="6" fontId="0" fillId="0" borderId="0" xfId="0" applyNumberFormat="1" applyAlignment="1">
      <alignment horizontal="center"/>
    </xf>
    <xf numFmtId="6" fontId="15" fillId="0" borderId="0" xfId="0" applyNumberFormat="1" applyFont="1" applyAlignment="1">
      <alignment horizontal="center"/>
    </xf>
    <xf numFmtId="0" fontId="0" fillId="0" borderId="0" xfId="0" applyFont="1" applyAlignment="1">
      <alignment horizontal="center"/>
    </xf>
    <xf numFmtId="0" fontId="2" fillId="13" borderId="0" xfId="0" applyFont="1" applyFill="1" applyAlignment="1">
      <alignment horizontal="center"/>
    </xf>
    <xf numFmtId="0" fontId="2" fillId="0" borderId="0" xfId="0" applyFont="1" applyBorder="1" applyAlignment="1">
      <alignment horizontal="center"/>
    </xf>
    <xf numFmtId="0" fontId="17" fillId="0" borderId="0" xfId="0" applyFont="1" applyBorder="1" applyAlignment="1">
      <alignment horizontal="center"/>
    </xf>
    <xf numFmtId="0" fontId="0" fillId="0" borderId="0" xfId="0" applyFont="1" applyBorder="1" applyAlignment="1">
      <alignment horizontal="center"/>
    </xf>
    <xf numFmtId="0" fontId="22" fillId="0" borderId="0" xfId="0" applyFont="1" applyAlignment="1">
      <alignment horizontal="center" vertical="center"/>
    </xf>
    <xf numFmtId="14" fontId="0" fillId="0" borderId="0" xfId="0" applyNumberFormat="1" applyAlignment="1">
      <alignment horizontal="center"/>
    </xf>
    <xf numFmtId="166" fontId="0" fillId="0" borderId="0" xfId="0" applyNumberFormat="1"/>
    <xf numFmtId="0" fontId="20" fillId="17" borderId="14" xfId="0" applyFont="1" applyFill="1" applyBorder="1" applyAlignment="1">
      <alignment horizontal="center" vertical="center" wrapText="1"/>
    </xf>
    <xf numFmtId="0" fontId="20" fillId="17" borderId="15" xfId="0" applyFont="1" applyFill="1" applyBorder="1" applyAlignment="1">
      <alignment horizontal="center" vertical="center" wrapText="1"/>
    </xf>
    <xf numFmtId="0" fontId="20" fillId="17" borderId="16" xfId="0" applyFont="1" applyFill="1" applyBorder="1" applyAlignment="1">
      <alignment horizontal="center" vertical="center" wrapText="1"/>
    </xf>
    <xf numFmtId="0" fontId="20" fillId="17" borderId="17" xfId="0" applyFont="1" applyFill="1" applyBorder="1" applyAlignment="1">
      <alignment horizontal="center" vertical="center" wrapText="1"/>
    </xf>
    <xf numFmtId="0" fontId="20" fillId="17" borderId="18" xfId="0" applyFont="1" applyFill="1" applyBorder="1" applyAlignment="1">
      <alignment horizontal="center" vertical="center" wrapText="1"/>
    </xf>
    <xf numFmtId="0" fontId="20" fillId="17" borderId="19" xfId="0" applyFont="1" applyFill="1" applyBorder="1" applyAlignment="1">
      <alignment horizontal="center" vertical="center" wrapText="1"/>
    </xf>
    <xf numFmtId="0" fontId="23" fillId="19" borderId="14" xfId="0" applyFont="1" applyFill="1" applyBorder="1" applyAlignment="1">
      <alignment horizontal="center" vertical="center" wrapText="1"/>
    </xf>
    <xf numFmtId="0" fontId="23" fillId="19" borderId="15" xfId="0" applyFont="1" applyFill="1" applyBorder="1" applyAlignment="1">
      <alignment horizontal="center" vertical="center" wrapText="1"/>
    </xf>
    <xf numFmtId="0" fontId="23" fillId="19" borderId="16" xfId="0" applyFont="1" applyFill="1" applyBorder="1" applyAlignment="1">
      <alignment horizontal="center" vertical="center" wrapText="1"/>
    </xf>
    <xf numFmtId="0" fontId="23" fillId="19" borderId="17" xfId="0" applyFont="1" applyFill="1" applyBorder="1" applyAlignment="1">
      <alignment horizontal="center" vertical="center" wrapText="1"/>
    </xf>
    <xf numFmtId="8" fontId="19" fillId="0" borderId="21" xfId="1" applyNumberFormat="1" applyFont="1" applyBorder="1"/>
    <xf numFmtId="165" fontId="19" fillId="0" borderId="3" xfId="0" applyNumberFormat="1" applyFont="1" applyBorder="1"/>
    <xf numFmtId="43" fontId="19" fillId="0" borderId="3" xfId="0" applyNumberFormat="1" applyFont="1" applyBorder="1"/>
    <xf numFmtId="44" fontId="19" fillId="0" borderId="3" xfId="1" applyFont="1" applyBorder="1"/>
    <xf numFmtId="0" fontId="19" fillId="0" borderId="22" xfId="0" applyFont="1" applyBorder="1" applyAlignment="1">
      <alignment horizontal="center" vertical="center"/>
    </xf>
    <xf numFmtId="8" fontId="19" fillId="0" borderId="24" xfId="0" applyNumberFormat="1" applyFont="1" applyBorder="1"/>
    <xf numFmtId="165" fontId="19" fillId="0" borderId="5" xfId="0" applyNumberFormat="1" applyFont="1" applyBorder="1"/>
    <xf numFmtId="43" fontId="19" fillId="0" borderId="5" xfId="0" applyNumberFormat="1" applyFont="1" applyBorder="1"/>
    <xf numFmtId="0" fontId="19" fillId="0" borderId="8" xfId="0" applyFont="1" applyBorder="1" applyAlignment="1">
      <alignment horizontal="center" vertical="center"/>
    </xf>
    <xf numFmtId="0" fontId="20" fillId="16" borderId="16" xfId="0" applyFont="1" applyFill="1" applyBorder="1" applyAlignment="1">
      <alignment horizontal="center" vertical="center" wrapText="1"/>
    </xf>
    <xf numFmtId="43" fontId="19" fillId="0" borderId="26" xfId="3" applyFont="1" applyBorder="1" applyAlignment="1">
      <alignment horizontal="center" vertical="center"/>
    </xf>
    <xf numFmtId="165" fontId="19" fillId="0" borderId="25" xfId="3" applyNumberFormat="1" applyFont="1" applyBorder="1" applyAlignment="1">
      <alignment horizontal="center" vertical="center"/>
    </xf>
    <xf numFmtId="0" fontId="19" fillId="0" borderId="25" xfId="0" applyFont="1" applyBorder="1" applyAlignment="1">
      <alignment horizontal="center" vertical="center"/>
    </xf>
    <xf numFmtId="0" fontId="20" fillId="17" borderId="27" xfId="0" applyFont="1" applyFill="1" applyBorder="1" applyAlignment="1">
      <alignment horizontal="center" vertical="center"/>
    </xf>
    <xf numFmtId="0" fontId="19" fillId="0" borderId="26" xfId="0" applyFont="1" applyBorder="1" applyAlignment="1">
      <alignment horizontal="center" vertical="center"/>
    </xf>
    <xf numFmtId="14" fontId="19" fillId="0" borderId="25" xfId="0" applyNumberFormat="1" applyFont="1" applyBorder="1" applyAlignment="1">
      <alignment horizontal="center" vertical="center"/>
    </xf>
    <xf numFmtId="0" fontId="19" fillId="0" borderId="27" xfId="0" applyFont="1" applyBorder="1" applyAlignment="1">
      <alignment horizontal="center" vertical="center"/>
    </xf>
    <xf numFmtId="0" fontId="19" fillId="0" borderId="28" xfId="0" applyFont="1" applyBorder="1"/>
    <xf numFmtId="0" fontId="23" fillId="19" borderId="18" xfId="0" applyFont="1" applyFill="1" applyBorder="1" applyAlignment="1">
      <alignment horizontal="center" vertical="center" wrapText="1"/>
    </xf>
    <xf numFmtId="0" fontId="19" fillId="0" borderId="10" xfId="0" applyFont="1" applyBorder="1"/>
    <xf numFmtId="164" fontId="0" fillId="0" borderId="4" xfId="1" applyNumberFormat="1" applyFont="1" applyBorder="1" applyAlignment="1" applyProtection="1">
      <alignment horizontal="center"/>
      <protection locked="0"/>
    </xf>
    <xf numFmtId="9" fontId="19" fillId="0" borderId="28" xfId="2" applyFont="1" applyFill="1" applyBorder="1" applyAlignment="1">
      <alignment horizontal="center"/>
    </xf>
    <xf numFmtId="9" fontId="19" fillId="0" borderId="29" xfId="2" applyFont="1" applyFill="1" applyBorder="1" applyAlignment="1">
      <alignment horizontal="center"/>
    </xf>
    <xf numFmtId="9" fontId="19" fillId="0" borderId="2" xfId="2" applyFont="1" applyFill="1" applyBorder="1" applyAlignment="1">
      <alignment horizontal="center"/>
    </xf>
    <xf numFmtId="9" fontId="19" fillId="0" borderId="9" xfId="2" applyFont="1" applyFill="1" applyBorder="1" applyAlignment="1">
      <alignment horizontal="center"/>
    </xf>
    <xf numFmtId="9" fontId="19" fillId="0" borderId="26" xfId="2" applyFont="1" applyFill="1" applyBorder="1" applyAlignment="1">
      <alignment horizontal="center"/>
    </xf>
    <xf numFmtId="9" fontId="19" fillId="0" borderId="27" xfId="2" applyFont="1" applyFill="1" applyBorder="1" applyAlignment="1">
      <alignment horizontal="center"/>
    </xf>
    <xf numFmtId="9" fontId="19" fillId="0" borderId="20" xfId="2" applyFont="1" applyBorder="1" applyAlignment="1">
      <alignment horizontal="center"/>
    </xf>
    <xf numFmtId="0" fontId="4" fillId="0" borderId="0" xfId="0" applyFont="1" applyProtection="1">
      <protection locked="0"/>
    </xf>
    <xf numFmtId="0" fontId="24" fillId="20" borderId="31" xfId="0" applyFont="1" applyFill="1" applyBorder="1"/>
    <xf numFmtId="165" fontId="24" fillId="20" borderId="30" xfId="3" applyNumberFormat="1" applyFont="1" applyFill="1" applyBorder="1"/>
    <xf numFmtId="8" fontId="24" fillId="20" borderId="1" xfId="1" applyNumberFormat="1" applyFont="1" applyFill="1" applyBorder="1"/>
    <xf numFmtId="2" fontId="24" fillId="20" borderId="1" xfId="0" applyNumberFormat="1" applyFont="1" applyFill="1" applyBorder="1"/>
    <xf numFmtId="44" fontId="24" fillId="20" borderId="29" xfId="1" applyFont="1" applyFill="1" applyBorder="1"/>
    <xf numFmtId="0" fontId="25" fillId="21" borderId="20" xfId="0" applyFont="1" applyFill="1" applyBorder="1"/>
    <xf numFmtId="165" fontId="25" fillId="21" borderId="21" xfId="3" applyNumberFormat="1" applyFont="1" applyFill="1" applyBorder="1"/>
    <xf numFmtId="8" fontId="25" fillId="21" borderId="3" xfId="1" applyNumberFormat="1" applyFont="1" applyFill="1" applyBorder="1"/>
    <xf numFmtId="2" fontId="25" fillId="21" borderId="3" xfId="0" applyNumberFormat="1" applyFont="1" applyFill="1" applyBorder="1"/>
    <xf numFmtId="44" fontId="25" fillId="21" borderId="9" xfId="1" applyFont="1" applyFill="1" applyBorder="1"/>
    <xf numFmtId="0" fontId="25" fillId="21" borderId="31" xfId="0" applyFont="1" applyFill="1" applyBorder="1"/>
    <xf numFmtId="165" fontId="25" fillId="21" borderId="30" xfId="3" applyNumberFormat="1" applyFont="1" applyFill="1" applyBorder="1"/>
    <xf numFmtId="8" fontId="25" fillId="21" borderId="1" xfId="1" applyNumberFormat="1" applyFont="1" applyFill="1" applyBorder="1"/>
    <xf numFmtId="2" fontId="25" fillId="21" borderId="1" xfId="0" applyNumberFormat="1" applyFont="1" applyFill="1" applyBorder="1"/>
    <xf numFmtId="44" fontId="25" fillId="21" borderId="29" xfId="1" applyFont="1" applyFill="1" applyBorder="1"/>
    <xf numFmtId="9" fontId="24" fillId="20" borderId="28" xfId="2" applyFont="1" applyFill="1" applyBorder="1" applyAlignment="1">
      <alignment horizontal="center"/>
    </xf>
    <xf numFmtId="9" fontId="24" fillId="20" borderId="29" xfId="2" applyFont="1" applyFill="1" applyBorder="1" applyAlignment="1">
      <alignment horizontal="center"/>
    </xf>
    <xf numFmtId="167" fontId="0" fillId="0" borderId="0" xfId="0" applyNumberFormat="1" applyProtection="1">
      <protection locked="0"/>
    </xf>
    <xf numFmtId="167" fontId="27" fillId="0" borderId="0" xfId="0" applyNumberFormat="1" applyFont="1" applyProtection="1">
      <protection locked="0"/>
    </xf>
    <xf numFmtId="166" fontId="27" fillId="0" borderId="0" xfId="1" applyNumberFormat="1" applyFont="1" applyProtection="1">
      <protection locked="0"/>
    </xf>
    <xf numFmtId="2" fontId="24" fillId="20" borderId="3" xfId="0" applyNumberFormat="1" applyFont="1" applyFill="1" applyBorder="1"/>
    <xf numFmtId="0" fontId="4" fillId="0" borderId="0" xfId="0" applyNumberFormat="1" applyFont="1" applyFill="1" applyBorder="1" applyProtection="1">
      <protection locked="0"/>
    </xf>
    <xf numFmtId="9" fontId="19" fillId="22" borderId="28" xfId="2" applyFont="1" applyFill="1" applyBorder="1" applyAlignment="1">
      <alignment horizontal="center"/>
    </xf>
    <xf numFmtId="9" fontId="19" fillId="22" borderId="29" xfId="2" applyFont="1" applyFill="1" applyBorder="1" applyAlignment="1">
      <alignment horizontal="center"/>
    </xf>
    <xf numFmtId="0" fontId="25" fillId="21" borderId="23" xfId="0" applyFont="1" applyFill="1" applyBorder="1"/>
    <xf numFmtId="165" fontId="25" fillId="21" borderId="10" xfId="3" applyNumberFormat="1" applyFont="1" applyFill="1" applyBorder="1"/>
    <xf numFmtId="8" fontId="25" fillId="21" borderId="5" xfId="1" applyNumberFormat="1" applyFont="1" applyFill="1" applyBorder="1"/>
    <xf numFmtId="2" fontId="25" fillId="21" borderId="5" xfId="0" applyNumberFormat="1" applyFont="1" applyFill="1" applyBorder="1"/>
    <xf numFmtId="44" fontId="25" fillId="21" borderId="27" xfId="1" applyFont="1" applyFill="1" applyBorder="1"/>
    <xf numFmtId="44" fontId="0" fillId="0" borderId="0" xfId="1" applyFont="1" applyAlignment="1">
      <alignment horizontal="center"/>
    </xf>
    <xf numFmtId="164" fontId="2" fillId="13" borderId="0" xfId="1" applyNumberFormat="1" applyFont="1" applyFill="1" applyAlignment="1">
      <alignment horizontal="center"/>
    </xf>
    <xf numFmtId="164" fontId="0" fillId="0" borderId="0" xfId="1" applyNumberFormat="1" applyFont="1" applyAlignment="1">
      <alignment horizontal="center"/>
    </xf>
    <xf numFmtId="164" fontId="0" fillId="0" borderId="0" xfId="0" applyNumberFormat="1" applyProtection="1">
      <protection locked="0"/>
    </xf>
    <xf numFmtId="0" fontId="26" fillId="5" borderId="31" xfId="0" applyFont="1" applyFill="1" applyBorder="1"/>
    <xf numFmtId="165" fontId="26" fillId="5" borderId="30" xfId="3" applyNumberFormat="1" applyFont="1" applyFill="1" applyBorder="1"/>
    <xf numFmtId="8" fontId="26" fillId="5" borderId="1" xfId="1" applyNumberFormat="1" applyFont="1" applyFill="1" applyBorder="1"/>
    <xf numFmtId="2" fontId="26" fillId="5" borderId="1" xfId="0" applyNumberFormat="1" applyFont="1" applyFill="1" applyBorder="1"/>
    <xf numFmtId="44" fontId="26" fillId="5" borderId="29" xfId="1" applyFont="1" applyFill="1" applyBorder="1"/>
    <xf numFmtId="0" fontId="26" fillId="12" borderId="31" xfId="0" applyFont="1" applyFill="1" applyBorder="1"/>
    <xf numFmtId="165" fontId="26" fillId="12" borderId="30" xfId="3" applyNumberFormat="1" applyFont="1" applyFill="1" applyBorder="1"/>
    <xf numFmtId="8" fontId="26" fillId="12" borderId="1" xfId="1" applyNumberFormat="1" applyFont="1" applyFill="1" applyBorder="1"/>
    <xf numFmtId="2" fontId="26" fillId="12" borderId="1" xfId="0" applyNumberFormat="1" applyFont="1" applyFill="1" applyBorder="1"/>
    <xf numFmtId="44" fontId="26" fillId="12" borderId="29" xfId="1" applyFont="1" applyFill="1" applyBorder="1"/>
    <xf numFmtId="9" fontId="26" fillId="12" borderId="28" xfId="2" applyFont="1" applyFill="1" applyBorder="1" applyAlignment="1">
      <alignment horizontal="center"/>
    </xf>
    <xf numFmtId="9" fontId="26" fillId="12" borderId="29" xfId="2" applyFont="1" applyFill="1" applyBorder="1" applyAlignment="1">
      <alignment horizontal="center"/>
    </xf>
    <xf numFmtId="9" fontId="26" fillId="12" borderId="28" xfId="2" applyNumberFormat="1" applyFont="1" applyFill="1" applyBorder="1" applyAlignment="1">
      <alignment horizontal="center"/>
    </xf>
    <xf numFmtId="0" fontId="2" fillId="0" borderId="0" xfId="0" applyFont="1" applyAlignment="1">
      <alignment horizontal="center"/>
    </xf>
    <xf numFmtId="0" fontId="19" fillId="15" borderId="0" xfId="0" applyFont="1" applyFill="1"/>
    <xf numFmtId="0" fontId="20" fillId="16" borderId="18" xfId="0" applyFont="1" applyFill="1" applyBorder="1" applyAlignment="1">
      <alignment horizontal="center" vertical="center" wrapText="1"/>
    </xf>
    <xf numFmtId="0" fontId="20" fillId="16" borderId="19" xfId="0" applyFont="1" applyFill="1" applyBorder="1" applyAlignment="1">
      <alignment horizontal="center" vertical="center" wrapText="1"/>
    </xf>
    <xf numFmtId="0" fontId="19" fillId="15" borderId="0" xfId="0" applyFont="1" applyFill="1" applyAlignment="1">
      <alignment wrapText="1"/>
    </xf>
    <xf numFmtId="0" fontId="19" fillId="15" borderId="0" xfId="0" applyFont="1" applyFill="1" applyBorder="1"/>
    <xf numFmtId="0" fontId="20" fillId="18" borderId="18" xfId="0" applyFont="1" applyFill="1" applyBorder="1" applyAlignment="1">
      <alignment horizontal="center" vertical="center" wrapText="1"/>
    </xf>
    <xf numFmtId="0" fontId="20" fillId="18" borderId="16" xfId="0" applyFont="1" applyFill="1" applyBorder="1" applyAlignment="1">
      <alignment horizontal="center" vertical="center" wrapText="1"/>
    </xf>
    <xf numFmtId="0" fontId="20" fillId="18" borderId="19" xfId="0" applyFont="1" applyFill="1" applyBorder="1" applyAlignment="1">
      <alignment horizontal="center" vertical="center" wrapText="1"/>
    </xf>
    <xf numFmtId="44" fontId="19" fillId="0" borderId="25" xfId="1" applyFont="1" applyBorder="1"/>
    <xf numFmtId="9" fontId="19" fillId="0" borderId="23" xfId="2" applyFont="1" applyBorder="1" applyAlignment="1">
      <alignment horizontal="center"/>
    </xf>
    <xf numFmtId="0" fontId="19" fillId="15" borderId="13" xfId="0" applyFont="1" applyFill="1" applyBorder="1"/>
    <xf numFmtId="0" fontId="7" fillId="0" borderId="0" xfId="0" applyFont="1" applyAlignment="1" applyProtection="1">
      <alignment horizontal="right"/>
    </xf>
    <xf numFmtId="0" fontId="0" fillId="0" borderId="0" xfId="0" applyNumberFormat="1" applyAlignment="1" applyProtection="1">
      <alignment horizontal="right"/>
    </xf>
    <xf numFmtId="0" fontId="6" fillId="0" borderId="0" xfId="0" applyFont="1" applyFill="1" applyBorder="1" applyAlignment="1">
      <alignment vertical="center"/>
    </xf>
    <xf numFmtId="0" fontId="6" fillId="0" borderId="0" xfId="0" applyFont="1" applyFill="1" applyBorder="1"/>
    <xf numFmtId="0" fontId="6" fillId="0" borderId="0" xfId="0" applyFont="1" applyFill="1" applyBorder="1" applyAlignment="1">
      <alignment horizontal="center" vertical="center"/>
    </xf>
    <xf numFmtId="10" fontId="6" fillId="0" borderId="0" xfId="2" applyNumberFormat="1" applyFont="1" applyFill="1" applyBorder="1" applyAlignment="1">
      <alignment horizontal="center" vertical="center"/>
    </xf>
    <xf numFmtId="164" fontId="6" fillId="0" borderId="0" xfId="1" applyNumberFormat="1" applyFont="1" applyFill="1" applyBorder="1" applyAlignment="1">
      <alignment vertical="center"/>
    </xf>
    <xf numFmtId="44" fontId="17" fillId="0" borderId="0" xfId="1" applyFont="1" applyFill="1" applyBorder="1" applyAlignment="1">
      <alignment vertical="center"/>
    </xf>
    <xf numFmtId="165" fontId="17" fillId="0" borderId="0" xfId="3" applyNumberFormat="1" applyFont="1" applyFill="1" applyBorder="1" applyAlignment="1">
      <alignment horizontal="center" vertical="center"/>
    </xf>
    <xf numFmtId="164" fontId="6" fillId="0" borderId="1" xfId="1" applyNumberFormat="1" applyFont="1" applyFill="1" applyBorder="1" applyAlignment="1">
      <alignment horizontal="center"/>
    </xf>
    <xf numFmtId="9" fontId="17" fillId="0" borderId="1" xfId="2" applyFont="1" applyFill="1" applyBorder="1" applyAlignment="1">
      <alignment horizontal="center" vertical="center"/>
    </xf>
    <xf numFmtId="10" fontId="6" fillId="0" borderId="33" xfId="2" applyNumberFormat="1" applyFont="1" applyFill="1" applyBorder="1" applyAlignment="1">
      <alignment horizontal="center" vertical="center"/>
    </xf>
    <xf numFmtId="44" fontId="0" fillId="0" borderId="1" xfId="1" applyFont="1" applyBorder="1" applyAlignment="1">
      <alignment horizontal="center"/>
    </xf>
    <xf numFmtId="0" fontId="0" fillId="0" borderId="32" xfId="0" applyBorder="1" applyAlignment="1">
      <alignment horizontal="center"/>
    </xf>
    <xf numFmtId="164" fontId="6" fillId="0" borderId="3" xfId="1" applyNumberFormat="1" applyFont="1" applyFill="1" applyBorder="1" applyAlignment="1">
      <alignment horizontal="center"/>
    </xf>
    <xf numFmtId="9" fontId="17" fillId="0" borderId="3" xfId="2" applyFont="1" applyFill="1" applyBorder="1" applyAlignment="1">
      <alignment horizontal="center" vertical="center"/>
    </xf>
    <xf numFmtId="10" fontId="6" fillId="0" borderId="29" xfId="2" applyNumberFormat="1" applyFont="1" applyFill="1" applyBorder="1" applyAlignment="1">
      <alignment horizontal="center" vertical="center"/>
    </xf>
    <xf numFmtId="44" fontId="0" fillId="0" borderId="3" xfId="1" applyFont="1" applyBorder="1" applyAlignment="1">
      <alignment horizontal="center"/>
    </xf>
    <xf numFmtId="0" fontId="15" fillId="24" borderId="18" xfId="0" applyFont="1" applyFill="1" applyBorder="1" applyAlignment="1">
      <alignment horizontal="center" vertical="center"/>
    </xf>
    <xf numFmtId="0" fontId="15" fillId="24" borderId="16" xfId="0" applyFont="1" applyFill="1" applyBorder="1" applyAlignment="1">
      <alignment horizontal="center"/>
    </xf>
    <xf numFmtId="165" fontId="5" fillId="24" borderId="16" xfId="3" applyNumberFormat="1" applyFont="1" applyFill="1" applyBorder="1" applyAlignment="1">
      <alignment horizontal="center" vertical="center" wrapText="1"/>
    </xf>
    <xf numFmtId="44" fontId="5" fillId="24" borderId="16" xfId="1" applyFont="1" applyFill="1" applyBorder="1" applyAlignment="1">
      <alignment horizontal="center" vertical="center" wrapText="1"/>
    </xf>
    <xf numFmtId="44" fontId="5" fillId="24" borderId="19" xfId="1" applyFont="1" applyFill="1" applyBorder="1" applyAlignment="1">
      <alignment horizontal="center" vertical="center" wrapText="1"/>
    </xf>
    <xf numFmtId="164" fontId="5" fillId="24" borderId="16" xfId="0" applyNumberFormat="1" applyFont="1" applyFill="1" applyBorder="1" applyAlignment="1">
      <alignment horizontal="center" vertical="center" wrapText="1"/>
    </xf>
    <xf numFmtId="37" fontId="17" fillId="27" borderId="16" xfId="3" applyNumberFormat="1" applyFont="1" applyFill="1" applyBorder="1" applyAlignment="1">
      <alignment horizontal="center" vertical="center" wrapText="1"/>
    </xf>
    <xf numFmtId="0" fontId="17" fillId="27" borderId="19" xfId="0" applyNumberFormat="1" applyFont="1" applyFill="1" applyBorder="1" applyAlignment="1">
      <alignment horizontal="center" vertical="center" wrapText="1"/>
    </xf>
    <xf numFmtId="164" fontId="5" fillId="26" borderId="16" xfId="0" applyNumberFormat="1" applyFont="1" applyFill="1" applyBorder="1" applyAlignment="1">
      <alignment horizontal="center" vertical="center" wrapText="1"/>
    </xf>
    <xf numFmtId="37" fontId="5" fillId="26" borderId="16" xfId="3" applyNumberFormat="1" applyFont="1" applyFill="1" applyBorder="1" applyAlignment="1">
      <alignment horizontal="center" vertical="center" wrapText="1"/>
    </xf>
    <xf numFmtId="164" fontId="17" fillId="25" borderId="16" xfId="0" applyNumberFormat="1" applyFont="1" applyFill="1" applyBorder="1" applyAlignment="1">
      <alignment horizontal="center" vertical="center" wrapText="1"/>
    </xf>
    <xf numFmtId="37" fontId="17" fillId="25" borderId="16" xfId="3" applyNumberFormat="1" applyFont="1" applyFill="1" applyBorder="1" applyAlignment="1">
      <alignment horizontal="center" vertical="center" wrapText="1"/>
    </xf>
    <xf numFmtId="0" fontId="17" fillId="25" borderId="19" xfId="0" applyNumberFormat="1" applyFont="1" applyFill="1" applyBorder="1" applyAlignment="1">
      <alignment horizontal="center" vertical="center" wrapText="1"/>
    </xf>
    <xf numFmtId="44" fontId="17" fillId="23" borderId="16" xfId="2" applyNumberFormat="1" applyFont="1" applyFill="1" applyBorder="1" applyAlignment="1">
      <alignment horizontal="center" vertical="center"/>
    </xf>
    <xf numFmtId="37" fontId="17" fillId="23" borderId="16" xfId="3" applyNumberFormat="1" applyFont="1" applyFill="1" applyBorder="1" applyAlignment="1">
      <alignment horizontal="center" vertical="center" wrapText="1"/>
    </xf>
    <xf numFmtId="0" fontId="17" fillId="23" borderId="19" xfId="0" applyFont="1" applyFill="1" applyBorder="1" applyAlignment="1">
      <alignment horizontal="center" vertical="center"/>
    </xf>
    <xf numFmtId="0" fontId="27" fillId="0" borderId="0" xfId="0" applyFont="1" applyFill="1" applyProtection="1">
      <protection locked="0"/>
    </xf>
    <xf numFmtId="0" fontId="27" fillId="0" borderId="0" xfId="0" applyNumberFormat="1" applyFont="1" applyFill="1" applyProtection="1">
      <protection locked="0"/>
    </xf>
    <xf numFmtId="166" fontId="27" fillId="0" borderId="0" xfId="0" applyNumberFormat="1" applyFont="1" applyFill="1" applyProtection="1">
      <protection locked="0"/>
    </xf>
    <xf numFmtId="3" fontId="0" fillId="0" borderId="3" xfId="0" applyNumberFormat="1" applyBorder="1" applyAlignment="1">
      <alignment horizontal="center"/>
    </xf>
    <xf numFmtId="3" fontId="0" fillId="0" borderId="1" xfId="0" applyNumberFormat="1" applyBorder="1" applyAlignment="1">
      <alignment horizontal="center"/>
    </xf>
    <xf numFmtId="166" fontId="27" fillId="0" borderId="0" xfId="1" applyNumberFormat="1" applyFont="1" applyFill="1" applyProtection="1">
      <protection locked="0"/>
    </xf>
    <xf numFmtId="0" fontId="0" fillId="0" borderId="34" xfId="0" applyBorder="1" applyAlignment="1">
      <alignment horizontal="center"/>
    </xf>
    <xf numFmtId="0" fontId="0" fillId="0" borderId="0" xfId="0" applyBorder="1"/>
    <xf numFmtId="0" fontId="0" fillId="0" borderId="9" xfId="0" applyNumberFormat="1" applyBorder="1" applyAlignment="1" applyProtection="1">
      <alignment horizontal="center"/>
      <protection locked="0"/>
    </xf>
    <xf numFmtId="2" fontId="0" fillId="0" borderId="11" xfId="0" applyNumberFormat="1" applyBorder="1" applyAlignment="1" applyProtection="1">
      <alignment horizontal="center"/>
      <protection locked="0"/>
    </xf>
    <xf numFmtId="164" fontId="17" fillId="27" borderId="16" xfId="0" applyNumberFormat="1" applyFont="1" applyFill="1" applyBorder="1" applyAlignment="1">
      <alignment horizontal="center" vertical="center" wrapText="1"/>
    </xf>
    <xf numFmtId="0" fontId="2" fillId="0" borderId="4" xfId="0" applyNumberFormat="1" applyFont="1" applyBorder="1" applyAlignment="1" applyProtection="1">
      <alignment horizontal="left"/>
    </xf>
    <xf numFmtId="0" fontId="2" fillId="0" borderId="5" xfId="1" applyNumberFormat="1" applyFont="1" applyBorder="1" applyAlignment="1" applyProtection="1">
      <alignment horizontal="left"/>
    </xf>
    <xf numFmtId="0" fontId="17" fillId="0" borderId="2" xfId="0" applyFont="1" applyBorder="1" applyAlignment="1" applyProtection="1">
      <alignment horizontal="right" vertical="center"/>
    </xf>
    <xf numFmtId="0" fontId="17" fillId="0" borderId="4" xfId="0" applyFont="1" applyBorder="1" applyAlignment="1" applyProtection="1">
      <alignment horizontal="center" vertical="center"/>
    </xf>
    <xf numFmtId="0" fontId="17" fillId="0" borderId="10" xfId="0" applyFont="1" applyBorder="1" applyAlignment="1" applyProtection="1">
      <alignment horizontal="right" vertical="center"/>
    </xf>
    <xf numFmtId="0" fontId="17" fillId="0" borderId="5" xfId="0" applyFont="1" applyBorder="1" applyAlignment="1" applyProtection="1">
      <alignment horizontal="center" vertical="center"/>
    </xf>
    <xf numFmtId="0" fontId="0" fillId="0" borderId="0" xfId="0" applyFill="1" applyAlignment="1">
      <alignment vertical="center"/>
    </xf>
    <xf numFmtId="164" fontId="0" fillId="0" borderId="0" xfId="1" applyNumberFormat="1" applyFont="1" applyFill="1" applyAlignment="1">
      <alignment horizontal="center" vertical="center"/>
    </xf>
    <xf numFmtId="0" fontId="6" fillId="0" borderId="0" xfId="0" applyFont="1" applyFill="1" applyAlignment="1">
      <alignment vertical="center"/>
    </xf>
    <xf numFmtId="164" fontId="6" fillId="0" borderId="0" xfId="1" applyNumberFormat="1" applyFont="1" applyFill="1" applyAlignment="1">
      <alignment horizontal="center" vertical="center"/>
    </xf>
    <xf numFmtId="0" fontId="0" fillId="0" borderId="28" xfId="0" applyBorder="1" applyAlignment="1">
      <alignment horizontal="center"/>
    </xf>
    <xf numFmtId="0" fontId="15" fillId="24" borderId="16" xfId="0" applyFont="1" applyFill="1" applyBorder="1" applyAlignment="1">
      <alignment horizontal="center" vertical="center"/>
    </xf>
    <xf numFmtId="164" fontId="17" fillId="27" borderId="18" xfId="0" applyNumberFormat="1" applyFont="1" applyFill="1" applyBorder="1" applyAlignment="1">
      <alignment horizontal="center" vertical="center" wrapText="1"/>
    </xf>
    <xf numFmtId="164" fontId="5" fillId="26" borderId="15" xfId="0" applyNumberFormat="1" applyFont="1" applyFill="1" applyBorder="1" applyAlignment="1">
      <alignment horizontal="center" vertical="center" wrapText="1"/>
    </xf>
    <xf numFmtId="164" fontId="5" fillId="26" borderId="14" xfId="0" applyNumberFormat="1" applyFont="1" applyFill="1" applyBorder="1" applyAlignment="1">
      <alignment horizontal="center" vertical="center" wrapText="1"/>
    </xf>
    <xf numFmtId="164" fontId="5" fillId="26" borderId="36" xfId="0" applyNumberFormat="1" applyFont="1" applyFill="1" applyBorder="1" applyAlignment="1">
      <alignment horizontal="center" vertical="center" wrapText="1"/>
    </xf>
    <xf numFmtId="164" fontId="17" fillId="25" borderId="36" xfId="0" applyNumberFormat="1" applyFont="1" applyFill="1" applyBorder="1" applyAlignment="1">
      <alignment horizontal="center" vertical="center" wrapText="1"/>
    </xf>
    <xf numFmtId="164" fontId="17" fillId="25" borderId="14" xfId="0" applyNumberFormat="1" applyFont="1" applyFill="1" applyBorder="1" applyAlignment="1">
      <alignment horizontal="center" vertical="center" wrapText="1"/>
    </xf>
    <xf numFmtId="164" fontId="17" fillId="25" borderId="15" xfId="0" applyNumberFormat="1" applyFont="1" applyFill="1" applyBorder="1" applyAlignment="1">
      <alignment horizontal="center" vertical="center" wrapText="1"/>
    </xf>
    <xf numFmtId="44" fontId="17" fillId="23" borderId="18" xfId="2" applyNumberFormat="1" applyFont="1" applyFill="1" applyBorder="1" applyAlignment="1">
      <alignment horizontal="center" vertical="center"/>
    </xf>
    <xf numFmtId="164" fontId="17" fillId="23" borderId="36" xfId="0" applyNumberFormat="1" applyFont="1" applyFill="1" applyBorder="1" applyAlignment="1">
      <alignment horizontal="center" vertical="center" wrapText="1"/>
    </xf>
    <xf numFmtId="164" fontId="17" fillId="23" borderId="14" xfId="0" applyNumberFormat="1" applyFont="1" applyFill="1" applyBorder="1" applyAlignment="1">
      <alignment horizontal="center" vertical="center" wrapText="1"/>
    </xf>
    <xf numFmtId="164" fontId="17" fillId="27" borderId="37" xfId="0" applyNumberFormat="1" applyFont="1" applyFill="1" applyBorder="1" applyAlignment="1">
      <alignment horizontal="center" vertical="center" wrapText="1"/>
    </xf>
    <xf numFmtId="164" fontId="17" fillId="27" borderId="14" xfId="0" applyNumberFormat="1" applyFont="1" applyFill="1" applyBorder="1" applyAlignment="1">
      <alignment horizontal="center" vertical="center" wrapText="1"/>
    </xf>
    <xf numFmtId="0" fontId="2" fillId="0" borderId="4" xfId="0" applyFont="1" applyBorder="1"/>
    <xf numFmtId="0" fontId="2" fillId="0" borderId="5" xfId="0" applyFont="1" applyBorder="1"/>
    <xf numFmtId="165" fontId="0" fillId="0" borderId="5" xfId="3" applyNumberFormat="1" applyFont="1" applyBorder="1" applyAlignment="1" applyProtection="1">
      <alignment horizontal="center"/>
      <protection locked="0"/>
    </xf>
    <xf numFmtId="10" fontId="17" fillId="24" borderId="18" xfId="2" applyNumberFormat="1" applyFont="1" applyFill="1" applyBorder="1" applyAlignment="1">
      <alignment horizontal="center" vertical="center"/>
    </xf>
    <xf numFmtId="10" fontId="17" fillId="24" borderId="15" xfId="2" applyNumberFormat="1" applyFont="1" applyFill="1" applyBorder="1" applyAlignment="1">
      <alignment horizontal="center" vertical="center"/>
    </xf>
    <xf numFmtId="10" fontId="17" fillId="24" borderId="7" xfId="2" applyNumberFormat="1" applyFont="1" applyFill="1" applyBorder="1" applyAlignment="1">
      <alignment horizontal="center" vertical="center"/>
    </xf>
    <xf numFmtId="10" fontId="17" fillId="0" borderId="18" xfId="2" applyNumberFormat="1" applyFont="1" applyFill="1" applyBorder="1" applyAlignment="1">
      <alignment horizontal="center" vertical="center"/>
    </xf>
    <xf numFmtId="10" fontId="17" fillId="0" borderId="15" xfId="2" applyNumberFormat="1" applyFont="1" applyFill="1" applyBorder="1" applyAlignment="1">
      <alignment horizontal="center" vertical="center"/>
    </xf>
    <xf numFmtId="10" fontId="17" fillId="0" borderId="7" xfId="2" applyNumberFormat="1" applyFont="1" applyFill="1" applyBorder="1" applyAlignment="1">
      <alignment horizontal="center" vertical="center"/>
    </xf>
    <xf numFmtId="164" fontId="17" fillId="28" borderId="14" xfId="0" applyNumberFormat="1" applyFont="1" applyFill="1" applyBorder="1" applyAlignment="1">
      <alignment horizontal="center" vertical="center" wrapText="1"/>
    </xf>
    <xf numFmtId="164" fontId="17" fillId="28" borderId="15" xfId="0" applyNumberFormat="1" applyFont="1" applyFill="1" applyBorder="1" applyAlignment="1">
      <alignment horizontal="center" vertical="center" wrapText="1"/>
    </xf>
    <xf numFmtId="164" fontId="17" fillId="28" borderId="16" xfId="0" applyNumberFormat="1" applyFont="1" applyFill="1" applyBorder="1" applyAlignment="1">
      <alignment horizontal="center" vertical="center" wrapText="1"/>
    </xf>
    <xf numFmtId="37" fontId="17" fillId="28" borderId="16" xfId="3" applyNumberFormat="1" applyFont="1" applyFill="1" applyBorder="1" applyAlignment="1">
      <alignment horizontal="center" vertical="center" wrapText="1"/>
    </xf>
    <xf numFmtId="1" fontId="17" fillId="28" borderId="19" xfId="0" applyNumberFormat="1" applyFont="1" applyFill="1" applyBorder="1" applyAlignment="1">
      <alignment horizontal="center" vertical="center" wrapText="1"/>
    </xf>
    <xf numFmtId="1" fontId="5" fillId="26" borderId="17" xfId="0" applyNumberFormat="1" applyFont="1" applyFill="1" applyBorder="1" applyAlignment="1">
      <alignment horizontal="center" vertical="center" wrapText="1"/>
    </xf>
    <xf numFmtId="9" fontId="17" fillId="0" borderId="14" xfId="2" applyFont="1" applyFill="1" applyBorder="1" applyAlignment="1">
      <alignment horizontal="center" vertical="center" wrapText="1"/>
    </xf>
    <xf numFmtId="164" fontId="5" fillId="26" borderId="35" xfId="0" applyNumberFormat="1" applyFont="1" applyFill="1" applyBorder="1" applyAlignment="1">
      <alignment horizontal="center" vertical="center" wrapText="1"/>
    </xf>
    <xf numFmtId="164" fontId="5" fillId="26" borderId="23" xfId="0" applyNumberFormat="1" applyFont="1" applyFill="1" applyBorder="1" applyAlignment="1">
      <alignment horizontal="center" vertical="center" wrapText="1"/>
    </xf>
    <xf numFmtId="164" fontId="17" fillId="23" borderId="35" xfId="0" applyNumberFormat="1" applyFont="1" applyFill="1" applyBorder="1" applyAlignment="1">
      <alignment horizontal="center" vertical="center" wrapText="1"/>
    </xf>
    <xf numFmtId="164" fontId="17" fillId="23" borderId="23" xfId="0" applyNumberFormat="1" applyFont="1" applyFill="1" applyBorder="1" applyAlignment="1">
      <alignment horizontal="center" vertical="center" wrapText="1"/>
    </xf>
    <xf numFmtId="0" fontId="28" fillId="24" borderId="18" xfId="0" applyFont="1" applyFill="1" applyBorder="1" applyAlignment="1">
      <alignment horizontal="center" vertical="center"/>
    </xf>
    <xf numFmtId="0" fontId="28" fillId="24" borderId="16" xfId="0" applyFont="1" applyFill="1" applyBorder="1" applyAlignment="1">
      <alignment horizontal="center" vertical="center"/>
    </xf>
    <xf numFmtId="0" fontId="28" fillId="24" borderId="19" xfId="0" applyFont="1" applyFill="1" applyBorder="1" applyAlignment="1">
      <alignment horizontal="center" vertical="center"/>
    </xf>
    <xf numFmtId="0" fontId="5" fillId="24" borderId="18" xfId="0" applyFont="1" applyFill="1" applyBorder="1" applyAlignment="1">
      <alignment horizontal="center" vertical="center"/>
    </xf>
    <xf numFmtId="0" fontId="5" fillId="24" borderId="16" xfId="0" applyFont="1" applyFill="1" applyBorder="1" applyAlignment="1">
      <alignment horizontal="center" vertical="center"/>
    </xf>
    <xf numFmtId="164" fontId="17" fillId="27" borderId="35" xfId="0" applyNumberFormat="1" applyFont="1" applyFill="1" applyBorder="1" applyAlignment="1">
      <alignment horizontal="center" vertical="center" wrapText="1"/>
    </xf>
    <xf numFmtId="164" fontId="17" fillId="27" borderId="23" xfId="0" applyNumberFormat="1" applyFont="1" applyFill="1" applyBorder="1" applyAlignment="1">
      <alignment horizontal="center" vertical="center" wrapText="1"/>
    </xf>
    <xf numFmtId="164" fontId="17" fillId="28" borderId="35" xfId="0" applyNumberFormat="1" applyFont="1" applyFill="1" applyBorder="1" applyAlignment="1">
      <alignment horizontal="center" vertical="center" wrapText="1"/>
    </xf>
    <xf numFmtId="164" fontId="17" fillId="28" borderId="23" xfId="0" applyNumberFormat="1" applyFont="1" applyFill="1" applyBorder="1" applyAlignment="1">
      <alignment horizontal="center" vertical="center" wrapText="1"/>
    </xf>
    <xf numFmtId="164" fontId="17" fillId="25" borderId="35" xfId="0" applyNumberFormat="1" applyFont="1" applyFill="1" applyBorder="1" applyAlignment="1">
      <alignment horizontal="center" vertical="center" wrapText="1"/>
    </xf>
    <xf numFmtId="164" fontId="17" fillId="25" borderId="23" xfId="0" applyNumberFormat="1" applyFont="1" applyFill="1" applyBorder="1" applyAlignment="1">
      <alignment horizontal="center" vertical="center" wrapText="1"/>
    </xf>
    <xf numFmtId="0" fontId="3" fillId="6" borderId="6" xfId="8" applyFont="1" applyFill="1" applyBorder="1" applyAlignment="1">
      <alignment horizontal="center" vertical="center"/>
    </xf>
    <xf numFmtId="0" fontId="3" fillId="6" borderId="12" xfId="8" applyFont="1" applyFill="1" applyBorder="1" applyAlignment="1">
      <alignment horizontal="center" vertical="center"/>
    </xf>
    <xf numFmtId="0" fontId="16" fillId="8" borderId="0" xfId="0" applyFont="1" applyFill="1" applyAlignment="1">
      <alignment horizontal="center"/>
    </xf>
    <xf numFmtId="0" fontId="21" fillId="14" borderId="0" xfId="0" applyFont="1" applyFill="1" applyAlignment="1">
      <alignment horizontal="center" vertical="center" wrapText="1"/>
    </xf>
  </cellXfs>
  <cellStyles count="12">
    <cellStyle name="Comma" xfId="3" builtinId="3"/>
    <cellStyle name="Currency" xfId="1" builtinId="4"/>
    <cellStyle name="Currency 2" xfId="7" xr:uid="{C53F798C-9C37-4C09-97FB-BAB976B038F9}"/>
    <cellStyle name="Normal" xfId="0" builtinId="0"/>
    <cellStyle name="Normal 2" xfId="4" xr:uid="{6397B585-B355-4EE4-BECB-AE81CB9A14CC}"/>
    <cellStyle name="Normal 2 2" xfId="9" xr:uid="{0DC01637-E76F-4CDC-990D-3644A46CA711}"/>
    <cellStyle name="Normal 3" xfId="5" xr:uid="{87171445-7CDE-4DCF-AA9D-6756CB791BFD}"/>
    <cellStyle name="Normal 4" xfId="6" xr:uid="{F5A9ADC6-C63A-41E5-9BB7-CBCBB5857D7E}"/>
    <cellStyle name="Normal 5" xfId="8" xr:uid="{1FC47D6A-2C05-404A-BC14-E6761DDD86BC}"/>
    <cellStyle name="Normal 6" xfId="10" xr:uid="{F4AC6AE4-4FF0-4D18-BE43-227D8CA01FEE}"/>
    <cellStyle name="Normal 7" xfId="11" xr:uid="{FB698A6A-B168-4630-AA00-4BC947320A10}"/>
    <cellStyle name="Percent" xfId="2" builtinId="5"/>
  </cellStyles>
  <dxfs count="114">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auto="1"/>
      </font>
      <fill>
        <patternFill>
          <bgColor theme="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ont>
        <color rgb="FF9C0006"/>
      </font>
      <fill>
        <patternFill>
          <bgColor rgb="FFFFC7CE"/>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auto="1"/>
      </font>
      <fill>
        <patternFill>
          <bgColor rgb="FFD2E2C6"/>
        </patternFill>
      </fill>
    </dxf>
    <dxf>
      <font>
        <color auto="1"/>
      </font>
      <fill>
        <patternFill>
          <bgColor rgb="FFEEBDC5"/>
        </patternFill>
      </fill>
    </dxf>
    <dxf>
      <font>
        <color auto="1"/>
      </font>
      <fill>
        <patternFill>
          <bgColor rgb="FFFFFFCC"/>
        </patternFill>
      </fill>
    </dxf>
    <dxf>
      <font>
        <b val="0"/>
        <i val="0"/>
        <strike val="0"/>
        <condense val="0"/>
        <extend val="0"/>
        <outline val="0"/>
        <shadow val="0"/>
        <u val="none"/>
        <vertAlign val="baseline"/>
        <sz val="10"/>
        <color auto="1"/>
        <name val="Arial"/>
        <scheme val="none"/>
      </font>
      <numFmt numFmtId="3" formatCode="#,##0"/>
    </dxf>
    <dxf>
      <font>
        <b val="0"/>
      </font>
    </dxf>
    <dxf>
      <alignment horizontal="center" vertical="bottom" textRotation="0" wrapText="0" indent="0" justifyLastLine="0" shrinkToFit="0" readingOrder="0"/>
    </dxf>
    <dxf>
      <numFmt numFmtId="164" formatCode="_(&quot;$&quot;* #,##0_);_(&quot;$&quot;* \(#,##0\);_(&quot;$&quot;* &quot;-&quot;??_);_(@_)"/>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dxf>
    <dxf>
      <font>
        <strike val="0"/>
        <outline val="0"/>
        <shadow val="0"/>
        <u val="none"/>
        <vertAlign val="baseline"/>
        <sz val="1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_(&quot;$&quot;* #,##0_);_(&quot;$&quot;* \(#,##0\);_(&quot;$&quot;* &quot;-&quot;??_);_(@_)"/>
      <alignment horizontal="center" vertical="bottom" textRotation="0" wrapText="0" indent="0" justifyLastLine="0" shrinkToFit="0" readingOrder="0"/>
      <protection locked="0" hidden="0"/>
    </dxf>
    <dxf>
      <font>
        <b/>
      </font>
      <alignment horizontal="center" vertical="bottom" textRotation="0" wrapText="0" indent="0" justifyLastLine="0" shrinkToFit="0" readingOrder="0"/>
    </dxf>
    <dxf>
      <numFmt numFmtId="164" formatCode="_(&quot;$&quot;* #,##0_);_(&quot;$&quot;* \(#,##0\);_(&quot;$&quot;* &quot;-&quot;??_);_(@_)"/>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general" vertical="bottom" textRotation="0" wrapText="1" indent="0" justifyLastLine="0" shrinkToFit="0" readingOrder="0"/>
      <protection locked="0" hidden="0"/>
    </dxf>
    <dxf>
      <protection locked="0" hidden="0"/>
    </dxf>
    <dxf>
      <numFmt numFmtId="10" formatCode="&quot;$&quot;#,##0_);[Red]\(&quot;$&quot;#,##0\)"/>
      <protection locked="1" hidden="0"/>
    </dxf>
    <dxf>
      <numFmt numFmtId="167" formatCode="&quot;$&quot;#,##0"/>
      <protection locked="0" hidden="0"/>
    </dxf>
    <dxf>
      <numFmt numFmtId="167" formatCode="&quot;$&quot;#,##0"/>
      <protection locked="0" hidden="0"/>
    </dxf>
    <dxf>
      <protection locked="0" hidden="0"/>
    </dxf>
    <dxf>
      <protection locked="0" hidden="0"/>
    </dxf>
    <dxf>
      <protection locked="0" hidden="0"/>
    </dxf>
    <dxf>
      <protection locked="0" hidden="0"/>
    </dxf>
    <dxf>
      <font>
        <strike val="0"/>
        <outline val="0"/>
        <shadow val="0"/>
        <u val="none"/>
        <vertAlign val="baseline"/>
        <sz val="10"/>
        <color theme="0"/>
        <name val="Arial"/>
        <scheme val="none"/>
      </font>
      <protection locked="1"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indexed="65"/>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indexed="65"/>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indexed="65"/>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indexed="65"/>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indexed="65"/>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indexed="65"/>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indexed="65"/>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protection locked="0" hidden="0"/>
    </dxf>
    <dxf>
      <font>
        <sz val="10"/>
        <color auto="1"/>
        <name val="Arial"/>
        <scheme val="none"/>
      </font>
      <numFmt numFmtId="0" formatCode="General"/>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protection locked="0" hidden="0"/>
    </dxf>
    <dxf>
      <font>
        <sz val="10"/>
        <color auto="1"/>
        <name val="Arial"/>
        <scheme val="none"/>
      </font>
      <numFmt numFmtId="0" formatCode="General"/>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fill>
        <patternFill patternType="none">
          <fgColor indexed="64"/>
          <bgColor indexed="65"/>
        </patternFill>
      </fill>
      <protection locked="0" hidden="0"/>
    </dxf>
    <dxf>
      <font>
        <sz val="10"/>
        <color auto="1"/>
        <name val="Arial"/>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fill>
        <patternFill patternType="none">
          <fgColor indexed="64"/>
          <bgColor auto="1"/>
        </patternFill>
      </fill>
      <protection locked="0" hidden="0"/>
    </dxf>
    <dxf>
      <font>
        <b/>
        <i val="0"/>
        <strike val="0"/>
        <condense val="0"/>
        <extend val="0"/>
        <outline val="0"/>
        <shadow val="0"/>
        <u val="none"/>
        <vertAlign val="baseline"/>
        <sz val="10"/>
        <color auto="1"/>
        <name val="Arial"/>
        <scheme val="none"/>
      </font>
      <numFmt numFmtId="164" formatCode="_(&quot;$&quot;* #,##0_);_(&quot;$&quot;* \(#,##0\);_(&quot;$&quot;* &quot;-&quot;??_);_(@_)"/>
      <fill>
        <patternFill patternType="solid">
          <fgColor indexed="64"/>
          <bgColor indexed="2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numFmt numFmtId="164" formatCode="_(&quot;$&quot;* #,##0_);_(&quot;$&quot;* \(#,##0\);_(&quot;$&quot;*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4" formatCode="_(&quot;$&quot;* #,##0_);_(&quot;$&quot;* \(#,##0\);_(&quot;$&quot;*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4" formatCode="_(&quot;$&quot;* #,##0_);_(&quot;$&quot;* \(#,##0\);_(&quot;$&quot;*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4" formatCode="_(&quot;$&quot;* #,##0_);_(&quot;$&quot;* \(#,##0\);_(&quot;$&quot;*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4" formatCode="_(&quot;$&quot;* #,##0_);_(&quot;$&quot;* \(#,##0\);_(&quot;$&quot;*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4" formatCode="_(&quot;$&quot;* #,##0_);_(&quot;$&quot;* \(#,##0\);_(&quot;$&quot;*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164" formatCode="_(&quot;$&quot;* #,##0_);_(&quot;$&quot;* \(#,##0\);_(&quot;$&quot;*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border diagonalUp="0" diagonalDown="0">
        <left style="thin">
          <color indexed="64"/>
        </left>
        <right style="thin">
          <color indexed="64"/>
        </right>
        <top/>
        <bottom/>
        <vertical style="thin">
          <color indexed="64"/>
        </vertical>
        <horizontal/>
      </border>
    </dxf>
  </dxfs>
  <tableStyles count="0" defaultTableStyle="TableStyleMedium2" defaultPivotStyle="PivotStyleLight16"/>
  <colors>
    <mruColors>
      <color rgb="FF85B063"/>
      <color rgb="FFD24B62"/>
      <color rgb="FFC41230"/>
      <color rgb="FFF5F8FA"/>
      <color rgb="FF7AA5C1"/>
      <color rgb="FFF9FBF7"/>
      <color rgb="FFB8CFDE"/>
      <color rgb="FFC0C2C4"/>
      <color rgb="FF005288"/>
      <color rgb="FF3D7C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38100</xdr:rowOff>
    </xdr:from>
    <xdr:to>
      <xdr:col>0</xdr:col>
      <xdr:colOff>664845</xdr:colOff>
      <xdr:row>0</xdr:row>
      <xdr:rowOff>248143</xdr:rowOff>
    </xdr:to>
    <xdr:pic>
      <xdr:nvPicPr>
        <xdr:cNvPr id="3" name="Picture 2">
          <a:extLst>
            <a:ext uri="{FF2B5EF4-FFF2-40B4-BE49-F238E27FC236}">
              <a16:creationId xmlns:a16="http://schemas.microsoft.com/office/drawing/2014/main" id="{36318DA7-6F3D-CBCB-971A-FFF7522F947C}"/>
            </a:ext>
          </a:extLst>
        </xdr:cNvPr>
        <xdr:cNvPicPr>
          <a:picLocks noChangeAspect="1"/>
        </xdr:cNvPicPr>
      </xdr:nvPicPr>
      <xdr:blipFill>
        <a:blip xmlns:r="http://schemas.openxmlformats.org/officeDocument/2006/relationships" r:embed="rId1"/>
        <a:stretch>
          <a:fillRect/>
        </a:stretch>
      </xdr:blipFill>
      <xdr:spPr>
        <a:xfrm>
          <a:off x="76200" y="38100"/>
          <a:ext cx="601980" cy="2062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438150</xdr:colOff>
      <xdr:row>0</xdr:row>
      <xdr:rowOff>133350</xdr:rowOff>
    </xdr:from>
    <xdr:to>
      <xdr:col>0</xdr:col>
      <xdr:colOff>1539240</xdr:colOff>
      <xdr:row>0</xdr:row>
      <xdr:rowOff>548640</xdr:rowOff>
    </xdr:to>
    <xdr:pic>
      <xdr:nvPicPr>
        <xdr:cNvPr id="2" name="Picture 5">
          <a:extLst>
            <a:ext uri="{FF2B5EF4-FFF2-40B4-BE49-F238E27FC236}">
              <a16:creationId xmlns:a16="http://schemas.microsoft.com/office/drawing/2014/main" id="{BA241031-28CD-43EC-99B4-FC49548E1A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0" y="133350"/>
          <a:ext cx="1095375" cy="4152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sfema.sharepoint.com/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11D60D-A5DF-4454-8438-012D7E5CB0F6}" name="Summary" displayName="Summary" ref="A21:M113" totalsRowShown="0" headerRowDxfId="113" headerRowBorderDxfId="112" tableBorderDxfId="111" totalsRowBorderDxfId="110">
  <autoFilter ref="A21:M113" xr:uid="{A611D60D-A5DF-4454-8438-012D7E5CB0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2" xr3:uid="{0D6F76FE-70EE-4D15-83D7-D533AA39D877}" name="County" dataDxfId="109"/>
    <tableColumn id="3" xr3:uid="{85DFEBD2-596F-476A-A10A-B5F6061116ED}" name="Population" dataDxfId="108" dataCellStyle="Currency"/>
    <tableColumn id="4" xr3:uid="{0736161D-8BAB-43B9-8CCE-85605BEEC678}" name="Cat A" dataDxfId="107" dataCellStyle="Currency">
      <calculatedColumnFormula>SUMIF(Input[County], A22, Input[A])</calculatedColumnFormula>
    </tableColumn>
    <tableColumn id="5" xr3:uid="{DC10CDC9-6506-41BB-AAF2-CA017518F45B}" name="Cat B" dataDxfId="106" dataCellStyle="Currency">
      <calculatedColumnFormula>SUMIF(Input[County], A22, Input[B])</calculatedColumnFormula>
    </tableColumn>
    <tableColumn id="6" xr3:uid="{7A81C414-E776-4A0C-A2C0-0E535D14B547}" name="Cat C" dataDxfId="105" dataCellStyle="Currency">
      <calculatedColumnFormula>SUMIF(Input[County], A22, Input[C])</calculatedColumnFormula>
    </tableColumn>
    <tableColumn id="7" xr3:uid="{36FB0365-F903-49EC-AB8B-2BA28383250E}" name="Cat D" dataDxfId="104" dataCellStyle="Currency">
      <calculatedColumnFormula>SUMIF(Input[County], A22, Input[D])</calculatedColumnFormula>
    </tableColumn>
    <tableColumn id="8" xr3:uid="{432746BA-5F2C-4710-8C4A-C9B4DCAC57E3}" name="Cat E" dataDxfId="103" dataCellStyle="Currency">
      <calculatedColumnFormula>SUMIF(Input[County], A22, Input[E])</calculatedColumnFormula>
    </tableColumn>
    <tableColumn id="9" xr3:uid="{7B1B67D2-5BC0-4550-A55A-0465D09D4115}" name="Cat F" dataDxfId="102" dataCellStyle="Currency">
      <calculatedColumnFormula>SUMIF(Input[County], A22, Input[F])</calculatedColumnFormula>
    </tableColumn>
    <tableColumn id="10" xr3:uid="{2E7D2544-9594-445E-AE1F-DB4000BA6C62}" name="Cat G" dataDxfId="101">
      <calculatedColumnFormula>SUMIF(Input[County], A22, Input[G])</calculatedColumnFormula>
    </tableColumn>
    <tableColumn id="11" xr3:uid="{88EB6E7F-B7FC-4FD5-BF80-7956148057B7}" name="Total" dataDxfId="100">
      <calculatedColumnFormula>SUM(C22:I22)</calculatedColumnFormula>
    </tableColumn>
    <tableColumn id="12" xr3:uid="{75DC270D-54F4-47A4-AFF1-292E5EE8A4A6}" name="County PCI Target" dataDxfId="99" dataCellStyle="Comma">
      <calculatedColumnFormula>Summary[[#This Row],[Population]]*'Input Sheet'!$J$2</calculatedColumnFormula>
    </tableColumn>
    <tableColumn id="13" xr3:uid="{8C6DDD32-ED39-4F6E-99D9-DF365D3AB138}" name="% County PCI Target" dataDxfId="98" dataCellStyle="Currency">
      <calculatedColumnFormula>IF(A22="","",J22/K22)</calculatedColumnFormula>
    </tableColumn>
    <tableColumn id="14" xr3:uid="{DBFACB76-3A8B-4188-B456-2448B2E63A3E}" name="Target" dataDxfId="97" dataCellStyle="Percent">
      <calculatedColumnFormula array="1">_xlfn.IFS(A74="", "", L74&gt;1, "Met 100% PCI Target", AND(L74&gt;0.4999, L74&lt;1), "Met 50% PCI Target", L74&lt;0.4999, "Didn't Meet PCI Target")</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put" displayName="Input" ref="A4:J6" insertRow="1" totalsRowCount="1" headerRowDxfId="96" dataDxfId="95" headerRowCellStyle="Currency" dataCellStyle="Currency">
  <autoFilter ref="A4:J5" xr:uid="{00000000-0009-0000-0100-000001000000}"/>
  <tableColumns count="10">
    <tableColumn id="1" xr3:uid="{00000000-0010-0000-0000-000001000000}" name="Subrecipient" totalsRowLabel="Total" dataDxfId="94" totalsRowDxfId="93"/>
    <tableColumn id="2" xr3:uid="{00000000-0010-0000-0000-000002000000}" name="County" dataDxfId="92" totalsRowDxfId="91"/>
    <tableColumn id="12" xr3:uid="{00000000-0010-0000-0000-00000C000000}" name="Status" dataDxfId="90" totalsRowDxfId="89"/>
    <tableColumn id="3" xr3:uid="{00000000-0010-0000-0000-000003000000}" name="A" totalsRowFunction="sum" dataDxfId="88" totalsRowDxfId="87" dataCellStyle="Currency"/>
    <tableColumn id="4" xr3:uid="{00000000-0010-0000-0000-000004000000}" name="B" totalsRowFunction="sum" dataDxfId="86" totalsRowDxfId="85" dataCellStyle="Currency"/>
    <tableColumn id="5" xr3:uid="{00000000-0010-0000-0000-000005000000}" name="C" totalsRowFunction="sum" dataDxfId="84" totalsRowDxfId="83" dataCellStyle="Currency"/>
    <tableColumn id="6" xr3:uid="{00000000-0010-0000-0000-000006000000}" name="D" totalsRowFunction="sum" dataDxfId="82" totalsRowDxfId="81" dataCellStyle="Currency"/>
    <tableColumn id="7" xr3:uid="{00000000-0010-0000-0000-000007000000}" name="E" totalsRowFunction="sum" dataDxfId="80" totalsRowDxfId="79" dataCellStyle="Currency"/>
    <tableColumn id="8" xr3:uid="{00000000-0010-0000-0000-000008000000}" name="F" totalsRowFunction="sum" dataDxfId="78" totalsRowDxfId="77" dataCellStyle="Currency"/>
    <tableColumn id="9" xr3:uid="{00000000-0010-0000-0000-000009000000}" name="G" totalsRowFunction="sum" dataDxfId="76" totalsRowDxfId="75" dataCellStyle="Currency"/>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953F2B8-F789-4D1A-9C13-E673D9529912}" name="Table14" displayName="Table14" ref="A1:B121" totalsRowCount="1">
  <autoFilter ref="A1:B120" xr:uid="{9953F2B8-F789-4D1A-9C13-E673D9529912}"/>
  <tableColumns count="2">
    <tableColumn id="1" xr3:uid="{DD8E68CE-5A81-4E02-A085-6D1FDC82C94F}" name="Applicant"/>
    <tableColumn id="2" xr3:uid="{04FF6F9E-725C-43CA-B8AE-D85EA6E4A00A}" name="Count" totalsRowFunction="sum"/>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FD6873-9723-4315-BD51-261D04CFD34E}" name="Table4" displayName="Table4" ref="B2:I90" totalsRowShown="0" headerRowDxfId="74" dataDxfId="73">
  <autoFilter ref="B2:I90" xr:uid="{7E05BDDB-79A8-4B8C-B3FD-30233A573046}"/>
  <sortState xmlns:xlrd2="http://schemas.microsoft.com/office/spreadsheetml/2017/richdata2" ref="B3:I90">
    <sortCondition ref="G2:G90"/>
  </sortState>
  <tableColumns count="8">
    <tableColumn id="1" xr3:uid="{7EEE0074-EB92-40EF-8A32-AB18DEB43E4D}" name="County" dataDxfId="72"/>
    <tableColumn id="10" xr3:uid="{1E4BE285-96D0-438D-8111-D520314E2534}" name="Applicant" dataDxfId="71" dataCellStyle="Normal 5"/>
    <tableColumn id="2" xr3:uid="{3EF791EB-CEA0-4FDC-912B-836E10C76362}" name="Cat" dataDxfId="70"/>
    <tableColumn id="5" xr3:uid="{BA1D7291-58AF-4CC1-8193-CD196FB2E265}" name="Original" dataDxfId="69"/>
    <tableColumn id="6" xr3:uid="{22412F6E-4885-48AE-B110-FFD3C229FD09}" name="Eligible" dataDxfId="68"/>
    <tableColumn id="7" xr3:uid="{2AC1E620-4DC7-46CE-AA22-FD4CD5AE2935}" name="Reduction" dataDxfId="67">
      <calculatedColumnFormula>Table4[[#This Row],[Eligible]]-Table4[[#This Row],[Original]]</calculatedColumnFormula>
    </tableColumn>
    <tableColumn id="8" xr3:uid="{8C265620-B45E-45A5-8EED-479C45DB620C}" name="Reduction Category" dataDxfId="66"/>
    <tableColumn id="9" xr3:uid="{69C451C8-EAD2-4DD1-8C8A-12331990BE8C}" name="Notes" dataDxfId="6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30622F-1FEF-4046-98B6-09C5F573A3DA}" name="Table2" displayName="Table2" ref="A3:B5" totalsRowShown="0">
  <autoFilter ref="A3:B5" xr:uid="{3ED93207-4941-458E-99C9-3DF129386241}"/>
  <tableColumns count="2">
    <tableColumn id="1" xr3:uid="{10136221-F42B-4C2D-95D9-3ACA1D2ED668}" name="Timeline" dataDxfId="64"/>
    <tableColumn id="2" xr3:uid="{E07EA3CA-15AE-47A8-BDBD-B93CAB5A0A90}" name="Date" dataDxfId="6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1D19E8-3B52-4C64-8F82-73D067588C4D}" name="Table48" displayName="Table48" ref="A7:B9" totalsRowShown="0">
  <autoFilter ref="A7:B9" xr:uid="{6D58C4D5-BDE3-46A2-ADF3-D1F0E500DCCA}"/>
  <tableColumns count="2">
    <tableColumn id="1" xr3:uid="{1C821235-3FCA-4849-A5E0-36D0EBDFBBA6}" name="PDA Stats - Indiana" dataDxfId="62"/>
    <tableColumn id="2" xr3:uid="{56FCF4F6-CEEA-400F-A647-A7E6E3ECF7A8}" name="Total" dataDxfId="6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4F0A10-C895-4160-95EB-52C4087F965A}" name="Table5" displayName="Table5" ref="A11:B13" totalsRowShown="0">
  <autoFilter ref="A11:B13" xr:uid="{2CB3AF50-EA69-4D74-949F-F61271DF251B}"/>
  <tableColumns count="2">
    <tableColumn id="1" xr3:uid="{8E8F858E-C2B7-4669-A34C-80C5BD2600FC}" name="Total &amp; State Threshold" dataDxfId="60"/>
    <tableColumn id="2" xr3:uid="{A4164AB5-2A72-4A9E-B340-39686E43A1F1}" name="Total" dataDxfId="59" dataCellStyle="Currenc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6A538CF-2523-4E2A-9191-4171B410EDF4}" name="Table6" displayName="Table6" ref="A21:B28" totalsRowShown="0">
  <autoFilter ref="A21:B28" xr:uid="{F73F8F99-B5AB-44E1-8672-86656D12F957}"/>
  <tableColumns count="2">
    <tableColumn id="1" xr3:uid="{E7CED4B5-9411-40CC-A7E9-555652E3C142}" name="Damage Category" dataDxfId="58"/>
    <tableColumn id="2" xr3:uid="{AD7BAACE-6200-41A2-968D-8210A7EC0847}" name="Total" dataDxfId="5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4B0CDA-AC5C-4E35-8D80-75B7EF61846A}" name="Table8" displayName="Table8" ref="A15:B19" totalsRowShown="0">
  <autoFilter ref="A15:B19" xr:uid="{4DF3F019-098B-49D1-B6E0-8218945A9C96}"/>
  <tableColumns count="2">
    <tableColumn id="1" xr3:uid="{44711371-9B3D-4C73-AA93-49F09A98D5EA}" name="Indicators &amp; Projects" dataDxfId="56"/>
    <tableColumn id="2" xr3:uid="{B5EE479B-9662-47EE-851F-A20F64119F31}" name="Total" dataDxfId="55" dataCellStyle="Currenc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70BE94-E368-4020-88B8-6791B78F30A3}" name="Table9" displayName="Table9" ref="A30:B44" totalsRowShown="0" headerRowDxfId="54" dataDxfId="53">
  <autoFilter ref="A30:B44" xr:uid="{9B7873ED-57C0-4FC8-8FFE-38549EF9988F}"/>
  <sortState xmlns:xlrd2="http://schemas.microsoft.com/office/spreadsheetml/2017/richdata2" ref="A31:B45">
    <sortCondition descending="1" ref="B30:B45"/>
  </sortState>
  <tableColumns count="2">
    <tableColumn id="1" xr3:uid="{BA2A53D8-8C48-4060-87B8-9856CC0D076C}" name="FEMA Team" dataDxfId="52"/>
    <tableColumn id="2" xr3:uid="{00B1DAD3-957A-4B45-9759-2955C9F9CED6}" name="State Team" dataDxfId="5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2121680-1A41-4029-AC2D-5BBFE356DB18}" name="Table114" displayName="Table114" ref="D16:E108" totalsRowShown="0" dataDxfId="50">
  <autoFilter ref="D16:E108" xr:uid="{CFB1C6C3-E424-4564-BD9D-B8AA8E65C9F9}"/>
  <sortState xmlns:xlrd2="http://schemas.microsoft.com/office/spreadsheetml/2017/richdata2" ref="D17:E17">
    <sortCondition ref="D16:D17"/>
  </sortState>
  <tableColumns count="2">
    <tableColumn id="1" xr3:uid="{8A1F18A1-3B44-490B-86C6-EF40AB69B845}" name="County" dataDxfId="49"/>
    <tableColumn id="2" xr3:uid="{52E1D29A-D2A1-4B8C-9C18-584A37642C1E}" name="Total" dataDxfId="48" dataCellStyle="Currency">
      <calculatedColumnFormula>_xlfn.XLOOKUP(Table114[[#This Row],[County]], Summary[County], Summary[Total])</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op" displayName="Pop" ref="A1:B75" totalsRowShown="0" headerRowDxfId="47">
  <autoFilter ref="A1:B75" xr:uid="{00000000-0009-0000-0100-000002000000}"/>
  <tableColumns count="2">
    <tableColumn id="3" xr3:uid="{00000000-0010-0000-0100-000003000000}" name="County" dataDxfId="46"/>
    <tableColumn id="4" xr3:uid="{00000000-0010-0000-0100-000004000000}" name="Population" dataDxfId="45"/>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 Id="rId9"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2FD7E-11AD-4698-A07F-DE0349CF8E44}">
  <sheetPr>
    <tabColor theme="6"/>
    <pageSetUpPr fitToPage="1"/>
  </sheetPr>
  <dimension ref="A1:Q428"/>
  <sheetViews>
    <sheetView tabSelected="1" zoomScaleNormal="100" workbookViewId="0">
      <pane ySplit="21" topLeftCell="A22" activePane="bottomLeft" state="frozen"/>
      <selection pane="bottomLeft" activeCell="A8" sqref="A8"/>
    </sheetView>
  </sheetViews>
  <sheetFormatPr defaultColWidth="9.140625" defaultRowHeight="15" x14ac:dyDescent="0.25"/>
  <cols>
    <col min="1" max="1" width="23.140625" style="162" bestFit="1" customWidth="1"/>
    <col min="2" max="2" width="14.7109375" style="166" bestFit="1" customWidth="1"/>
    <col min="3" max="4" width="12.5703125" style="166" bestFit="1" customWidth="1"/>
    <col min="5" max="8" width="14.28515625" style="166" bestFit="1" customWidth="1"/>
    <col min="9" max="9" width="12.5703125" style="162" bestFit="1" customWidth="1"/>
    <col min="10" max="10" width="15.28515625" style="162" bestFit="1" customWidth="1"/>
    <col min="11" max="11" width="17.28515625" style="168" bestFit="1" customWidth="1"/>
    <col min="12" max="12" width="19.28515625" style="167" bestFit="1" customWidth="1"/>
    <col min="13" max="13" width="26.5703125" style="165" bestFit="1" customWidth="1"/>
    <col min="14" max="16384" width="9.140625" style="162"/>
  </cols>
  <sheetData>
    <row r="1" spans="1:17" ht="19.5" thickBot="1" x14ac:dyDescent="0.3">
      <c r="A1" s="249" t="s">
        <v>361</v>
      </c>
      <c r="B1" s="250"/>
      <c r="C1" s="250"/>
      <c r="D1" s="250"/>
      <c r="E1" s="250"/>
      <c r="F1" s="250"/>
      <c r="G1" s="250"/>
      <c r="H1" s="250"/>
      <c r="I1" s="250"/>
      <c r="J1" s="250"/>
      <c r="K1" s="250"/>
      <c r="L1" s="250"/>
      <c r="M1" s="251"/>
    </row>
    <row r="2" spans="1:17" ht="19.5" thickBot="1" x14ac:dyDescent="0.3">
      <c r="A2" s="249" t="str">
        <f>" PRELIMINARY DAMAGE ASSESSMENT for " &amp;'Input Sheet'!F1&amp;" " &amp; TEXT('Input Sheet'!H1,"M/D/YYYY") &amp; " to " &amp;  TEXT('Input Sheet'!H2,"M/D/YYYY")</f>
        <v xml:space="preserve"> PRELIMINARY DAMAGE ASSESSMENT for  1/0/1900 to 1/0/1900</v>
      </c>
      <c r="B2" s="250"/>
      <c r="C2" s="250"/>
      <c r="D2" s="250"/>
      <c r="E2" s="250"/>
      <c r="F2" s="250"/>
      <c r="G2" s="250"/>
      <c r="H2" s="250"/>
      <c r="I2" s="250"/>
      <c r="J2" s="250"/>
      <c r="K2" s="250"/>
      <c r="L2" s="250"/>
      <c r="M2" s="251"/>
    </row>
    <row r="3" spans="1:17" customFormat="1" ht="5.25" customHeight="1" thickBot="1" x14ac:dyDescent="0.3"/>
    <row r="4" spans="1:17" ht="30.75" thickBot="1" x14ac:dyDescent="0.3">
      <c r="A4" s="252" t="s">
        <v>345</v>
      </c>
      <c r="B4" s="253"/>
      <c r="C4" s="183" t="s">
        <v>0</v>
      </c>
      <c r="D4" s="183" t="s">
        <v>1</v>
      </c>
      <c r="E4" s="183" t="s">
        <v>2</v>
      </c>
      <c r="F4" s="183" t="s">
        <v>3</v>
      </c>
      <c r="G4" s="183" t="s">
        <v>4</v>
      </c>
      <c r="H4" s="183" t="s">
        <v>5</v>
      </c>
      <c r="I4" s="183" t="s">
        <v>6</v>
      </c>
      <c r="J4" s="183" t="s">
        <v>7</v>
      </c>
      <c r="K4" s="180" t="s">
        <v>349</v>
      </c>
      <c r="L4" s="181" t="s">
        <v>8</v>
      </c>
      <c r="M4" s="182" t="s">
        <v>351</v>
      </c>
    </row>
    <row r="5" spans="1:17" customFormat="1" ht="5.25" customHeight="1" thickBot="1" x14ac:dyDescent="0.3"/>
    <row r="6" spans="1:17" ht="15.75" thickBot="1" x14ac:dyDescent="0.3">
      <c r="A6" s="254" t="s">
        <v>210</v>
      </c>
      <c r="B6" s="228" t="s">
        <v>9</v>
      </c>
      <c r="C6" s="217">
        <f>SUM(Summary[Cat A])</f>
        <v>0</v>
      </c>
      <c r="D6" s="204">
        <f>SUM(Summary[Cat B])</f>
        <v>0</v>
      </c>
      <c r="E6" s="204">
        <f>SUM(Summary[Cat C])</f>
        <v>0</v>
      </c>
      <c r="F6" s="204">
        <f>SUM(Summary[Cat D])</f>
        <v>0</v>
      </c>
      <c r="G6" s="204">
        <f>SUM(Summary[Cat E])</f>
        <v>0</v>
      </c>
      <c r="H6" s="204">
        <f>SUM(Summary[Cat F])</f>
        <v>0</v>
      </c>
      <c r="I6" s="204">
        <f>SUM(Summary[Cat G])</f>
        <v>0</v>
      </c>
      <c r="J6" s="204">
        <f>SUM(Summary[Total])</f>
        <v>0</v>
      </c>
      <c r="K6" s="184">
        <f>'Input Sheet'!D2</f>
        <v>6785528</v>
      </c>
      <c r="L6" s="185" cm="1">
        <f t="array" ref="L6">SUMPRODUCT((Input[County]&lt;&gt;"")/COUNTIF(Input[County],Input[County]&amp;""))</f>
        <v>0</v>
      </c>
      <c r="M6" s="162"/>
    </row>
    <row r="7" spans="1:17" ht="15.75" thickBot="1" x14ac:dyDescent="0.3">
      <c r="A7" s="255"/>
      <c r="B7" s="227" t="s">
        <v>10</v>
      </c>
      <c r="C7" s="232">
        <f>IFERROR(C6/$J6, 0)</f>
        <v>0</v>
      </c>
      <c r="D7" s="233">
        <f t="shared" ref="D7:I7" si="0">IFERROR(D6/$J6, 0)</f>
        <v>0</v>
      </c>
      <c r="E7" s="233">
        <f t="shared" si="0"/>
        <v>0</v>
      </c>
      <c r="F7" s="233">
        <f>IFERROR(F6/$J6, 0)</f>
        <v>0</v>
      </c>
      <c r="G7" s="233">
        <f t="shared" si="0"/>
        <v>0</v>
      </c>
      <c r="H7" s="233">
        <f t="shared" si="0"/>
        <v>0</v>
      </c>
      <c r="I7" s="234">
        <f t="shared" si="0"/>
        <v>0</v>
      </c>
      <c r="K7" s="162"/>
      <c r="L7" s="162"/>
      <c r="M7" s="162"/>
    </row>
    <row r="8" spans="1:17" customFormat="1" ht="5.25" customHeight="1" thickBot="1" x14ac:dyDescent="0.3">
      <c r="J8" s="200"/>
      <c r="K8" s="200"/>
      <c r="L8" s="200"/>
      <c r="M8" s="162"/>
      <c r="N8" s="201"/>
    </row>
    <row r="9" spans="1:17" s="163" customFormat="1" ht="15.75" thickBot="1" x14ac:dyDescent="0.3">
      <c r="A9" s="256" t="s">
        <v>441</v>
      </c>
      <c r="B9" s="238" t="s">
        <v>344</v>
      </c>
      <c r="C9" s="239">
        <f>SUMIF(Summary[Target], "Did Not Meet PCI Target", Summary[Cat A])</f>
        <v>0</v>
      </c>
      <c r="D9" s="240">
        <f>SUMIF(Summary[Target], "Did Not Meet PCI Target", Summary[Cat B])</f>
        <v>0</v>
      </c>
      <c r="E9" s="240">
        <f>SUMIF(Summary[Target], "Did Not Meet PCI Target", Summary[Cat C])</f>
        <v>0</v>
      </c>
      <c r="F9" s="240">
        <f>SUMIF(Summary[Target], "Did Not Meet PCI Target", Summary[Cat D])</f>
        <v>0</v>
      </c>
      <c r="G9" s="240">
        <f>SUMIF(Summary[Target], "Did Not Meet PCI Target", Summary[Cat E])</f>
        <v>0</v>
      </c>
      <c r="H9" s="240">
        <f>SUMIF(Summary[Target], "Did Not Meet PCI Target", Summary[Cat F])</f>
        <v>0</v>
      </c>
      <c r="I9" s="240">
        <f>SUMIF(Summary[Target], "Did Not Meet PCI Target", Summary[Cat G])</f>
        <v>0</v>
      </c>
      <c r="J9" s="240">
        <f>SUMIF(Summary[Target], "Did Not Meet PCI Target", Summary[Total])</f>
        <v>0</v>
      </c>
      <c r="K9" s="241">
        <f>'Input Sheet'!D2</f>
        <v>6785528</v>
      </c>
      <c r="L9" s="242">
        <f>COUNTIF(Summary[Target],"Did Not Meet PCI Target")</f>
        <v>0</v>
      </c>
      <c r="M9" s="162"/>
    </row>
    <row r="10" spans="1:17" s="163" customFormat="1" ht="15.75" thickBot="1" x14ac:dyDescent="0.3">
      <c r="A10" s="257"/>
    </row>
    <row r="11" spans="1:17" customFormat="1" ht="5.25" customHeight="1" thickBot="1" x14ac:dyDescent="0.3">
      <c r="J11" s="1"/>
      <c r="K11" s="1"/>
      <c r="L11" s="1"/>
      <c r="M11" s="1"/>
    </row>
    <row r="12" spans="1:17" ht="15" customHeight="1" thickBot="1" x14ac:dyDescent="0.3">
      <c r="A12" s="258" t="s">
        <v>350</v>
      </c>
      <c r="B12" s="222" t="s">
        <v>344</v>
      </c>
      <c r="C12" s="223">
        <f>SUMIF(Summary[Target], "Met 100% PCI Target", Summary[Cat A])</f>
        <v>0</v>
      </c>
      <c r="D12" s="188">
        <f>SUMIF(Summary[Target], "Met 100% PCI Target", Summary[Cat B])</f>
        <v>0</v>
      </c>
      <c r="E12" s="188">
        <f>SUMIF(Summary[Target], "Met 100% PCI Target", Summary[Cat C])</f>
        <v>0</v>
      </c>
      <c r="F12" s="188">
        <f>SUMIF(Summary[Target], "Met 100% PCI Target", Summary[Cat D])</f>
        <v>0</v>
      </c>
      <c r="G12" s="188">
        <f>SUMIF(Summary[Target], "Met 100% PCI Target", Summary[Cat E])</f>
        <v>0</v>
      </c>
      <c r="H12" s="188">
        <f>SUMIF(Summary[Target], "Met 100% PCI Target", Summary[Cat F])</f>
        <v>0</v>
      </c>
      <c r="I12" s="188">
        <f>SUMIF(Summary[Target], "Met 100% PCI Target", Summary[Cat G])</f>
        <v>0</v>
      </c>
      <c r="J12" s="188">
        <f>SUMIF(Summary[Target], "Met 100% PCI Target", Summary[Total])</f>
        <v>0</v>
      </c>
      <c r="K12" s="189">
        <f>'Input Sheet'!D2</f>
        <v>6785528</v>
      </c>
      <c r="L12" s="190">
        <f>COUNTIF(Summary[Target],"Met 100% PCI Target")</f>
        <v>0</v>
      </c>
      <c r="M12" s="244">
        <f>IFERROR(J9/(K9*'Input Sheet'!J1), 0)</f>
        <v>0</v>
      </c>
    </row>
    <row r="13" spans="1:17" ht="15.75" thickBot="1" x14ac:dyDescent="0.3">
      <c r="A13" s="259"/>
      <c r="B13" s="221" t="s">
        <v>10</v>
      </c>
      <c r="C13" s="235">
        <f>IFERROR(C12/$J12,0)</f>
        <v>0</v>
      </c>
      <c r="D13" s="236">
        <f t="shared" ref="D13:I13" si="1">IFERROR(D12/$J12,0)</f>
        <v>0</v>
      </c>
      <c r="E13" s="236">
        <f t="shared" si="1"/>
        <v>0</v>
      </c>
      <c r="F13" s="236">
        <f>IFERROR(F12/$J12,0)</f>
        <v>0</v>
      </c>
      <c r="G13" s="236">
        <f t="shared" si="1"/>
        <v>0</v>
      </c>
      <c r="H13" s="236">
        <f t="shared" si="1"/>
        <v>0</v>
      </c>
      <c r="I13" s="237">
        <f t="shared" si="1"/>
        <v>0</v>
      </c>
      <c r="K13" s="162"/>
      <c r="L13" s="162"/>
      <c r="M13" s="162"/>
      <c r="Q13" s="162" t="s">
        <v>443</v>
      </c>
    </row>
    <row r="14" spans="1:17" customFormat="1" ht="5.25" customHeight="1" thickBot="1" x14ac:dyDescent="0.3">
      <c r="J14" s="1"/>
      <c r="K14" s="1"/>
      <c r="L14" s="1"/>
      <c r="M14" s="1"/>
    </row>
    <row r="15" spans="1:17" ht="15.75" thickBot="1" x14ac:dyDescent="0.3">
      <c r="A15" s="247" t="s">
        <v>440</v>
      </c>
      <c r="B15" s="226" t="s">
        <v>344</v>
      </c>
      <c r="C15" s="224">
        <f>SUMIF(Summary[Target], "Met 50% PCI Target", Summary[Cat A])</f>
        <v>0</v>
      </c>
      <c r="D15" s="191">
        <f>SUMIF(Summary[Target], "Met 50% PCI Target", Summary[Cat B])</f>
        <v>0</v>
      </c>
      <c r="E15" s="191">
        <f>SUMIF(Summary[Target], "Met 50% PCI Target", Summary[Cat C])</f>
        <v>0</v>
      </c>
      <c r="F15" s="191">
        <f>SUMIF(Summary[Target], "Met 50% PCI Target", Summary[Cat D])</f>
        <v>0</v>
      </c>
      <c r="G15" s="191">
        <f>SUMIF(Summary[Target], "Met 50% PCI Target", Summary[Cat E])</f>
        <v>0</v>
      </c>
      <c r="H15" s="191">
        <f>SUMIF(Summary[Target], "Met 50% PCI Target", Summary[Cat F])</f>
        <v>0</v>
      </c>
      <c r="I15" s="191">
        <f>SUMIF(Summary[Target], "Met 50% PCI Target", Summary[Cat G])</f>
        <v>0</v>
      </c>
      <c r="J15" s="191">
        <f>SUMIF(Summary[Target], "Met 50% PCI Target", Summary[Total])</f>
        <v>0</v>
      </c>
      <c r="K15" s="192">
        <f>'Input Sheet'!D2</f>
        <v>6785528</v>
      </c>
      <c r="L15" s="193">
        <f>COUNTIF(Summary[Target],"Met 50% PCI Target")</f>
        <v>0</v>
      </c>
      <c r="M15" s="162"/>
    </row>
    <row r="16" spans="1:17" ht="15.75" thickBot="1" x14ac:dyDescent="0.3">
      <c r="A16" s="248"/>
      <c r="B16" s="225" t="s">
        <v>10</v>
      </c>
      <c r="C16" s="235">
        <f>IFERROR(C15/$J$15, 0)</f>
        <v>0</v>
      </c>
      <c r="D16" s="236">
        <f t="shared" ref="D16:I16" si="2">IFERROR(D15/$J$15, 0)</f>
        <v>0</v>
      </c>
      <c r="E16" s="236">
        <f t="shared" si="2"/>
        <v>0</v>
      </c>
      <c r="F16" s="236">
        <f>IFERROR(F15/$J$15, 0)</f>
        <v>0</v>
      </c>
      <c r="G16" s="236">
        <f t="shared" si="2"/>
        <v>0</v>
      </c>
      <c r="H16" s="236">
        <f t="shared" si="2"/>
        <v>0</v>
      </c>
      <c r="I16" s="237">
        <f t="shared" si="2"/>
        <v>0</v>
      </c>
      <c r="K16" s="162"/>
      <c r="L16" s="162"/>
      <c r="M16" s="162"/>
    </row>
    <row r="17" spans="1:14" customFormat="1" ht="5.25" customHeight="1" thickBot="1" x14ac:dyDescent="0.3">
      <c r="J17" s="200"/>
      <c r="K17" s="200"/>
      <c r="L17" s="200"/>
      <c r="M17" s="200"/>
      <c r="N17" s="201"/>
    </row>
    <row r="18" spans="1:14" s="163" customFormat="1" ht="15.75" thickBot="1" x14ac:dyDescent="0.3">
      <c r="A18" s="245" t="s">
        <v>442</v>
      </c>
      <c r="B18" s="219" t="s">
        <v>344</v>
      </c>
      <c r="C18" s="218">
        <f>SUMIF(Summary[Target], "Met 100% PCI Target", Summary[Cat A])
+SUMIF(Summary[Target], "Met 50% PCI Target", Summary[Cat A])</f>
        <v>0</v>
      </c>
      <c r="D18" s="186">
        <f>SUMIF(Summary[Target], "Met 100% PCI Target", Summary[Cat B])
+SUMIF(Summary[Target], "Met 50% PCI Target", Summary[Cat B])</f>
        <v>0</v>
      </c>
      <c r="E18" s="186">
        <f>SUMIF(Summary[Target], "Met 100% PCI Target", Summary[Cat C])
+SUMIF(Summary[Target], "Met 50% PCI Target", Summary[Cat C])</f>
        <v>0</v>
      </c>
      <c r="F18" s="186">
        <f>SUMIF(Summary[Target], "Met 100% PCI Target", Summary[Cat D])
+SUMIF(Summary[Target], "Met 50% PCI Target", Summary[Cat D])</f>
        <v>0</v>
      </c>
      <c r="G18" s="186">
        <f>SUMIF(Summary[Target], "Met 100% PCI Target", Summary[Cat E])
+SUMIF(Summary[Target], "Met 50% PCI Target", Summary[Cat E])</f>
        <v>0</v>
      </c>
      <c r="H18" s="186">
        <f>SUMIF(Summary[Target], "Met 100% PCI Target", Summary[Cat F])
+SUMIF(Summary[Target], "Met 50% PCI Target", Summary[Cat F])</f>
        <v>0</v>
      </c>
      <c r="I18" s="186">
        <f>SUMIF(Summary[Target], "Met 100% PCI Target", Summary[Cat G])
+SUMIF(Summary[Target], "Met 50% PCI Target", Summary[Cat G])</f>
        <v>0</v>
      </c>
      <c r="J18" s="186">
        <f>SUMIF(Summary[Target], "Met 100% PCI Target", Summary[Total])
+SUMIF(Summary[Target], "Met 50% PCI Target", Summary[Total])</f>
        <v>0</v>
      </c>
      <c r="K18" s="187">
        <f>'Input Sheet'!D11</f>
        <v>0</v>
      </c>
      <c r="L18" s="243">
        <f>COUNTIF(Summary[Target],"Met 100% PCI Target")
+COUNTIF(Summary[Target],"Met 50% PCI Target")</f>
        <v>0</v>
      </c>
      <c r="M18" s="244">
        <f>IFERROR(J18/(K18*'Input Sheet'!J10), 0)</f>
        <v>0</v>
      </c>
    </row>
    <row r="19" spans="1:14" s="163" customFormat="1" ht="15.75" thickBot="1" x14ac:dyDescent="0.3">
      <c r="A19" s="246"/>
      <c r="B19" s="220" t="s">
        <v>10</v>
      </c>
      <c r="C19" s="235">
        <f>IFERROR(C18/$J18, 0)</f>
        <v>0</v>
      </c>
      <c r="D19" s="236">
        <f t="shared" ref="D19:I19" si="3">IFERROR(D18/$J18, 0)</f>
        <v>0</v>
      </c>
      <c r="E19" s="236">
        <f t="shared" si="3"/>
        <v>0</v>
      </c>
      <c r="F19" s="236">
        <f>IFERROR(F18/$J18, 0)</f>
        <v>0</v>
      </c>
      <c r="G19" s="236">
        <f t="shared" si="3"/>
        <v>0</v>
      </c>
      <c r="H19" s="236">
        <f t="shared" si="3"/>
        <v>0</v>
      </c>
      <c r="I19" s="237">
        <f t="shared" si="3"/>
        <v>0</v>
      </c>
    </row>
    <row r="20" spans="1:14" customFormat="1" ht="5.25" customHeight="1" thickBot="1" x14ac:dyDescent="0.3">
      <c r="J20" s="1"/>
      <c r="K20" s="1"/>
      <c r="L20" s="1"/>
      <c r="M20" s="1"/>
    </row>
    <row r="21" spans="1:14" s="164" customFormat="1" ht="15.75" customHeight="1" thickBot="1" x14ac:dyDescent="0.3">
      <c r="A21" s="178" t="s">
        <v>11</v>
      </c>
      <c r="B21" s="216" t="s">
        <v>259</v>
      </c>
      <c r="C21" s="179" t="s">
        <v>13</v>
      </c>
      <c r="D21" s="179" t="s">
        <v>14</v>
      </c>
      <c r="E21" s="179" t="s">
        <v>15</v>
      </c>
      <c r="F21" s="179" t="s">
        <v>16</v>
      </c>
      <c r="G21" s="179" t="s">
        <v>17</v>
      </c>
      <c r="H21" s="179" t="s">
        <v>18</v>
      </c>
      <c r="I21" s="179" t="s">
        <v>19</v>
      </c>
      <c r="J21" s="179" t="s">
        <v>7</v>
      </c>
      <c r="K21" s="180" t="s">
        <v>346</v>
      </c>
      <c r="L21" s="181" t="s">
        <v>348</v>
      </c>
      <c r="M21" s="182" t="s">
        <v>347</v>
      </c>
    </row>
    <row r="22" spans="1:14" x14ac:dyDescent="0.25">
      <c r="A22" s="215" t="s">
        <v>271</v>
      </c>
      <c r="B22" s="197">
        <v>35809</v>
      </c>
      <c r="C22" s="177">
        <f>SUMIF(Input[County], A22, Input[A])</f>
        <v>0</v>
      </c>
      <c r="D22" s="177">
        <f>SUMIF(Input[County], A22, Input[B])</f>
        <v>0</v>
      </c>
      <c r="E22" s="177">
        <f>SUMIF(Input[County], A22, Input[C])</f>
        <v>0</v>
      </c>
      <c r="F22" s="177">
        <f>SUMIF(Input[County], A22, Input[D])</f>
        <v>0</v>
      </c>
      <c r="G22" s="177">
        <f>SUMIF(Input[County], A22, Input[E])</f>
        <v>0</v>
      </c>
      <c r="H22" s="177">
        <f>SUMIF(Input[County], A22, Input[F])</f>
        <v>0</v>
      </c>
      <c r="I22" s="177">
        <f>SUMIF(Input[County], A22, Input[G])</f>
        <v>0</v>
      </c>
      <c r="J22" s="177">
        <f t="shared" ref="J22:J80" si="4">SUM(C22:I22)</f>
        <v>0</v>
      </c>
      <c r="K22" s="174">
        <f>Summary[[#This Row],[Population]]*'Input Sheet'!$J$2</f>
        <v>174031.74000000002</v>
      </c>
      <c r="L22" s="175">
        <f t="shared" ref="L22:L80" si="5">IF(A22="","",J22/K22)</f>
        <v>0</v>
      </c>
      <c r="M22" s="176" t="str" cm="1">
        <f t="array" ref="M22">_xlfn.IFS(A74="", "", L74&gt;1, "Met 100% PCI Target", AND(L74&gt;0.4999, L74&lt;1), "Met 50% PCI Target", L74&lt;0.4999, "Didn't Meet PCI Target")</f>
        <v>Didn't Meet PCI Target</v>
      </c>
    </row>
    <row r="23" spans="1:14" x14ac:dyDescent="0.25">
      <c r="A23" s="173" t="s">
        <v>362</v>
      </c>
      <c r="B23" s="198">
        <v>385410</v>
      </c>
      <c r="C23" s="172">
        <f>SUMIF(Input[County], A23, Input[A])</f>
        <v>0</v>
      </c>
      <c r="D23" s="172">
        <f>SUMIF(Input[County], A23, Input[B])</f>
        <v>0</v>
      </c>
      <c r="E23" s="172">
        <f>SUMIF(Input[County], A23, Input[C])</f>
        <v>0</v>
      </c>
      <c r="F23" s="172">
        <f>SUMIF(Input[County], A23, Input[D])</f>
        <v>0</v>
      </c>
      <c r="G23" s="172">
        <f>SUMIF(Input[County], A23, Input[E])</f>
        <v>0</v>
      </c>
      <c r="H23" s="172">
        <f>SUMIF(Input[County], A23, Input[F])</f>
        <v>0</v>
      </c>
      <c r="I23" s="172">
        <f>SUMIF(Input[County], A23, Input[G])</f>
        <v>0</v>
      </c>
      <c r="J23" s="172">
        <f t="shared" si="4"/>
        <v>0</v>
      </c>
      <c r="K23" s="169">
        <f>Summary[[#This Row],[Population]]*'Input Sheet'!$J$2</f>
        <v>1873092.6</v>
      </c>
      <c r="L23" s="170">
        <f t="shared" si="5"/>
        <v>0</v>
      </c>
      <c r="M23" s="171" t="str" cm="1">
        <f t="array" ref="M23">_xlfn.IFS(A75="", "", L75&gt;1, "Met 100% PCI Target", AND(L75&gt;0.4999, L75&lt;1), "Met 50% PCI Target", L75&lt;0.4999, "Didn't Meet PCI Target")</f>
        <v>Didn't Meet PCI Target</v>
      </c>
    </row>
    <row r="24" spans="1:14" x14ac:dyDescent="0.25">
      <c r="A24" s="173" t="s">
        <v>363</v>
      </c>
      <c r="B24" s="198">
        <v>82208</v>
      </c>
      <c r="C24" s="172">
        <f>SUMIF(Input[County], A24, Input[A])</f>
        <v>0</v>
      </c>
      <c r="D24" s="172">
        <f>SUMIF(Input[County], A24, Input[B])</f>
        <v>0</v>
      </c>
      <c r="E24" s="172">
        <f>SUMIF(Input[County], A24, Input[C])</f>
        <v>0</v>
      </c>
      <c r="F24" s="172">
        <f>SUMIF(Input[County], A24, Input[D])</f>
        <v>0</v>
      </c>
      <c r="G24" s="172">
        <f>SUMIF(Input[County], A24, Input[E])</f>
        <v>0</v>
      </c>
      <c r="H24" s="172">
        <f>SUMIF(Input[County], A24, Input[F])</f>
        <v>0</v>
      </c>
      <c r="I24" s="172">
        <f>SUMIF(Input[County], A24, Input[G])</f>
        <v>0</v>
      </c>
      <c r="J24" s="172">
        <f t="shared" si="4"/>
        <v>0</v>
      </c>
      <c r="K24" s="169">
        <f>Summary[[#This Row],[Population]]*'Input Sheet'!$J$2</f>
        <v>399530.88</v>
      </c>
      <c r="L24" s="170">
        <f t="shared" si="5"/>
        <v>0</v>
      </c>
      <c r="M24" s="171" t="str" cm="1">
        <f t="array" ref="M24">_xlfn.IFS(A76="", "", L76&gt;1, "Met 100% PCI Target", AND(L76&gt;0.4999, L76&lt;1), "Met 50% PCI Target", L76&lt;0.4999, "Didn't Meet PCI Target")</f>
        <v>Didn't Meet PCI Target</v>
      </c>
    </row>
    <row r="25" spans="1:14" x14ac:dyDescent="0.25">
      <c r="A25" s="173" t="s">
        <v>364</v>
      </c>
      <c r="B25" s="198">
        <v>8719</v>
      </c>
      <c r="C25" s="172">
        <f>SUMIF(Input[County], A25, Input[A])</f>
        <v>0</v>
      </c>
      <c r="D25" s="172">
        <f>SUMIF(Input[County], A25, Input[B])</f>
        <v>0</v>
      </c>
      <c r="E25" s="172">
        <f>SUMIF(Input[County], A25, Input[C])</f>
        <v>0</v>
      </c>
      <c r="F25" s="172">
        <f>SUMIF(Input[County], A25, Input[D])</f>
        <v>0</v>
      </c>
      <c r="G25" s="172">
        <f>SUMIF(Input[County], A25, Input[E])</f>
        <v>0</v>
      </c>
      <c r="H25" s="172">
        <f>SUMIF(Input[County], A25, Input[F])</f>
        <v>0</v>
      </c>
      <c r="I25" s="172">
        <f>SUMIF(Input[County], A25, Input[G])</f>
        <v>0</v>
      </c>
      <c r="J25" s="172">
        <f t="shared" si="4"/>
        <v>0</v>
      </c>
      <c r="K25" s="169">
        <f>Summary[[#This Row],[Population]]*'Input Sheet'!$J$2</f>
        <v>42374.340000000004</v>
      </c>
      <c r="L25" s="170">
        <f t="shared" si="5"/>
        <v>0</v>
      </c>
      <c r="M25" s="171" t="str" cm="1">
        <f t="array" ref="M25">_xlfn.IFS(A77="", "", L77&gt;1, "Met 100% PCI Target", AND(L77&gt;0.4999, L77&lt;1), "Met 50% PCI Target", L77&lt;0.4999, "Didn't Meet PCI Target")</f>
        <v>Didn't Meet PCI Target</v>
      </c>
    </row>
    <row r="26" spans="1:14" x14ac:dyDescent="0.25">
      <c r="A26" s="173" t="s">
        <v>365</v>
      </c>
      <c r="B26" s="198">
        <v>12112</v>
      </c>
      <c r="C26" s="172">
        <f>SUMIF(Input[County], A26, Input[A])</f>
        <v>0</v>
      </c>
      <c r="D26" s="172">
        <f>SUMIF(Input[County], A26, Input[B])</f>
        <v>0</v>
      </c>
      <c r="E26" s="172">
        <f>SUMIF(Input[County], A26, Input[C])</f>
        <v>0</v>
      </c>
      <c r="F26" s="172">
        <f>SUMIF(Input[County], A26, Input[D])</f>
        <v>0</v>
      </c>
      <c r="G26" s="172">
        <f>SUMIF(Input[County], A26, Input[E])</f>
        <v>0</v>
      </c>
      <c r="H26" s="172">
        <f>SUMIF(Input[County], A26, Input[F])</f>
        <v>0</v>
      </c>
      <c r="I26" s="172">
        <f>SUMIF(Input[County], A26, Input[G])</f>
        <v>0</v>
      </c>
      <c r="J26" s="172">
        <f t="shared" si="4"/>
        <v>0</v>
      </c>
      <c r="K26" s="169">
        <f>Summary[[#This Row],[Population]]*'Input Sheet'!$J$2</f>
        <v>58864.320000000007</v>
      </c>
      <c r="L26" s="170">
        <f t="shared" si="5"/>
        <v>0</v>
      </c>
      <c r="M26" s="171" t="str" cm="1">
        <f t="array" ref="M26">_xlfn.IFS(A78="", "", L78&gt;1, "Met 100% PCI Target", AND(L78&gt;0.4999, L78&lt;1), "Met 50% PCI Target", L78&lt;0.4999, "Didn't Meet PCI Target")</f>
        <v>Didn't Meet PCI Target</v>
      </c>
    </row>
    <row r="27" spans="1:14" x14ac:dyDescent="0.25">
      <c r="A27" s="173" t="s">
        <v>366</v>
      </c>
      <c r="B27" s="198">
        <v>70812</v>
      </c>
      <c r="C27" s="172">
        <f>SUMIF(Input[County], A27, Input[A])</f>
        <v>0</v>
      </c>
      <c r="D27" s="172">
        <f>SUMIF(Input[County], A27, Input[B])</f>
        <v>0</v>
      </c>
      <c r="E27" s="172">
        <f>SUMIF(Input[County], A27, Input[C])</f>
        <v>0</v>
      </c>
      <c r="F27" s="172">
        <f>SUMIF(Input[County], A27, Input[D])</f>
        <v>0</v>
      </c>
      <c r="G27" s="172">
        <f>SUMIF(Input[County], A27, Input[E])</f>
        <v>0</v>
      </c>
      <c r="H27" s="172">
        <f>SUMIF(Input[County], A27, Input[F])</f>
        <v>0</v>
      </c>
      <c r="I27" s="172">
        <f>SUMIF(Input[County], A27, Input[G])</f>
        <v>0</v>
      </c>
      <c r="J27" s="172">
        <f t="shared" si="4"/>
        <v>0</v>
      </c>
      <c r="K27" s="169">
        <f>Summary[[#This Row],[Population]]*'Input Sheet'!$J$2</f>
        <v>344146.32</v>
      </c>
      <c r="L27" s="170">
        <f t="shared" si="5"/>
        <v>0</v>
      </c>
      <c r="M27" s="171" t="str" cm="1">
        <f t="array" ref="M27">_xlfn.IFS(A79="", "", L79&gt;1, "Met 100% PCI Target", AND(L79&gt;0.4999, L79&lt;1), "Met 50% PCI Target", L79&lt;0.4999, "Didn't Meet PCI Target")</f>
        <v>Didn't Meet PCI Target</v>
      </c>
    </row>
    <row r="28" spans="1:14" x14ac:dyDescent="0.25">
      <c r="A28" s="173" t="s">
        <v>278</v>
      </c>
      <c r="B28" s="198">
        <v>15475</v>
      </c>
      <c r="C28" s="172">
        <f>SUMIF(Input[County], A28, Input[A])</f>
        <v>0</v>
      </c>
      <c r="D28" s="172">
        <f>SUMIF(Input[County], A28, Input[B])</f>
        <v>0</v>
      </c>
      <c r="E28" s="172">
        <f>SUMIF(Input[County], A28, Input[C])</f>
        <v>0</v>
      </c>
      <c r="F28" s="172">
        <f>SUMIF(Input[County], A28, Input[D])</f>
        <v>0</v>
      </c>
      <c r="G28" s="172">
        <f>SUMIF(Input[County], A28, Input[E])</f>
        <v>0</v>
      </c>
      <c r="H28" s="172">
        <f>SUMIF(Input[County], A28, Input[F])</f>
        <v>0</v>
      </c>
      <c r="I28" s="172">
        <f>SUMIF(Input[County], A28, Input[G])</f>
        <v>0</v>
      </c>
      <c r="J28" s="172">
        <f t="shared" si="4"/>
        <v>0</v>
      </c>
      <c r="K28" s="169">
        <f>Summary[[#This Row],[Population]]*'Input Sheet'!$J$2</f>
        <v>75208.5</v>
      </c>
      <c r="L28" s="170">
        <f t="shared" si="5"/>
        <v>0</v>
      </c>
      <c r="M28" s="171" t="str" cm="1">
        <f t="array" ref="M28">_xlfn.IFS(A80="", "", L80&gt;1, "Met 100% PCI Target", AND(L80&gt;0.4999, L80&lt;1), "Met 50% PCI Target", L80&lt;0.4999, "Didn't Meet PCI Target")</f>
        <v>Didn't Meet PCI Target</v>
      </c>
    </row>
    <row r="29" spans="1:14" x14ac:dyDescent="0.25">
      <c r="A29" s="173" t="s">
        <v>367</v>
      </c>
      <c r="B29" s="198">
        <v>20306</v>
      </c>
      <c r="C29" s="172">
        <f>SUMIF(Input[County], A29, Input[A])</f>
        <v>0</v>
      </c>
      <c r="D29" s="172">
        <f>SUMIF(Input[County], A29, Input[B])</f>
        <v>0</v>
      </c>
      <c r="E29" s="172">
        <f>SUMIF(Input[County], A29, Input[C])</f>
        <v>0</v>
      </c>
      <c r="F29" s="172">
        <f>SUMIF(Input[County], A29, Input[D])</f>
        <v>0</v>
      </c>
      <c r="G29" s="172">
        <f>SUMIF(Input[County], A29, Input[E])</f>
        <v>0</v>
      </c>
      <c r="H29" s="172">
        <f>SUMIF(Input[County], A29, Input[F])</f>
        <v>0</v>
      </c>
      <c r="I29" s="172">
        <f>SUMIF(Input[County], A29, Input[G])</f>
        <v>0</v>
      </c>
      <c r="J29" s="172">
        <f t="shared" si="4"/>
        <v>0</v>
      </c>
      <c r="K29" s="169">
        <f>Summary[[#This Row],[Population]]*'Input Sheet'!$J$2</f>
        <v>98687.16</v>
      </c>
      <c r="L29" s="170">
        <f t="shared" si="5"/>
        <v>0</v>
      </c>
      <c r="M29" s="171" t="str" cm="1">
        <f t="array" ref="M29">_xlfn.IFS(A81="", "", L81&gt;1, "Met 100% PCI Target", AND(L81&gt;0.4999, L81&lt;1), "Met 50% PCI Target", L81&lt;0.4999, "Didn't Meet PCI Target")</f>
        <v>Didn't Meet PCI Target</v>
      </c>
    </row>
    <row r="30" spans="1:14" x14ac:dyDescent="0.25">
      <c r="A30" s="173" t="s">
        <v>356</v>
      </c>
      <c r="B30" s="198">
        <v>37870</v>
      </c>
      <c r="C30" s="172">
        <f>SUMIF(Input[County], A30, Input[A])</f>
        <v>0</v>
      </c>
      <c r="D30" s="172">
        <f>SUMIF(Input[County], A30, Input[B])</f>
        <v>0</v>
      </c>
      <c r="E30" s="172">
        <f>SUMIF(Input[County], A30, Input[C])</f>
        <v>0</v>
      </c>
      <c r="F30" s="172">
        <f>SUMIF(Input[County], A30, Input[D])</f>
        <v>0</v>
      </c>
      <c r="G30" s="172">
        <f>SUMIF(Input[County], A30, Input[E])</f>
        <v>0</v>
      </c>
      <c r="H30" s="172">
        <f>SUMIF(Input[County], A30, Input[F])</f>
        <v>0</v>
      </c>
      <c r="I30" s="172">
        <f>SUMIF(Input[County], A30, Input[G])</f>
        <v>0</v>
      </c>
      <c r="J30" s="172">
        <f t="shared" si="4"/>
        <v>0</v>
      </c>
      <c r="K30" s="169">
        <f>Summary[[#This Row],[Population]]*'Input Sheet'!$J$2</f>
        <v>184048.2</v>
      </c>
      <c r="L30" s="170">
        <f t="shared" si="5"/>
        <v>0</v>
      </c>
      <c r="M30" s="171" t="str" cm="1">
        <f t="array" ref="M30">_xlfn.IFS(A82="", "", L82&gt;1, "Met 100% PCI Target", AND(L82&gt;0.4999, L82&lt;1), "Met 50% PCI Target", L82&lt;0.4999, "Didn't Meet PCI Target")</f>
        <v>Didn't Meet PCI Target</v>
      </c>
    </row>
    <row r="31" spans="1:14" x14ac:dyDescent="0.25">
      <c r="A31" s="173" t="s">
        <v>265</v>
      </c>
      <c r="B31" s="198">
        <v>121093</v>
      </c>
      <c r="C31" s="172">
        <f>SUMIF(Input[County], A31, Input[A])</f>
        <v>0</v>
      </c>
      <c r="D31" s="172">
        <f>SUMIF(Input[County], A31, Input[B])</f>
        <v>0</v>
      </c>
      <c r="E31" s="172">
        <f>SUMIF(Input[County], A31, Input[C])</f>
        <v>0</v>
      </c>
      <c r="F31" s="172">
        <f>SUMIF(Input[County], A31, Input[D])</f>
        <v>0</v>
      </c>
      <c r="G31" s="172">
        <f>SUMIF(Input[County], A31, Input[E])</f>
        <v>0</v>
      </c>
      <c r="H31" s="172">
        <f>SUMIF(Input[County], A31, Input[F])</f>
        <v>0</v>
      </c>
      <c r="I31" s="172">
        <f>SUMIF(Input[County], A31, Input[G])</f>
        <v>0</v>
      </c>
      <c r="J31" s="172">
        <f t="shared" si="4"/>
        <v>0</v>
      </c>
      <c r="K31" s="169">
        <f>Summary[[#This Row],[Population]]*'Input Sheet'!$J$2</f>
        <v>588511.98</v>
      </c>
      <c r="L31" s="170">
        <f t="shared" si="5"/>
        <v>0</v>
      </c>
      <c r="M31" s="171" t="str" cm="1">
        <f t="array" ref="M31">_xlfn.IFS(A83="", "", L83&gt;1, "Met 100% PCI Target", AND(L83&gt;0.4999, L83&lt;1), "Met 50% PCI Target", L83&lt;0.4999, "Didn't Meet PCI Target")</f>
        <v>Didn't Meet PCI Target</v>
      </c>
    </row>
    <row r="32" spans="1:14" x14ac:dyDescent="0.25">
      <c r="A32" s="173" t="s">
        <v>368</v>
      </c>
      <c r="B32" s="198">
        <v>26466</v>
      </c>
      <c r="C32" s="172">
        <f>SUMIF(Input[County], A32, Input[A])</f>
        <v>0</v>
      </c>
      <c r="D32" s="172">
        <f>SUMIF(Input[County], A32, Input[B])</f>
        <v>0</v>
      </c>
      <c r="E32" s="172">
        <f>SUMIF(Input[County], A32, Input[C])</f>
        <v>0</v>
      </c>
      <c r="F32" s="172">
        <f>SUMIF(Input[County], A32, Input[D])</f>
        <v>0</v>
      </c>
      <c r="G32" s="172">
        <f>SUMIF(Input[County], A32, Input[E])</f>
        <v>0</v>
      </c>
      <c r="H32" s="172">
        <f>SUMIF(Input[County], A32, Input[F])</f>
        <v>0</v>
      </c>
      <c r="I32" s="172">
        <f>SUMIF(Input[County], A32, Input[G])</f>
        <v>0</v>
      </c>
      <c r="J32" s="172">
        <f t="shared" si="4"/>
        <v>0</v>
      </c>
      <c r="K32" s="169">
        <f>Summary[[#This Row],[Population]]*'Input Sheet'!$J$2</f>
        <v>128624.76000000001</v>
      </c>
      <c r="L32" s="170">
        <f t="shared" si="5"/>
        <v>0</v>
      </c>
      <c r="M32" s="171" t="str" cm="1">
        <f t="array" ref="M32">_xlfn.IFS(A84="", "", L84&gt;1, "Met 100% PCI Target", AND(L84&gt;0.4999, L84&lt;1), "Met 50% PCI Target", L84&lt;0.4999, "Didn't Meet PCI Target")</f>
        <v>Didn't Meet PCI Target</v>
      </c>
    </row>
    <row r="33" spans="1:13" x14ac:dyDescent="0.25">
      <c r="A33" s="173" t="s">
        <v>357</v>
      </c>
      <c r="B33" s="198">
        <v>33190</v>
      </c>
      <c r="C33" s="172">
        <f>SUMIF(Input[County], A33, Input[A])</f>
        <v>0</v>
      </c>
      <c r="D33" s="172">
        <f>SUMIF(Input[County], A33, Input[B])</f>
        <v>0</v>
      </c>
      <c r="E33" s="172">
        <f>SUMIF(Input[County], A33, Input[C])</f>
        <v>0</v>
      </c>
      <c r="F33" s="172">
        <f>SUMIF(Input[County], A33, Input[D])</f>
        <v>0</v>
      </c>
      <c r="G33" s="172">
        <f>SUMIF(Input[County], A33, Input[E])</f>
        <v>0</v>
      </c>
      <c r="H33" s="172">
        <f>SUMIF(Input[County], A33, Input[F])</f>
        <v>0</v>
      </c>
      <c r="I33" s="172">
        <f>SUMIF(Input[County], A33, Input[G])</f>
        <v>0</v>
      </c>
      <c r="J33" s="172">
        <f t="shared" si="4"/>
        <v>0</v>
      </c>
      <c r="K33" s="169">
        <f>Summary[[#This Row],[Population]]*'Input Sheet'!$J$2</f>
        <v>161303.40000000002</v>
      </c>
      <c r="L33" s="170">
        <f t="shared" si="5"/>
        <v>0</v>
      </c>
      <c r="M33" s="171" t="str" cm="1">
        <f t="array" ref="M33">_xlfn.IFS(A85="", "", L85&gt;1, "Met 100% PCI Target", AND(L85&gt;0.4999, L85&lt;1), "Met 50% PCI Target", L85&lt;0.4999, "Didn't Meet PCI Target")</f>
        <v>Didn't Meet PCI Target</v>
      </c>
    </row>
    <row r="34" spans="1:13" x14ac:dyDescent="0.25">
      <c r="A34" s="173" t="s">
        <v>28</v>
      </c>
      <c r="B34" s="198">
        <v>10526</v>
      </c>
      <c r="C34" s="172">
        <f>SUMIF(Input[County], A34, Input[A])</f>
        <v>0</v>
      </c>
      <c r="D34" s="172">
        <f>SUMIF(Input[County], A34, Input[B])</f>
        <v>0</v>
      </c>
      <c r="E34" s="172">
        <f>SUMIF(Input[County], A34, Input[C])</f>
        <v>0</v>
      </c>
      <c r="F34" s="172">
        <f>SUMIF(Input[County], A34, Input[D])</f>
        <v>0</v>
      </c>
      <c r="G34" s="172">
        <f>SUMIF(Input[County], A34, Input[E])</f>
        <v>0</v>
      </c>
      <c r="H34" s="172">
        <f>SUMIF(Input[County], A34, Input[F])</f>
        <v>0</v>
      </c>
      <c r="I34" s="172">
        <f>SUMIF(Input[County], A34, Input[G])</f>
        <v>0</v>
      </c>
      <c r="J34" s="172">
        <f t="shared" si="4"/>
        <v>0</v>
      </c>
      <c r="K34" s="169">
        <f>Summary[[#This Row],[Population]]*'Input Sheet'!$J$2</f>
        <v>51156.36</v>
      </c>
      <c r="L34" s="170">
        <f t="shared" si="5"/>
        <v>0</v>
      </c>
      <c r="M34" s="171" t="str" cm="1">
        <f t="array" ref="M34">_xlfn.IFS(A86="", "", L86&gt;1, "Met 100% PCI Target", AND(L86&gt;0.4999, L86&lt;1), "Met 50% PCI Target", L86&lt;0.4999, "Didn't Meet PCI Target")</f>
        <v>Didn't Meet PCI Target</v>
      </c>
    </row>
    <row r="35" spans="1:13" x14ac:dyDescent="0.25">
      <c r="A35" s="173" t="s">
        <v>369</v>
      </c>
      <c r="B35" s="198">
        <v>33381</v>
      </c>
      <c r="C35" s="172">
        <f>SUMIF(Input[County], A35, Input[A])</f>
        <v>0</v>
      </c>
      <c r="D35" s="172">
        <f>SUMIF(Input[County], A35, Input[B])</f>
        <v>0</v>
      </c>
      <c r="E35" s="172">
        <f>SUMIF(Input[County], A35, Input[C])</f>
        <v>0</v>
      </c>
      <c r="F35" s="172">
        <f>SUMIF(Input[County], A35, Input[D])</f>
        <v>0</v>
      </c>
      <c r="G35" s="172">
        <f>SUMIF(Input[County], A35, Input[E])</f>
        <v>0</v>
      </c>
      <c r="H35" s="172">
        <f>SUMIF(Input[County], A35, Input[F])</f>
        <v>0</v>
      </c>
      <c r="I35" s="172">
        <f>SUMIF(Input[County], A35, Input[G])</f>
        <v>0</v>
      </c>
      <c r="J35" s="172">
        <f t="shared" si="4"/>
        <v>0</v>
      </c>
      <c r="K35" s="169">
        <f>Summary[[#This Row],[Population]]*'Input Sheet'!$J$2</f>
        <v>162231.66</v>
      </c>
      <c r="L35" s="170">
        <f t="shared" si="5"/>
        <v>0</v>
      </c>
      <c r="M35" s="171" t="str" cm="1">
        <f t="array" ref="M35">_xlfn.IFS(A87="", "", L87&gt;1, "Met 100% PCI Target", AND(L87&gt;0.4999, L87&lt;1), "Met 50% PCI Target", L87&lt;0.4999, "Didn't Meet PCI Target")</f>
        <v>Didn't Meet PCI Target</v>
      </c>
    </row>
    <row r="36" spans="1:13" x14ac:dyDescent="0.25">
      <c r="A36" s="173" t="s">
        <v>370</v>
      </c>
      <c r="B36" s="198">
        <v>50679</v>
      </c>
      <c r="C36" s="172">
        <f>SUMIF(Input[County], A36, Input[A])</f>
        <v>0</v>
      </c>
      <c r="D36" s="172">
        <f>SUMIF(Input[County], A36, Input[B])</f>
        <v>0</v>
      </c>
      <c r="E36" s="172">
        <f>SUMIF(Input[County], A36, Input[C])</f>
        <v>0</v>
      </c>
      <c r="F36" s="172">
        <f>SUMIF(Input[County], A36, Input[D])</f>
        <v>0</v>
      </c>
      <c r="G36" s="172">
        <f>SUMIF(Input[County], A36, Input[E])</f>
        <v>0</v>
      </c>
      <c r="H36" s="172">
        <f>SUMIF(Input[County], A36, Input[F])</f>
        <v>0</v>
      </c>
      <c r="I36" s="172">
        <f>SUMIF(Input[County], A36, Input[G])</f>
        <v>0</v>
      </c>
      <c r="J36" s="172">
        <f t="shared" si="4"/>
        <v>0</v>
      </c>
      <c r="K36" s="169">
        <f>Summary[[#This Row],[Population]]*'Input Sheet'!$J$2</f>
        <v>246299.94</v>
      </c>
      <c r="L36" s="170">
        <f t="shared" si="5"/>
        <v>0</v>
      </c>
      <c r="M36" s="171" t="str" cm="1">
        <f t="array" ref="M36">_xlfn.IFS(A88="", "", L88&gt;1, "Met 100% PCI Target", AND(L88&gt;0.4999, L88&lt;1), "Met 50% PCI Target", L88&lt;0.4999, "Didn't Meet PCI Target")</f>
        <v>Didn't Meet PCI Target</v>
      </c>
    </row>
    <row r="37" spans="1:13" x14ac:dyDescent="0.25">
      <c r="A37" s="173" t="s">
        <v>371</v>
      </c>
      <c r="B37" s="198">
        <v>26472</v>
      </c>
      <c r="C37" s="172">
        <f>SUMIF(Input[County], A37, Input[A])</f>
        <v>0</v>
      </c>
      <c r="D37" s="172">
        <f>SUMIF(Input[County], A37, Input[B])</f>
        <v>0</v>
      </c>
      <c r="E37" s="172">
        <f>SUMIF(Input[County], A37, Input[C])</f>
        <v>0</v>
      </c>
      <c r="F37" s="172">
        <f>SUMIF(Input[County], A37, Input[D])</f>
        <v>0</v>
      </c>
      <c r="G37" s="172">
        <f>SUMIF(Input[County], A37, Input[E])</f>
        <v>0</v>
      </c>
      <c r="H37" s="172">
        <f>SUMIF(Input[County], A37, Input[F])</f>
        <v>0</v>
      </c>
      <c r="I37" s="172">
        <f>SUMIF(Input[County], A37, Input[G])</f>
        <v>0</v>
      </c>
      <c r="J37" s="172">
        <f t="shared" si="4"/>
        <v>0</v>
      </c>
      <c r="K37" s="169">
        <f>Summary[[#This Row],[Population]]*'Input Sheet'!$J$2</f>
        <v>128653.92000000001</v>
      </c>
      <c r="L37" s="170">
        <f t="shared" si="5"/>
        <v>0</v>
      </c>
      <c r="M37" s="171" t="str" cm="1">
        <f t="array" ref="M37">_xlfn.IFS(A89="", "", L89&gt;1, "Met 100% PCI Target", AND(L89&gt;0.4999, L89&lt;1), "Met 50% PCI Target", L89&lt;0.4999, "Didn't Meet PCI Target")</f>
        <v>Didn't Meet PCI Target</v>
      </c>
    </row>
    <row r="38" spans="1:13" x14ac:dyDescent="0.25">
      <c r="A38" s="173" t="s">
        <v>372</v>
      </c>
      <c r="B38" s="198">
        <v>43265</v>
      </c>
      <c r="C38" s="172">
        <f>SUMIF(Input[County], A38, Input[A])</f>
        <v>0</v>
      </c>
      <c r="D38" s="172">
        <f>SUMIF(Input[County], A38, Input[B])</f>
        <v>0</v>
      </c>
      <c r="E38" s="172">
        <f>SUMIF(Input[County], A38, Input[C])</f>
        <v>0</v>
      </c>
      <c r="F38" s="172">
        <f>SUMIF(Input[County], A38, Input[D])</f>
        <v>0</v>
      </c>
      <c r="G38" s="172">
        <f>SUMIF(Input[County], A38, Input[E])</f>
        <v>0</v>
      </c>
      <c r="H38" s="172">
        <f>SUMIF(Input[County], A38, Input[F])</f>
        <v>0</v>
      </c>
      <c r="I38" s="172">
        <f>SUMIF(Input[County], A38, Input[G])</f>
        <v>0</v>
      </c>
      <c r="J38" s="172">
        <f t="shared" si="4"/>
        <v>0</v>
      </c>
      <c r="K38" s="169">
        <f>Summary[[#This Row],[Population]]*'Input Sheet'!$J$2</f>
        <v>210267.90000000002</v>
      </c>
      <c r="L38" s="170">
        <f t="shared" si="5"/>
        <v>0</v>
      </c>
      <c r="M38" s="171" t="str" cm="1">
        <f t="array" ref="M38">_xlfn.IFS(A90="", "", L90&gt;1, "Met 100% PCI Target", AND(L90&gt;0.4999, L90&lt;1), "Met 50% PCI Target", L90&lt;0.4999, "Didn't Meet PCI Target")</f>
        <v>Didn't Meet PCI Target</v>
      </c>
    </row>
    <row r="39" spans="1:13" x14ac:dyDescent="0.25">
      <c r="A39" s="173" t="s">
        <v>373</v>
      </c>
      <c r="B39" s="198">
        <v>111903</v>
      </c>
      <c r="C39" s="172">
        <f>SUMIF(Input[County], A39, Input[A])</f>
        <v>0</v>
      </c>
      <c r="D39" s="172">
        <f>SUMIF(Input[County], A39, Input[B])</f>
        <v>0</v>
      </c>
      <c r="E39" s="172">
        <f>SUMIF(Input[County], A39, Input[C])</f>
        <v>0</v>
      </c>
      <c r="F39" s="172">
        <f>SUMIF(Input[County], A39, Input[D])</f>
        <v>0</v>
      </c>
      <c r="G39" s="172">
        <f>SUMIF(Input[County], A39, Input[E])</f>
        <v>0</v>
      </c>
      <c r="H39" s="172">
        <f>SUMIF(Input[County], A39, Input[F])</f>
        <v>0</v>
      </c>
      <c r="I39" s="172">
        <f>SUMIF(Input[County], A39, Input[G])</f>
        <v>0</v>
      </c>
      <c r="J39" s="172">
        <f t="shared" si="4"/>
        <v>0</v>
      </c>
      <c r="K39" s="169">
        <f>Summary[[#This Row],[Population]]*'Input Sheet'!$J$2</f>
        <v>543848.58000000007</v>
      </c>
      <c r="L39" s="170">
        <f t="shared" si="5"/>
        <v>0</v>
      </c>
      <c r="M39" s="171" t="str" cm="1">
        <f t="array" ref="M39">_xlfn.IFS(A91="", "", L91&gt;1, "Met 100% PCI Target", AND(L91&gt;0.4999, L91&lt;1), "Met 50% PCI Target", L91&lt;0.4999, "Didn't Meet PCI Target")</f>
        <v>Didn't Meet PCI Target</v>
      </c>
    </row>
    <row r="40" spans="1:13" x14ac:dyDescent="0.25">
      <c r="A40" s="173" t="s">
        <v>374</v>
      </c>
      <c r="B40" s="198">
        <v>43637</v>
      </c>
      <c r="C40" s="172">
        <f>SUMIF(Input[County], A40, Input[A])</f>
        <v>0</v>
      </c>
      <c r="D40" s="172">
        <f>SUMIF(Input[County], A40, Input[B])</f>
        <v>0</v>
      </c>
      <c r="E40" s="172">
        <f>SUMIF(Input[County], A40, Input[C])</f>
        <v>0</v>
      </c>
      <c r="F40" s="172">
        <f>SUMIF(Input[County], A40, Input[D])</f>
        <v>0</v>
      </c>
      <c r="G40" s="172">
        <f>SUMIF(Input[County], A40, Input[E])</f>
        <v>0</v>
      </c>
      <c r="H40" s="172">
        <f>SUMIF(Input[County], A40, Input[F])</f>
        <v>0</v>
      </c>
      <c r="I40" s="172">
        <f>SUMIF(Input[County], A40, Input[G])</f>
        <v>0</v>
      </c>
      <c r="J40" s="172">
        <f t="shared" si="4"/>
        <v>0</v>
      </c>
      <c r="K40" s="169">
        <f>Summary[[#This Row],[Population]]*'Input Sheet'!$J$2</f>
        <v>212075.82</v>
      </c>
      <c r="L40" s="170">
        <f t="shared" si="5"/>
        <v>0</v>
      </c>
      <c r="M40" s="171" t="str" cm="1">
        <f t="array" ref="M40">_xlfn.IFS(A92="", "", L92&gt;1, "Met 100% PCI Target", AND(L92&gt;0.4999, L92&lt;1), "Met 50% PCI Target", L92&lt;0.4999, "Didn't Meet PCI Target")</f>
        <v>Didn't Meet PCI Target</v>
      </c>
    </row>
    <row r="41" spans="1:13" x14ac:dyDescent="0.25">
      <c r="A41" s="173" t="s">
        <v>375</v>
      </c>
      <c r="B41" s="198">
        <v>207047</v>
      </c>
      <c r="C41" s="172">
        <f>SUMIF(Input[County], A41, Input[A])</f>
        <v>0</v>
      </c>
      <c r="D41" s="172">
        <f>SUMIF(Input[County], A41, Input[B])</f>
        <v>0</v>
      </c>
      <c r="E41" s="172">
        <f>SUMIF(Input[County], A41, Input[C])</f>
        <v>0</v>
      </c>
      <c r="F41" s="172">
        <f>SUMIF(Input[County], A41, Input[D])</f>
        <v>0</v>
      </c>
      <c r="G41" s="172">
        <f>SUMIF(Input[County], A41, Input[E])</f>
        <v>0</v>
      </c>
      <c r="H41" s="172">
        <f>SUMIF(Input[County], A41, Input[F])</f>
        <v>0</v>
      </c>
      <c r="I41" s="172">
        <f>SUMIF(Input[County], A41, Input[G])</f>
        <v>0</v>
      </c>
      <c r="J41" s="172">
        <f t="shared" si="4"/>
        <v>0</v>
      </c>
      <c r="K41" s="169">
        <f>Summary[[#This Row],[Population]]*'Input Sheet'!$J$2</f>
        <v>1006248.42</v>
      </c>
      <c r="L41" s="170">
        <f t="shared" si="5"/>
        <v>0</v>
      </c>
      <c r="M41" s="171" t="str" cm="1">
        <f t="array" ref="M41">_xlfn.IFS(A93="", "", L93&gt;1, "Met 100% PCI Target", AND(L93&gt;0.4999, L93&lt;1), "Met 50% PCI Target", L93&lt;0.4999, "Didn't Meet PCI Target")</f>
        <v>Didn't Meet PCI Target</v>
      </c>
    </row>
    <row r="42" spans="1:13" x14ac:dyDescent="0.25">
      <c r="A42" s="173" t="s">
        <v>376</v>
      </c>
      <c r="B42" s="198">
        <v>23398</v>
      </c>
      <c r="C42" s="172">
        <f>SUMIF(Input[County], A42, Input[A])</f>
        <v>0</v>
      </c>
      <c r="D42" s="172">
        <f>SUMIF(Input[County], A42, Input[B])</f>
        <v>0</v>
      </c>
      <c r="E42" s="172">
        <f>SUMIF(Input[County], A42, Input[C])</f>
        <v>0</v>
      </c>
      <c r="F42" s="172">
        <f>SUMIF(Input[County], A42, Input[D])</f>
        <v>0</v>
      </c>
      <c r="G42" s="172">
        <f>SUMIF(Input[County], A42, Input[E])</f>
        <v>0</v>
      </c>
      <c r="H42" s="172">
        <f>SUMIF(Input[County], A42, Input[F])</f>
        <v>0</v>
      </c>
      <c r="I42" s="172">
        <f>SUMIF(Input[County], A42, Input[G])</f>
        <v>0</v>
      </c>
      <c r="J42" s="172">
        <f t="shared" si="4"/>
        <v>0</v>
      </c>
      <c r="K42" s="169">
        <f>Summary[[#This Row],[Population]]*'Input Sheet'!$J$2</f>
        <v>113714.28000000001</v>
      </c>
      <c r="L42" s="170">
        <f t="shared" si="5"/>
        <v>0</v>
      </c>
      <c r="M42" s="171" t="str" cm="1">
        <f t="array" ref="M42">_xlfn.IFS(A94="", "", L94&gt;1, "Met 100% PCI Target", AND(L94&gt;0.4999, L94&lt;1), "Met 50% PCI Target", L94&lt;0.4999, "Didn't Meet PCI Target")</f>
        <v>Didn't Meet PCI Target</v>
      </c>
    </row>
    <row r="43" spans="1:13" x14ac:dyDescent="0.25">
      <c r="A43" s="173" t="s">
        <v>377</v>
      </c>
      <c r="B43" s="198">
        <v>80484</v>
      </c>
      <c r="C43" s="172">
        <f>SUMIF(Input[County], A43, Input[A])</f>
        <v>0</v>
      </c>
      <c r="D43" s="172">
        <f>SUMIF(Input[County], A43, Input[B])</f>
        <v>0</v>
      </c>
      <c r="E43" s="172">
        <f>SUMIF(Input[County], A43, Input[C])</f>
        <v>0</v>
      </c>
      <c r="F43" s="172">
        <f>SUMIF(Input[County], A43, Input[D])</f>
        <v>0</v>
      </c>
      <c r="G43" s="172">
        <f>SUMIF(Input[County], A43, Input[E])</f>
        <v>0</v>
      </c>
      <c r="H43" s="172">
        <f>SUMIF(Input[County], A43, Input[F])</f>
        <v>0</v>
      </c>
      <c r="I43" s="172">
        <f>SUMIF(Input[County], A43, Input[G])</f>
        <v>0</v>
      </c>
      <c r="J43" s="172">
        <f t="shared" si="4"/>
        <v>0</v>
      </c>
      <c r="K43" s="169">
        <f>Summary[[#This Row],[Population]]*'Input Sheet'!$J$2</f>
        <v>391152.24000000005</v>
      </c>
      <c r="L43" s="170">
        <f t="shared" si="5"/>
        <v>0</v>
      </c>
      <c r="M43" s="171" t="str" cm="1">
        <f t="array" ref="M43">_xlfn.IFS(A95="", "", L95&gt;1, "Met 100% PCI Target", AND(L95&gt;0.4999, L95&lt;1), "Met 50% PCI Target", L95&lt;0.4999, "Didn't Meet PCI Target")</f>
        <v>Didn't Meet PCI Target</v>
      </c>
    </row>
    <row r="44" spans="1:13" x14ac:dyDescent="0.25">
      <c r="A44" s="173" t="s">
        <v>378</v>
      </c>
      <c r="B44" s="198">
        <v>16479</v>
      </c>
      <c r="C44" s="172">
        <f>SUMIF(Input[County], A44, Input[A])</f>
        <v>0</v>
      </c>
      <c r="D44" s="172">
        <f>SUMIF(Input[County], A44, Input[B])</f>
        <v>0</v>
      </c>
      <c r="E44" s="172">
        <f>SUMIF(Input[County], A44, Input[C])</f>
        <v>0</v>
      </c>
      <c r="F44" s="172">
        <f>SUMIF(Input[County], A44, Input[D])</f>
        <v>0</v>
      </c>
      <c r="G44" s="172">
        <f>SUMIF(Input[County], A44, Input[E])</f>
        <v>0</v>
      </c>
      <c r="H44" s="172">
        <f>SUMIF(Input[County], A44, Input[F])</f>
        <v>0</v>
      </c>
      <c r="I44" s="172">
        <f>SUMIF(Input[County], A44, Input[G])</f>
        <v>0</v>
      </c>
      <c r="J44" s="172">
        <f t="shared" si="4"/>
        <v>0</v>
      </c>
      <c r="K44" s="169">
        <f>Summary[[#This Row],[Population]]*'Input Sheet'!$J$2</f>
        <v>80087.94</v>
      </c>
      <c r="L44" s="170">
        <f t="shared" si="5"/>
        <v>0</v>
      </c>
      <c r="M44" s="171" t="str" cm="1">
        <f t="array" ref="M44">_xlfn.IFS(A96="", "", L96&gt;1, "Met 100% PCI Target", AND(L96&gt;0.4999, L96&lt;1), "Met 50% PCI Target", L96&lt;0.4999, "Didn't Meet PCI Target")</f>
        <v>Didn't Meet PCI Target</v>
      </c>
    </row>
    <row r="45" spans="1:13" x14ac:dyDescent="0.25">
      <c r="A45" s="173" t="s">
        <v>379</v>
      </c>
      <c r="B45" s="198">
        <v>22785</v>
      </c>
      <c r="C45" s="172">
        <f>SUMIF(Input[County], A45, Input[A])</f>
        <v>0</v>
      </c>
      <c r="D45" s="172">
        <f>SUMIF(Input[County], A45, Input[B])</f>
        <v>0</v>
      </c>
      <c r="E45" s="172">
        <f>SUMIF(Input[County], A45, Input[C])</f>
        <v>0</v>
      </c>
      <c r="F45" s="172">
        <f>SUMIF(Input[County], A45, Input[D])</f>
        <v>0</v>
      </c>
      <c r="G45" s="172">
        <f>SUMIF(Input[County], A45, Input[E])</f>
        <v>0</v>
      </c>
      <c r="H45" s="172">
        <f>SUMIF(Input[County], A45, Input[F])</f>
        <v>0</v>
      </c>
      <c r="I45" s="172">
        <f>SUMIF(Input[County], A45, Input[G])</f>
        <v>0</v>
      </c>
      <c r="J45" s="172">
        <f t="shared" si="4"/>
        <v>0</v>
      </c>
      <c r="K45" s="169">
        <f>Summary[[#This Row],[Population]]*'Input Sheet'!$J$2</f>
        <v>110735.1</v>
      </c>
      <c r="L45" s="170">
        <f t="shared" si="5"/>
        <v>0</v>
      </c>
      <c r="M45" s="171" t="str" cm="1">
        <f t="array" ref="M45">_xlfn.IFS(A97="", "", L97&gt;1, "Met 100% PCI Target", AND(L97&gt;0.4999, L97&lt;1), "Met 50% PCI Target", L97&lt;0.4999, "Didn't Meet PCI Target")</f>
        <v>Didn't Meet PCI Target</v>
      </c>
    </row>
    <row r="46" spans="1:13" x14ac:dyDescent="0.25">
      <c r="A46" s="173" t="s">
        <v>380</v>
      </c>
      <c r="B46" s="198">
        <v>20480</v>
      </c>
      <c r="C46" s="172">
        <f>SUMIF(Input[County], A46, Input[A])</f>
        <v>0</v>
      </c>
      <c r="D46" s="172">
        <f>SUMIF(Input[County], A46, Input[B])</f>
        <v>0</v>
      </c>
      <c r="E46" s="172">
        <f>SUMIF(Input[County], A46, Input[C])</f>
        <v>0</v>
      </c>
      <c r="F46" s="172">
        <f>SUMIF(Input[County], A46, Input[D])</f>
        <v>0</v>
      </c>
      <c r="G46" s="172">
        <f>SUMIF(Input[County], A46, Input[E])</f>
        <v>0</v>
      </c>
      <c r="H46" s="172">
        <f>SUMIF(Input[County], A46, Input[F])</f>
        <v>0</v>
      </c>
      <c r="I46" s="172">
        <f>SUMIF(Input[County], A46, Input[G])</f>
        <v>0</v>
      </c>
      <c r="J46" s="172">
        <f t="shared" si="4"/>
        <v>0</v>
      </c>
      <c r="K46" s="169">
        <f>Summary[[#This Row],[Population]]*'Input Sheet'!$J$2</f>
        <v>99532.800000000003</v>
      </c>
      <c r="L46" s="170">
        <f t="shared" si="5"/>
        <v>0</v>
      </c>
      <c r="M46" s="171" t="str" cm="1">
        <f t="array" ref="M46">_xlfn.IFS(A98="", "", L98&gt;1, "Met 100% PCI Target", AND(L98&gt;0.4999, L98&lt;1), "Met 50% PCI Target", L98&lt;0.4999, "Didn't Meet PCI Target")</f>
        <v>Didn't Meet PCI Target</v>
      </c>
    </row>
    <row r="47" spans="1:13" x14ac:dyDescent="0.25">
      <c r="A47" s="173" t="s">
        <v>381</v>
      </c>
      <c r="B47" s="198">
        <v>33011</v>
      </c>
      <c r="C47" s="172">
        <f>SUMIF(Input[County], A47, Input[A])</f>
        <v>0</v>
      </c>
      <c r="D47" s="172">
        <f>SUMIF(Input[County], A47, Input[B])</f>
        <v>0</v>
      </c>
      <c r="E47" s="172">
        <f>SUMIF(Input[County], A47, Input[C])</f>
        <v>0</v>
      </c>
      <c r="F47" s="172">
        <f>SUMIF(Input[County], A47, Input[D])</f>
        <v>0</v>
      </c>
      <c r="G47" s="172">
        <f>SUMIF(Input[County], A47, Input[E])</f>
        <v>0</v>
      </c>
      <c r="H47" s="172">
        <f>SUMIF(Input[County], A47, Input[F])</f>
        <v>0</v>
      </c>
      <c r="I47" s="172">
        <f>SUMIF(Input[County], A47, Input[G])</f>
        <v>0</v>
      </c>
      <c r="J47" s="172">
        <f t="shared" si="4"/>
        <v>0</v>
      </c>
      <c r="K47" s="169">
        <f>Summary[[#This Row],[Population]]*'Input Sheet'!$J$2</f>
        <v>160433.46000000002</v>
      </c>
      <c r="L47" s="170">
        <f t="shared" si="5"/>
        <v>0</v>
      </c>
      <c r="M47" s="171" t="str" cm="1">
        <f t="array" ref="M47">_xlfn.IFS(A99="", "", L99&gt;1, "Met 100% PCI Target", AND(L99&gt;0.4999, L99&lt;1), "Met 50% PCI Target", L99&lt;0.4999, "Didn't Meet PCI Target")</f>
        <v>Didn't Meet PCI Target</v>
      </c>
    </row>
    <row r="48" spans="1:13" x14ac:dyDescent="0.25">
      <c r="A48" s="173" t="s">
        <v>267</v>
      </c>
      <c r="B48" s="198">
        <v>66674</v>
      </c>
      <c r="C48" s="172">
        <f>SUMIF(Input[County], A48, Input[A])</f>
        <v>0</v>
      </c>
      <c r="D48" s="172">
        <f>SUMIF(Input[County], A48, Input[B])</f>
        <v>0</v>
      </c>
      <c r="E48" s="172">
        <f>SUMIF(Input[County], A48, Input[C])</f>
        <v>0</v>
      </c>
      <c r="F48" s="172">
        <f>SUMIF(Input[County], A48, Input[D])</f>
        <v>0</v>
      </c>
      <c r="G48" s="172">
        <f>SUMIF(Input[County], A48, Input[E])</f>
        <v>0</v>
      </c>
      <c r="H48" s="172">
        <f>SUMIF(Input[County], A48, Input[F])</f>
        <v>0</v>
      </c>
      <c r="I48" s="172">
        <f>SUMIF(Input[County], A48, Input[G])</f>
        <v>0</v>
      </c>
      <c r="J48" s="172">
        <f t="shared" si="4"/>
        <v>0</v>
      </c>
      <c r="K48" s="169">
        <f>Summary[[#This Row],[Population]]*'Input Sheet'!$J$2</f>
        <v>324035.64</v>
      </c>
      <c r="L48" s="170">
        <f t="shared" si="5"/>
        <v>0</v>
      </c>
      <c r="M48" s="171" t="str" cm="1">
        <f t="array" ref="M48">_xlfn.IFS(A100="", "", L100&gt;1, "Met 100% PCI Target", AND(L100&gt;0.4999, L100&lt;1), "Met 50% PCI Target", L100&lt;0.4999, "Didn't Meet PCI Target")</f>
        <v>Didn't Meet PCI Target</v>
      </c>
    </row>
    <row r="49" spans="1:13" x14ac:dyDescent="0.25">
      <c r="A49" s="173" t="s">
        <v>382</v>
      </c>
      <c r="B49" s="198">
        <v>30803</v>
      </c>
      <c r="C49" s="172">
        <f>SUMIF(Input[County], A49, Input[A])</f>
        <v>0</v>
      </c>
      <c r="D49" s="172">
        <f>SUMIF(Input[County], A49, Input[B])</f>
        <v>0</v>
      </c>
      <c r="E49" s="172">
        <f>SUMIF(Input[County], A49, Input[C])</f>
        <v>0</v>
      </c>
      <c r="F49" s="172">
        <f>SUMIF(Input[County], A49, Input[D])</f>
        <v>0</v>
      </c>
      <c r="G49" s="172">
        <f>SUMIF(Input[County], A49, Input[E])</f>
        <v>0</v>
      </c>
      <c r="H49" s="172">
        <f>SUMIF(Input[County], A49, Input[F])</f>
        <v>0</v>
      </c>
      <c r="I49" s="172">
        <f>SUMIF(Input[County], A49, Input[G])</f>
        <v>0</v>
      </c>
      <c r="J49" s="172">
        <f t="shared" si="4"/>
        <v>0</v>
      </c>
      <c r="K49" s="169">
        <f>Summary[[#This Row],[Population]]*'Input Sheet'!$J$2</f>
        <v>149702.58000000002</v>
      </c>
      <c r="L49" s="170">
        <f t="shared" si="5"/>
        <v>0</v>
      </c>
      <c r="M49" s="171" t="str" cm="1">
        <f t="array" ref="M49">_xlfn.IFS(A101="", "", L101&gt;1, "Met 100% PCI Target", AND(L101&gt;0.4999, L101&lt;1), "Met 50% PCI Target", L101&lt;0.4999, "Didn't Meet PCI Target")</f>
        <v>Didn't Meet PCI Target</v>
      </c>
    </row>
    <row r="50" spans="1:13" x14ac:dyDescent="0.25">
      <c r="A50" s="173" t="s">
        <v>383</v>
      </c>
      <c r="B50" s="198">
        <v>347467</v>
      </c>
      <c r="C50" s="172">
        <f>SUMIF(Input[County], A50, Input[A])</f>
        <v>0</v>
      </c>
      <c r="D50" s="172">
        <f>SUMIF(Input[County], A50, Input[B])</f>
        <v>0</v>
      </c>
      <c r="E50" s="172">
        <f>SUMIF(Input[County], A50, Input[C])</f>
        <v>0</v>
      </c>
      <c r="F50" s="172">
        <f>SUMIF(Input[County], A50, Input[D])</f>
        <v>0</v>
      </c>
      <c r="G50" s="172">
        <f>SUMIF(Input[County], A50, Input[E])</f>
        <v>0</v>
      </c>
      <c r="H50" s="172">
        <f>SUMIF(Input[County], A50, Input[F])</f>
        <v>0</v>
      </c>
      <c r="I50" s="172">
        <f>SUMIF(Input[County], A50, Input[G])</f>
        <v>0</v>
      </c>
      <c r="J50" s="172">
        <f t="shared" si="4"/>
        <v>0</v>
      </c>
      <c r="K50" s="169">
        <f>Summary[[#This Row],[Population]]*'Input Sheet'!$J$2</f>
        <v>1688689.62</v>
      </c>
      <c r="L50" s="170">
        <f t="shared" si="5"/>
        <v>0</v>
      </c>
      <c r="M50" s="171" t="str" cm="1">
        <f t="array" ref="M50">_xlfn.IFS(A102="", "", L102&gt;1, "Met 100% PCI Target", AND(L102&gt;0.4999, L102&lt;1), "Met 50% PCI Target", L102&lt;0.4999, "Didn't Meet PCI Target")</f>
        <v>Didn't Meet PCI Target</v>
      </c>
    </row>
    <row r="51" spans="1:13" x14ac:dyDescent="0.25">
      <c r="A51" s="173" t="s">
        <v>384</v>
      </c>
      <c r="B51" s="198">
        <v>79840</v>
      </c>
      <c r="C51" s="172">
        <f>SUMIF(Input[County], A51, Input[A])</f>
        <v>0</v>
      </c>
      <c r="D51" s="172">
        <f>SUMIF(Input[County], A51, Input[B])</f>
        <v>0</v>
      </c>
      <c r="E51" s="172">
        <f>SUMIF(Input[County], A51, Input[C])</f>
        <v>0</v>
      </c>
      <c r="F51" s="172">
        <f>SUMIF(Input[County], A51, Input[D])</f>
        <v>0</v>
      </c>
      <c r="G51" s="172">
        <f>SUMIF(Input[County], A51, Input[E])</f>
        <v>0</v>
      </c>
      <c r="H51" s="172">
        <f>SUMIF(Input[County], A51, Input[F])</f>
        <v>0</v>
      </c>
      <c r="I51" s="172">
        <f>SUMIF(Input[County], A51, Input[G])</f>
        <v>0</v>
      </c>
      <c r="J51" s="172">
        <f t="shared" si="4"/>
        <v>0</v>
      </c>
      <c r="K51" s="169">
        <f>Summary[[#This Row],[Population]]*'Input Sheet'!$J$2</f>
        <v>388022.4</v>
      </c>
      <c r="L51" s="170">
        <f t="shared" si="5"/>
        <v>0</v>
      </c>
      <c r="M51" s="171" t="str" cm="1">
        <f t="array" ref="M51">_xlfn.IFS(A103="", "", L103&gt;1, "Met 100% PCI Target", AND(L103&gt;0.4999, L103&lt;1), "Met 50% PCI Target", L103&lt;0.4999, "Didn't Meet PCI Target")</f>
        <v>Didn't Meet PCI Target</v>
      </c>
    </row>
    <row r="52" spans="1:13" x14ac:dyDescent="0.25">
      <c r="A52" s="173" t="s">
        <v>385</v>
      </c>
      <c r="B52" s="198">
        <v>39654</v>
      </c>
      <c r="C52" s="172">
        <f>SUMIF(Input[County], A52, Input[A])</f>
        <v>0</v>
      </c>
      <c r="D52" s="172">
        <f>SUMIF(Input[County], A52, Input[B])</f>
        <v>0</v>
      </c>
      <c r="E52" s="172">
        <f>SUMIF(Input[County], A52, Input[C])</f>
        <v>0</v>
      </c>
      <c r="F52" s="172">
        <f>SUMIF(Input[County], A52, Input[D])</f>
        <v>0</v>
      </c>
      <c r="G52" s="172">
        <f>SUMIF(Input[County], A52, Input[E])</f>
        <v>0</v>
      </c>
      <c r="H52" s="172">
        <f>SUMIF(Input[County], A52, Input[F])</f>
        <v>0</v>
      </c>
      <c r="I52" s="172">
        <f>SUMIF(Input[County], A52, Input[G])</f>
        <v>0</v>
      </c>
      <c r="J52" s="172">
        <f t="shared" si="4"/>
        <v>0</v>
      </c>
      <c r="K52" s="169">
        <f>Summary[[#This Row],[Population]]*'Input Sheet'!$J$2</f>
        <v>192718.44</v>
      </c>
      <c r="L52" s="170">
        <f t="shared" si="5"/>
        <v>0</v>
      </c>
      <c r="M52" s="171" t="str" cm="1">
        <f t="array" ref="M52">_xlfn.IFS(A104="", "", L104&gt;1, "Met 100% PCI Target", AND(L104&gt;0.4999, L104&lt;1), "Met 50% PCI Target", L104&lt;0.4999, "Didn't Meet PCI Target")</f>
        <v>Didn't Meet PCI Target</v>
      </c>
    </row>
    <row r="53" spans="1:13" x14ac:dyDescent="0.25">
      <c r="A53" s="173" t="s">
        <v>386</v>
      </c>
      <c r="B53" s="198">
        <v>174788</v>
      </c>
      <c r="C53" s="172">
        <f>SUMIF(Input[County], A53, Input[A])</f>
        <v>0</v>
      </c>
      <c r="D53" s="172">
        <f>SUMIF(Input[County], A53, Input[B])</f>
        <v>0</v>
      </c>
      <c r="E53" s="172">
        <f>SUMIF(Input[County], A53, Input[C])</f>
        <v>0</v>
      </c>
      <c r="F53" s="172">
        <f>SUMIF(Input[County], A53, Input[D])</f>
        <v>0</v>
      </c>
      <c r="G53" s="172">
        <f>SUMIF(Input[County], A53, Input[E])</f>
        <v>0</v>
      </c>
      <c r="H53" s="172">
        <f>SUMIF(Input[County], A53, Input[F])</f>
        <v>0</v>
      </c>
      <c r="I53" s="172">
        <f>SUMIF(Input[County], A53, Input[G])</f>
        <v>0</v>
      </c>
      <c r="J53" s="172">
        <f t="shared" si="4"/>
        <v>0</v>
      </c>
      <c r="K53" s="169">
        <f>Summary[[#This Row],[Population]]*'Input Sheet'!$J$2</f>
        <v>849469.68</v>
      </c>
      <c r="L53" s="170">
        <f t="shared" si="5"/>
        <v>0</v>
      </c>
      <c r="M53" s="171" t="str" cm="1">
        <f t="array" ref="M53">_xlfn.IFS(A105="", "", L105&gt;1, "Met 100% PCI Target", AND(L105&gt;0.4999, L105&lt;1), "Met 50% PCI Target", L105&lt;0.4999, "Didn't Meet PCI Target")</f>
        <v>Didn't Meet PCI Target</v>
      </c>
    </row>
    <row r="54" spans="1:13" x14ac:dyDescent="0.25">
      <c r="A54" s="173" t="s">
        <v>387</v>
      </c>
      <c r="B54" s="198">
        <v>48914</v>
      </c>
      <c r="C54" s="172">
        <f>SUMIF(Input[County], A54, Input[A])</f>
        <v>0</v>
      </c>
      <c r="D54" s="172">
        <f>SUMIF(Input[County], A54, Input[B])</f>
        <v>0</v>
      </c>
      <c r="E54" s="172">
        <f>SUMIF(Input[County], A54, Input[C])</f>
        <v>0</v>
      </c>
      <c r="F54" s="172">
        <f>SUMIF(Input[County], A54, Input[D])</f>
        <v>0</v>
      </c>
      <c r="G54" s="172">
        <f>SUMIF(Input[County], A54, Input[E])</f>
        <v>0</v>
      </c>
      <c r="H54" s="172">
        <f>SUMIF(Input[County], A54, Input[F])</f>
        <v>0</v>
      </c>
      <c r="I54" s="172">
        <f>SUMIF(Input[County], A54, Input[G])</f>
        <v>0</v>
      </c>
      <c r="J54" s="172">
        <f t="shared" si="4"/>
        <v>0</v>
      </c>
      <c r="K54" s="169">
        <f>Summary[[#This Row],[Population]]*'Input Sheet'!$J$2</f>
        <v>237722.04</v>
      </c>
      <c r="L54" s="170">
        <f t="shared" si="5"/>
        <v>0</v>
      </c>
      <c r="M54" s="171" t="str" cm="1">
        <f t="array" ref="M54">_xlfn.IFS(A106="", "", L106&gt;1, "Met 100% PCI Target", AND(L106&gt;0.4999, L106&lt;1), "Met 50% PCI Target", L106&lt;0.4999, "Didn't Meet PCI Target")</f>
        <v>Didn't Meet PCI Target</v>
      </c>
    </row>
    <row r="55" spans="1:13" x14ac:dyDescent="0.25">
      <c r="A55" s="173" t="s">
        <v>388</v>
      </c>
      <c r="B55" s="198">
        <v>83658</v>
      </c>
      <c r="C55" s="172">
        <f>SUMIF(Input[County], A55, Input[A])</f>
        <v>0</v>
      </c>
      <c r="D55" s="172">
        <f>SUMIF(Input[County], A55, Input[B])</f>
        <v>0</v>
      </c>
      <c r="E55" s="172">
        <f>SUMIF(Input[County], A55, Input[C])</f>
        <v>0</v>
      </c>
      <c r="F55" s="172">
        <f>SUMIF(Input[County], A55, Input[D])</f>
        <v>0</v>
      </c>
      <c r="G55" s="172">
        <f>SUMIF(Input[County], A55, Input[E])</f>
        <v>0</v>
      </c>
      <c r="H55" s="172">
        <f>SUMIF(Input[County], A55, Input[F])</f>
        <v>0</v>
      </c>
      <c r="I55" s="172">
        <f>SUMIF(Input[County], A55, Input[G])</f>
        <v>0</v>
      </c>
      <c r="J55" s="172">
        <f t="shared" si="4"/>
        <v>0</v>
      </c>
      <c r="K55" s="169">
        <f>Summary[[#This Row],[Population]]*'Input Sheet'!$J$2</f>
        <v>406577.88</v>
      </c>
      <c r="L55" s="170">
        <f t="shared" si="5"/>
        <v>0</v>
      </c>
      <c r="M55" s="171" t="str" cm="1">
        <f t="array" ref="M55">_xlfn.IFS(A107="", "", L107&gt;1, "Met 100% PCI Target", AND(L107&gt;0.4999, L107&lt;1), "Met 50% PCI Target", L107&lt;0.4999, "Didn't Meet PCI Target")</f>
        <v>Didn't Meet PCI Target</v>
      </c>
    </row>
    <row r="56" spans="1:13" x14ac:dyDescent="0.25">
      <c r="A56" s="173" t="s">
        <v>389</v>
      </c>
      <c r="B56" s="198">
        <v>36662</v>
      </c>
      <c r="C56" s="172">
        <f>SUMIF(Input[County], A56, Input[A])</f>
        <v>0</v>
      </c>
      <c r="D56" s="172">
        <f>SUMIF(Input[County], A56, Input[B])</f>
        <v>0</v>
      </c>
      <c r="E56" s="172">
        <f>SUMIF(Input[County], A56, Input[C])</f>
        <v>0</v>
      </c>
      <c r="F56" s="172">
        <f>SUMIF(Input[County], A56, Input[D])</f>
        <v>0</v>
      </c>
      <c r="G56" s="172">
        <f>SUMIF(Input[County], A56, Input[E])</f>
        <v>0</v>
      </c>
      <c r="H56" s="172">
        <f>SUMIF(Input[County], A56, Input[F])</f>
        <v>0</v>
      </c>
      <c r="I56" s="172">
        <f>SUMIF(Input[County], A56, Input[G])</f>
        <v>0</v>
      </c>
      <c r="J56" s="172">
        <f t="shared" si="4"/>
        <v>0</v>
      </c>
      <c r="K56" s="169">
        <f>Summary[[#This Row],[Population]]*'Input Sheet'!$J$2</f>
        <v>178177.32</v>
      </c>
      <c r="L56" s="170">
        <f t="shared" si="5"/>
        <v>0</v>
      </c>
      <c r="M56" s="171" t="str" cm="1">
        <f t="array" ref="M56">_xlfn.IFS(A108="", "", L108&gt;1, "Met 100% PCI Target", AND(L108&gt;0.4999, L108&lt;1), "Met 50% PCI Target", L108&lt;0.4999, "Didn't Meet PCI Target")</f>
        <v>Didn't Meet PCI Target</v>
      </c>
    </row>
    <row r="57" spans="1:13" x14ac:dyDescent="0.25">
      <c r="A57" s="173" t="s">
        <v>34</v>
      </c>
      <c r="B57" s="198">
        <v>46428</v>
      </c>
      <c r="C57" s="172">
        <f>SUMIF(Input[County], A57, Input[A])</f>
        <v>0</v>
      </c>
      <c r="D57" s="172">
        <f>SUMIF(Input[County], A57, Input[B])</f>
        <v>0</v>
      </c>
      <c r="E57" s="172">
        <f>SUMIF(Input[County], A57, Input[C])</f>
        <v>0</v>
      </c>
      <c r="F57" s="172">
        <f>SUMIF(Input[County], A57, Input[D])</f>
        <v>0</v>
      </c>
      <c r="G57" s="172">
        <f>SUMIF(Input[County], A57, Input[E])</f>
        <v>0</v>
      </c>
      <c r="H57" s="172">
        <f>SUMIF(Input[County], A57, Input[F])</f>
        <v>0</v>
      </c>
      <c r="I57" s="172">
        <f>SUMIF(Input[County], A57, Input[G])</f>
        <v>0</v>
      </c>
      <c r="J57" s="172">
        <f t="shared" si="4"/>
        <v>0</v>
      </c>
      <c r="K57" s="169">
        <f>Summary[[#This Row],[Population]]*'Input Sheet'!$J$2</f>
        <v>225640.08000000002</v>
      </c>
      <c r="L57" s="170">
        <f t="shared" si="5"/>
        <v>0</v>
      </c>
      <c r="M57" s="171" t="str" cm="1">
        <f t="array" ref="M57">_xlfn.IFS(A109="", "", L109&gt;1, "Met 100% PCI Target", AND(L109&gt;0.4999, L109&lt;1), "Met 50% PCI Target", L109&lt;0.4999, "Didn't Meet PCI Target")</f>
        <v>Didn't Meet PCI Target</v>
      </c>
    </row>
    <row r="58" spans="1:13" x14ac:dyDescent="0.25">
      <c r="A58" s="173" t="s">
        <v>390</v>
      </c>
      <c r="B58" s="198">
        <v>32918</v>
      </c>
      <c r="C58" s="172">
        <f>SUMIF(Input[County], A58, Input[A])</f>
        <v>0</v>
      </c>
      <c r="D58" s="172">
        <f>SUMIF(Input[County], A58, Input[B])</f>
        <v>0</v>
      </c>
      <c r="E58" s="172">
        <f>SUMIF(Input[County], A58, Input[C])</f>
        <v>0</v>
      </c>
      <c r="F58" s="172">
        <f>SUMIF(Input[County], A58, Input[D])</f>
        <v>0</v>
      </c>
      <c r="G58" s="172">
        <f>SUMIF(Input[County], A58, Input[E])</f>
        <v>0</v>
      </c>
      <c r="H58" s="172">
        <f>SUMIF(Input[County], A58, Input[F])</f>
        <v>0</v>
      </c>
      <c r="I58" s="172">
        <f>SUMIF(Input[County], A58, Input[G])</f>
        <v>0</v>
      </c>
      <c r="J58" s="172">
        <f t="shared" si="4"/>
        <v>0</v>
      </c>
      <c r="K58" s="169">
        <f>Summary[[#This Row],[Population]]*'Input Sheet'!$J$2</f>
        <v>159981.48000000001</v>
      </c>
      <c r="L58" s="170">
        <f t="shared" si="5"/>
        <v>0</v>
      </c>
      <c r="M58" s="171" t="str" cm="1">
        <f t="array" ref="M58">_xlfn.IFS(A110="", "", L110&gt;1, "Met 100% PCI Target", AND(L110&gt;0.4999, L110&lt;1), "Met 50% PCI Target", L110&lt;0.4999, "Didn't Meet PCI Target")</f>
        <v>Didn't Meet PCI Target</v>
      </c>
    </row>
    <row r="59" spans="1:13" x14ac:dyDescent="0.25">
      <c r="A59" s="173" t="s">
        <v>391</v>
      </c>
      <c r="B59" s="198">
        <v>20478</v>
      </c>
      <c r="C59" s="172">
        <f>SUMIF(Input[County], A59, Input[A])</f>
        <v>0</v>
      </c>
      <c r="D59" s="172">
        <f>SUMIF(Input[County], A59, Input[B])</f>
        <v>0</v>
      </c>
      <c r="E59" s="172">
        <f>SUMIF(Input[County], A59, Input[C])</f>
        <v>0</v>
      </c>
      <c r="F59" s="172">
        <f>SUMIF(Input[County], A59, Input[D])</f>
        <v>0</v>
      </c>
      <c r="G59" s="172">
        <f>SUMIF(Input[County], A59, Input[E])</f>
        <v>0</v>
      </c>
      <c r="H59" s="172">
        <f>SUMIF(Input[County], A59, Input[F])</f>
        <v>0</v>
      </c>
      <c r="I59" s="172">
        <f>SUMIF(Input[County], A59, Input[G])</f>
        <v>0</v>
      </c>
      <c r="J59" s="172">
        <f t="shared" si="4"/>
        <v>0</v>
      </c>
      <c r="K59" s="169">
        <f>Summary[[#This Row],[Population]]*'Input Sheet'!$J$2</f>
        <v>99523.08</v>
      </c>
      <c r="L59" s="170">
        <f t="shared" si="5"/>
        <v>0</v>
      </c>
      <c r="M59" s="171" t="str" cm="1">
        <f t="array" ref="M59">_xlfn.IFS(A111="", "", L111&gt;1, "Met 100% PCI Target", AND(L111&gt;0.4999, L111&lt;1), "Met 50% PCI Target", L111&lt;0.4999, "Didn't Meet PCI Target")</f>
        <v>Didn't Meet PCI Target</v>
      </c>
    </row>
    <row r="60" spans="1:13" x14ac:dyDescent="0.25">
      <c r="A60" s="173" t="s">
        <v>263</v>
      </c>
      <c r="B60" s="198">
        <v>33147</v>
      </c>
      <c r="C60" s="172">
        <f>SUMIF(Input[County], A60, Input[A])</f>
        <v>0</v>
      </c>
      <c r="D60" s="172">
        <f>SUMIF(Input[County], A60, Input[B])</f>
        <v>0</v>
      </c>
      <c r="E60" s="172">
        <f>SUMIF(Input[County], A60, Input[C])</f>
        <v>0</v>
      </c>
      <c r="F60" s="172">
        <f>SUMIF(Input[County], A60, Input[D])</f>
        <v>0</v>
      </c>
      <c r="G60" s="172">
        <f>SUMIF(Input[County], A60, Input[E])</f>
        <v>0</v>
      </c>
      <c r="H60" s="172">
        <f>SUMIF(Input[County], A60, Input[F])</f>
        <v>0</v>
      </c>
      <c r="I60" s="172">
        <f>SUMIF(Input[County], A60, Input[G])</f>
        <v>0</v>
      </c>
      <c r="J60" s="172">
        <f t="shared" si="4"/>
        <v>0</v>
      </c>
      <c r="K60" s="169">
        <f>Summary[[#This Row],[Population]]*'Input Sheet'!$J$2</f>
        <v>161094.42000000001</v>
      </c>
      <c r="L60" s="170">
        <f t="shared" si="5"/>
        <v>0</v>
      </c>
      <c r="M60" s="171" t="str" cm="1">
        <f t="array" ref="M60">_xlfn.IFS(A112="", "", L112&gt;1, "Met 100% PCI Target", AND(L112&gt;0.4999, L112&lt;1), "Met 50% PCI Target", L112&lt;0.4999, "Didn't Meet PCI Target")</f>
        <v>Didn't Meet PCI Target</v>
      </c>
    </row>
    <row r="61" spans="1:13" x14ac:dyDescent="0.25">
      <c r="A61" s="173" t="s">
        <v>392</v>
      </c>
      <c r="B61" s="198">
        <v>27613</v>
      </c>
      <c r="C61" s="172">
        <f>SUMIF(Input[County], A61, Input[A])</f>
        <v>0</v>
      </c>
      <c r="D61" s="172">
        <f>SUMIF(Input[County], A61, Input[B])</f>
        <v>0</v>
      </c>
      <c r="E61" s="172">
        <f>SUMIF(Input[County], A61, Input[C])</f>
        <v>0</v>
      </c>
      <c r="F61" s="172">
        <f>SUMIF(Input[County], A61, Input[D])</f>
        <v>0</v>
      </c>
      <c r="G61" s="172">
        <f>SUMIF(Input[County], A61, Input[E])</f>
        <v>0</v>
      </c>
      <c r="H61" s="172">
        <f>SUMIF(Input[County], A61, Input[F])</f>
        <v>0</v>
      </c>
      <c r="I61" s="172">
        <f>SUMIF(Input[County], A61, Input[G])</f>
        <v>0</v>
      </c>
      <c r="J61" s="172">
        <f t="shared" si="4"/>
        <v>0</v>
      </c>
      <c r="K61" s="169">
        <f>Summary[[#This Row],[Population]]*'Input Sheet'!$J$2</f>
        <v>134199.18000000002</v>
      </c>
      <c r="L61" s="170">
        <f t="shared" si="5"/>
        <v>0</v>
      </c>
      <c r="M61" s="171" t="str" cm="1">
        <f t="array" ref="M61">_xlfn.IFS(A113="", "", L113&gt;1, "Met 100% PCI Target", AND(L113&gt;0.4999, L113&lt;1), "Met 50% PCI Target", L113&lt;0.4999, "Didn't Meet PCI Target")</f>
        <v>Didn't Meet PCI Target</v>
      </c>
    </row>
    <row r="62" spans="1:13" x14ac:dyDescent="0.25">
      <c r="A62" s="173" t="s">
        <v>393</v>
      </c>
      <c r="B62" s="198">
        <v>161765</v>
      </c>
      <c r="C62" s="172">
        <f>SUMIF(Input[County], A62, Input[A])</f>
        <v>0</v>
      </c>
      <c r="D62" s="172">
        <f>SUMIF(Input[County], A62, Input[B])</f>
        <v>0</v>
      </c>
      <c r="E62" s="172">
        <f>SUMIF(Input[County], A62, Input[C])</f>
        <v>0</v>
      </c>
      <c r="F62" s="172">
        <f>SUMIF(Input[County], A62, Input[D])</f>
        <v>0</v>
      </c>
      <c r="G62" s="172">
        <f>SUMIF(Input[County], A62, Input[E])</f>
        <v>0</v>
      </c>
      <c r="H62" s="172">
        <f>SUMIF(Input[County], A62, Input[F])</f>
        <v>0</v>
      </c>
      <c r="I62" s="172">
        <f>SUMIF(Input[County], A62, Input[G])</f>
        <v>0</v>
      </c>
      <c r="J62" s="172">
        <f t="shared" si="4"/>
        <v>0</v>
      </c>
      <c r="K62" s="169">
        <f>Summary[[#This Row],[Population]]*'Input Sheet'!$J$2</f>
        <v>786177.9</v>
      </c>
      <c r="L62" s="170">
        <f t="shared" si="5"/>
        <v>0</v>
      </c>
      <c r="M62" s="171" t="str" cm="1">
        <f t="array" ref="M62">_xlfn.IFS(A114="", "", L114&gt;1, "Met 100% PCI Target", AND(L114&gt;0.4999, L114&lt;1), "Met 50% PCI Target", L114&lt;0.4999, "Didn't Meet PCI Target")</f>
        <v/>
      </c>
    </row>
    <row r="63" spans="1:13" x14ac:dyDescent="0.25">
      <c r="A63" s="173" t="s">
        <v>394</v>
      </c>
      <c r="B63" s="198">
        <v>36282</v>
      </c>
      <c r="C63" s="172">
        <f>SUMIF(Input[County], A63, Input[A])</f>
        <v>0</v>
      </c>
      <c r="D63" s="172">
        <f>SUMIF(Input[County], A63, Input[B])</f>
        <v>0</v>
      </c>
      <c r="E63" s="172">
        <f>SUMIF(Input[County], A63, Input[C])</f>
        <v>0</v>
      </c>
      <c r="F63" s="172">
        <f>SUMIF(Input[County], A63, Input[D])</f>
        <v>0</v>
      </c>
      <c r="G63" s="172">
        <f>SUMIF(Input[County], A63, Input[E])</f>
        <v>0</v>
      </c>
      <c r="H63" s="172">
        <f>SUMIF(Input[County], A63, Input[F])</f>
        <v>0</v>
      </c>
      <c r="I63" s="172">
        <f>SUMIF(Input[County], A63, Input[G])</f>
        <v>0</v>
      </c>
      <c r="J63" s="172">
        <f t="shared" si="4"/>
        <v>0</v>
      </c>
      <c r="K63" s="169">
        <f>Summary[[#This Row],[Population]]*'Input Sheet'!$J$2</f>
        <v>176330.52000000002</v>
      </c>
      <c r="L63" s="170">
        <f t="shared" si="5"/>
        <v>0</v>
      </c>
      <c r="M63" s="171" t="str" cm="1">
        <f t="array" ref="M63">_xlfn.IFS(A115="", "", L115&gt;1, "Met 100% PCI Target", AND(L115&gt;0.4999, L115&lt;1), "Met 50% PCI Target", L115&lt;0.4999, "Didn't Meet PCI Target")</f>
        <v/>
      </c>
    </row>
    <row r="64" spans="1:13" x14ac:dyDescent="0.25">
      <c r="A64" s="173" t="s">
        <v>395</v>
      </c>
      <c r="B64" s="198">
        <v>80240</v>
      </c>
      <c r="C64" s="172">
        <f>SUMIF(Input[County], A64, Input[A])</f>
        <v>0</v>
      </c>
      <c r="D64" s="172">
        <f>SUMIF(Input[County], A64, Input[B])</f>
        <v>0</v>
      </c>
      <c r="E64" s="172">
        <f>SUMIF(Input[County], A64, Input[C])</f>
        <v>0</v>
      </c>
      <c r="F64" s="172">
        <f>SUMIF(Input[County], A64, Input[D])</f>
        <v>0</v>
      </c>
      <c r="G64" s="172">
        <f>SUMIF(Input[County], A64, Input[E])</f>
        <v>0</v>
      </c>
      <c r="H64" s="172">
        <f>SUMIF(Input[County], A64, Input[F])</f>
        <v>0</v>
      </c>
      <c r="I64" s="172">
        <f>SUMIF(Input[County], A64, Input[G])</f>
        <v>0</v>
      </c>
      <c r="J64" s="172">
        <f t="shared" si="4"/>
        <v>0</v>
      </c>
      <c r="K64" s="169">
        <f>Summary[[#This Row],[Population]]*'Input Sheet'!$J$2</f>
        <v>389966.4</v>
      </c>
      <c r="L64" s="170">
        <f t="shared" si="5"/>
        <v>0</v>
      </c>
      <c r="M64" s="171" t="str" cm="1">
        <f t="array" ref="M64">_xlfn.IFS(A116="", "", L116&gt;1, "Met 100% PCI Target", AND(L116&gt;0.4999, L116&lt;1), "Met 50% PCI Target", L116&lt;0.4999, "Didn't Meet PCI Target")</f>
        <v/>
      </c>
    </row>
    <row r="65" spans="1:13" x14ac:dyDescent="0.25">
      <c r="A65" s="173" t="s">
        <v>396</v>
      </c>
      <c r="B65" s="198">
        <v>40446</v>
      </c>
      <c r="C65" s="172">
        <f>SUMIF(Input[County], A65, Input[A])</f>
        <v>0</v>
      </c>
      <c r="D65" s="172">
        <f>SUMIF(Input[County], A65, Input[B])</f>
        <v>0</v>
      </c>
      <c r="E65" s="172">
        <f>SUMIF(Input[County], A65, Input[C])</f>
        <v>0</v>
      </c>
      <c r="F65" s="172">
        <f>SUMIF(Input[County], A65, Input[D])</f>
        <v>0</v>
      </c>
      <c r="G65" s="172">
        <f>SUMIF(Input[County], A65, Input[E])</f>
        <v>0</v>
      </c>
      <c r="H65" s="172">
        <f>SUMIF(Input[County], A65, Input[F])</f>
        <v>0</v>
      </c>
      <c r="I65" s="172">
        <f>SUMIF(Input[County], A65, Input[G])</f>
        <v>0</v>
      </c>
      <c r="J65" s="172">
        <f t="shared" si="4"/>
        <v>0</v>
      </c>
      <c r="K65" s="169">
        <f>Summary[[#This Row],[Population]]*'Input Sheet'!$J$2</f>
        <v>196567.56000000003</v>
      </c>
      <c r="L65" s="170">
        <f t="shared" si="5"/>
        <v>0</v>
      </c>
      <c r="M65" s="171" t="str" cm="1">
        <f t="array" ref="M65">_xlfn.IFS(A117="", "", L117&gt;1, "Met 100% PCI Target", AND(L117&gt;0.4999, L117&lt;1), "Met 50% PCI Target", L117&lt;0.4999, "Didn't Meet PCI Target")</f>
        <v/>
      </c>
    </row>
    <row r="66" spans="1:13" x14ac:dyDescent="0.25">
      <c r="A66" s="173" t="s">
        <v>37</v>
      </c>
      <c r="B66" s="198">
        <v>498700</v>
      </c>
      <c r="C66" s="172">
        <f>SUMIF(Input[County], A66, Input[A])</f>
        <v>0</v>
      </c>
      <c r="D66" s="172">
        <f>SUMIF(Input[County], A66, Input[B])</f>
        <v>0</v>
      </c>
      <c r="E66" s="172">
        <f>SUMIF(Input[County], A66, Input[C])</f>
        <v>0</v>
      </c>
      <c r="F66" s="172">
        <f>SUMIF(Input[County], A66, Input[D])</f>
        <v>0</v>
      </c>
      <c r="G66" s="172">
        <f>SUMIF(Input[County], A66, Input[E])</f>
        <v>0</v>
      </c>
      <c r="H66" s="172">
        <f>SUMIF(Input[County], A66, Input[F])</f>
        <v>0</v>
      </c>
      <c r="I66" s="172">
        <f>SUMIF(Input[County], A66, Input[G])</f>
        <v>0</v>
      </c>
      <c r="J66" s="172">
        <f t="shared" si="4"/>
        <v>0</v>
      </c>
      <c r="K66" s="169">
        <f>Summary[[#This Row],[Population]]*'Input Sheet'!$J$2</f>
        <v>2423682</v>
      </c>
      <c r="L66" s="170">
        <f t="shared" si="5"/>
        <v>0</v>
      </c>
      <c r="M66" s="171" t="str" cm="1">
        <f t="array" ref="M66">_xlfn.IFS(A118="", "", L118&gt;1, "Met 100% PCI Target", AND(L118&gt;0.4999, L118&lt;1), "Met 50% PCI Target", L118&lt;0.4999, "Didn't Meet PCI Target")</f>
        <v/>
      </c>
    </row>
    <row r="67" spans="1:13" x14ac:dyDescent="0.25">
      <c r="A67" s="173" t="s">
        <v>397</v>
      </c>
      <c r="B67" s="198">
        <v>112417</v>
      </c>
      <c r="C67" s="172">
        <f>SUMIF(Input[County], A67, Input[A])</f>
        <v>0</v>
      </c>
      <c r="D67" s="172">
        <f>SUMIF(Input[County], A67, Input[B])</f>
        <v>0</v>
      </c>
      <c r="E67" s="172">
        <f>SUMIF(Input[County], A67, Input[C])</f>
        <v>0</v>
      </c>
      <c r="F67" s="172">
        <f>SUMIF(Input[County], A67, Input[D])</f>
        <v>0</v>
      </c>
      <c r="G67" s="172">
        <f>SUMIF(Input[County], A67, Input[E])</f>
        <v>0</v>
      </c>
      <c r="H67" s="172">
        <f>SUMIF(Input[County], A67, Input[F])</f>
        <v>0</v>
      </c>
      <c r="I67" s="172">
        <f>SUMIF(Input[County], A67, Input[G])</f>
        <v>0</v>
      </c>
      <c r="J67" s="172">
        <f t="shared" si="4"/>
        <v>0</v>
      </c>
      <c r="K67" s="169">
        <f>Summary[[#This Row],[Population]]*'Input Sheet'!$J$2</f>
        <v>546346.62</v>
      </c>
      <c r="L67" s="170">
        <f t="shared" si="5"/>
        <v>0</v>
      </c>
      <c r="M67" s="171" t="str" cm="1">
        <f t="array" ref="M67">_xlfn.IFS(A119="", "", L119&gt;1, "Met 100% PCI Target", AND(L119&gt;0.4999, L119&lt;1), "Met 50% PCI Target", L119&lt;0.4999, "Didn't Meet PCI Target")</f>
        <v/>
      </c>
    </row>
    <row r="68" spans="1:13" x14ac:dyDescent="0.25">
      <c r="A68" s="173" t="s">
        <v>398</v>
      </c>
      <c r="B68" s="198">
        <v>45011</v>
      </c>
      <c r="C68" s="172">
        <f>SUMIF(Input[County], A68, Input[A])</f>
        <v>0</v>
      </c>
      <c r="D68" s="172">
        <f>SUMIF(Input[County], A68, Input[B])</f>
        <v>0</v>
      </c>
      <c r="E68" s="172">
        <f>SUMIF(Input[County], A68, Input[C])</f>
        <v>0</v>
      </c>
      <c r="F68" s="172">
        <f>SUMIF(Input[County], A68, Input[D])</f>
        <v>0</v>
      </c>
      <c r="G68" s="172">
        <f>SUMIF(Input[County], A68, Input[E])</f>
        <v>0</v>
      </c>
      <c r="H68" s="172">
        <f>SUMIF(Input[County], A68, Input[F])</f>
        <v>0</v>
      </c>
      <c r="I68" s="172">
        <f>SUMIF(Input[County], A68, Input[G])</f>
        <v>0</v>
      </c>
      <c r="J68" s="172">
        <f t="shared" si="4"/>
        <v>0</v>
      </c>
      <c r="K68" s="169">
        <f>Summary[[#This Row],[Population]]*'Input Sheet'!$J$2</f>
        <v>218753.46000000002</v>
      </c>
      <c r="L68" s="170">
        <f t="shared" si="5"/>
        <v>0</v>
      </c>
      <c r="M68" s="171" t="str" cm="1">
        <f t="array" ref="M68">_xlfn.IFS(A120="", "", L120&gt;1, "Met 100% PCI Target", AND(L120&gt;0.4999, L120&lt;1), "Met 50% PCI Target", L120&lt;0.4999, "Didn't Meet PCI Target")</f>
        <v/>
      </c>
    </row>
    <row r="69" spans="1:13" x14ac:dyDescent="0.25">
      <c r="A69" s="173" t="s">
        <v>399</v>
      </c>
      <c r="B69" s="198">
        <v>130129</v>
      </c>
      <c r="C69" s="172">
        <f>SUMIF(Input[County], A69, Input[A])</f>
        <v>0</v>
      </c>
      <c r="D69" s="172">
        <f>SUMIF(Input[County], A69, Input[B])</f>
        <v>0</v>
      </c>
      <c r="E69" s="172">
        <f>SUMIF(Input[County], A69, Input[C])</f>
        <v>0</v>
      </c>
      <c r="F69" s="172">
        <f>SUMIF(Input[County], A69, Input[D])</f>
        <v>0</v>
      </c>
      <c r="G69" s="172">
        <f>SUMIF(Input[County], A69, Input[E])</f>
        <v>0</v>
      </c>
      <c r="H69" s="172">
        <f>SUMIF(Input[County], A69, Input[F])</f>
        <v>0</v>
      </c>
      <c r="I69" s="172">
        <f>SUMIF(Input[County], A69, Input[G])</f>
        <v>0</v>
      </c>
      <c r="J69" s="172">
        <f t="shared" si="4"/>
        <v>0</v>
      </c>
      <c r="K69" s="169">
        <f>Summary[[#This Row],[Population]]*'Input Sheet'!$J$2</f>
        <v>632426.94000000006</v>
      </c>
      <c r="L69" s="170">
        <f t="shared" si="5"/>
        <v>0</v>
      </c>
      <c r="M69" s="171" t="str" cm="1">
        <f t="array" ref="M69">_xlfn.IFS(A121="", "", L121&gt;1, "Met 100% PCI Target", AND(L121&gt;0.4999, L121&lt;1), "Met 50% PCI Target", L121&lt;0.4999, "Didn't Meet PCI Target")</f>
        <v/>
      </c>
    </row>
    <row r="70" spans="1:13" x14ac:dyDescent="0.25">
      <c r="A70" s="173" t="s">
        <v>400</v>
      </c>
      <c r="B70" s="198">
        <v>977203</v>
      </c>
      <c r="C70" s="172">
        <f>SUMIF(Input[County], A70, Input[A])</f>
        <v>0</v>
      </c>
      <c r="D70" s="172">
        <f>SUMIF(Input[County], A70, Input[B])</f>
        <v>0</v>
      </c>
      <c r="E70" s="172">
        <f>SUMIF(Input[County], A70, Input[C])</f>
        <v>0</v>
      </c>
      <c r="F70" s="172">
        <f>SUMIF(Input[County], A70, Input[D])</f>
        <v>0</v>
      </c>
      <c r="G70" s="172">
        <f>SUMIF(Input[County], A70, Input[E])</f>
        <v>0</v>
      </c>
      <c r="H70" s="172">
        <f>SUMIF(Input[County], A70, Input[F])</f>
        <v>0</v>
      </c>
      <c r="I70" s="172">
        <f>SUMIF(Input[County], A70, Input[G])</f>
        <v>0</v>
      </c>
      <c r="J70" s="172">
        <f t="shared" si="4"/>
        <v>0</v>
      </c>
      <c r="K70" s="169">
        <f>Summary[[#This Row],[Population]]*'Input Sheet'!$J$2</f>
        <v>4749206.58</v>
      </c>
      <c r="L70" s="170">
        <f t="shared" si="5"/>
        <v>0</v>
      </c>
      <c r="M70" s="171" t="str" cm="1">
        <f t="array" ref="M70">_xlfn.IFS(A122="", "", L122&gt;1, "Met 100% PCI Target", AND(L122&gt;0.4999, L122&lt;1), "Met 50% PCI Target", L122&lt;0.4999, "Didn't Meet PCI Target")</f>
        <v/>
      </c>
    </row>
    <row r="71" spans="1:13" x14ac:dyDescent="0.25">
      <c r="A71" s="173" t="s">
        <v>401</v>
      </c>
      <c r="B71" s="198">
        <v>46095</v>
      </c>
      <c r="C71" s="172">
        <f>SUMIF(Input[County], A71, Input[A])</f>
        <v>0</v>
      </c>
      <c r="D71" s="172">
        <f>SUMIF(Input[County], A71, Input[B])</f>
        <v>0</v>
      </c>
      <c r="E71" s="172">
        <f>SUMIF(Input[County], A71, Input[C])</f>
        <v>0</v>
      </c>
      <c r="F71" s="172">
        <f>SUMIF(Input[County], A71, Input[D])</f>
        <v>0</v>
      </c>
      <c r="G71" s="172">
        <f>SUMIF(Input[County], A71, Input[E])</f>
        <v>0</v>
      </c>
      <c r="H71" s="172">
        <f>SUMIF(Input[County], A71, Input[F])</f>
        <v>0</v>
      </c>
      <c r="I71" s="172">
        <f>SUMIF(Input[County], A71, Input[G])</f>
        <v>0</v>
      </c>
      <c r="J71" s="172">
        <f t="shared" si="4"/>
        <v>0</v>
      </c>
      <c r="K71" s="169">
        <f>Summary[[#This Row],[Population]]*'Input Sheet'!$J$2</f>
        <v>224021.7</v>
      </c>
      <c r="L71" s="170">
        <f t="shared" si="5"/>
        <v>0</v>
      </c>
      <c r="M71" s="171" t="str" cm="1">
        <f t="array" ref="M71">_xlfn.IFS(A123="", "", L123&gt;1, "Met 100% PCI Target", AND(L123&gt;0.4999, L123&lt;1), "Met 50% PCI Target", L123&lt;0.4999, "Didn't Meet PCI Target")</f>
        <v/>
      </c>
    </row>
    <row r="72" spans="1:13" x14ac:dyDescent="0.25">
      <c r="A72" s="173" t="s">
        <v>402</v>
      </c>
      <c r="B72" s="198">
        <v>9812</v>
      </c>
      <c r="C72" s="172">
        <f>SUMIF(Input[County], A72, Input[A])</f>
        <v>0</v>
      </c>
      <c r="D72" s="172">
        <f>SUMIF(Input[County], A72, Input[B])</f>
        <v>0</v>
      </c>
      <c r="E72" s="172">
        <f>SUMIF(Input[County], A72, Input[C])</f>
        <v>0</v>
      </c>
      <c r="F72" s="172">
        <f>SUMIF(Input[County], A72, Input[D])</f>
        <v>0</v>
      </c>
      <c r="G72" s="172">
        <f>SUMIF(Input[County], A72, Input[E])</f>
        <v>0</v>
      </c>
      <c r="H72" s="172">
        <f>SUMIF(Input[County], A72, Input[F])</f>
        <v>0</v>
      </c>
      <c r="I72" s="172">
        <f>SUMIF(Input[County], A72, Input[G])</f>
        <v>0</v>
      </c>
      <c r="J72" s="172">
        <f t="shared" si="4"/>
        <v>0</v>
      </c>
      <c r="K72" s="169">
        <f>Summary[[#This Row],[Population]]*'Input Sheet'!$J$2</f>
        <v>47686.32</v>
      </c>
      <c r="L72" s="170">
        <f t="shared" si="5"/>
        <v>0</v>
      </c>
      <c r="M72" s="171" t="str" cm="1">
        <f t="array" ref="M72">_xlfn.IFS(A124="", "", L124&gt;1, "Met 100% PCI Target", AND(L124&gt;0.4999, L124&lt;1), "Met 50% PCI Target", L124&lt;0.4999, "Didn't Meet PCI Target")</f>
        <v/>
      </c>
    </row>
    <row r="73" spans="1:13" x14ac:dyDescent="0.25">
      <c r="A73" s="173" t="s">
        <v>403</v>
      </c>
      <c r="B73" s="198">
        <v>35962</v>
      </c>
      <c r="C73" s="172">
        <f>SUMIF(Input[County], A73, Input[A])</f>
        <v>0</v>
      </c>
      <c r="D73" s="172">
        <f>SUMIF(Input[County], A73, Input[B])</f>
        <v>0</v>
      </c>
      <c r="E73" s="172">
        <f>SUMIF(Input[County], A73, Input[C])</f>
        <v>0</v>
      </c>
      <c r="F73" s="172">
        <f>SUMIF(Input[County], A73, Input[D])</f>
        <v>0</v>
      </c>
      <c r="G73" s="172">
        <f>SUMIF(Input[County], A73, Input[E])</f>
        <v>0</v>
      </c>
      <c r="H73" s="172">
        <f>SUMIF(Input[County], A73, Input[F])</f>
        <v>0</v>
      </c>
      <c r="I73" s="172">
        <f>SUMIF(Input[County], A73, Input[G])</f>
        <v>0</v>
      </c>
      <c r="J73" s="172">
        <f t="shared" si="4"/>
        <v>0</v>
      </c>
      <c r="K73" s="169">
        <f>Summary[[#This Row],[Population]]*'Input Sheet'!$J$2</f>
        <v>174775.32</v>
      </c>
      <c r="L73" s="170">
        <f t="shared" si="5"/>
        <v>0</v>
      </c>
      <c r="M73" s="171" t="str" cm="1">
        <f t="array" ref="M73">_xlfn.IFS(A125="", "", L125&gt;1, "Met 100% PCI Target", AND(L125&gt;0.4999, L125&lt;1), "Met 50% PCI Target", L125&lt;0.4999, "Didn't Meet PCI Target")</f>
        <v/>
      </c>
    </row>
    <row r="74" spans="1:13" x14ac:dyDescent="0.25">
      <c r="A74" s="173" t="s">
        <v>264</v>
      </c>
      <c r="B74" s="198">
        <v>139718</v>
      </c>
      <c r="C74" s="172">
        <f>SUMIF(Input[County], A74, Input[A])</f>
        <v>0</v>
      </c>
      <c r="D74" s="172">
        <f>SUMIF(Input[County], A74, Input[B])</f>
        <v>0</v>
      </c>
      <c r="E74" s="172">
        <f>SUMIF(Input[County], A74, Input[C])</f>
        <v>0</v>
      </c>
      <c r="F74" s="172">
        <f>SUMIF(Input[County], A74, Input[D])</f>
        <v>0</v>
      </c>
      <c r="G74" s="172">
        <f>SUMIF(Input[County], A74, Input[E])</f>
        <v>0</v>
      </c>
      <c r="H74" s="172">
        <f>SUMIF(Input[County], A74, Input[F])</f>
        <v>0</v>
      </c>
      <c r="I74" s="172">
        <f>SUMIF(Input[County], A74, Input[G])</f>
        <v>0</v>
      </c>
      <c r="J74" s="172">
        <f t="shared" si="4"/>
        <v>0</v>
      </c>
      <c r="K74" s="169">
        <f>Summary[[#This Row],[Population]]*'Input Sheet'!$J$2</f>
        <v>679029.4800000001</v>
      </c>
      <c r="L74" s="170">
        <f t="shared" si="5"/>
        <v>0</v>
      </c>
      <c r="M74" s="171" t="str" cm="1">
        <f t="array" ref="M74">_xlfn.IFS(A126="", "", L126&gt;1, "Met 100% PCI Target", AND(L126&gt;0.4999, L126&lt;1), "Met 50% PCI Target", L126&lt;0.4999, "Didn't Meet PCI Target")</f>
        <v/>
      </c>
    </row>
    <row r="75" spans="1:13" x14ac:dyDescent="0.25">
      <c r="A75" s="173" t="s">
        <v>404</v>
      </c>
      <c r="B75" s="198">
        <v>37936</v>
      </c>
      <c r="C75" s="172">
        <f>SUMIF(Input[County], A75, Input[A])</f>
        <v>0</v>
      </c>
      <c r="D75" s="172">
        <f>SUMIF(Input[County], A75, Input[B])</f>
        <v>0</v>
      </c>
      <c r="E75" s="172">
        <f>SUMIF(Input[County], A75, Input[C])</f>
        <v>0</v>
      </c>
      <c r="F75" s="172">
        <f>SUMIF(Input[County], A75, Input[D])</f>
        <v>0</v>
      </c>
      <c r="G75" s="172">
        <f>SUMIF(Input[County], A75, Input[E])</f>
        <v>0</v>
      </c>
      <c r="H75" s="172">
        <f>SUMIF(Input[County], A75, Input[F])</f>
        <v>0</v>
      </c>
      <c r="I75" s="172">
        <f>SUMIF(Input[County], A75, Input[G])</f>
        <v>0</v>
      </c>
      <c r="J75" s="172">
        <f t="shared" si="4"/>
        <v>0</v>
      </c>
      <c r="K75" s="169">
        <f>Summary[[#This Row],[Population]]*'Input Sheet'!$J$2</f>
        <v>184368.96000000002</v>
      </c>
      <c r="L75" s="170">
        <f t="shared" si="5"/>
        <v>0</v>
      </c>
      <c r="M75" s="171" t="str" cm="1">
        <f t="array" ref="M75">_xlfn.IFS(A127="", "", L127&gt;1, "Met 100% PCI Target", AND(L127&gt;0.4999, L127&lt;1), "Met 50% PCI Target", L127&lt;0.4999, "Didn't Meet PCI Target")</f>
        <v/>
      </c>
    </row>
    <row r="76" spans="1:13" x14ac:dyDescent="0.25">
      <c r="A76" s="173" t="s">
        <v>405</v>
      </c>
      <c r="B76" s="198">
        <v>71780</v>
      </c>
      <c r="C76" s="172">
        <f>SUMIF(Input[County], A76, Input[A])</f>
        <v>0</v>
      </c>
      <c r="D76" s="172">
        <f>SUMIF(Input[County], A76, Input[B])</f>
        <v>0</v>
      </c>
      <c r="E76" s="172">
        <f>SUMIF(Input[County], A76, Input[C])</f>
        <v>0</v>
      </c>
      <c r="F76" s="172">
        <f>SUMIF(Input[County], A76, Input[D])</f>
        <v>0</v>
      </c>
      <c r="G76" s="172">
        <f>SUMIF(Input[County], A76, Input[E])</f>
        <v>0</v>
      </c>
      <c r="H76" s="172">
        <f>SUMIF(Input[County], A76, Input[F])</f>
        <v>0</v>
      </c>
      <c r="I76" s="172">
        <f>SUMIF(Input[County], A76, Input[G])</f>
        <v>0</v>
      </c>
      <c r="J76" s="172">
        <f t="shared" si="4"/>
        <v>0</v>
      </c>
      <c r="K76" s="169">
        <f>Summary[[#This Row],[Population]]*'Input Sheet'!$J$2</f>
        <v>348850.80000000005</v>
      </c>
      <c r="L76" s="170">
        <f t="shared" si="5"/>
        <v>0</v>
      </c>
      <c r="M76" s="171" t="str" cm="1">
        <f t="array" ref="M76">_xlfn.IFS(A128="", "", L128&gt;1, "Met 100% PCI Target", AND(L128&gt;0.4999, L128&lt;1), "Met 50% PCI Target", L128&lt;0.4999, "Didn't Meet PCI Target")</f>
        <v/>
      </c>
    </row>
    <row r="77" spans="1:13" x14ac:dyDescent="0.25">
      <c r="A77" s="173" t="s">
        <v>406</v>
      </c>
      <c r="B77" s="198">
        <v>13830</v>
      </c>
      <c r="C77" s="172">
        <f>SUMIF(Input[County], A77, Input[A])</f>
        <v>0</v>
      </c>
      <c r="D77" s="172">
        <f>SUMIF(Input[County], A77, Input[B])</f>
        <v>0</v>
      </c>
      <c r="E77" s="172">
        <f>SUMIF(Input[County], A77, Input[C])</f>
        <v>0</v>
      </c>
      <c r="F77" s="172">
        <f>SUMIF(Input[County], A77, Input[D])</f>
        <v>0</v>
      </c>
      <c r="G77" s="172">
        <f>SUMIF(Input[County], A77, Input[E])</f>
        <v>0</v>
      </c>
      <c r="H77" s="172">
        <f>SUMIF(Input[County], A77, Input[F])</f>
        <v>0</v>
      </c>
      <c r="I77" s="172">
        <f>SUMIF(Input[County], A77, Input[G])</f>
        <v>0</v>
      </c>
      <c r="J77" s="172">
        <f t="shared" si="4"/>
        <v>0</v>
      </c>
      <c r="K77" s="169">
        <f>Summary[[#This Row],[Population]]*'Input Sheet'!$J$2</f>
        <v>67213.8</v>
      </c>
      <c r="L77" s="170">
        <f t="shared" si="5"/>
        <v>0</v>
      </c>
      <c r="M77" s="171" t="str" cm="1">
        <f t="array" ref="M77">_xlfn.IFS(A129="", "", L129&gt;1, "Met 100% PCI Target", AND(L129&gt;0.4999, L129&lt;1), "Met 50% PCI Target", L129&lt;0.4999, "Didn't Meet PCI Target")</f>
        <v/>
      </c>
    </row>
    <row r="78" spans="1:13" x14ac:dyDescent="0.25">
      <c r="A78" s="173" t="s">
        <v>407</v>
      </c>
      <c r="B78" s="198">
        <v>47457</v>
      </c>
      <c r="C78" s="172">
        <f>SUMIF(Input[County], A78, Input[A])</f>
        <v>0</v>
      </c>
      <c r="D78" s="172">
        <f>SUMIF(Input[County], A78, Input[B])</f>
        <v>0</v>
      </c>
      <c r="E78" s="172">
        <f>SUMIF(Input[County], A78, Input[C])</f>
        <v>0</v>
      </c>
      <c r="F78" s="172">
        <f>SUMIF(Input[County], A78, Input[D])</f>
        <v>0</v>
      </c>
      <c r="G78" s="172">
        <f>SUMIF(Input[County], A78, Input[E])</f>
        <v>0</v>
      </c>
      <c r="H78" s="172">
        <f>SUMIF(Input[County], A78, Input[F])</f>
        <v>0</v>
      </c>
      <c r="I78" s="172">
        <f>SUMIF(Input[County], A78, Input[G])</f>
        <v>0</v>
      </c>
      <c r="J78" s="172">
        <f t="shared" si="4"/>
        <v>0</v>
      </c>
      <c r="K78" s="169">
        <f>Summary[[#This Row],[Population]]*'Input Sheet'!$J$2</f>
        <v>230641.02000000002</v>
      </c>
      <c r="L78" s="170">
        <f t="shared" si="5"/>
        <v>0</v>
      </c>
      <c r="M78" s="171" t="str" cm="1">
        <f t="array" ref="M78">_xlfn.IFS(A130="", "", L130&gt;1, "Met 100% PCI Target", AND(L130&gt;0.4999, L130&lt;1), "Met 50% PCI Target", L130&lt;0.4999, "Didn't Meet PCI Target")</f>
        <v/>
      </c>
    </row>
    <row r="79" spans="1:13" x14ac:dyDescent="0.25">
      <c r="A79" s="173" t="s">
        <v>408</v>
      </c>
      <c r="B79" s="198">
        <v>5940</v>
      </c>
      <c r="C79" s="172">
        <f>SUMIF(Input[County], A79, Input[A])</f>
        <v>0</v>
      </c>
      <c r="D79" s="172">
        <f>SUMIF(Input[County], A79, Input[B])</f>
        <v>0</v>
      </c>
      <c r="E79" s="172">
        <f>SUMIF(Input[County], A79, Input[C])</f>
        <v>0</v>
      </c>
      <c r="F79" s="172">
        <f>SUMIF(Input[County], A79, Input[D])</f>
        <v>0</v>
      </c>
      <c r="G79" s="172">
        <f>SUMIF(Input[County], A79, Input[E])</f>
        <v>0</v>
      </c>
      <c r="H79" s="172">
        <f>SUMIF(Input[County], A79, Input[F])</f>
        <v>0</v>
      </c>
      <c r="I79" s="172">
        <f>SUMIF(Input[County], A79, Input[G])</f>
        <v>0</v>
      </c>
      <c r="J79" s="172">
        <f t="shared" si="4"/>
        <v>0</v>
      </c>
      <c r="K79" s="169">
        <f>Summary[[#This Row],[Population]]*'Input Sheet'!$J$2</f>
        <v>28868.400000000001</v>
      </c>
      <c r="L79" s="170">
        <f t="shared" si="5"/>
        <v>0</v>
      </c>
      <c r="M79" s="171" t="str" cm="1">
        <f t="array" ref="M79">_xlfn.IFS(A131="", "", L131&gt;1, "Met 100% PCI Target", AND(L131&gt;0.4999, L131&lt;1), "Met 50% PCI Target", L131&lt;0.4999, "Didn't Meet PCI Target")</f>
        <v/>
      </c>
    </row>
    <row r="80" spans="1:13" x14ac:dyDescent="0.25">
      <c r="A80" s="173" t="s">
        <v>409</v>
      </c>
      <c r="B80" s="198">
        <v>19867</v>
      </c>
      <c r="C80" s="172">
        <f>SUMIF(Input[County], A80, Input[A])</f>
        <v>0</v>
      </c>
      <c r="D80" s="172">
        <f>SUMIF(Input[County], A80, Input[B])</f>
        <v>0</v>
      </c>
      <c r="E80" s="172">
        <f>SUMIF(Input[County], A80, Input[C])</f>
        <v>0</v>
      </c>
      <c r="F80" s="172">
        <f>SUMIF(Input[County], A80, Input[D])</f>
        <v>0</v>
      </c>
      <c r="G80" s="172">
        <f>SUMIF(Input[County], A80, Input[E])</f>
        <v>0</v>
      </c>
      <c r="H80" s="172">
        <f>SUMIF(Input[County], A80, Input[F])</f>
        <v>0</v>
      </c>
      <c r="I80" s="172">
        <f>SUMIF(Input[County], A80, Input[G])</f>
        <v>0</v>
      </c>
      <c r="J80" s="172">
        <f t="shared" si="4"/>
        <v>0</v>
      </c>
      <c r="K80" s="169">
        <f>Summary[[#This Row],[Population]]*'Input Sheet'!$J$2</f>
        <v>96553.62000000001</v>
      </c>
      <c r="L80" s="170">
        <f t="shared" si="5"/>
        <v>0</v>
      </c>
      <c r="M80" s="171" t="str" cm="1">
        <f t="array" ref="M80">_xlfn.IFS(A132="", "", L132&gt;1, "Met 100% PCI Target", AND(L132&gt;0.4999, L132&lt;1), "Met 50% PCI Target", L132&lt;0.4999, "Didn't Meet PCI Target")</f>
        <v/>
      </c>
    </row>
    <row r="81" spans="1:13" x14ac:dyDescent="0.25">
      <c r="A81" s="173" t="s">
        <v>410</v>
      </c>
      <c r="B81" s="198">
        <v>21321</v>
      </c>
      <c r="C81" s="172">
        <f>SUMIF(Input[County], A81, Input[A])</f>
        <v>0</v>
      </c>
      <c r="D81" s="172">
        <f>SUMIF(Input[County], A81, Input[B])</f>
        <v>0</v>
      </c>
      <c r="E81" s="172">
        <f>SUMIF(Input[County], A81, Input[C])</f>
        <v>0</v>
      </c>
      <c r="F81" s="172">
        <f>SUMIF(Input[County], A81, Input[D])</f>
        <v>0</v>
      </c>
      <c r="G81" s="172">
        <f>SUMIF(Input[County], A81, Input[E])</f>
        <v>0</v>
      </c>
      <c r="H81" s="172">
        <f>SUMIF(Input[County], A81, Input[F])</f>
        <v>0</v>
      </c>
      <c r="I81" s="172">
        <f>SUMIF(Input[County], A81, Input[G])</f>
        <v>0</v>
      </c>
      <c r="J81" s="172">
        <f t="shared" ref="J81:J89" si="6">SUM(C81:I81)</f>
        <v>0</v>
      </c>
      <c r="K81" s="169">
        <f>Summary[[#This Row],[Population]]*'Input Sheet'!$J$2</f>
        <v>103620.06000000001</v>
      </c>
      <c r="L81" s="170">
        <f t="shared" ref="L81:L89" si="7">IF(A81="","",J81/K81)</f>
        <v>0</v>
      </c>
      <c r="M81" s="171" t="str" cm="1">
        <f t="array" ref="M81">_xlfn.IFS(A133="", "", L133&gt;1, "Met 100% PCI Target", AND(L133&gt;0.4999, L133&lt;1), "Met 50% PCI Target", L133&lt;0.4999, "Didn't Meet PCI Target")</f>
        <v/>
      </c>
    </row>
    <row r="82" spans="1:13" x14ac:dyDescent="0.25">
      <c r="A82" s="173" t="s">
        <v>411</v>
      </c>
      <c r="B82" s="198">
        <v>16156</v>
      </c>
      <c r="C82" s="172">
        <f>SUMIF(Input[County], A82, Input[A])</f>
        <v>0</v>
      </c>
      <c r="D82" s="172">
        <f>SUMIF(Input[County], A82, Input[B])</f>
        <v>0</v>
      </c>
      <c r="E82" s="172">
        <f>SUMIF(Input[County], A82, Input[C])</f>
        <v>0</v>
      </c>
      <c r="F82" s="172">
        <f>SUMIF(Input[County], A82, Input[D])</f>
        <v>0</v>
      </c>
      <c r="G82" s="172">
        <f>SUMIF(Input[County], A82, Input[E])</f>
        <v>0</v>
      </c>
      <c r="H82" s="172">
        <f>SUMIF(Input[County], A82, Input[F])</f>
        <v>0</v>
      </c>
      <c r="I82" s="172">
        <f>SUMIF(Input[County], A82, Input[G])</f>
        <v>0</v>
      </c>
      <c r="J82" s="172">
        <f t="shared" si="6"/>
        <v>0</v>
      </c>
      <c r="K82" s="169">
        <f>Summary[[#This Row],[Population]]*'Input Sheet'!$J$2</f>
        <v>78518.16</v>
      </c>
      <c r="L82" s="170">
        <f t="shared" si="7"/>
        <v>0</v>
      </c>
      <c r="M82" s="171" t="str" cm="1">
        <f t="array" ref="M82">_xlfn.IFS(A134="", "", L134&gt;1, "Met 100% PCI Target", AND(L134&gt;0.4999, L134&lt;1), "Met 50% PCI Target", L134&lt;0.4999, "Didn't Meet PCI Target")</f>
        <v/>
      </c>
    </row>
    <row r="83" spans="1:13" x14ac:dyDescent="0.25">
      <c r="A83" s="173" t="s">
        <v>412</v>
      </c>
      <c r="B83" s="198">
        <v>19170</v>
      </c>
      <c r="C83" s="172">
        <f>SUMIF(Input[County], A83, Input[A])</f>
        <v>0</v>
      </c>
      <c r="D83" s="172">
        <f>SUMIF(Input[County], A83, Input[B])</f>
        <v>0</v>
      </c>
      <c r="E83" s="172">
        <f>SUMIF(Input[County], A83, Input[C])</f>
        <v>0</v>
      </c>
      <c r="F83" s="172">
        <f>SUMIF(Input[County], A83, Input[D])</f>
        <v>0</v>
      </c>
      <c r="G83" s="172">
        <f>SUMIF(Input[County], A83, Input[E])</f>
        <v>0</v>
      </c>
      <c r="H83" s="172">
        <f>SUMIF(Input[County], A83, Input[F])</f>
        <v>0</v>
      </c>
      <c r="I83" s="172">
        <f>SUMIF(Input[County], A83, Input[G])</f>
        <v>0</v>
      </c>
      <c r="J83" s="172">
        <f t="shared" si="6"/>
        <v>0</v>
      </c>
      <c r="K83" s="169">
        <f>Summary[[#This Row],[Population]]*'Input Sheet'!$J$2</f>
        <v>93166.200000000012</v>
      </c>
      <c r="L83" s="170">
        <f t="shared" si="7"/>
        <v>0</v>
      </c>
      <c r="M83" s="171" t="str" cm="1">
        <f t="array" ref="M83">_xlfn.IFS(A135="", "", L135&gt;1, "Met 100% PCI Target", AND(L135&gt;0.4999, L135&lt;1), "Met 50% PCI Target", L135&lt;0.4999, "Didn't Meet PCI Target")</f>
        <v/>
      </c>
    </row>
    <row r="84" spans="1:13" x14ac:dyDescent="0.25">
      <c r="A84" s="173" t="s">
        <v>413</v>
      </c>
      <c r="B84" s="198">
        <v>12250</v>
      </c>
      <c r="C84" s="172">
        <f>SUMIF(Input[County], A84, Input[A])</f>
        <v>0</v>
      </c>
      <c r="D84" s="172">
        <f>SUMIF(Input[County], A84, Input[B])</f>
        <v>0</v>
      </c>
      <c r="E84" s="172">
        <f>SUMIF(Input[County], A84, Input[C])</f>
        <v>0</v>
      </c>
      <c r="F84" s="172">
        <f>SUMIF(Input[County], A84, Input[D])</f>
        <v>0</v>
      </c>
      <c r="G84" s="172">
        <f>SUMIF(Input[County], A84, Input[E])</f>
        <v>0</v>
      </c>
      <c r="H84" s="172">
        <f>SUMIF(Input[County], A84, Input[F])</f>
        <v>0</v>
      </c>
      <c r="I84" s="172">
        <f>SUMIF(Input[County], A84, Input[G])</f>
        <v>0</v>
      </c>
      <c r="J84" s="172">
        <f t="shared" si="6"/>
        <v>0</v>
      </c>
      <c r="K84" s="169">
        <f>Summary[[#This Row],[Population]]*'Input Sheet'!$J$2</f>
        <v>59535.000000000007</v>
      </c>
      <c r="L84" s="170">
        <f t="shared" si="7"/>
        <v>0</v>
      </c>
      <c r="M84" s="171" t="str" cm="1">
        <f t="array" ref="M84">_xlfn.IFS(A136="", "", L136&gt;1, "Met 100% PCI Target", AND(L136&gt;0.4999, L136&lt;1), "Met 50% PCI Target", L136&lt;0.4999, "Didn't Meet PCI Target")</f>
        <v/>
      </c>
    </row>
    <row r="85" spans="1:13" x14ac:dyDescent="0.25">
      <c r="A85" s="173" t="s">
        <v>414</v>
      </c>
      <c r="B85" s="198">
        <v>173215</v>
      </c>
      <c r="C85" s="172">
        <f>SUMIF(Input[County], A85, Input[A])</f>
        <v>0</v>
      </c>
      <c r="D85" s="172">
        <f>SUMIF(Input[County], A85, Input[B])</f>
        <v>0</v>
      </c>
      <c r="E85" s="172">
        <f>SUMIF(Input[County], A85, Input[C])</f>
        <v>0</v>
      </c>
      <c r="F85" s="172">
        <f>SUMIF(Input[County], A85, Input[D])</f>
        <v>0</v>
      </c>
      <c r="G85" s="172">
        <f>SUMIF(Input[County], A85, Input[E])</f>
        <v>0</v>
      </c>
      <c r="H85" s="172">
        <f>SUMIF(Input[County], A85, Input[F])</f>
        <v>0</v>
      </c>
      <c r="I85" s="172">
        <f>SUMIF(Input[County], A85, Input[G])</f>
        <v>0</v>
      </c>
      <c r="J85" s="172">
        <f t="shared" si="6"/>
        <v>0</v>
      </c>
      <c r="K85" s="169">
        <f>Summary[[#This Row],[Population]]*'Input Sheet'!$J$2</f>
        <v>841824.9</v>
      </c>
      <c r="L85" s="170">
        <f t="shared" si="7"/>
        <v>0</v>
      </c>
      <c r="M85" s="171" t="str" cm="1">
        <f t="array" ref="M85">_xlfn.IFS(A137="", "", L137&gt;1, "Met 100% PCI Target", AND(L137&gt;0.4999, L137&lt;1), "Met 50% PCI Target", L137&lt;0.4999, "Didn't Meet PCI Target")</f>
        <v/>
      </c>
    </row>
    <row r="86" spans="1:13" x14ac:dyDescent="0.25">
      <c r="A86" s="173" t="s">
        <v>415</v>
      </c>
      <c r="B86" s="198">
        <v>25222</v>
      </c>
      <c r="C86" s="172">
        <f>SUMIF(Input[County], A86, Input[A])</f>
        <v>0</v>
      </c>
      <c r="D86" s="172">
        <f>SUMIF(Input[County], A86, Input[B])</f>
        <v>0</v>
      </c>
      <c r="E86" s="172">
        <f>SUMIF(Input[County], A86, Input[C])</f>
        <v>0</v>
      </c>
      <c r="F86" s="172">
        <f>SUMIF(Input[County], A86, Input[D])</f>
        <v>0</v>
      </c>
      <c r="G86" s="172">
        <f>SUMIF(Input[County], A86, Input[E])</f>
        <v>0</v>
      </c>
      <c r="H86" s="172">
        <f>SUMIF(Input[County], A86, Input[F])</f>
        <v>0</v>
      </c>
      <c r="I86" s="172">
        <f>SUMIF(Input[County], A86, Input[G])</f>
        <v>0</v>
      </c>
      <c r="J86" s="172">
        <f t="shared" si="6"/>
        <v>0</v>
      </c>
      <c r="K86" s="169">
        <f>Summary[[#This Row],[Population]]*'Input Sheet'!$J$2</f>
        <v>122578.92000000001</v>
      </c>
      <c r="L86" s="170">
        <f t="shared" si="7"/>
        <v>0</v>
      </c>
      <c r="M86" s="171" t="str" cm="1">
        <f t="array" ref="M86">_xlfn.IFS(A138="", "", L138&gt;1, "Met 100% PCI Target", AND(L138&gt;0.4999, L138&lt;1), "Met 50% PCI Target", L138&lt;0.4999, "Didn't Meet PCI Target")</f>
        <v/>
      </c>
    </row>
    <row r="87" spans="1:13" x14ac:dyDescent="0.25">
      <c r="A87" s="173" t="s">
        <v>416</v>
      </c>
      <c r="B87" s="198">
        <v>12514</v>
      </c>
      <c r="C87" s="172">
        <f>SUMIF(Input[County], A87, Input[A])</f>
        <v>0</v>
      </c>
      <c r="D87" s="172">
        <f>SUMIF(Input[County], A87, Input[B])</f>
        <v>0</v>
      </c>
      <c r="E87" s="172">
        <f>SUMIF(Input[County], A87, Input[C])</f>
        <v>0</v>
      </c>
      <c r="F87" s="172">
        <f>SUMIF(Input[County], A87, Input[D])</f>
        <v>0</v>
      </c>
      <c r="G87" s="172">
        <f>SUMIF(Input[County], A87, Input[E])</f>
        <v>0</v>
      </c>
      <c r="H87" s="172">
        <f>SUMIF(Input[County], A87, Input[F])</f>
        <v>0</v>
      </c>
      <c r="I87" s="172">
        <f>SUMIF(Input[County], A87, Input[G])</f>
        <v>0</v>
      </c>
      <c r="J87" s="172">
        <f t="shared" si="6"/>
        <v>0</v>
      </c>
      <c r="K87" s="169">
        <f>Summary[[#This Row],[Population]]*'Input Sheet'!$J$2</f>
        <v>60818.04</v>
      </c>
      <c r="L87" s="170">
        <f t="shared" si="7"/>
        <v>0</v>
      </c>
      <c r="M87" s="171" t="str" cm="1">
        <f t="array" ref="M87">_xlfn.IFS(A139="", "", L139&gt;1, "Met 100% PCI Target", AND(L139&gt;0.4999, L139&lt;1), "Met 50% PCI Target", L139&lt;0.4999, "Didn't Meet PCI Target")</f>
        <v/>
      </c>
    </row>
    <row r="88" spans="1:13" x14ac:dyDescent="0.25">
      <c r="A88" s="173" t="s">
        <v>417</v>
      </c>
      <c r="B88" s="198">
        <v>36726</v>
      </c>
      <c r="C88" s="172">
        <f>SUMIF(Input[County], A88, Input[A])</f>
        <v>0</v>
      </c>
      <c r="D88" s="172">
        <f>SUMIF(Input[County], A88, Input[B])</f>
        <v>0</v>
      </c>
      <c r="E88" s="172">
        <f>SUMIF(Input[County], A88, Input[C])</f>
        <v>0</v>
      </c>
      <c r="F88" s="172">
        <f>SUMIF(Input[County], A88, Input[D])</f>
        <v>0</v>
      </c>
      <c r="G88" s="172">
        <f>SUMIF(Input[County], A88, Input[E])</f>
        <v>0</v>
      </c>
      <c r="H88" s="172">
        <f>SUMIF(Input[County], A88, Input[F])</f>
        <v>0</v>
      </c>
      <c r="I88" s="172">
        <f>SUMIF(Input[County], A88, Input[G])</f>
        <v>0</v>
      </c>
      <c r="J88" s="172">
        <f t="shared" si="6"/>
        <v>0</v>
      </c>
      <c r="K88" s="169">
        <f>Summary[[#This Row],[Population]]*'Input Sheet'!$J$2</f>
        <v>178488.36000000002</v>
      </c>
      <c r="L88" s="170">
        <f t="shared" si="7"/>
        <v>0</v>
      </c>
      <c r="M88" s="171" t="str" cm="1">
        <f t="array" ref="M88">_xlfn.IFS(A140="", "", L140&gt;1, "Met 100% PCI Target", AND(L140&gt;0.4999, L140&lt;1), "Met 50% PCI Target", L140&lt;0.4999, "Didn't Meet PCI Target")</f>
        <v/>
      </c>
    </row>
    <row r="89" spans="1:13" x14ac:dyDescent="0.25">
      <c r="A89" s="173" t="s">
        <v>418</v>
      </c>
      <c r="B89" s="198">
        <v>24502</v>
      </c>
      <c r="C89" s="172">
        <f>SUMIF(Input[County], A89, Input[A])</f>
        <v>0</v>
      </c>
      <c r="D89" s="172">
        <f>SUMIF(Input[County], A89, Input[B])</f>
        <v>0</v>
      </c>
      <c r="E89" s="172">
        <f>SUMIF(Input[County], A89, Input[C])</f>
        <v>0</v>
      </c>
      <c r="F89" s="172">
        <f>SUMIF(Input[County], A89, Input[D])</f>
        <v>0</v>
      </c>
      <c r="G89" s="172">
        <f>SUMIF(Input[County], A89, Input[E])</f>
        <v>0</v>
      </c>
      <c r="H89" s="172">
        <f>SUMIF(Input[County], A89, Input[F])</f>
        <v>0</v>
      </c>
      <c r="I89" s="172">
        <f>SUMIF(Input[County], A89, Input[G])</f>
        <v>0</v>
      </c>
      <c r="J89" s="172">
        <f t="shared" si="6"/>
        <v>0</v>
      </c>
      <c r="K89" s="169">
        <f>Summary[[#This Row],[Population]]*'Input Sheet'!$J$2</f>
        <v>119079.72</v>
      </c>
      <c r="L89" s="170">
        <f t="shared" si="7"/>
        <v>0</v>
      </c>
      <c r="M89" s="171" t="str" cm="1">
        <f t="array" ref="M89">_xlfn.IFS(A141="", "", L141&gt;1, "Met 100% PCI Target", AND(L141&gt;0.4999, L141&lt;1), "Met 50% PCI Target", L141&lt;0.4999, "Didn't Meet PCI Target")</f>
        <v/>
      </c>
    </row>
    <row r="90" spans="1:13" x14ac:dyDescent="0.25">
      <c r="A90" s="173" t="s">
        <v>419</v>
      </c>
      <c r="B90" s="198">
        <v>28995</v>
      </c>
      <c r="C90" s="172">
        <f>SUMIF(Input[County], A90, Input[A])</f>
        <v>0</v>
      </c>
      <c r="D90" s="172">
        <f>SUMIF(Input[County], A90, Input[B])</f>
        <v>0</v>
      </c>
      <c r="E90" s="172">
        <f>SUMIF(Input[County], A90, Input[C])</f>
        <v>0</v>
      </c>
      <c r="F90" s="172">
        <f>SUMIF(Input[County], A90, Input[D])</f>
        <v>0</v>
      </c>
      <c r="G90" s="172">
        <f>SUMIF(Input[County], A90, Input[E])</f>
        <v>0</v>
      </c>
      <c r="H90" s="172">
        <f>SUMIF(Input[County], A90, Input[F])</f>
        <v>0</v>
      </c>
      <c r="I90" s="172">
        <f>SUMIF(Input[County], A90, Input[G])</f>
        <v>0</v>
      </c>
      <c r="J90" s="172">
        <f t="shared" ref="J90:J104" si="8">SUM(C90:I90)</f>
        <v>0</v>
      </c>
      <c r="K90" s="169">
        <f>Summary[[#This Row],[Population]]*'Input Sheet'!$J$2</f>
        <v>140915.70000000001</v>
      </c>
      <c r="L90" s="170">
        <f t="shared" ref="L90:L104" si="9">IF(A90="","",J90/K90)</f>
        <v>0</v>
      </c>
      <c r="M90" s="171" t="str" cm="1">
        <f t="array" ref="M90">_xlfn.IFS(A142="", "", L142&gt;1, "Met 100% PCI Target", AND(L142&gt;0.4999, L142&lt;1), "Met 50% PCI Target", L142&lt;0.4999, "Didn't Meet PCI Target")</f>
        <v/>
      </c>
    </row>
    <row r="91" spans="1:13" x14ac:dyDescent="0.25">
      <c r="A91" s="173" t="s">
        <v>420</v>
      </c>
      <c r="B91" s="198">
        <v>16752</v>
      </c>
      <c r="C91" s="172">
        <f>SUMIF(Input[County], A91, Input[A])</f>
        <v>0</v>
      </c>
      <c r="D91" s="172">
        <f>SUMIF(Input[County], A91, Input[B])</f>
        <v>0</v>
      </c>
      <c r="E91" s="172">
        <f>SUMIF(Input[County], A91, Input[C])</f>
        <v>0</v>
      </c>
      <c r="F91" s="172">
        <f>SUMIF(Input[County], A91, Input[D])</f>
        <v>0</v>
      </c>
      <c r="G91" s="172">
        <f>SUMIF(Input[County], A91, Input[E])</f>
        <v>0</v>
      </c>
      <c r="H91" s="172">
        <f>SUMIF(Input[County], A91, Input[F])</f>
        <v>0</v>
      </c>
      <c r="I91" s="172">
        <f>SUMIF(Input[County], A91, Input[G])</f>
        <v>0</v>
      </c>
      <c r="J91" s="172">
        <f t="shared" si="8"/>
        <v>0</v>
      </c>
      <c r="K91" s="169">
        <f>Summary[[#This Row],[Population]]*'Input Sheet'!$J$2</f>
        <v>81414.720000000001</v>
      </c>
      <c r="L91" s="170">
        <f t="shared" si="9"/>
        <v>0</v>
      </c>
      <c r="M91" s="171" t="str" cm="1">
        <f t="array" ref="M91">_xlfn.IFS(A143="", "", L143&gt;1, "Met 100% PCI Target", AND(L143&gt;0.4999, L143&lt;1), "Met 50% PCI Target", L143&lt;0.4999, "Didn't Meet PCI Target")</f>
        <v/>
      </c>
    </row>
    <row r="92" spans="1:13" x14ac:dyDescent="0.25">
      <c r="A92" s="173" t="s">
        <v>421</v>
      </c>
      <c r="B92" s="198">
        <v>24384</v>
      </c>
      <c r="C92" s="172">
        <f>SUMIF(Input[County], A92, Input[A])</f>
        <v>0</v>
      </c>
      <c r="D92" s="172">
        <f>SUMIF(Input[County], A92, Input[B])</f>
        <v>0</v>
      </c>
      <c r="E92" s="172">
        <f>SUMIF(Input[County], A92, Input[C])</f>
        <v>0</v>
      </c>
      <c r="F92" s="172">
        <f>SUMIF(Input[County], A92, Input[D])</f>
        <v>0</v>
      </c>
      <c r="G92" s="172">
        <f>SUMIF(Input[County], A92, Input[E])</f>
        <v>0</v>
      </c>
      <c r="H92" s="172">
        <f>SUMIF(Input[County], A92, Input[F])</f>
        <v>0</v>
      </c>
      <c r="I92" s="172">
        <f>SUMIF(Input[County], A92, Input[G])</f>
        <v>0</v>
      </c>
      <c r="J92" s="172">
        <f t="shared" si="8"/>
        <v>0</v>
      </c>
      <c r="K92" s="169">
        <f>Summary[[#This Row],[Population]]*'Input Sheet'!$J$2</f>
        <v>118506.24000000001</v>
      </c>
      <c r="L92" s="170">
        <f t="shared" si="9"/>
        <v>0</v>
      </c>
      <c r="M92" s="171" t="str" cm="1">
        <f t="array" ref="M92">_xlfn.IFS(A144="", "", L144&gt;1, "Met 100% PCI Target", AND(L144&gt;0.4999, L144&lt;1), "Met 50% PCI Target", L144&lt;0.4999, "Didn't Meet PCI Target")</f>
        <v/>
      </c>
    </row>
    <row r="93" spans="1:13" x14ac:dyDescent="0.25">
      <c r="A93" s="173" t="s">
        <v>422</v>
      </c>
      <c r="B93" s="198">
        <v>45055</v>
      </c>
      <c r="C93" s="172">
        <f>SUMIF(Input[County], A93, Input[A])</f>
        <v>0</v>
      </c>
      <c r="D93" s="172">
        <f>SUMIF(Input[County], A93, Input[B])</f>
        <v>0</v>
      </c>
      <c r="E93" s="172">
        <f>SUMIF(Input[County], A93, Input[C])</f>
        <v>0</v>
      </c>
      <c r="F93" s="172">
        <f>SUMIF(Input[County], A93, Input[D])</f>
        <v>0</v>
      </c>
      <c r="G93" s="172">
        <f>SUMIF(Input[County], A93, Input[E])</f>
        <v>0</v>
      </c>
      <c r="H93" s="172">
        <f>SUMIF(Input[County], A93, Input[F])</f>
        <v>0</v>
      </c>
      <c r="I93" s="172">
        <f>SUMIF(Input[County], A93, Input[G])</f>
        <v>0</v>
      </c>
      <c r="J93" s="172">
        <f t="shared" si="8"/>
        <v>0</v>
      </c>
      <c r="K93" s="169">
        <f>Summary[[#This Row],[Population]]*'Input Sheet'!$J$2</f>
        <v>218967.30000000002</v>
      </c>
      <c r="L93" s="170">
        <f t="shared" si="9"/>
        <v>0</v>
      </c>
      <c r="M93" s="171" t="str" cm="1">
        <f t="array" ref="M93">_xlfn.IFS(A145="", "", L145&gt;1, "Met 100% PCI Target", AND(L145&gt;0.4999, L145&lt;1), "Met 50% PCI Target", L145&lt;0.4999, "Didn't Meet PCI Target")</f>
        <v/>
      </c>
    </row>
    <row r="94" spans="1:13" x14ac:dyDescent="0.25">
      <c r="A94" s="173" t="s">
        <v>423</v>
      </c>
      <c r="B94" s="198">
        <v>19810</v>
      </c>
      <c r="C94" s="172">
        <f>SUMIF(Input[County], A94, Input[A])</f>
        <v>0</v>
      </c>
      <c r="D94" s="172">
        <f>SUMIF(Input[County], A94, Input[B])</f>
        <v>0</v>
      </c>
      <c r="E94" s="172">
        <f>SUMIF(Input[County], A94, Input[C])</f>
        <v>0</v>
      </c>
      <c r="F94" s="172">
        <f>SUMIF(Input[County], A94, Input[D])</f>
        <v>0</v>
      </c>
      <c r="G94" s="172">
        <f>SUMIF(Input[County], A94, Input[E])</f>
        <v>0</v>
      </c>
      <c r="H94" s="172">
        <f>SUMIF(Input[County], A94, Input[F])</f>
        <v>0</v>
      </c>
      <c r="I94" s="172">
        <f>SUMIF(Input[County], A94, Input[G])</f>
        <v>0</v>
      </c>
      <c r="J94" s="172">
        <f t="shared" si="8"/>
        <v>0</v>
      </c>
      <c r="K94" s="169">
        <f>Summary[[#This Row],[Population]]*'Input Sheet'!$J$2</f>
        <v>96276.6</v>
      </c>
      <c r="L94" s="170">
        <f t="shared" si="9"/>
        <v>0</v>
      </c>
      <c r="M94" s="171" t="str" cm="1">
        <f t="array" ref="M94">_xlfn.IFS(A146="", "", L146&gt;1, "Met 100% PCI Target", AND(L146&gt;0.4999, L146&lt;1), "Met 50% PCI Target", L146&lt;0.4999, "Didn't Meet PCI Target")</f>
        <v/>
      </c>
    </row>
    <row r="95" spans="1:13" x14ac:dyDescent="0.25">
      <c r="A95" s="173" t="s">
        <v>358</v>
      </c>
      <c r="B95" s="198">
        <v>272912</v>
      </c>
      <c r="C95" s="172">
        <f>SUMIF(Input[County], A95, Input[A])</f>
        <v>0</v>
      </c>
      <c r="D95" s="172">
        <f>SUMIF(Input[County], A95, Input[B])</f>
        <v>0</v>
      </c>
      <c r="E95" s="172">
        <f>SUMIF(Input[County], A95, Input[C])</f>
        <v>0</v>
      </c>
      <c r="F95" s="172">
        <f>SUMIF(Input[County], A95, Input[D])</f>
        <v>0</v>
      </c>
      <c r="G95" s="172">
        <f>SUMIF(Input[County], A95, Input[E])</f>
        <v>0</v>
      </c>
      <c r="H95" s="172">
        <f>SUMIF(Input[County], A95, Input[F])</f>
        <v>0</v>
      </c>
      <c r="I95" s="172">
        <f>SUMIF(Input[County], A95, Input[G])</f>
        <v>0</v>
      </c>
      <c r="J95" s="172">
        <f t="shared" si="8"/>
        <v>0</v>
      </c>
      <c r="K95" s="169">
        <f>Summary[[#This Row],[Population]]*'Input Sheet'!$J$2</f>
        <v>1326352.32</v>
      </c>
      <c r="L95" s="170">
        <f t="shared" si="9"/>
        <v>0</v>
      </c>
      <c r="M95" s="171" t="str" cm="1">
        <f t="array" ref="M95">_xlfn.IFS(A147="", "", L147&gt;1, "Met 100% PCI Target", AND(L147&gt;0.4999, L147&lt;1), "Met 50% PCI Target", L147&lt;0.4999, "Didn't Meet PCI Target")</f>
        <v/>
      </c>
    </row>
    <row r="96" spans="1:13" x14ac:dyDescent="0.25">
      <c r="A96" s="173" t="s">
        <v>424</v>
      </c>
      <c r="B96" s="198">
        <v>23371</v>
      </c>
      <c r="C96" s="172">
        <f>SUMIF(Input[County], A96, Input[A])</f>
        <v>0</v>
      </c>
      <c r="D96" s="172">
        <f>SUMIF(Input[County], A96, Input[B])</f>
        <v>0</v>
      </c>
      <c r="E96" s="172">
        <f>SUMIF(Input[County], A96, Input[C])</f>
        <v>0</v>
      </c>
      <c r="F96" s="172">
        <f>SUMIF(Input[County], A96, Input[D])</f>
        <v>0</v>
      </c>
      <c r="G96" s="172">
        <f>SUMIF(Input[County], A96, Input[E])</f>
        <v>0</v>
      </c>
      <c r="H96" s="172">
        <f>SUMIF(Input[County], A96, Input[F])</f>
        <v>0</v>
      </c>
      <c r="I96" s="172">
        <f>SUMIF(Input[County], A96, Input[G])</f>
        <v>0</v>
      </c>
      <c r="J96" s="172">
        <f t="shared" si="8"/>
        <v>0</v>
      </c>
      <c r="K96" s="169">
        <f>Summary[[#This Row],[Population]]*'Input Sheet'!$J$2</f>
        <v>113583.06000000001</v>
      </c>
      <c r="L96" s="170">
        <f t="shared" si="9"/>
        <v>0</v>
      </c>
      <c r="M96" s="171" t="str" cm="1">
        <f t="array" ref="M96">_xlfn.IFS(A148="", "", L148&gt;1, "Met 100% PCI Target", AND(L148&gt;0.4999, L148&lt;1), "Met 50% PCI Target", L148&lt;0.4999, "Didn't Meet PCI Target")</f>
        <v/>
      </c>
    </row>
    <row r="97" spans="1:13" x14ac:dyDescent="0.25">
      <c r="A97" s="173" t="s">
        <v>425</v>
      </c>
      <c r="B97" s="198">
        <v>34435</v>
      </c>
      <c r="C97" s="172">
        <f>SUMIF(Input[County], A97, Input[A])</f>
        <v>0</v>
      </c>
      <c r="D97" s="172">
        <f>SUMIF(Input[County], A97, Input[B])</f>
        <v>0</v>
      </c>
      <c r="E97" s="172">
        <f>SUMIF(Input[County], A97, Input[C])</f>
        <v>0</v>
      </c>
      <c r="F97" s="172">
        <f>SUMIF(Input[County], A97, Input[D])</f>
        <v>0</v>
      </c>
      <c r="G97" s="172">
        <f>SUMIF(Input[County], A97, Input[E])</f>
        <v>0</v>
      </c>
      <c r="H97" s="172">
        <f>SUMIF(Input[County], A97, Input[F])</f>
        <v>0</v>
      </c>
      <c r="I97" s="172">
        <f>SUMIF(Input[County], A97, Input[G])</f>
        <v>0</v>
      </c>
      <c r="J97" s="172">
        <f t="shared" si="8"/>
        <v>0</v>
      </c>
      <c r="K97" s="169">
        <f>Summary[[#This Row],[Population]]*'Input Sheet'!$J$2</f>
        <v>167354.1</v>
      </c>
      <c r="L97" s="170">
        <f t="shared" si="9"/>
        <v>0</v>
      </c>
      <c r="M97" s="171" t="str" cm="1">
        <f t="array" ref="M97">_xlfn.IFS(A149="", "", L149&gt;1, "Met 100% PCI Target", AND(L149&gt;0.4999, L149&lt;1), "Met 50% PCI Target", L149&lt;0.4999, "Didn't Meet PCI Target")</f>
        <v/>
      </c>
    </row>
    <row r="98" spans="1:13" x14ac:dyDescent="0.25">
      <c r="A98" s="173" t="s">
        <v>426</v>
      </c>
      <c r="B98" s="198">
        <v>20817</v>
      </c>
      <c r="C98" s="172">
        <f>SUMIF(Input[County], A98, Input[A])</f>
        <v>0</v>
      </c>
      <c r="D98" s="172">
        <f>SUMIF(Input[County], A98, Input[B])</f>
        <v>0</v>
      </c>
      <c r="E98" s="172">
        <f>SUMIF(Input[County], A98, Input[C])</f>
        <v>0</v>
      </c>
      <c r="F98" s="172">
        <f>SUMIF(Input[County], A98, Input[D])</f>
        <v>0</v>
      </c>
      <c r="G98" s="172">
        <f>SUMIF(Input[County], A98, Input[E])</f>
        <v>0</v>
      </c>
      <c r="H98" s="172">
        <f>SUMIF(Input[County], A98, Input[F])</f>
        <v>0</v>
      </c>
      <c r="I98" s="172">
        <f>SUMIF(Input[County], A98, Input[G])</f>
        <v>0</v>
      </c>
      <c r="J98" s="172">
        <f t="shared" si="8"/>
        <v>0</v>
      </c>
      <c r="K98" s="169">
        <f>Summary[[#This Row],[Population]]*'Input Sheet'!$J$2</f>
        <v>101170.62000000001</v>
      </c>
      <c r="L98" s="170">
        <f t="shared" si="9"/>
        <v>0</v>
      </c>
      <c r="M98" s="171" t="str" cm="1">
        <f t="array" ref="M98">_xlfn.IFS(A150="", "", L150&gt;1, "Met 100% PCI Target", AND(L150&gt;0.4999, L150&lt;1), "Met 50% PCI Target", L150&lt;0.4999, "Didn't Meet PCI Target")</f>
        <v/>
      </c>
    </row>
    <row r="99" spans="1:13" x14ac:dyDescent="0.25">
      <c r="A99" s="173" t="s">
        <v>427</v>
      </c>
      <c r="B99" s="198">
        <v>9737</v>
      </c>
      <c r="C99" s="172">
        <f>SUMIF(Input[County], A99, Input[A])</f>
        <v>0</v>
      </c>
      <c r="D99" s="172">
        <f>SUMIF(Input[County], A99, Input[B])</f>
        <v>0</v>
      </c>
      <c r="E99" s="172">
        <f>SUMIF(Input[County], A99, Input[C])</f>
        <v>0</v>
      </c>
      <c r="F99" s="172">
        <f>SUMIF(Input[County], A99, Input[D])</f>
        <v>0</v>
      </c>
      <c r="G99" s="172">
        <f>SUMIF(Input[County], A99, Input[E])</f>
        <v>0</v>
      </c>
      <c r="H99" s="172">
        <f>SUMIF(Input[County], A99, Input[F])</f>
        <v>0</v>
      </c>
      <c r="I99" s="172">
        <f>SUMIF(Input[County], A99, Input[G])</f>
        <v>0</v>
      </c>
      <c r="J99" s="172">
        <f t="shared" si="8"/>
        <v>0</v>
      </c>
      <c r="K99" s="169">
        <f>Summary[[#This Row],[Population]]*'Input Sheet'!$J$2</f>
        <v>47321.82</v>
      </c>
      <c r="L99" s="170">
        <f t="shared" si="9"/>
        <v>0</v>
      </c>
      <c r="M99" s="171" t="str" cm="1">
        <f t="array" ref="M99">_xlfn.IFS(A151="", "", L151&gt;1, "Met 100% PCI Target", AND(L151&gt;0.4999, L151&lt;1), "Met 50% PCI Target", L151&lt;0.4999, "Didn't Meet PCI Target")</f>
        <v/>
      </c>
    </row>
    <row r="100" spans="1:13" x14ac:dyDescent="0.25">
      <c r="A100" s="173" t="s">
        <v>428</v>
      </c>
      <c r="B100" s="198">
        <v>186251</v>
      </c>
      <c r="C100" s="172">
        <f>SUMIF(Input[County], A100, Input[A])</f>
        <v>0</v>
      </c>
      <c r="D100" s="172">
        <f>SUMIF(Input[County], A100, Input[B])</f>
        <v>0</v>
      </c>
      <c r="E100" s="172">
        <f>SUMIF(Input[County], A100, Input[C])</f>
        <v>0</v>
      </c>
      <c r="F100" s="172">
        <f>SUMIF(Input[County], A100, Input[D])</f>
        <v>0</v>
      </c>
      <c r="G100" s="172">
        <f>SUMIF(Input[County], A100, Input[E])</f>
        <v>0</v>
      </c>
      <c r="H100" s="172">
        <f>SUMIF(Input[County], A100, Input[F])</f>
        <v>0</v>
      </c>
      <c r="I100" s="172">
        <f>SUMIF(Input[County], A100, Input[G])</f>
        <v>0</v>
      </c>
      <c r="J100" s="172">
        <f t="shared" si="8"/>
        <v>0</v>
      </c>
      <c r="K100" s="169">
        <f>Summary[[#This Row],[Population]]*'Input Sheet'!$J$2</f>
        <v>905179.8600000001</v>
      </c>
      <c r="L100" s="170">
        <f t="shared" si="9"/>
        <v>0</v>
      </c>
      <c r="M100" s="171" t="str" cm="1">
        <f t="array" ref="M100">_xlfn.IFS(A152="", "", L152&gt;1, "Met 100% PCI Target", AND(L152&gt;0.4999, L152&lt;1), "Met 50% PCI Target", L152&lt;0.4999, "Didn't Meet PCI Target")</f>
        <v/>
      </c>
    </row>
    <row r="101" spans="1:13" x14ac:dyDescent="0.25">
      <c r="A101" s="173" t="s">
        <v>429</v>
      </c>
      <c r="B101" s="198">
        <v>15359</v>
      </c>
      <c r="C101" s="172">
        <f>SUMIF(Input[County], A101, Input[A])</f>
        <v>0</v>
      </c>
      <c r="D101" s="172">
        <f>SUMIF(Input[County], A101, Input[B])</f>
        <v>0</v>
      </c>
      <c r="E101" s="172">
        <f>SUMIF(Input[County], A101, Input[C])</f>
        <v>0</v>
      </c>
      <c r="F101" s="172">
        <f>SUMIF(Input[County], A101, Input[D])</f>
        <v>0</v>
      </c>
      <c r="G101" s="172">
        <f>SUMIF(Input[County], A101, Input[E])</f>
        <v>0</v>
      </c>
      <c r="H101" s="172">
        <f>SUMIF(Input[County], A101, Input[F])</f>
        <v>0</v>
      </c>
      <c r="I101" s="172">
        <f>SUMIF(Input[County], A101, Input[G])</f>
        <v>0</v>
      </c>
      <c r="J101" s="172">
        <f t="shared" si="8"/>
        <v>0</v>
      </c>
      <c r="K101" s="169">
        <f>Summary[[#This Row],[Population]]*'Input Sheet'!$J$2</f>
        <v>74644.740000000005</v>
      </c>
      <c r="L101" s="170">
        <f t="shared" si="9"/>
        <v>0</v>
      </c>
      <c r="M101" s="171" t="str" cm="1">
        <f t="array" ref="M101">_xlfn.IFS(A153="", "", L153&gt;1, "Met 100% PCI Target", AND(L153&gt;0.4999, L153&lt;1), "Met 50% PCI Target", L153&lt;0.4999, "Didn't Meet PCI Target")</f>
        <v/>
      </c>
    </row>
    <row r="102" spans="1:13" x14ac:dyDescent="0.25">
      <c r="A102" s="173" t="s">
        <v>430</v>
      </c>
      <c r="B102" s="198">
        <v>7087</v>
      </c>
      <c r="C102" s="172">
        <f>SUMIF(Input[County], A102, Input[A])</f>
        <v>0</v>
      </c>
      <c r="D102" s="172">
        <f>SUMIF(Input[County], A102, Input[B])</f>
        <v>0</v>
      </c>
      <c r="E102" s="172">
        <f>SUMIF(Input[County], A102, Input[C])</f>
        <v>0</v>
      </c>
      <c r="F102" s="172">
        <f>SUMIF(Input[County], A102, Input[D])</f>
        <v>0</v>
      </c>
      <c r="G102" s="172">
        <f>SUMIF(Input[County], A102, Input[E])</f>
        <v>0</v>
      </c>
      <c r="H102" s="172">
        <f>SUMIF(Input[County], A102, Input[F])</f>
        <v>0</v>
      </c>
      <c r="I102" s="172">
        <f>SUMIF(Input[County], A102, Input[G])</f>
        <v>0</v>
      </c>
      <c r="J102" s="172">
        <f t="shared" si="8"/>
        <v>0</v>
      </c>
      <c r="K102" s="169">
        <f>Summary[[#This Row],[Population]]*'Input Sheet'!$J$2</f>
        <v>34442.82</v>
      </c>
      <c r="L102" s="170">
        <f t="shared" si="9"/>
        <v>0</v>
      </c>
      <c r="M102" s="171" t="str" cm="1">
        <f t="array" ref="M102">_xlfn.IFS(A154="", "", L154&gt;1, "Met 100% PCI Target", AND(L154&gt;0.4999, L154&lt;1), "Met 50% PCI Target", L154&lt;0.4999, "Didn't Meet PCI Target")</f>
        <v/>
      </c>
    </row>
    <row r="103" spans="1:13" x14ac:dyDescent="0.25">
      <c r="A103" s="173" t="s">
        <v>431</v>
      </c>
      <c r="B103" s="198">
        <v>180136</v>
      </c>
      <c r="C103" s="172">
        <f>SUMIF(Input[County], A103, Input[A])</f>
        <v>0</v>
      </c>
      <c r="D103" s="172">
        <f>SUMIF(Input[County], A103, Input[B])</f>
        <v>0</v>
      </c>
      <c r="E103" s="172">
        <f>SUMIF(Input[County], A103, Input[C])</f>
        <v>0</v>
      </c>
      <c r="F103" s="172">
        <f>SUMIF(Input[County], A103, Input[D])</f>
        <v>0</v>
      </c>
      <c r="G103" s="172">
        <f>SUMIF(Input[County], A103, Input[E])</f>
        <v>0</v>
      </c>
      <c r="H103" s="172">
        <f>SUMIF(Input[County], A103, Input[F])</f>
        <v>0</v>
      </c>
      <c r="I103" s="172">
        <f>SUMIF(Input[County], A103, Input[G])</f>
        <v>0</v>
      </c>
      <c r="J103" s="172">
        <f t="shared" si="8"/>
        <v>0</v>
      </c>
      <c r="K103" s="169">
        <f>Summary[[#This Row],[Population]]*'Input Sheet'!$J$2</f>
        <v>875460.96000000008</v>
      </c>
      <c r="L103" s="170">
        <f t="shared" si="9"/>
        <v>0</v>
      </c>
      <c r="M103" s="171" t="str" cm="1">
        <f t="array" ref="M103">_xlfn.IFS(A155="", "", L155&gt;1, "Met 100% PCI Target", AND(L155&gt;0.4999, L155&lt;1), "Met 50% PCI Target", L155&lt;0.4999, "Didn't Meet PCI Target")</f>
        <v/>
      </c>
    </row>
    <row r="104" spans="1:13" x14ac:dyDescent="0.25">
      <c r="A104" s="173" t="s">
        <v>432</v>
      </c>
      <c r="B104" s="198">
        <v>15439</v>
      </c>
      <c r="C104" s="172">
        <f>SUMIF(Input[County], A104, Input[A])</f>
        <v>0</v>
      </c>
      <c r="D104" s="172">
        <f>SUMIF(Input[County], A104, Input[B])</f>
        <v>0</v>
      </c>
      <c r="E104" s="172">
        <f>SUMIF(Input[County], A104, Input[C])</f>
        <v>0</v>
      </c>
      <c r="F104" s="172">
        <f>SUMIF(Input[County], A104, Input[D])</f>
        <v>0</v>
      </c>
      <c r="G104" s="172">
        <f>SUMIF(Input[County], A104, Input[E])</f>
        <v>0</v>
      </c>
      <c r="H104" s="172">
        <f>SUMIF(Input[County], A104, Input[F])</f>
        <v>0</v>
      </c>
      <c r="I104" s="172">
        <f>SUMIF(Input[County], A104, Input[G])</f>
        <v>0</v>
      </c>
      <c r="J104" s="172">
        <f t="shared" si="8"/>
        <v>0</v>
      </c>
      <c r="K104" s="169">
        <f>Summary[[#This Row],[Population]]*'Input Sheet'!$J$2</f>
        <v>75033.540000000008</v>
      </c>
      <c r="L104" s="170">
        <f t="shared" si="9"/>
        <v>0</v>
      </c>
      <c r="M104" s="171" t="str" cm="1">
        <f t="array" ref="M104">_xlfn.IFS(A156="", "", L156&gt;1, "Met 100% PCI Target", AND(L156&gt;0.4999, L156&lt;1), "Met 50% PCI Target", L156&lt;0.4999, "Didn't Meet PCI Target")</f>
        <v/>
      </c>
    </row>
    <row r="105" spans="1:13" x14ac:dyDescent="0.25">
      <c r="A105" s="173" t="s">
        <v>433</v>
      </c>
      <c r="B105" s="198">
        <v>106153</v>
      </c>
      <c r="C105" s="172">
        <f>SUMIF(Input[County], A105, Input[A])</f>
        <v>0</v>
      </c>
      <c r="D105" s="172">
        <f>SUMIF(Input[County], A105, Input[B])</f>
        <v>0</v>
      </c>
      <c r="E105" s="172">
        <f>SUMIF(Input[County], A105, Input[C])</f>
        <v>0</v>
      </c>
      <c r="F105" s="172">
        <f>SUMIF(Input[County], A105, Input[D])</f>
        <v>0</v>
      </c>
      <c r="G105" s="172">
        <f>SUMIF(Input[County], A105, Input[E])</f>
        <v>0</v>
      </c>
      <c r="H105" s="172">
        <f>SUMIF(Input[County], A105, Input[F])</f>
        <v>0</v>
      </c>
      <c r="I105" s="172">
        <f>SUMIF(Input[County], A105, Input[G])</f>
        <v>0</v>
      </c>
      <c r="J105" s="172">
        <f t="shared" ref="J105:J113" si="10">SUM(C105:I105)</f>
        <v>0</v>
      </c>
      <c r="K105" s="169">
        <f>Summary[[#This Row],[Population]]*'Input Sheet'!$J$2</f>
        <v>515903.58</v>
      </c>
      <c r="L105" s="170">
        <f t="shared" ref="L105:L113" si="11">IF(A105="","",J105/K105)</f>
        <v>0</v>
      </c>
      <c r="M105" s="171" t="str" cm="1">
        <f t="array" ref="M105">_xlfn.IFS(A157="", "", L157&gt;1, "Met 100% PCI Target", AND(L157&gt;0.4999, L157&lt;1), "Met 50% PCI Target", L157&lt;0.4999, "Didn't Meet PCI Target")</f>
        <v/>
      </c>
    </row>
    <row r="106" spans="1:13" x14ac:dyDescent="0.25">
      <c r="A106" s="173" t="s">
        <v>434</v>
      </c>
      <c r="B106" s="198">
        <v>30976</v>
      </c>
      <c r="C106" s="172">
        <f>SUMIF(Input[County], A106, Input[A])</f>
        <v>0</v>
      </c>
      <c r="D106" s="172">
        <f>SUMIF(Input[County], A106, Input[B])</f>
        <v>0</v>
      </c>
      <c r="E106" s="172">
        <f>SUMIF(Input[County], A106, Input[C])</f>
        <v>0</v>
      </c>
      <c r="F106" s="172">
        <f>SUMIF(Input[County], A106, Input[D])</f>
        <v>0</v>
      </c>
      <c r="G106" s="172">
        <f>SUMIF(Input[County], A106, Input[E])</f>
        <v>0</v>
      </c>
      <c r="H106" s="172">
        <f>SUMIF(Input[County], A106, Input[F])</f>
        <v>0</v>
      </c>
      <c r="I106" s="172">
        <f>SUMIF(Input[County], A106, Input[G])</f>
        <v>0</v>
      </c>
      <c r="J106" s="172">
        <f t="shared" si="10"/>
        <v>0</v>
      </c>
      <c r="K106" s="169">
        <f>Summary[[#This Row],[Population]]*'Input Sheet'!$J$2</f>
        <v>150543.36000000002</v>
      </c>
      <c r="L106" s="170">
        <f t="shared" si="11"/>
        <v>0</v>
      </c>
      <c r="M106" s="171" t="str" cm="1">
        <f t="array" ref="M106">_xlfn.IFS(A158="", "", L158&gt;1, "Met 100% PCI Target", AND(L158&gt;0.4999, L158&lt;1), "Met 50% PCI Target", L158&lt;0.4999, "Didn't Meet PCI Target")</f>
        <v/>
      </c>
    </row>
    <row r="107" spans="1:13" x14ac:dyDescent="0.25">
      <c r="A107" s="173" t="s">
        <v>435</v>
      </c>
      <c r="B107" s="198">
        <v>8440</v>
      </c>
      <c r="C107" s="172">
        <f>SUMIF(Input[County], A107, Input[A])</f>
        <v>0</v>
      </c>
      <c r="D107" s="172">
        <f>SUMIF(Input[County], A107, Input[B])</f>
        <v>0</v>
      </c>
      <c r="E107" s="172">
        <f>SUMIF(Input[County], A107, Input[C])</f>
        <v>0</v>
      </c>
      <c r="F107" s="172">
        <f>SUMIF(Input[County], A107, Input[D])</f>
        <v>0</v>
      </c>
      <c r="G107" s="172">
        <f>SUMIF(Input[County], A107, Input[E])</f>
        <v>0</v>
      </c>
      <c r="H107" s="172">
        <f>SUMIF(Input[County], A107, Input[F])</f>
        <v>0</v>
      </c>
      <c r="I107" s="172">
        <f>SUMIF(Input[County], A107, Input[G])</f>
        <v>0</v>
      </c>
      <c r="J107" s="172">
        <f t="shared" si="10"/>
        <v>0</v>
      </c>
      <c r="K107" s="169">
        <f>Summary[[#This Row],[Population]]*'Input Sheet'!$J$2</f>
        <v>41018.400000000001</v>
      </c>
      <c r="L107" s="170">
        <f t="shared" si="11"/>
        <v>0</v>
      </c>
      <c r="M107" s="171" t="str" cm="1">
        <f t="array" ref="M107">_xlfn.IFS(A159="", "", L159&gt;1, "Met 100% PCI Target", AND(L159&gt;0.4999, L159&lt;1), "Met 50% PCI Target", L159&lt;0.4999, "Didn't Meet PCI Target")</f>
        <v/>
      </c>
    </row>
    <row r="108" spans="1:13" x14ac:dyDescent="0.25">
      <c r="A108" s="173" t="s">
        <v>436</v>
      </c>
      <c r="B108" s="198">
        <v>63898</v>
      </c>
      <c r="C108" s="172">
        <f>SUMIF(Input[County], A108, Input[A])</f>
        <v>0</v>
      </c>
      <c r="D108" s="172">
        <f>SUMIF(Input[County], A108, Input[B])</f>
        <v>0</v>
      </c>
      <c r="E108" s="172">
        <f>SUMIF(Input[County], A108, Input[C])</f>
        <v>0</v>
      </c>
      <c r="F108" s="172">
        <f>SUMIF(Input[County], A108, Input[D])</f>
        <v>0</v>
      </c>
      <c r="G108" s="172">
        <f>SUMIF(Input[County], A108, Input[E])</f>
        <v>0</v>
      </c>
      <c r="H108" s="172">
        <f>SUMIF(Input[County], A108, Input[F])</f>
        <v>0</v>
      </c>
      <c r="I108" s="172">
        <f>SUMIF(Input[County], A108, Input[G])</f>
        <v>0</v>
      </c>
      <c r="J108" s="172">
        <f t="shared" si="10"/>
        <v>0</v>
      </c>
      <c r="K108" s="169">
        <f>Summary[[#This Row],[Population]]*'Input Sheet'!$J$2</f>
        <v>310544.28000000003</v>
      </c>
      <c r="L108" s="170">
        <f t="shared" si="11"/>
        <v>0</v>
      </c>
      <c r="M108" s="171" t="str" cm="1">
        <f t="array" ref="M108">_xlfn.IFS(A160="", "", L160&gt;1, "Met 100% PCI Target", AND(L160&gt;0.4999, L160&lt;1), "Met 50% PCI Target", L160&lt;0.4999, "Didn't Meet PCI Target")</f>
        <v/>
      </c>
    </row>
    <row r="109" spans="1:13" x14ac:dyDescent="0.25">
      <c r="A109" s="173" t="s">
        <v>262</v>
      </c>
      <c r="B109" s="198">
        <v>28182</v>
      </c>
      <c r="C109" s="172">
        <f>SUMIF(Input[County], A109, Input[A])</f>
        <v>0</v>
      </c>
      <c r="D109" s="172">
        <f>SUMIF(Input[County], A109, Input[B])</f>
        <v>0</v>
      </c>
      <c r="E109" s="172">
        <f>SUMIF(Input[County], A109, Input[C])</f>
        <v>0</v>
      </c>
      <c r="F109" s="172">
        <f>SUMIF(Input[County], A109, Input[D])</f>
        <v>0</v>
      </c>
      <c r="G109" s="172">
        <f>SUMIF(Input[County], A109, Input[E])</f>
        <v>0</v>
      </c>
      <c r="H109" s="172">
        <f>SUMIF(Input[County], A109, Input[F])</f>
        <v>0</v>
      </c>
      <c r="I109" s="172">
        <f>SUMIF(Input[County], A109, Input[G])</f>
        <v>0</v>
      </c>
      <c r="J109" s="172">
        <f t="shared" si="10"/>
        <v>0</v>
      </c>
      <c r="K109" s="169">
        <f>Summary[[#This Row],[Population]]*'Input Sheet'!$J$2</f>
        <v>136964.52000000002</v>
      </c>
      <c r="L109" s="170">
        <f t="shared" si="11"/>
        <v>0</v>
      </c>
      <c r="M109" s="171" t="str" cm="1">
        <f t="array" ref="M109">_xlfn.IFS(A161="", "", L161&gt;1, "Met 100% PCI Target", AND(L161&gt;0.4999, L161&lt;1), "Met 50% PCI Target", L161&lt;0.4999, "Didn't Meet PCI Target")</f>
        <v/>
      </c>
    </row>
    <row r="110" spans="1:13" x14ac:dyDescent="0.25">
      <c r="A110" s="173" t="s">
        <v>359</v>
      </c>
      <c r="B110" s="198">
        <v>66553</v>
      </c>
      <c r="C110" s="172">
        <f>SUMIF(Input[County], A110, Input[A])</f>
        <v>0</v>
      </c>
      <c r="D110" s="172">
        <f>SUMIF(Input[County], A110, Input[B])</f>
        <v>0</v>
      </c>
      <c r="E110" s="172">
        <f>SUMIF(Input[County], A110, Input[C])</f>
        <v>0</v>
      </c>
      <c r="F110" s="172">
        <f>SUMIF(Input[County], A110, Input[D])</f>
        <v>0</v>
      </c>
      <c r="G110" s="172">
        <f>SUMIF(Input[County], A110, Input[E])</f>
        <v>0</v>
      </c>
      <c r="H110" s="172">
        <f>SUMIF(Input[County], A110, Input[F])</f>
        <v>0</v>
      </c>
      <c r="I110" s="172">
        <f>SUMIF(Input[County], A110, Input[G])</f>
        <v>0</v>
      </c>
      <c r="J110" s="172">
        <f t="shared" si="10"/>
        <v>0</v>
      </c>
      <c r="K110" s="169">
        <f>Summary[[#This Row],[Population]]*'Input Sheet'!$J$2</f>
        <v>323447.58</v>
      </c>
      <c r="L110" s="170">
        <f t="shared" si="11"/>
        <v>0</v>
      </c>
      <c r="M110" s="171" t="str" cm="1">
        <f t="array" ref="M110">_xlfn.IFS(A162="", "", L162&gt;1, "Met 100% PCI Target", AND(L162&gt;0.4999, L162&lt;1), "Met 50% PCI Target", L162&lt;0.4999, "Didn't Meet PCI Target")</f>
        <v/>
      </c>
    </row>
    <row r="111" spans="1:13" x14ac:dyDescent="0.25">
      <c r="A111" s="173" t="s">
        <v>437</v>
      </c>
      <c r="B111" s="198">
        <v>28180</v>
      </c>
      <c r="C111" s="172">
        <f>SUMIF(Input[County], A111, Input[A])</f>
        <v>0</v>
      </c>
      <c r="D111" s="172">
        <f>SUMIF(Input[County], A111, Input[B])</f>
        <v>0</v>
      </c>
      <c r="E111" s="172">
        <f>SUMIF(Input[County], A111, Input[C])</f>
        <v>0</v>
      </c>
      <c r="F111" s="172">
        <f>SUMIF(Input[County], A111, Input[D])</f>
        <v>0</v>
      </c>
      <c r="G111" s="172">
        <f>SUMIF(Input[County], A111, Input[E])</f>
        <v>0</v>
      </c>
      <c r="H111" s="172">
        <f>SUMIF(Input[County], A111, Input[F])</f>
        <v>0</v>
      </c>
      <c r="I111" s="172">
        <f>SUMIF(Input[County], A111, Input[G])</f>
        <v>0</v>
      </c>
      <c r="J111" s="172">
        <f t="shared" si="10"/>
        <v>0</v>
      </c>
      <c r="K111" s="169">
        <f>Summary[[#This Row],[Population]]*'Input Sheet'!$J$2</f>
        <v>136954.80000000002</v>
      </c>
      <c r="L111" s="170">
        <f t="shared" si="11"/>
        <v>0</v>
      </c>
      <c r="M111" s="171" t="str" cm="1">
        <f t="array" ref="M111">_xlfn.IFS(A163="", "", L163&gt;1, "Met 100% PCI Target", AND(L163&gt;0.4999, L163&lt;1), "Met 50% PCI Target", L163&lt;0.4999, "Didn't Meet PCI Target")</f>
        <v/>
      </c>
    </row>
    <row r="112" spans="1:13" x14ac:dyDescent="0.25">
      <c r="A112" s="173" t="s">
        <v>438</v>
      </c>
      <c r="B112" s="198">
        <v>24688</v>
      </c>
      <c r="C112" s="172">
        <f>SUMIF(Input[County], A112, Input[A])</f>
        <v>0</v>
      </c>
      <c r="D112" s="172">
        <f>SUMIF(Input[County], A112, Input[B])</f>
        <v>0</v>
      </c>
      <c r="E112" s="172">
        <f>SUMIF(Input[County], A112, Input[C])</f>
        <v>0</v>
      </c>
      <c r="F112" s="172">
        <f>SUMIF(Input[County], A112, Input[D])</f>
        <v>0</v>
      </c>
      <c r="G112" s="172">
        <f>SUMIF(Input[County], A112, Input[E])</f>
        <v>0</v>
      </c>
      <c r="H112" s="172">
        <f>SUMIF(Input[County], A112, Input[F])</f>
        <v>0</v>
      </c>
      <c r="I112" s="172">
        <f>SUMIF(Input[County], A112, Input[G])</f>
        <v>0</v>
      </c>
      <c r="J112" s="172">
        <f t="shared" si="10"/>
        <v>0</v>
      </c>
      <c r="K112" s="169">
        <f>Summary[[#This Row],[Population]]*'Input Sheet'!$J$2</f>
        <v>119983.68000000001</v>
      </c>
      <c r="L112" s="170">
        <f t="shared" si="11"/>
        <v>0</v>
      </c>
      <c r="M112" s="171" t="str" cm="1">
        <f t="array" ref="M112">_xlfn.IFS(A164="", "", L164&gt;1, "Met 100% PCI Target", AND(L164&gt;0.4999, L164&lt;1), "Met 50% PCI Target", L164&lt;0.4999, "Didn't Meet PCI Target")</f>
        <v/>
      </c>
    </row>
    <row r="113" spans="1:13" x14ac:dyDescent="0.25">
      <c r="A113" s="173" t="s">
        <v>439</v>
      </c>
      <c r="B113" s="198">
        <v>34191</v>
      </c>
      <c r="C113" s="172">
        <f>SUMIF(Input[County], A113, Input[A])</f>
        <v>0</v>
      </c>
      <c r="D113" s="172">
        <f>SUMIF(Input[County], A113, Input[B])</f>
        <v>0</v>
      </c>
      <c r="E113" s="172">
        <f>SUMIF(Input[County], A113, Input[C])</f>
        <v>0</v>
      </c>
      <c r="F113" s="172">
        <f>SUMIF(Input[County], A113, Input[D])</f>
        <v>0</v>
      </c>
      <c r="G113" s="172">
        <f>SUMIF(Input[County], A113, Input[E])</f>
        <v>0</v>
      </c>
      <c r="H113" s="172">
        <f>SUMIF(Input[County], A113, Input[F])</f>
        <v>0</v>
      </c>
      <c r="I113" s="172">
        <f>SUMIF(Input[County], A113, Input[G])</f>
        <v>0</v>
      </c>
      <c r="J113" s="172">
        <f t="shared" si="10"/>
        <v>0</v>
      </c>
      <c r="K113" s="169">
        <f>Summary[[#This Row],[Population]]*'Input Sheet'!$J$2</f>
        <v>166168.26</v>
      </c>
      <c r="L113" s="170">
        <f t="shared" si="11"/>
        <v>0</v>
      </c>
      <c r="M113" s="171" t="str" cm="1">
        <f t="array" ref="M113">_xlfn.IFS(A165="", "", L165&gt;1, "Met 100% PCI Target", AND(L165&gt;0.4999, L165&lt;1), "Met 50% PCI Target", L165&lt;0.4999, "Didn't Meet PCI Target")</f>
        <v/>
      </c>
    </row>
    <row r="114" spans="1:13" x14ac:dyDescent="0.25">
      <c r="K114" s="168" t="str">
        <f>IF($A114="","",VLOOKUP('Input Sheet'!$D$2 &amp; " " &amp; $A114,Pop[#All],4,FALSE))</f>
        <v/>
      </c>
      <c r="L114" s="167" t="str">
        <f t="shared" ref="L114:L142" si="12">IFERROR(IF($A114="","",ROUND($J114/$K114,2)),"")</f>
        <v/>
      </c>
      <c r="M114" s="165" t="str">
        <f>IF(A114="Grand Total","",IF(ISNUMBER(#REF!),#REF!*2/SUM(#REF!),""))</f>
        <v/>
      </c>
    </row>
    <row r="115" spans="1:13" x14ac:dyDescent="0.25">
      <c r="K115" s="168" t="str">
        <f>IF($A115="","",VLOOKUP('Input Sheet'!$D$2 &amp; " " &amp; $A115,Pop[#All],4,FALSE))</f>
        <v/>
      </c>
      <c r="L115" s="167" t="str">
        <f t="shared" si="12"/>
        <v/>
      </c>
      <c r="M115" s="165" t="str">
        <f>IF(A115="Grand Total","",IF(ISNUMBER(#REF!),#REF!*2/SUM(#REF!),""))</f>
        <v/>
      </c>
    </row>
    <row r="116" spans="1:13" x14ac:dyDescent="0.25">
      <c r="K116" s="168" t="str">
        <f>IF($A116="","",VLOOKUP('Input Sheet'!$D$2 &amp; " " &amp; $A116,Pop[#All],4,FALSE))</f>
        <v/>
      </c>
      <c r="L116" s="167" t="str">
        <f t="shared" si="12"/>
        <v/>
      </c>
      <c r="M116" s="165" t="str">
        <f>IF(A116="Grand Total","",IF(ISNUMBER(#REF!),#REF!*2/SUM(#REF!),""))</f>
        <v/>
      </c>
    </row>
    <row r="117" spans="1:13" x14ac:dyDescent="0.25">
      <c r="K117" s="168" t="str">
        <f>IF($A117="","",VLOOKUP('Input Sheet'!$D$2 &amp; " " &amp; $A117,Pop[#All],4,FALSE))</f>
        <v/>
      </c>
      <c r="L117" s="167" t="str">
        <f t="shared" si="12"/>
        <v/>
      </c>
      <c r="M117" s="165" t="str">
        <f>IF(A117="Grand Total","",IF(ISNUMBER(#REF!),#REF!*2/SUM(#REF!),""))</f>
        <v/>
      </c>
    </row>
    <row r="118" spans="1:13" x14ac:dyDescent="0.25">
      <c r="K118" s="168" t="str">
        <f>IF($A118="","",VLOOKUP('Input Sheet'!$D$2 &amp; " " &amp; $A118,Pop[#All],4,FALSE))</f>
        <v/>
      </c>
      <c r="L118" s="167" t="str">
        <f t="shared" si="12"/>
        <v/>
      </c>
      <c r="M118" s="165" t="str">
        <f>IF(A118="Grand Total","",IF(ISNUMBER(#REF!),#REF!*2/SUM(#REF!),""))</f>
        <v/>
      </c>
    </row>
    <row r="119" spans="1:13" x14ac:dyDescent="0.25">
      <c r="K119" s="168" t="str">
        <f>IF($A119="","",VLOOKUP('Input Sheet'!$D$2 &amp; " " &amp; $A119,Pop[#All],4,FALSE))</f>
        <v/>
      </c>
      <c r="L119" s="167" t="str">
        <f t="shared" si="12"/>
        <v/>
      </c>
      <c r="M119" s="165" t="str">
        <f>IF(A119="Grand Total","",IF(ISNUMBER(#REF!),#REF!*2/SUM(#REF!),""))</f>
        <v/>
      </c>
    </row>
    <row r="120" spans="1:13" x14ac:dyDescent="0.25">
      <c r="K120" s="168" t="str">
        <f>IF($A120="","",VLOOKUP('Input Sheet'!$D$2 &amp; " " &amp; $A120,Pop[#All],4,FALSE))</f>
        <v/>
      </c>
      <c r="L120" s="167" t="str">
        <f t="shared" si="12"/>
        <v/>
      </c>
      <c r="M120" s="165" t="str">
        <f>IF(A120="Grand Total","",IF(ISNUMBER(#REF!),#REF!*2/SUM(#REF!),""))</f>
        <v/>
      </c>
    </row>
    <row r="121" spans="1:13" x14ac:dyDescent="0.25">
      <c r="K121" s="168" t="str">
        <f>IF($A121="","",VLOOKUP('Input Sheet'!$D$2 &amp; " " &amp; $A121,Pop[#All],4,FALSE))</f>
        <v/>
      </c>
      <c r="L121" s="167" t="str">
        <f t="shared" si="12"/>
        <v/>
      </c>
      <c r="M121" s="165" t="str">
        <f>IF(A121="Grand Total","",IF(ISNUMBER(#REF!),#REF!*2/SUM(#REF!),""))</f>
        <v/>
      </c>
    </row>
    <row r="122" spans="1:13" x14ac:dyDescent="0.25">
      <c r="K122" s="168" t="str">
        <f>IF($A122="","",VLOOKUP('Input Sheet'!$D$2 &amp; " " &amp; $A122,Pop[#All],4,FALSE))</f>
        <v/>
      </c>
      <c r="L122" s="167" t="str">
        <f t="shared" si="12"/>
        <v/>
      </c>
      <c r="M122" s="165" t="str">
        <f>IF(A122="Grand Total","",IF(ISNUMBER(#REF!),#REF!*2/SUM(#REF!),""))</f>
        <v/>
      </c>
    </row>
    <row r="123" spans="1:13" x14ac:dyDescent="0.25">
      <c r="K123" s="168" t="str">
        <f>IF($A123="","",VLOOKUP('Input Sheet'!$D$2 &amp; " " &amp; $A123,Pop[#All],4,FALSE))</f>
        <v/>
      </c>
      <c r="L123" s="167" t="str">
        <f t="shared" si="12"/>
        <v/>
      </c>
      <c r="M123" s="165" t="str">
        <f>IF(A123="Grand Total","",IF(ISNUMBER(#REF!),#REF!*2/SUM(#REF!),""))</f>
        <v/>
      </c>
    </row>
    <row r="124" spans="1:13" x14ac:dyDescent="0.25">
      <c r="K124" s="168" t="str">
        <f>IF($A124="","",VLOOKUP('Input Sheet'!$D$2 &amp; " " &amp; $A124,Pop[#All],4,FALSE))</f>
        <v/>
      </c>
      <c r="L124" s="167" t="str">
        <f t="shared" si="12"/>
        <v/>
      </c>
      <c r="M124" s="165" t="str">
        <f>IF(A124="Grand Total","",IF(ISNUMBER(#REF!),#REF!*2/SUM(#REF!),""))</f>
        <v/>
      </c>
    </row>
    <row r="125" spans="1:13" x14ac:dyDescent="0.25">
      <c r="K125" s="168" t="str">
        <f>IF($A125="","",VLOOKUP('Input Sheet'!$D$2 &amp; " " &amp; $A125,Pop[#All],4,FALSE))</f>
        <v/>
      </c>
      <c r="L125" s="167" t="str">
        <f t="shared" si="12"/>
        <v/>
      </c>
      <c r="M125" s="165" t="str">
        <f>IF(A125="Grand Total","",IF(ISNUMBER(#REF!),#REF!*2/SUM(#REF!),""))</f>
        <v/>
      </c>
    </row>
    <row r="126" spans="1:13" x14ac:dyDescent="0.25">
      <c r="K126" s="168" t="str">
        <f>IF($A126="","",VLOOKUP('Input Sheet'!$D$2 &amp; " " &amp; $A126,Pop[#All],4,FALSE))</f>
        <v/>
      </c>
      <c r="L126" s="167" t="str">
        <f t="shared" si="12"/>
        <v/>
      </c>
      <c r="M126" s="165" t="str">
        <f>IF(A126="Grand Total","",IF(ISNUMBER(#REF!),#REF!*2/SUM(#REF!),""))</f>
        <v/>
      </c>
    </row>
    <row r="127" spans="1:13" x14ac:dyDescent="0.25">
      <c r="K127" s="168" t="str">
        <f>IF($A127="","",VLOOKUP('Input Sheet'!$D$2 &amp; " " &amp; $A127,Pop[#All],4,FALSE))</f>
        <v/>
      </c>
      <c r="L127" s="167" t="str">
        <f t="shared" si="12"/>
        <v/>
      </c>
      <c r="M127" s="165" t="str">
        <f>IF(A127="Grand Total","",IF(ISNUMBER(#REF!),#REF!*2/SUM(#REF!),""))</f>
        <v/>
      </c>
    </row>
    <row r="128" spans="1:13" x14ac:dyDescent="0.25">
      <c r="K128" s="168" t="str">
        <f>IF($A128="","",VLOOKUP('Input Sheet'!$D$2 &amp; " " &amp; $A128,Pop[#All],4,FALSE))</f>
        <v/>
      </c>
      <c r="L128" s="167" t="str">
        <f t="shared" si="12"/>
        <v/>
      </c>
      <c r="M128" s="165" t="str">
        <f>IF(A128="Grand Total","",IF(ISNUMBER(#REF!),#REF!*2/SUM(#REF!),""))</f>
        <v/>
      </c>
    </row>
    <row r="129" spans="11:13" x14ac:dyDescent="0.25">
      <c r="K129" s="168" t="str">
        <f>IF($A129="","",VLOOKUP('Input Sheet'!$D$2 &amp; " " &amp; $A129,Pop[#All],4,FALSE))</f>
        <v/>
      </c>
      <c r="L129" s="167" t="str">
        <f t="shared" si="12"/>
        <v/>
      </c>
      <c r="M129" s="165" t="str">
        <f>IF(A129="Grand Total","",IF(ISNUMBER(#REF!),#REF!*2/SUM(#REF!),""))</f>
        <v/>
      </c>
    </row>
    <row r="130" spans="11:13" x14ac:dyDescent="0.25">
      <c r="K130" s="168" t="str">
        <f>IF($A130="","",VLOOKUP('Input Sheet'!$D$2 &amp; " " &amp; $A130,Pop[#All],4,FALSE))</f>
        <v/>
      </c>
      <c r="L130" s="167" t="str">
        <f t="shared" si="12"/>
        <v/>
      </c>
      <c r="M130" s="165" t="str">
        <f>IF(A130="Grand Total","",IF(ISNUMBER(#REF!),#REF!*2/SUM(#REF!),""))</f>
        <v/>
      </c>
    </row>
    <row r="131" spans="11:13" x14ac:dyDescent="0.25">
      <c r="K131" s="168" t="str">
        <f>IF($A131="","",VLOOKUP('Input Sheet'!$D$2 &amp; " " &amp; $A131,Pop[#All],4,FALSE))</f>
        <v/>
      </c>
      <c r="L131" s="167" t="str">
        <f t="shared" si="12"/>
        <v/>
      </c>
      <c r="M131" s="165" t="str">
        <f>IF(A131="Grand Total","",IF(ISNUMBER(#REF!),#REF!*2/SUM(#REF!),""))</f>
        <v/>
      </c>
    </row>
    <row r="132" spans="11:13" x14ac:dyDescent="0.25">
      <c r="K132" s="168" t="str">
        <f>IF($A132="","",VLOOKUP('Input Sheet'!$D$2 &amp; " " &amp; $A132,Pop[#All],4,FALSE))</f>
        <v/>
      </c>
      <c r="L132" s="167" t="str">
        <f t="shared" si="12"/>
        <v/>
      </c>
      <c r="M132" s="165" t="str">
        <f>IF(A132="Grand Total","",IF(ISNUMBER(#REF!),#REF!*2/SUM(#REF!),""))</f>
        <v/>
      </c>
    </row>
    <row r="133" spans="11:13" x14ac:dyDescent="0.25">
      <c r="K133" s="168" t="str">
        <f>IF($A133="","",VLOOKUP('Input Sheet'!$D$2 &amp; " " &amp; $A133,Pop[#All],4,FALSE))</f>
        <v/>
      </c>
      <c r="L133" s="167" t="str">
        <f t="shared" si="12"/>
        <v/>
      </c>
      <c r="M133" s="165" t="str">
        <f>IF(A133="Grand Total","",IF(ISNUMBER(#REF!),#REF!*2/SUM(#REF!),""))</f>
        <v/>
      </c>
    </row>
    <row r="134" spans="11:13" x14ac:dyDescent="0.25">
      <c r="K134" s="168" t="str">
        <f>IF($A134="","",VLOOKUP('Input Sheet'!$D$2 &amp; " " &amp; $A134,Pop[#All],4,FALSE))</f>
        <v/>
      </c>
      <c r="L134" s="167" t="str">
        <f t="shared" si="12"/>
        <v/>
      </c>
      <c r="M134" s="165" t="str">
        <f>IF(A134="Grand Total","",IF(ISNUMBER(#REF!),#REF!*2/SUM(#REF!),""))</f>
        <v/>
      </c>
    </row>
    <row r="135" spans="11:13" x14ac:dyDescent="0.25">
      <c r="K135" s="168" t="str">
        <f>IF($A135="","",VLOOKUP('Input Sheet'!$D$2 &amp; " " &amp; $A135,Pop[#All],4,FALSE))</f>
        <v/>
      </c>
      <c r="L135" s="167" t="str">
        <f t="shared" si="12"/>
        <v/>
      </c>
      <c r="M135" s="165" t="str">
        <f>IF(A135="Grand Total","",IF(ISNUMBER(#REF!),#REF!*2/SUM(#REF!),""))</f>
        <v/>
      </c>
    </row>
    <row r="136" spans="11:13" x14ac:dyDescent="0.25">
      <c r="K136" s="168" t="str">
        <f>IF($A136="","",VLOOKUP('Input Sheet'!$D$2 &amp; " " &amp; $A136,Pop[#All],4,FALSE))</f>
        <v/>
      </c>
      <c r="L136" s="167" t="str">
        <f t="shared" si="12"/>
        <v/>
      </c>
      <c r="M136" s="165" t="str">
        <f>IF(A136="Grand Total","",IF(ISNUMBER(#REF!),#REF!*2/SUM(#REF!),""))</f>
        <v/>
      </c>
    </row>
    <row r="137" spans="11:13" x14ac:dyDescent="0.25">
      <c r="K137" s="168" t="str">
        <f>IF($A137="","",VLOOKUP('Input Sheet'!$D$2 &amp; " " &amp; $A137,Pop[#All],4,FALSE))</f>
        <v/>
      </c>
      <c r="L137" s="167" t="str">
        <f t="shared" si="12"/>
        <v/>
      </c>
      <c r="M137" s="165" t="str">
        <f>IF(A137="Grand Total","",IF(ISNUMBER(#REF!),#REF!*2/SUM(#REF!),""))</f>
        <v/>
      </c>
    </row>
    <row r="138" spans="11:13" x14ac:dyDescent="0.25">
      <c r="K138" s="168" t="str">
        <f>IF($A138="","",VLOOKUP('Input Sheet'!$D$2 &amp; " " &amp; $A138,Pop[#All],4,FALSE))</f>
        <v/>
      </c>
      <c r="L138" s="167" t="str">
        <f t="shared" si="12"/>
        <v/>
      </c>
      <c r="M138" s="165" t="str">
        <f>IF(A138="Grand Total","",IF(ISNUMBER(#REF!),#REF!*2/SUM(#REF!),""))</f>
        <v/>
      </c>
    </row>
    <row r="139" spans="11:13" x14ac:dyDescent="0.25">
      <c r="K139" s="168" t="str">
        <f>IF($A139="","",VLOOKUP('Input Sheet'!$D$2 &amp; " " &amp; $A139,Pop[#All],4,FALSE))</f>
        <v/>
      </c>
      <c r="L139" s="167" t="str">
        <f t="shared" si="12"/>
        <v/>
      </c>
      <c r="M139" s="165" t="str">
        <f>IF(A139="Grand Total","",IF(ISNUMBER(#REF!),#REF!*2/SUM(#REF!),""))</f>
        <v/>
      </c>
    </row>
    <row r="140" spans="11:13" x14ac:dyDescent="0.25">
      <c r="K140" s="168" t="str">
        <f>IF($A140="","",VLOOKUP('Input Sheet'!$D$2 &amp; " " &amp; $A140,Pop[#All],4,FALSE))</f>
        <v/>
      </c>
      <c r="L140" s="167" t="str">
        <f t="shared" si="12"/>
        <v/>
      </c>
      <c r="M140" s="165" t="str">
        <f>IF(A140="Grand Total","",IF(ISNUMBER(#REF!),#REF!*2/SUM(#REF!),""))</f>
        <v/>
      </c>
    </row>
    <row r="141" spans="11:13" x14ac:dyDescent="0.25">
      <c r="K141" s="168" t="str">
        <f>IF($A141="","",VLOOKUP('Input Sheet'!$D$2 &amp; " " &amp; $A141,Pop[#All],4,FALSE))</f>
        <v/>
      </c>
      <c r="L141" s="167" t="str">
        <f t="shared" si="12"/>
        <v/>
      </c>
      <c r="M141" s="165" t="str">
        <f>IF(A141="Grand Total","",IF(ISNUMBER(#REF!),#REF!*2/SUM(#REF!),""))</f>
        <v/>
      </c>
    </row>
    <row r="142" spans="11:13" x14ac:dyDescent="0.25">
      <c r="K142" s="168" t="str">
        <f>IF($A142="","",VLOOKUP('Input Sheet'!$D$2 &amp; " " &amp; $A142,Pop[#All],4,FALSE))</f>
        <v/>
      </c>
      <c r="L142" s="167" t="str">
        <f t="shared" si="12"/>
        <v/>
      </c>
      <c r="M142" s="165" t="str">
        <f>IF(A142="Grand Total","",IF(ISNUMBER(#REF!),#REF!*2/SUM(#REF!),""))</f>
        <v/>
      </c>
    </row>
    <row r="143" spans="11:13" x14ac:dyDescent="0.25">
      <c r="K143" s="168" t="str">
        <f>IF($A143="","",VLOOKUP('Input Sheet'!$D$2 &amp; " " &amp; $A143,Pop[#All],4,FALSE))</f>
        <v/>
      </c>
      <c r="L143" s="167" t="str">
        <f t="shared" ref="L143:L206" si="13">IFERROR(IF($A143="","",ROUND($J143/$K143,2)),"")</f>
        <v/>
      </c>
      <c r="M143" s="165" t="str">
        <f>IF(A143="Grand Total","",IF(ISNUMBER(#REF!),#REF!*2/SUM(#REF!),""))</f>
        <v/>
      </c>
    </row>
    <row r="144" spans="11:13" x14ac:dyDescent="0.25">
      <c r="K144" s="168" t="str">
        <f>IF($A144="","",VLOOKUP('Input Sheet'!$D$2 &amp; " " &amp; $A144,Pop[#All],4,FALSE))</f>
        <v/>
      </c>
      <c r="L144" s="167" t="str">
        <f t="shared" si="13"/>
        <v/>
      </c>
      <c r="M144" s="165" t="str">
        <f>IF(A144="Grand Total","",IF(ISNUMBER(#REF!),#REF!*2/SUM(#REF!),""))</f>
        <v/>
      </c>
    </row>
    <row r="145" spans="11:13" x14ac:dyDescent="0.25">
      <c r="K145" s="168" t="str">
        <f>IF($A145="","",VLOOKUP('Input Sheet'!$D$2 &amp; " " &amp; $A145,Pop[#All],4,FALSE))</f>
        <v/>
      </c>
      <c r="L145" s="167" t="str">
        <f t="shared" si="13"/>
        <v/>
      </c>
      <c r="M145" s="165" t="str">
        <f>IF(A145="Grand Total","",IF(ISNUMBER(#REF!),#REF!*2/SUM(#REF!),""))</f>
        <v/>
      </c>
    </row>
    <row r="146" spans="11:13" x14ac:dyDescent="0.25">
      <c r="K146" s="168" t="str">
        <f>IF($A146="","",VLOOKUP('Input Sheet'!$D$2 &amp; " " &amp; $A146,Pop[#All],4,FALSE))</f>
        <v/>
      </c>
      <c r="L146" s="167" t="str">
        <f t="shared" si="13"/>
        <v/>
      </c>
      <c r="M146" s="165" t="str">
        <f>IF(A146="Grand Total","",IF(ISNUMBER(#REF!),#REF!*2/SUM(#REF!),""))</f>
        <v/>
      </c>
    </row>
    <row r="147" spans="11:13" x14ac:dyDescent="0.25">
      <c r="K147" s="168" t="str">
        <f>IF($A147="","",VLOOKUP('Input Sheet'!$D$2 &amp; " " &amp; $A147,Pop[#All],4,FALSE))</f>
        <v/>
      </c>
      <c r="L147" s="167" t="str">
        <f t="shared" si="13"/>
        <v/>
      </c>
      <c r="M147" s="165" t="str">
        <f>IF(A147="Grand Total","",IF(ISNUMBER(#REF!),#REF!*2/SUM(#REF!),""))</f>
        <v/>
      </c>
    </row>
    <row r="148" spans="11:13" x14ac:dyDescent="0.25">
      <c r="K148" s="168" t="str">
        <f>IF($A148="","",VLOOKUP('Input Sheet'!$D$2 &amp; " " &amp; $A148,Pop[#All],4,FALSE))</f>
        <v/>
      </c>
      <c r="L148" s="167" t="str">
        <f t="shared" si="13"/>
        <v/>
      </c>
      <c r="M148" s="165" t="str">
        <f>IF(A148="Grand Total","",IF(ISNUMBER(#REF!),#REF!*2/SUM(#REF!),""))</f>
        <v/>
      </c>
    </row>
    <row r="149" spans="11:13" x14ac:dyDescent="0.25">
      <c r="K149" s="168" t="str">
        <f>IF($A149="","",VLOOKUP('Input Sheet'!$D$2 &amp; " " &amp; $A149,Pop[#All],4,FALSE))</f>
        <v/>
      </c>
      <c r="L149" s="167" t="str">
        <f t="shared" si="13"/>
        <v/>
      </c>
      <c r="M149" s="165" t="str">
        <f>IF(A149="Grand Total","",IF(ISNUMBER(#REF!),#REF!*2/SUM(#REF!),""))</f>
        <v/>
      </c>
    </row>
    <row r="150" spans="11:13" x14ac:dyDescent="0.25">
      <c r="K150" s="168" t="str">
        <f>IF($A150="","",VLOOKUP('Input Sheet'!$D$2 &amp; " " &amp; $A150,Pop[#All],4,FALSE))</f>
        <v/>
      </c>
      <c r="L150" s="167" t="str">
        <f t="shared" si="13"/>
        <v/>
      </c>
      <c r="M150" s="165" t="str">
        <f>IF(A150="Grand Total","",IF(ISNUMBER(#REF!),#REF!*2/SUM(#REF!),""))</f>
        <v/>
      </c>
    </row>
    <row r="151" spans="11:13" x14ac:dyDescent="0.25">
      <c r="K151" s="168" t="str">
        <f>IF($A151="","",VLOOKUP('Input Sheet'!$D$2 &amp; " " &amp; $A151,Pop[#All],4,FALSE))</f>
        <v/>
      </c>
      <c r="L151" s="167" t="str">
        <f t="shared" si="13"/>
        <v/>
      </c>
      <c r="M151" s="165" t="str">
        <f>IF(A151="Grand Total","",IF(ISNUMBER(#REF!),#REF!*2/SUM(#REF!),""))</f>
        <v/>
      </c>
    </row>
    <row r="152" spans="11:13" x14ac:dyDescent="0.25">
      <c r="K152" s="168" t="str">
        <f>IF($A152="","",VLOOKUP('Input Sheet'!$D$2 &amp; " " &amp; $A152,Pop[#All],4,FALSE))</f>
        <v/>
      </c>
      <c r="L152" s="167" t="str">
        <f t="shared" si="13"/>
        <v/>
      </c>
      <c r="M152" s="165" t="str">
        <f>IF(A152="Grand Total","",IF(ISNUMBER(#REF!),#REF!*2/SUM(#REF!),""))</f>
        <v/>
      </c>
    </row>
    <row r="153" spans="11:13" x14ac:dyDescent="0.25">
      <c r="K153" s="168" t="str">
        <f>IF($A153="","",VLOOKUP('Input Sheet'!$D$2 &amp; " " &amp; $A153,Pop[#All],4,FALSE))</f>
        <v/>
      </c>
      <c r="L153" s="167" t="str">
        <f t="shared" si="13"/>
        <v/>
      </c>
      <c r="M153" s="165" t="str">
        <f>IF(A153="Grand Total","",IF(ISNUMBER(#REF!),#REF!*2/SUM(#REF!),""))</f>
        <v/>
      </c>
    </row>
    <row r="154" spans="11:13" x14ac:dyDescent="0.25">
      <c r="K154" s="168" t="str">
        <f>IF($A154="","",VLOOKUP('Input Sheet'!$D$2 &amp; " " &amp; $A154,Pop[#All],4,FALSE))</f>
        <v/>
      </c>
      <c r="L154" s="167" t="str">
        <f t="shared" si="13"/>
        <v/>
      </c>
      <c r="M154" s="165" t="str">
        <f>IF(A154="Grand Total","",IF(ISNUMBER(#REF!),#REF!*2/SUM(#REF!),""))</f>
        <v/>
      </c>
    </row>
    <row r="155" spans="11:13" x14ac:dyDescent="0.25">
      <c r="K155" s="168" t="str">
        <f>IF($A155="","",VLOOKUP('Input Sheet'!$D$2 &amp; " " &amp; $A155,Pop[#All],4,FALSE))</f>
        <v/>
      </c>
      <c r="L155" s="167" t="str">
        <f t="shared" si="13"/>
        <v/>
      </c>
      <c r="M155" s="165" t="str">
        <f>IF(A155="Grand Total","",IF(ISNUMBER(#REF!),#REF!*2/SUM(#REF!),""))</f>
        <v/>
      </c>
    </row>
    <row r="156" spans="11:13" x14ac:dyDescent="0.25">
      <c r="K156" s="168" t="str">
        <f>IF($A156="","",VLOOKUP('Input Sheet'!$D$2 &amp; " " &amp; $A156,Pop[#All],4,FALSE))</f>
        <v/>
      </c>
      <c r="L156" s="167" t="str">
        <f t="shared" si="13"/>
        <v/>
      </c>
      <c r="M156" s="165" t="str">
        <f>IF(A156="Grand Total","",IF(ISNUMBER(#REF!),#REF!*2/SUM(#REF!),""))</f>
        <v/>
      </c>
    </row>
    <row r="157" spans="11:13" x14ac:dyDescent="0.25">
      <c r="K157" s="168" t="str">
        <f>IF($A157="","",VLOOKUP('Input Sheet'!$D$2 &amp; " " &amp; $A157,Pop[#All],4,FALSE))</f>
        <v/>
      </c>
      <c r="L157" s="167" t="str">
        <f t="shared" si="13"/>
        <v/>
      </c>
      <c r="M157" s="165" t="str">
        <f>IF(A157="Grand Total","",IF(ISNUMBER(#REF!),#REF!*2/SUM(#REF!),""))</f>
        <v/>
      </c>
    </row>
    <row r="158" spans="11:13" x14ac:dyDescent="0.25">
      <c r="K158" s="168" t="str">
        <f>IF($A158="","",VLOOKUP('Input Sheet'!$D$2 &amp; " " &amp; $A158,Pop[#All],4,FALSE))</f>
        <v/>
      </c>
      <c r="L158" s="167" t="str">
        <f t="shared" si="13"/>
        <v/>
      </c>
      <c r="M158" s="165" t="str">
        <f>IF(A158="Grand Total","",IF(ISNUMBER(#REF!),#REF!*2/SUM(#REF!),""))</f>
        <v/>
      </c>
    </row>
    <row r="159" spans="11:13" x14ac:dyDescent="0.25">
      <c r="K159" s="168" t="str">
        <f>IF($A159="","",VLOOKUP('Input Sheet'!$D$2 &amp; " " &amp; $A159,Pop[#All],4,FALSE))</f>
        <v/>
      </c>
      <c r="L159" s="167" t="str">
        <f t="shared" si="13"/>
        <v/>
      </c>
      <c r="M159" s="165" t="str">
        <f>IF(A159="Grand Total","",IF(ISNUMBER(#REF!),#REF!*2/SUM(#REF!),""))</f>
        <v/>
      </c>
    </row>
    <row r="160" spans="11:13" x14ac:dyDescent="0.25">
      <c r="K160" s="168" t="str">
        <f>IF($A160="","",VLOOKUP('Input Sheet'!$D$2 &amp; " " &amp; $A160,Pop[#All],4,FALSE))</f>
        <v/>
      </c>
      <c r="L160" s="167" t="str">
        <f t="shared" si="13"/>
        <v/>
      </c>
      <c r="M160" s="165" t="str">
        <f>IF(A160="Grand Total","",IF(ISNUMBER(#REF!),#REF!*2/SUM(#REF!),""))</f>
        <v/>
      </c>
    </row>
    <row r="161" spans="11:13" x14ac:dyDescent="0.25">
      <c r="K161" s="168" t="str">
        <f>IF($A161="","",VLOOKUP('Input Sheet'!$D$2 &amp; " " &amp; $A161,Pop[#All],4,FALSE))</f>
        <v/>
      </c>
      <c r="L161" s="167" t="str">
        <f t="shared" si="13"/>
        <v/>
      </c>
      <c r="M161" s="165" t="str">
        <f>IF(A161="Grand Total","",IF(ISNUMBER(#REF!),#REF!*2/SUM(#REF!),""))</f>
        <v/>
      </c>
    </row>
    <row r="162" spans="11:13" x14ac:dyDescent="0.25">
      <c r="K162" s="168" t="str">
        <f>IF($A162="","",VLOOKUP('Input Sheet'!$D$2 &amp; " " &amp; $A162,Pop[#All],4,FALSE))</f>
        <v/>
      </c>
      <c r="L162" s="167" t="str">
        <f t="shared" si="13"/>
        <v/>
      </c>
      <c r="M162" s="165" t="str">
        <f>IF(A162="Grand Total","",IF(ISNUMBER(#REF!),#REF!*2/SUM(#REF!),""))</f>
        <v/>
      </c>
    </row>
    <row r="163" spans="11:13" x14ac:dyDescent="0.25">
      <c r="K163" s="168" t="str">
        <f>IF($A163="","",VLOOKUP('Input Sheet'!$D$2 &amp; " " &amp; $A163,Pop[#All],4,FALSE))</f>
        <v/>
      </c>
      <c r="L163" s="167" t="str">
        <f t="shared" si="13"/>
        <v/>
      </c>
      <c r="M163" s="165" t="str">
        <f>IF(A163="Grand Total","",IF(ISNUMBER(#REF!),#REF!*2/SUM(#REF!),""))</f>
        <v/>
      </c>
    </row>
    <row r="164" spans="11:13" x14ac:dyDescent="0.25">
      <c r="K164" s="168" t="str">
        <f>IF($A164="","",VLOOKUP('Input Sheet'!$D$2 &amp; " " &amp; $A164,Pop[#All],4,FALSE))</f>
        <v/>
      </c>
      <c r="L164" s="167" t="str">
        <f t="shared" si="13"/>
        <v/>
      </c>
      <c r="M164" s="165" t="str">
        <f>IF(A164="Grand Total","",IF(ISNUMBER(#REF!),#REF!*2/SUM(#REF!),""))</f>
        <v/>
      </c>
    </row>
    <row r="165" spans="11:13" x14ac:dyDescent="0.25">
      <c r="K165" s="168" t="str">
        <f>IF($A165="","",VLOOKUP('Input Sheet'!$D$2 &amp; " " &amp; $A165,Pop[#All],4,FALSE))</f>
        <v/>
      </c>
      <c r="L165" s="167" t="str">
        <f t="shared" si="13"/>
        <v/>
      </c>
      <c r="M165" s="165" t="str">
        <f>IF(A165="Grand Total","",IF(ISNUMBER(#REF!),#REF!*2/SUM(#REF!),""))</f>
        <v/>
      </c>
    </row>
    <row r="166" spans="11:13" x14ac:dyDescent="0.25">
      <c r="K166" s="168" t="str">
        <f>IF($A166="","",VLOOKUP('Input Sheet'!$D$2 &amp; " " &amp; $A166,Pop[#All],4,FALSE))</f>
        <v/>
      </c>
      <c r="L166" s="167" t="str">
        <f t="shared" si="13"/>
        <v/>
      </c>
      <c r="M166" s="165" t="str">
        <f>IF(A166="Grand Total","",IF(ISNUMBER(#REF!),#REF!*2/SUM(#REF!),""))</f>
        <v/>
      </c>
    </row>
    <row r="167" spans="11:13" x14ac:dyDescent="0.25">
      <c r="K167" s="168" t="str">
        <f>IF($A167="","",VLOOKUP('Input Sheet'!$D$2 &amp; " " &amp; $A167,Pop[#All],4,FALSE))</f>
        <v/>
      </c>
      <c r="L167" s="167" t="str">
        <f t="shared" si="13"/>
        <v/>
      </c>
      <c r="M167" s="165" t="str">
        <f>IF(A167="Grand Total","",IF(ISNUMBER(#REF!),#REF!*2/SUM(#REF!),""))</f>
        <v/>
      </c>
    </row>
    <row r="168" spans="11:13" x14ac:dyDescent="0.25">
      <c r="K168" s="168" t="str">
        <f>IF($A168="","",VLOOKUP('Input Sheet'!$D$2 &amp; " " &amp; $A168,Pop[#All],4,FALSE))</f>
        <v/>
      </c>
      <c r="L168" s="167" t="str">
        <f t="shared" si="13"/>
        <v/>
      </c>
      <c r="M168" s="165" t="str">
        <f>IF(A168="Grand Total","",IF(ISNUMBER(#REF!),#REF!*2/SUM(#REF!),""))</f>
        <v/>
      </c>
    </row>
    <row r="169" spans="11:13" x14ac:dyDescent="0.25">
      <c r="K169" s="168" t="str">
        <f>IF($A169="","",VLOOKUP('Input Sheet'!$D$2 &amp; " " &amp; $A169,Pop[#All],4,FALSE))</f>
        <v/>
      </c>
      <c r="L169" s="167" t="str">
        <f t="shared" si="13"/>
        <v/>
      </c>
      <c r="M169" s="165" t="str">
        <f>IF(A169="Grand Total","",IF(ISNUMBER(#REF!),#REF!*2/SUM(#REF!),""))</f>
        <v/>
      </c>
    </row>
    <row r="170" spans="11:13" x14ac:dyDescent="0.25">
      <c r="K170" s="168" t="str">
        <f>IF($A170="","",VLOOKUP('Input Sheet'!$D$2 &amp; " " &amp; $A170,Pop[#All],4,FALSE))</f>
        <v/>
      </c>
      <c r="L170" s="167" t="str">
        <f t="shared" si="13"/>
        <v/>
      </c>
      <c r="M170" s="165" t="str">
        <f>IF(A170="Grand Total","",IF(ISNUMBER(#REF!),#REF!*2/SUM(#REF!),""))</f>
        <v/>
      </c>
    </row>
    <row r="171" spans="11:13" x14ac:dyDescent="0.25">
      <c r="K171" s="168" t="str">
        <f>IF($A171="","",VLOOKUP('Input Sheet'!$D$2 &amp; " " &amp; $A171,Pop[#All],4,FALSE))</f>
        <v/>
      </c>
      <c r="L171" s="167" t="str">
        <f t="shared" si="13"/>
        <v/>
      </c>
      <c r="M171" s="165" t="str">
        <f>IF(A171="Grand Total","",IF(ISNUMBER(#REF!),#REF!*2/SUM(#REF!),""))</f>
        <v/>
      </c>
    </row>
    <row r="172" spans="11:13" x14ac:dyDescent="0.25">
      <c r="K172" s="168" t="str">
        <f>IF($A172="","",VLOOKUP('Input Sheet'!$D$2 &amp; " " &amp; $A172,Pop[#All],4,FALSE))</f>
        <v/>
      </c>
      <c r="L172" s="167" t="str">
        <f t="shared" si="13"/>
        <v/>
      </c>
      <c r="M172" s="165" t="str">
        <f>IF(A172="Grand Total","",IF(ISNUMBER(#REF!),#REF!*2/SUM(#REF!),""))</f>
        <v/>
      </c>
    </row>
    <row r="173" spans="11:13" x14ac:dyDescent="0.25">
      <c r="K173" s="168" t="str">
        <f>IF($A173="","",VLOOKUP('Input Sheet'!$D$2 &amp; " " &amp; $A173,Pop[#All],4,FALSE))</f>
        <v/>
      </c>
      <c r="L173" s="167" t="str">
        <f t="shared" si="13"/>
        <v/>
      </c>
      <c r="M173" s="165" t="str">
        <f>IF(A173="Grand Total","",IF(ISNUMBER(#REF!),#REF!*2/SUM(#REF!),""))</f>
        <v/>
      </c>
    </row>
    <row r="174" spans="11:13" x14ac:dyDescent="0.25">
      <c r="K174" s="168" t="str">
        <f>IF($A174="","",VLOOKUP('Input Sheet'!$D$2 &amp; " " &amp; $A174,Pop[#All],4,FALSE))</f>
        <v/>
      </c>
      <c r="L174" s="167" t="str">
        <f t="shared" si="13"/>
        <v/>
      </c>
      <c r="M174" s="165" t="str">
        <f>IF(A174="Grand Total","",IF(ISNUMBER(#REF!),#REF!*2/SUM(#REF!),""))</f>
        <v/>
      </c>
    </row>
    <row r="175" spans="11:13" x14ac:dyDescent="0.25">
      <c r="K175" s="168" t="str">
        <f>IF($A175="","",VLOOKUP('Input Sheet'!$D$2 &amp; " " &amp; $A175,Pop[#All],4,FALSE))</f>
        <v/>
      </c>
      <c r="L175" s="167" t="str">
        <f t="shared" si="13"/>
        <v/>
      </c>
      <c r="M175" s="165" t="str">
        <f>IF(A175="Grand Total","",IF(ISNUMBER(#REF!),#REF!*2/SUM(#REF!),""))</f>
        <v/>
      </c>
    </row>
    <row r="176" spans="11:13" x14ac:dyDescent="0.25">
      <c r="K176" s="168" t="str">
        <f>IF($A176="","",VLOOKUP('Input Sheet'!$D$2 &amp; " " &amp; $A176,Pop[#All],4,FALSE))</f>
        <v/>
      </c>
      <c r="L176" s="167" t="str">
        <f t="shared" si="13"/>
        <v/>
      </c>
      <c r="M176" s="165" t="str">
        <f>IF(A176="Grand Total","",IF(ISNUMBER(#REF!),#REF!*2/SUM(#REF!),""))</f>
        <v/>
      </c>
    </row>
    <row r="177" spans="11:13" x14ac:dyDescent="0.25">
      <c r="K177" s="168" t="str">
        <f>IF($A177="","",VLOOKUP('Input Sheet'!$D$2 &amp; " " &amp; $A177,Pop[#All],4,FALSE))</f>
        <v/>
      </c>
      <c r="L177" s="167" t="str">
        <f t="shared" si="13"/>
        <v/>
      </c>
      <c r="M177" s="165" t="str">
        <f>IF(A177="Grand Total","",IF(ISNUMBER(#REF!),#REF!*2/SUM(#REF!),""))</f>
        <v/>
      </c>
    </row>
    <row r="178" spans="11:13" x14ac:dyDescent="0.25">
      <c r="K178" s="168" t="str">
        <f>IF($A178="","",VLOOKUP('Input Sheet'!$D$2 &amp; " " &amp; $A178,Pop[#All],4,FALSE))</f>
        <v/>
      </c>
      <c r="L178" s="167" t="str">
        <f t="shared" si="13"/>
        <v/>
      </c>
      <c r="M178" s="165" t="str">
        <f>IF(A178="Grand Total","",IF(ISNUMBER(#REF!),#REF!*2/SUM(#REF!),""))</f>
        <v/>
      </c>
    </row>
    <row r="179" spans="11:13" x14ac:dyDescent="0.25">
      <c r="K179" s="168" t="str">
        <f>IF($A179="","",VLOOKUP('Input Sheet'!$D$2 &amp; " " &amp; $A179,Pop[#All],4,FALSE))</f>
        <v/>
      </c>
      <c r="L179" s="167" t="str">
        <f t="shared" si="13"/>
        <v/>
      </c>
      <c r="M179" s="165" t="str">
        <f>IF(A179="Grand Total","",IF(ISNUMBER(#REF!),#REF!*2/SUM(#REF!),""))</f>
        <v/>
      </c>
    </row>
    <row r="180" spans="11:13" x14ac:dyDescent="0.25">
      <c r="K180" s="168" t="str">
        <f>IF($A180="","",VLOOKUP('Input Sheet'!$D$2 &amp; " " &amp; $A180,Pop[#All],4,FALSE))</f>
        <v/>
      </c>
      <c r="L180" s="167" t="str">
        <f t="shared" si="13"/>
        <v/>
      </c>
      <c r="M180" s="165" t="str">
        <f>IF(A180="Grand Total","",IF(ISNUMBER(#REF!),#REF!*2/SUM(#REF!),""))</f>
        <v/>
      </c>
    </row>
    <row r="181" spans="11:13" x14ac:dyDescent="0.25">
      <c r="K181" s="168" t="str">
        <f>IF($A181="","",VLOOKUP('Input Sheet'!$D$2 &amp; " " &amp; $A181,Pop[#All],4,FALSE))</f>
        <v/>
      </c>
      <c r="L181" s="167" t="str">
        <f t="shared" si="13"/>
        <v/>
      </c>
      <c r="M181" s="165" t="str">
        <f>IF(A181="Grand Total","",IF(ISNUMBER(#REF!),#REF!*2/SUM(#REF!),""))</f>
        <v/>
      </c>
    </row>
    <row r="182" spans="11:13" x14ac:dyDescent="0.25">
      <c r="K182" s="168" t="str">
        <f>IF($A182="","",VLOOKUP('Input Sheet'!$D$2 &amp; " " &amp; $A182,Pop[#All],4,FALSE))</f>
        <v/>
      </c>
      <c r="L182" s="167" t="str">
        <f t="shared" si="13"/>
        <v/>
      </c>
      <c r="M182" s="165" t="str">
        <f>IF(A182="Grand Total","",IF(ISNUMBER(#REF!),#REF!*2/SUM(#REF!),""))</f>
        <v/>
      </c>
    </row>
    <row r="183" spans="11:13" x14ac:dyDescent="0.25">
      <c r="K183" s="168" t="str">
        <f>IF($A183="","",VLOOKUP('Input Sheet'!$D$2 &amp; " " &amp; $A183,Pop[#All],4,FALSE))</f>
        <v/>
      </c>
      <c r="L183" s="167" t="str">
        <f t="shared" si="13"/>
        <v/>
      </c>
      <c r="M183" s="165" t="str">
        <f>IF(A183="Grand Total","",IF(ISNUMBER(#REF!),#REF!*2/SUM(#REF!),""))</f>
        <v/>
      </c>
    </row>
    <row r="184" spans="11:13" x14ac:dyDescent="0.25">
      <c r="K184" s="168" t="str">
        <f>IF($A184="","",VLOOKUP('Input Sheet'!$D$2 &amp; " " &amp; $A184,Pop[#All],4,FALSE))</f>
        <v/>
      </c>
      <c r="L184" s="167" t="str">
        <f t="shared" si="13"/>
        <v/>
      </c>
      <c r="M184" s="165" t="str">
        <f>IF(A184="Grand Total","",IF(ISNUMBER(#REF!),#REF!*2/SUM(#REF!),""))</f>
        <v/>
      </c>
    </row>
    <row r="185" spans="11:13" x14ac:dyDescent="0.25">
      <c r="K185" s="168" t="str">
        <f>IF($A185="","",VLOOKUP('Input Sheet'!$D$2 &amp; " " &amp; $A185,Pop[#All],4,FALSE))</f>
        <v/>
      </c>
      <c r="L185" s="167" t="str">
        <f t="shared" si="13"/>
        <v/>
      </c>
      <c r="M185" s="165" t="str">
        <f>IF(A185="Grand Total","",IF(ISNUMBER(#REF!),#REF!*2/SUM(#REF!),""))</f>
        <v/>
      </c>
    </row>
    <row r="186" spans="11:13" x14ac:dyDescent="0.25">
      <c r="K186" s="168" t="str">
        <f>IF($A186="","",VLOOKUP('Input Sheet'!$D$2 &amp; " " &amp; $A186,Pop[#All],4,FALSE))</f>
        <v/>
      </c>
      <c r="L186" s="167" t="str">
        <f t="shared" si="13"/>
        <v/>
      </c>
      <c r="M186" s="165" t="str">
        <f>IF(A186="Grand Total","",IF(ISNUMBER(#REF!),#REF!*2/SUM(#REF!),""))</f>
        <v/>
      </c>
    </row>
    <row r="187" spans="11:13" x14ac:dyDescent="0.25">
      <c r="K187" s="168" t="str">
        <f>IF($A187="","",VLOOKUP('Input Sheet'!$D$2 &amp; " " &amp; $A187,Pop[#All],4,FALSE))</f>
        <v/>
      </c>
      <c r="L187" s="167" t="str">
        <f t="shared" si="13"/>
        <v/>
      </c>
      <c r="M187" s="165" t="str">
        <f>IF(A187="Grand Total","",IF(ISNUMBER(#REF!),#REF!*2/SUM(#REF!),""))</f>
        <v/>
      </c>
    </row>
    <row r="188" spans="11:13" x14ac:dyDescent="0.25">
      <c r="K188" s="168" t="str">
        <f>IF($A188="","",VLOOKUP('Input Sheet'!$D$2 &amp; " " &amp; $A188,Pop[#All],4,FALSE))</f>
        <v/>
      </c>
      <c r="L188" s="167" t="str">
        <f t="shared" si="13"/>
        <v/>
      </c>
      <c r="M188" s="165" t="str">
        <f>IF(A188="Grand Total","",IF(ISNUMBER(#REF!),#REF!*2/SUM(#REF!),""))</f>
        <v/>
      </c>
    </row>
    <row r="189" spans="11:13" x14ac:dyDescent="0.25">
      <c r="K189" s="168" t="str">
        <f>IF($A189="","",VLOOKUP('Input Sheet'!$D$2 &amp; " " &amp; $A189,Pop[#All],4,FALSE))</f>
        <v/>
      </c>
      <c r="L189" s="167" t="str">
        <f t="shared" si="13"/>
        <v/>
      </c>
      <c r="M189" s="165" t="str">
        <f>IF(A189="Grand Total","",IF(ISNUMBER(#REF!),#REF!*2/SUM(#REF!),""))</f>
        <v/>
      </c>
    </row>
    <row r="190" spans="11:13" x14ac:dyDescent="0.25">
      <c r="K190" s="168" t="str">
        <f>IF($A190="","",VLOOKUP('Input Sheet'!$D$2 &amp; " " &amp; $A190,Pop[#All],4,FALSE))</f>
        <v/>
      </c>
      <c r="L190" s="167" t="str">
        <f t="shared" si="13"/>
        <v/>
      </c>
      <c r="M190" s="165" t="str">
        <f>IF(A190="Grand Total","",IF(ISNUMBER(#REF!),#REF!*2/SUM(#REF!),""))</f>
        <v/>
      </c>
    </row>
    <row r="191" spans="11:13" x14ac:dyDescent="0.25">
      <c r="K191" s="168" t="str">
        <f>IF($A191="","",VLOOKUP('Input Sheet'!$D$2 &amp; " " &amp; $A191,Pop[#All],4,FALSE))</f>
        <v/>
      </c>
      <c r="L191" s="167" t="str">
        <f t="shared" si="13"/>
        <v/>
      </c>
      <c r="M191" s="165" t="str">
        <f>IF(A191="Grand Total","",IF(ISNUMBER(#REF!),#REF!*2/SUM(#REF!),""))</f>
        <v/>
      </c>
    </row>
    <row r="192" spans="11:13" x14ac:dyDescent="0.25">
      <c r="K192" s="168" t="str">
        <f>IF($A192="","",VLOOKUP('Input Sheet'!$D$2 &amp; " " &amp; $A192,Pop[#All],4,FALSE))</f>
        <v/>
      </c>
      <c r="L192" s="167" t="str">
        <f t="shared" si="13"/>
        <v/>
      </c>
      <c r="M192" s="165" t="str">
        <f>IF(A192="Grand Total","",IF(ISNUMBER(#REF!),#REF!*2/SUM(#REF!),""))</f>
        <v/>
      </c>
    </row>
    <row r="193" spans="11:13" x14ac:dyDescent="0.25">
      <c r="K193" s="168" t="str">
        <f>IF($A193="","",VLOOKUP('Input Sheet'!$D$2 &amp; " " &amp; $A193,Pop[#All],4,FALSE))</f>
        <v/>
      </c>
      <c r="L193" s="167" t="str">
        <f t="shared" si="13"/>
        <v/>
      </c>
      <c r="M193" s="165" t="str">
        <f>IF(A193="Grand Total","",IF(ISNUMBER(#REF!),#REF!*2/SUM(#REF!),""))</f>
        <v/>
      </c>
    </row>
    <row r="194" spans="11:13" x14ac:dyDescent="0.25">
      <c r="K194" s="168" t="str">
        <f>IF($A194="","",VLOOKUP('Input Sheet'!$D$2 &amp; " " &amp; $A194,Pop[#All],4,FALSE))</f>
        <v/>
      </c>
      <c r="L194" s="167" t="str">
        <f t="shared" si="13"/>
        <v/>
      </c>
      <c r="M194" s="165" t="str">
        <f>IF(A194="Grand Total","",IF(ISNUMBER(#REF!),#REF!*2/SUM(#REF!),""))</f>
        <v/>
      </c>
    </row>
    <row r="195" spans="11:13" x14ac:dyDescent="0.25">
      <c r="K195" s="168" t="str">
        <f>IF($A195="","",VLOOKUP('Input Sheet'!$D$2 &amp; " " &amp; $A195,Pop[#All],4,FALSE))</f>
        <v/>
      </c>
      <c r="L195" s="167" t="str">
        <f t="shared" si="13"/>
        <v/>
      </c>
      <c r="M195" s="165" t="str">
        <f>IF(A195="Grand Total","",IF(ISNUMBER(#REF!),#REF!*2/SUM(#REF!),""))</f>
        <v/>
      </c>
    </row>
    <row r="196" spans="11:13" x14ac:dyDescent="0.25">
      <c r="K196" s="168" t="str">
        <f>IF($A196="","",VLOOKUP('Input Sheet'!$D$2 &amp; " " &amp; $A196,Pop[#All],4,FALSE))</f>
        <v/>
      </c>
      <c r="L196" s="167" t="str">
        <f t="shared" si="13"/>
        <v/>
      </c>
      <c r="M196" s="165" t="str">
        <f>IF(A196="Grand Total","",IF(ISNUMBER(#REF!),#REF!*2/SUM(#REF!),""))</f>
        <v/>
      </c>
    </row>
    <row r="197" spans="11:13" x14ac:dyDescent="0.25">
      <c r="K197" s="168" t="str">
        <f>IF($A197="","",VLOOKUP('Input Sheet'!$D$2 &amp; " " &amp; $A197,Pop[#All],4,FALSE))</f>
        <v/>
      </c>
      <c r="L197" s="167" t="str">
        <f t="shared" si="13"/>
        <v/>
      </c>
      <c r="M197" s="165" t="str">
        <f>IF(A197="Grand Total","",IF(ISNUMBER(#REF!),#REF!*2/SUM(#REF!),""))</f>
        <v/>
      </c>
    </row>
    <row r="198" spans="11:13" x14ac:dyDescent="0.25">
      <c r="K198" s="168" t="str">
        <f>IF($A198="","",VLOOKUP('Input Sheet'!$D$2 &amp; " " &amp; $A198,Pop[#All],4,FALSE))</f>
        <v/>
      </c>
      <c r="L198" s="167" t="str">
        <f t="shared" si="13"/>
        <v/>
      </c>
      <c r="M198" s="165" t="str">
        <f>IF(A198="Grand Total","",IF(ISNUMBER(#REF!),#REF!*2/SUM(#REF!),""))</f>
        <v/>
      </c>
    </row>
    <row r="199" spans="11:13" x14ac:dyDescent="0.25">
      <c r="K199" s="168" t="str">
        <f>IF($A199="","",VLOOKUP('Input Sheet'!$D$2 &amp; " " &amp; $A199,Pop[#All],4,FALSE))</f>
        <v/>
      </c>
      <c r="L199" s="167" t="str">
        <f t="shared" si="13"/>
        <v/>
      </c>
      <c r="M199" s="165" t="str">
        <f>IF(A199="Grand Total","",IF(ISNUMBER(#REF!),#REF!*2/SUM(#REF!),""))</f>
        <v/>
      </c>
    </row>
    <row r="200" spans="11:13" x14ac:dyDescent="0.25">
      <c r="K200" s="168" t="str">
        <f>IF($A200="","",VLOOKUP('Input Sheet'!$D$2 &amp; " " &amp; $A200,Pop[#All],4,FALSE))</f>
        <v/>
      </c>
      <c r="L200" s="167" t="str">
        <f t="shared" si="13"/>
        <v/>
      </c>
      <c r="M200" s="165" t="str">
        <f>IF(A200="Grand Total","",IF(ISNUMBER(#REF!),#REF!*2/SUM(#REF!),""))</f>
        <v/>
      </c>
    </row>
    <row r="201" spans="11:13" x14ac:dyDescent="0.25">
      <c r="K201" s="168" t="str">
        <f>IF($A201="","",VLOOKUP('Input Sheet'!$D$2 &amp; " " &amp; $A201,Pop[#All],4,FALSE))</f>
        <v/>
      </c>
      <c r="L201" s="167" t="str">
        <f t="shared" si="13"/>
        <v/>
      </c>
      <c r="M201" s="165" t="str">
        <f>IF(A201="Grand Total","",IF(ISNUMBER(#REF!),#REF!*2/SUM(#REF!),""))</f>
        <v/>
      </c>
    </row>
    <row r="202" spans="11:13" x14ac:dyDescent="0.25">
      <c r="K202" s="168" t="str">
        <f>IF($A202="","",VLOOKUP('Input Sheet'!$D$2 &amp; " " &amp; $A202,Pop[#All],4,FALSE))</f>
        <v/>
      </c>
      <c r="L202" s="167" t="str">
        <f t="shared" si="13"/>
        <v/>
      </c>
      <c r="M202" s="165" t="str">
        <f>IF(A202="Grand Total","",IF(ISNUMBER(#REF!),#REF!*2/SUM(#REF!),""))</f>
        <v/>
      </c>
    </row>
    <row r="203" spans="11:13" x14ac:dyDescent="0.25">
      <c r="K203" s="168" t="str">
        <f>IF($A203="","",VLOOKUP('Input Sheet'!$D$2 &amp; " " &amp; $A203,Pop[#All],4,FALSE))</f>
        <v/>
      </c>
      <c r="L203" s="167" t="str">
        <f t="shared" si="13"/>
        <v/>
      </c>
      <c r="M203" s="165" t="str">
        <f>IF(A203="Grand Total","",IF(ISNUMBER(#REF!),#REF!*2/SUM(#REF!),""))</f>
        <v/>
      </c>
    </row>
    <row r="204" spans="11:13" x14ac:dyDescent="0.25">
      <c r="K204" s="168" t="str">
        <f>IF($A204="","",VLOOKUP('Input Sheet'!$D$2 &amp; " " &amp; $A204,Pop[#All],4,FALSE))</f>
        <v/>
      </c>
      <c r="L204" s="167" t="str">
        <f t="shared" si="13"/>
        <v/>
      </c>
      <c r="M204" s="165" t="str">
        <f>IF(A204="Grand Total","",IF(ISNUMBER(#REF!),#REF!*2/SUM(#REF!),""))</f>
        <v/>
      </c>
    </row>
    <row r="205" spans="11:13" x14ac:dyDescent="0.25">
      <c r="K205" s="168" t="str">
        <f>IF($A205="","",VLOOKUP('Input Sheet'!$D$2 &amp; " " &amp; $A205,Pop[#All],4,FALSE))</f>
        <v/>
      </c>
      <c r="L205" s="167" t="str">
        <f t="shared" si="13"/>
        <v/>
      </c>
      <c r="M205" s="165" t="str">
        <f>IF(A205="Grand Total","",IF(ISNUMBER(#REF!),#REF!*2/SUM(#REF!),""))</f>
        <v/>
      </c>
    </row>
    <row r="206" spans="11:13" x14ac:dyDescent="0.25">
      <c r="K206" s="168" t="str">
        <f>IF($A206="","",VLOOKUP('Input Sheet'!$D$2 &amp; " " &amp; $A206,Pop[#All],4,FALSE))</f>
        <v/>
      </c>
      <c r="L206" s="167" t="str">
        <f t="shared" si="13"/>
        <v/>
      </c>
      <c r="M206" s="165" t="str">
        <f>IF(A206="Grand Total","",IF(ISNUMBER(#REF!),#REF!*2/SUM(#REF!),""))</f>
        <v/>
      </c>
    </row>
    <row r="207" spans="11:13" x14ac:dyDescent="0.25">
      <c r="K207" s="168" t="str">
        <f>IF($A207="","",VLOOKUP('Input Sheet'!$D$2 &amp; " " &amp; $A207,Pop[#All],4,FALSE))</f>
        <v/>
      </c>
      <c r="L207" s="167" t="str">
        <f t="shared" ref="L207:L270" si="14">IFERROR(IF($A207="","",ROUND($J207/$K207,2)),"")</f>
        <v/>
      </c>
      <c r="M207" s="165" t="str">
        <f>IF(A207="Grand Total","",IF(ISNUMBER(#REF!),#REF!*2/SUM(#REF!),""))</f>
        <v/>
      </c>
    </row>
    <row r="208" spans="11:13" x14ac:dyDescent="0.25">
      <c r="K208" s="168" t="str">
        <f>IF($A208="","",VLOOKUP('Input Sheet'!$D$2 &amp; " " &amp; $A208,Pop[#All],4,FALSE))</f>
        <v/>
      </c>
      <c r="L208" s="167" t="str">
        <f t="shared" si="14"/>
        <v/>
      </c>
      <c r="M208" s="165" t="str">
        <f>IF(A208="Grand Total","",IF(ISNUMBER(#REF!),#REF!*2/SUM(#REF!),""))</f>
        <v/>
      </c>
    </row>
    <row r="209" spans="11:13" x14ac:dyDescent="0.25">
      <c r="K209" s="168" t="str">
        <f>IF($A209="","",VLOOKUP('Input Sheet'!$D$2 &amp; " " &amp; $A209,Pop[#All],4,FALSE))</f>
        <v/>
      </c>
      <c r="L209" s="167" t="str">
        <f t="shared" si="14"/>
        <v/>
      </c>
      <c r="M209" s="165" t="str">
        <f>IF(A209="Grand Total","",IF(ISNUMBER(#REF!),#REF!*2/SUM(#REF!),""))</f>
        <v/>
      </c>
    </row>
    <row r="210" spans="11:13" x14ac:dyDescent="0.25">
      <c r="K210" s="168" t="str">
        <f>IF($A210="","",VLOOKUP('Input Sheet'!$D$2 &amp; " " &amp; $A210,Pop[#All],4,FALSE))</f>
        <v/>
      </c>
      <c r="L210" s="167" t="str">
        <f t="shared" si="14"/>
        <v/>
      </c>
      <c r="M210" s="165" t="str">
        <f>IF(A210="Grand Total","",IF(ISNUMBER(#REF!),#REF!*2/SUM(#REF!),""))</f>
        <v/>
      </c>
    </row>
    <row r="211" spans="11:13" x14ac:dyDescent="0.25">
      <c r="K211" s="168" t="str">
        <f>IF($A211="","",VLOOKUP('Input Sheet'!$D$2 &amp; " " &amp; $A211,Pop[#All],4,FALSE))</f>
        <v/>
      </c>
      <c r="L211" s="167" t="str">
        <f t="shared" si="14"/>
        <v/>
      </c>
      <c r="M211" s="165" t="str">
        <f>IF(A211="Grand Total","",IF(ISNUMBER(#REF!),#REF!*2/SUM(#REF!),""))</f>
        <v/>
      </c>
    </row>
    <row r="212" spans="11:13" x14ac:dyDescent="0.25">
      <c r="K212" s="168" t="str">
        <f>IF($A212="","",VLOOKUP('Input Sheet'!$D$2 &amp; " " &amp; $A212,Pop[#All],4,FALSE))</f>
        <v/>
      </c>
      <c r="L212" s="167" t="str">
        <f t="shared" si="14"/>
        <v/>
      </c>
      <c r="M212" s="165" t="str">
        <f>IF(A212="Grand Total","",IF(ISNUMBER(#REF!),#REF!*2/SUM(#REF!),""))</f>
        <v/>
      </c>
    </row>
    <row r="213" spans="11:13" x14ac:dyDescent="0.25">
      <c r="K213" s="168" t="str">
        <f>IF($A213="","",VLOOKUP('Input Sheet'!$D$2 &amp; " " &amp; $A213,Pop[#All],4,FALSE))</f>
        <v/>
      </c>
      <c r="L213" s="167" t="str">
        <f t="shared" si="14"/>
        <v/>
      </c>
      <c r="M213" s="165" t="str">
        <f>IF(A213="Grand Total","",IF(ISNUMBER(#REF!),#REF!*2/SUM(#REF!),""))</f>
        <v/>
      </c>
    </row>
    <row r="214" spans="11:13" x14ac:dyDescent="0.25">
      <c r="K214" s="168" t="str">
        <f>IF($A214="","",VLOOKUP('Input Sheet'!$D$2 &amp; " " &amp; $A214,Pop[#All],4,FALSE))</f>
        <v/>
      </c>
      <c r="L214" s="167" t="str">
        <f t="shared" si="14"/>
        <v/>
      </c>
      <c r="M214" s="165" t="str">
        <f>IF(A214="Grand Total","",IF(ISNUMBER(#REF!),#REF!*2/SUM(#REF!),""))</f>
        <v/>
      </c>
    </row>
    <row r="215" spans="11:13" x14ac:dyDescent="0.25">
      <c r="K215" s="168" t="str">
        <f>IF($A215="","",VLOOKUP('Input Sheet'!$D$2 &amp; " " &amp; $A215,Pop[#All],4,FALSE))</f>
        <v/>
      </c>
      <c r="L215" s="167" t="str">
        <f t="shared" si="14"/>
        <v/>
      </c>
      <c r="M215" s="165" t="str">
        <f>IF(A215="Grand Total","",IF(ISNUMBER(#REF!),#REF!*2/SUM(#REF!),""))</f>
        <v/>
      </c>
    </row>
    <row r="216" spans="11:13" x14ac:dyDescent="0.25">
      <c r="K216" s="168" t="str">
        <f>IF($A216="","",VLOOKUP('Input Sheet'!$D$2 &amp; " " &amp; $A216,Pop[#All],4,FALSE))</f>
        <v/>
      </c>
      <c r="L216" s="167" t="str">
        <f t="shared" si="14"/>
        <v/>
      </c>
      <c r="M216" s="165" t="str">
        <f>IF(A216="Grand Total","",IF(ISNUMBER(#REF!),#REF!*2/SUM(#REF!),""))</f>
        <v/>
      </c>
    </row>
    <row r="217" spans="11:13" x14ac:dyDescent="0.25">
      <c r="K217" s="168" t="str">
        <f>IF($A217="","",VLOOKUP('Input Sheet'!$D$2 &amp; " " &amp; $A217,Pop[#All],4,FALSE))</f>
        <v/>
      </c>
      <c r="L217" s="167" t="str">
        <f t="shared" si="14"/>
        <v/>
      </c>
      <c r="M217" s="165" t="str">
        <f>IF(A217="Grand Total","",IF(ISNUMBER(#REF!),#REF!*2/SUM(#REF!),""))</f>
        <v/>
      </c>
    </row>
    <row r="218" spans="11:13" x14ac:dyDescent="0.25">
      <c r="K218" s="168" t="str">
        <f>IF($A218="","",VLOOKUP('Input Sheet'!$D$2 &amp; " " &amp; $A218,Pop[#All],4,FALSE))</f>
        <v/>
      </c>
      <c r="L218" s="167" t="str">
        <f t="shared" si="14"/>
        <v/>
      </c>
      <c r="M218" s="165" t="str">
        <f>IF(A218="Grand Total","",IF(ISNUMBER(#REF!),#REF!*2/SUM(#REF!),""))</f>
        <v/>
      </c>
    </row>
    <row r="219" spans="11:13" x14ac:dyDescent="0.25">
      <c r="K219" s="168" t="str">
        <f>IF($A219="","",VLOOKUP('Input Sheet'!$D$2 &amp; " " &amp; $A219,Pop[#All],4,FALSE))</f>
        <v/>
      </c>
      <c r="L219" s="167" t="str">
        <f t="shared" si="14"/>
        <v/>
      </c>
      <c r="M219" s="165" t="str">
        <f>IF(A219="Grand Total","",IF(ISNUMBER(#REF!),#REF!*2/SUM(#REF!),""))</f>
        <v/>
      </c>
    </row>
    <row r="220" spans="11:13" x14ac:dyDescent="0.25">
      <c r="K220" s="168" t="str">
        <f>IF($A220="","",VLOOKUP('Input Sheet'!$D$2 &amp; " " &amp; $A220,Pop[#All],4,FALSE))</f>
        <v/>
      </c>
      <c r="L220" s="167" t="str">
        <f t="shared" si="14"/>
        <v/>
      </c>
      <c r="M220" s="165" t="str">
        <f>IF(A220="Grand Total","",IF(ISNUMBER(#REF!),#REF!*2/SUM(#REF!),""))</f>
        <v/>
      </c>
    </row>
    <row r="221" spans="11:13" x14ac:dyDescent="0.25">
      <c r="K221" s="168" t="str">
        <f>IF($A221="","",VLOOKUP('Input Sheet'!$D$2 &amp; " " &amp; $A221,Pop[#All],4,FALSE))</f>
        <v/>
      </c>
      <c r="L221" s="167" t="str">
        <f t="shared" si="14"/>
        <v/>
      </c>
      <c r="M221" s="165" t="str">
        <f>IF(A221="Grand Total","",IF(ISNUMBER(#REF!),#REF!*2/SUM(#REF!),""))</f>
        <v/>
      </c>
    </row>
    <row r="222" spans="11:13" x14ac:dyDescent="0.25">
      <c r="K222" s="168" t="str">
        <f>IF($A222="","",VLOOKUP('Input Sheet'!$D$2 &amp; " " &amp; $A222,Pop[#All],4,FALSE))</f>
        <v/>
      </c>
      <c r="L222" s="167" t="str">
        <f t="shared" si="14"/>
        <v/>
      </c>
      <c r="M222" s="165" t="str">
        <f>IF(A222="Grand Total","",IF(ISNUMBER(#REF!),#REF!*2/SUM(#REF!),""))</f>
        <v/>
      </c>
    </row>
    <row r="223" spans="11:13" x14ac:dyDescent="0.25">
      <c r="K223" s="168" t="str">
        <f>IF($A223="","",VLOOKUP('Input Sheet'!$D$2 &amp; " " &amp; $A223,Pop[#All],4,FALSE))</f>
        <v/>
      </c>
      <c r="L223" s="167" t="str">
        <f t="shared" si="14"/>
        <v/>
      </c>
      <c r="M223" s="165" t="str">
        <f>IF(A223="Grand Total","",IF(ISNUMBER(#REF!),#REF!*2/SUM(#REF!),""))</f>
        <v/>
      </c>
    </row>
    <row r="224" spans="11:13" x14ac:dyDescent="0.25">
      <c r="K224" s="168" t="str">
        <f>IF($A224="","",VLOOKUP('Input Sheet'!$D$2 &amp; " " &amp; $A224,Pop[#All],4,FALSE))</f>
        <v/>
      </c>
      <c r="L224" s="167" t="str">
        <f t="shared" si="14"/>
        <v/>
      </c>
      <c r="M224" s="165" t="str">
        <f>IF(A224="Grand Total","",IF(ISNUMBER(#REF!),#REF!*2/SUM(#REF!),""))</f>
        <v/>
      </c>
    </row>
    <row r="225" spans="11:13" x14ac:dyDescent="0.25">
      <c r="K225" s="168" t="str">
        <f>IF($A225="","",VLOOKUP('Input Sheet'!$D$2 &amp; " " &amp; $A225,Pop[#All],4,FALSE))</f>
        <v/>
      </c>
      <c r="L225" s="167" t="str">
        <f t="shared" si="14"/>
        <v/>
      </c>
      <c r="M225" s="165" t="str">
        <f>IF(A225="Grand Total","",IF(ISNUMBER(#REF!),#REF!*2/SUM(#REF!),""))</f>
        <v/>
      </c>
    </row>
    <row r="226" spans="11:13" x14ac:dyDescent="0.25">
      <c r="K226" s="168" t="str">
        <f>IF($A226="","",VLOOKUP('Input Sheet'!$D$2 &amp; " " &amp; $A226,Pop[#All],4,FALSE))</f>
        <v/>
      </c>
      <c r="L226" s="167" t="str">
        <f t="shared" si="14"/>
        <v/>
      </c>
      <c r="M226" s="165" t="str">
        <f>IF(A226="Grand Total","",IF(ISNUMBER(#REF!),#REF!*2/SUM(#REF!),""))</f>
        <v/>
      </c>
    </row>
    <row r="227" spans="11:13" x14ac:dyDescent="0.25">
      <c r="K227" s="168" t="str">
        <f>IF($A227="","",VLOOKUP('Input Sheet'!$D$2 &amp; " " &amp; $A227,Pop[#All],4,FALSE))</f>
        <v/>
      </c>
      <c r="L227" s="167" t="str">
        <f t="shared" si="14"/>
        <v/>
      </c>
      <c r="M227" s="165" t="str">
        <f>IF(A227="Grand Total","",IF(ISNUMBER(#REF!),#REF!*2/SUM(#REF!),""))</f>
        <v/>
      </c>
    </row>
    <row r="228" spans="11:13" x14ac:dyDescent="0.25">
      <c r="K228" s="168" t="str">
        <f>IF($A228="","",VLOOKUP('Input Sheet'!$D$2 &amp; " " &amp; $A228,Pop[#All],4,FALSE))</f>
        <v/>
      </c>
      <c r="L228" s="167" t="str">
        <f t="shared" si="14"/>
        <v/>
      </c>
      <c r="M228" s="165" t="str">
        <f>IF(A228="Grand Total","",IF(ISNUMBER(#REF!),#REF!*2/SUM(#REF!),""))</f>
        <v/>
      </c>
    </row>
    <row r="229" spans="11:13" x14ac:dyDescent="0.25">
      <c r="K229" s="168" t="str">
        <f>IF($A229="","",VLOOKUP('Input Sheet'!$D$2 &amp; " " &amp; $A229,Pop[#All],4,FALSE))</f>
        <v/>
      </c>
      <c r="L229" s="167" t="str">
        <f t="shared" si="14"/>
        <v/>
      </c>
      <c r="M229" s="165" t="str">
        <f>IF(A229="Grand Total","",IF(ISNUMBER(#REF!),#REF!*2/SUM(#REF!),""))</f>
        <v/>
      </c>
    </row>
    <row r="230" spans="11:13" x14ac:dyDescent="0.25">
      <c r="K230" s="168" t="str">
        <f>IF($A230="","",VLOOKUP('Input Sheet'!$D$2 &amp; " " &amp; $A230,Pop[#All],4,FALSE))</f>
        <v/>
      </c>
      <c r="L230" s="167" t="str">
        <f t="shared" si="14"/>
        <v/>
      </c>
      <c r="M230" s="165" t="str">
        <f>IF(A230="Grand Total","",IF(ISNUMBER(#REF!),#REF!*2/SUM(#REF!),""))</f>
        <v/>
      </c>
    </row>
    <row r="231" spans="11:13" x14ac:dyDescent="0.25">
      <c r="K231" s="168" t="str">
        <f>IF($A231="","",VLOOKUP('Input Sheet'!$D$2 &amp; " " &amp; $A231,Pop[#All],4,FALSE))</f>
        <v/>
      </c>
      <c r="L231" s="167" t="str">
        <f t="shared" si="14"/>
        <v/>
      </c>
      <c r="M231" s="165" t="str">
        <f>IF(A231="Grand Total","",IF(ISNUMBER(#REF!),#REF!*2/SUM(#REF!),""))</f>
        <v/>
      </c>
    </row>
    <row r="232" spans="11:13" x14ac:dyDescent="0.25">
      <c r="K232" s="168" t="str">
        <f>IF($A232="","",VLOOKUP('Input Sheet'!$D$2 &amp; " " &amp; $A232,Pop[#All],4,FALSE))</f>
        <v/>
      </c>
      <c r="L232" s="167" t="str">
        <f t="shared" si="14"/>
        <v/>
      </c>
      <c r="M232" s="165" t="str">
        <f>IF(A232="Grand Total","",IF(ISNUMBER(#REF!),#REF!*2/SUM(#REF!),""))</f>
        <v/>
      </c>
    </row>
    <row r="233" spans="11:13" x14ac:dyDescent="0.25">
      <c r="K233" s="168" t="str">
        <f>IF($A233="","",VLOOKUP('Input Sheet'!$D$2 &amp; " " &amp; $A233,Pop[#All],4,FALSE))</f>
        <v/>
      </c>
      <c r="L233" s="167" t="str">
        <f t="shared" si="14"/>
        <v/>
      </c>
      <c r="M233" s="165" t="str">
        <f>IF(A233="Grand Total","",IF(ISNUMBER(#REF!),#REF!*2/SUM(#REF!),""))</f>
        <v/>
      </c>
    </row>
    <row r="234" spans="11:13" x14ac:dyDescent="0.25">
      <c r="K234" s="168" t="str">
        <f>IF($A234="","",VLOOKUP('Input Sheet'!$D$2 &amp; " " &amp; $A234,Pop[#All],4,FALSE))</f>
        <v/>
      </c>
      <c r="L234" s="167" t="str">
        <f t="shared" si="14"/>
        <v/>
      </c>
      <c r="M234" s="165" t="str">
        <f>IF(A234="Grand Total","",IF(ISNUMBER(#REF!),#REF!*2/SUM(#REF!),""))</f>
        <v/>
      </c>
    </row>
    <row r="235" spans="11:13" x14ac:dyDescent="0.25">
      <c r="K235" s="168" t="str">
        <f>IF($A235="","",VLOOKUP('Input Sheet'!$D$2 &amp; " " &amp; $A235,Pop[#All],4,FALSE))</f>
        <v/>
      </c>
      <c r="L235" s="167" t="str">
        <f t="shared" si="14"/>
        <v/>
      </c>
      <c r="M235" s="165" t="str">
        <f>IF(A235="Grand Total","",IF(ISNUMBER(#REF!),#REF!*2/SUM(#REF!),""))</f>
        <v/>
      </c>
    </row>
    <row r="236" spans="11:13" x14ac:dyDescent="0.25">
      <c r="K236" s="168" t="str">
        <f>IF($A236="","",VLOOKUP('Input Sheet'!$D$2 &amp; " " &amp; $A236,Pop[#All],4,FALSE))</f>
        <v/>
      </c>
      <c r="L236" s="167" t="str">
        <f t="shared" si="14"/>
        <v/>
      </c>
      <c r="M236" s="165" t="str">
        <f>IF(A236="Grand Total","",IF(ISNUMBER(#REF!),#REF!*2/SUM(#REF!),""))</f>
        <v/>
      </c>
    </row>
    <row r="237" spans="11:13" x14ac:dyDescent="0.25">
      <c r="K237" s="168" t="str">
        <f>IF($A237="","",VLOOKUP('Input Sheet'!$D$2 &amp; " " &amp; $A237,Pop[#All],4,FALSE))</f>
        <v/>
      </c>
      <c r="L237" s="167" t="str">
        <f t="shared" si="14"/>
        <v/>
      </c>
      <c r="M237" s="165" t="str">
        <f>IF(A237="Grand Total","",IF(ISNUMBER(#REF!),#REF!*2/SUM(#REF!),""))</f>
        <v/>
      </c>
    </row>
    <row r="238" spans="11:13" x14ac:dyDescent="0.25">
      <c r="K238" s="168" t="str">
        <f>IF($A238="","",VLOOKUP('Input Sheet'!$D$2 &amp; " " &amp; $A238,Pop[#All],4,FALSE))</f>
        <v/>
      </c>
      <c r="L238" s="167" t="str">
        <f t="shared" si="14"/>
        <v/>
      </c>
      <c r="M238" s="165" t="str">
        <f>IF(A238="Grand Total","",IF(ISNUMBER(#REF!),#REF!*2/SUM(#REF!),""))</f>
        <v/>
      </c>
    </row>
    <row r="239" spans="11:13" x14ac:dyDescent="0.25">
      <c r="K239" s="168" t="str">
        <f>IF($A239="","",VLOOKUP('Input Sheet'!$D$2 &amp; " " &amp; $A239,Pop[#All],4,FALSE))</f>
        <v/>
      </c>
      <c r="L239" s="167" t="str">
        <f t="shared" si="14"/>
        <v/>
      </c>
      <c r="M239" s="165" t="str">
        <f>IF(A239="Grand Total","",IF(ISNUMBER(#REF!),#REF!*2/SUM(#REF!),""))</f>
        <v/>
      </c>
    </row>
    <row r="240" spans="11:13" x14ac:dyDescent="0.25">
      <c r="K240" s="168" t="str">
        <f>IF($A240="","",VLOOKUP('Input Sheet'!$D$2 &amp; " " &amp; $A240,Pop[#All],4,FALSE))</f>
        <v/>
      </c>
      <c r="L240" s="167" t="str">
        <f t="shared" si="14"/>
        <v/>
      </c>
      <c r="M240" s="165" t="str">
        <f>IF(A240="Grand Total","",IF(ISNUMBER(#REF!),#REF!*2/SUM(#REF!),""))</f>
        <v/>
      </c>
    </row>
    <row r="241" spans="11:13" x14ac:dyDescent="0.25">
      <c r="K241" s="168" t="str">
        <f>IF($A241="","",VLOOKUP('Input Sheet'!$D$2 &amp; " " &amp; $A241,Pop[#All],4,FALSE))</f>
        <v/>
      </c>
      <c r="L241" s="167" t="str">
        <f t="shared" si="14"/>
        <v/>
      </c>
      <c r="M241" s="165" t="str">
        <f>IF(A241="Grand Total","",IF(ISNUMBER(#REF!),#REF!*2/SUM(#REF!),""))</f>
        <v/>
      </c>
    </row>
    <row r="242" spans="11:13" x14ac:dyDescent="0.25">
      <c r="K242" s="168" t="str">
        <f>IF($A242="","",VLOOKUP('Input Sheet'!$D$2 &amp; " " &amp; $A242,Pop[#All],4,FALSE))</f>
        <v/>
      </c>
      <c r="L242" s="167" t="str">
        <f t="shared" si="14"/>
        <v/>
      </c>
      <c r="M242" s="165" t="str">
        <f>IF(A242="Grand Total","",IF(ISNUMBER(#REF!),#REF!*2/SUM(#REF!),""))</f>
        <v/>
      </c>
    </row>
    <row r="243" spans="11:13" x14ac:dyDescent="0.25">
      <c r="K243" s="168" t="str">
        <f>IF($A243="","",VLOOKUP('Input Sheet'!$D$2 &amp; " " &amp; $A243,Pop[#All],4,FALSE))</f>
        <v/>
      </c>
      <c r="L243" s="167" t="str">
        <f t="shared" si="14"/>
        <v/>
      </c>
      <c r="M243" s="165" t="str">
        <f>IF(A243="Grand Total","",IF(ISNUMBER(#REF!),#REF!*2/SUM(#REF!),""))</f>
        <v/>
      </c>
    </row>
    <row r="244" spans="11:13" x14ac:dyDescent="0.25">
      <c r="K244" s="168" t="str">
        <f>IF($A244="","",VLOOKUP('Input Sheet'!$D$2 &amp; " " &amp; $A244,Pop[#All],4,FALSE))</f>
        <v/>
      </c>
      <c r="L244" s="167" t="str">
        <f t="shared" si="14"/>
        <v/>
      </c>
      <c r="M244" s="165" t="str">
        <f>IF(A244="Grand Total","",IF(ISNUMBER(#REF!),#REF!*2/SUM(#REF!),""))</f>
        <v/>
      </c>
    </row>
    <row r="245" spans="11:13" x14ac:dyDescent="0.25">
      <c r="K245" s="168" t="str">
        <f>IF($A245="","",VLOOKUP('Input Sheet'!$D$2 &amp; " " &amp; $A245,Pop[#All],4,FALSE))</f>
        <v/>
      </c>
      <c r="L245" s="167" t="str">
        <f t="shared" si="14"/>
        <v/>
      </c>
      <c r="M245" s="165" t="str">
        <f>IF(A245="Grand Total","",IF(ISNUMBER(#REF!),#REF!*2/SUM(#REF!),""))</f>
        <v/>
      </c>
    </row>
    <row r="246" spans="11:13" x14ac:dyDescent="0.25">
      <c r="K246" s="168" t="str">
        <f>IF($A246="","",VLOOKUP('Input Sheet'!$D$2 &amp; " " &amp; $A246,Pop[#All],4,FALSE))</f>
        <v/>
      </c>
      <c r="L246" s="167" t="str">
        <f t="shared" si="14"/>
        <v/>
      </c>
      <c r="M246" s="165" t="str">
        <f>IF(A246="Grand Total","",IF(ISNUMBER(#REF!),#REF!*2/SUM(#REF!),""))</f>
        <v/>
      </c>
    </row>
    <row r="247" spans="11:13" x14ac:dyDescent="0.25">
      <c r="K247" s="168" t="str">
        <f>IF($A247="","",VLOOKUP('Input Sheet'!$D$2 &amp; " " &amp; $A247,Pop[#All],4,FALSE))</f>
        <v/>
      </c>
      <c r="L247" s="167" t="str">
        <f t="shared" si="14"/>
        <v/>
      </c>
      <c r="M247" s="165" t="str">
        <f>IF(A247="Grand Total","",IF(ISNUMBER(#REF!),#REF!*2/SUM(#REF!),""))</f>
        <v/>
      </c>
    </row>
    <row r="248" spans="11:13" x14ac:dyDescent="0.25">
      <c r="K248" s="168" t="str">
        <f>IF($A248="","",VLOOKUP('Input Sheet'!$D$2 &amp; " " &amp; $A248,Pop[#All],4,FALSE))</f>
        <v/>
      </c>
      <c r="L248" s="167" t="str">
        <f t="shared" si="14"/>
        <v/>
      </c>
      <c r="M248" s="165" t="str">
        <f>IF(A248="Grand Total","",IF(ISNUMBER(#REF!),#REF!*2/SUM(#REF!),""))</f>
        <v/>
      </c>
    </row>
    <row r="249" spans="11:13" x14ac:dyDescent="0.25">
      <c r="K249" s="168" t="str">
        <f>IF($A249="","",VLOOKUP('Input Sheet'!$D$2 &amp; " " &amp; $A249,Pop[#All],4,FALSE))</f>
        <v/>
      </c>
      <c r="L249" s="167" t="str">
        <f t="shared" si="14"/>
        <v/>
      </c>
      <c r="M249" s="165" t="str">
        <f>IF(A249="Grand Total","",IF(ISNUMBER(#REF!),#REF!*2/SUM(#REF!),""))</f>
        <v/>
      </c>
    </row>
    <row r="250" spans="11:13" x14ac:dyDescent="0.25">
      <c r="K250" s="168" t="str">
        <f>IF($A250="","",VLOOKUP('Input Sheet'!$D$2 &amp; " " &amp; $A250,Pop[#All],4,FALSE))</f>
        <v/>
      </c>
      <c r="L250" s="167" t="str">
        <f t="shared" si="14"/>
        <v/>
      </c>
      <c r="M250" s="165" t="str">
        <f>IF(A250="Grand Total","",IF(ISNUMBER(#REF!),#REF!*2/SUM(#REF!),""))</f>
        <v/>
      </c>
    </row>
    <row r="251" spans="11:13" x14ac:dyDescent="0.25">
      <c r="K251" s="168" t="str">
        <f>IF($A251="","",VLOOKUP('Input Sheet'!$D$2 &amp; " " &amp; $A251,Pop[#All],4,FALSE))</f>
        <v/>
      </c>
      <c r="L251" s="167" t="str">
        <f t="shared" si="14"/>
        <v/>
      </c>
      <c r="M251" s="165" t="str">
        <f>IF(A251="Grand Total","",IF(ISNUMBER(#REF!),#REF!*2/SUM(#REF!),""))</f>
        <v/>
      </c>
    </row>
    <row r="252" spans="11:13" x14ac:dyDescent="0.25">
      <c r="K252" s="168" t="str">
        <f>IF($A252="","",VLOOKUP('Input Sheet'!$D$2 &amp; " " &amp; $A252,Pop[#All],4,FALSE))</f>
        <v/>
      </c>
      <c r="L252" s="167" t="str">
        <f t="shared" si="14"/>
        <v/>
      </c>
      <c r="M252" s="165" t="str">
        <f>IF(A252="Grand Total","",IF(ISNUMBER(#REF!),#REF!*2/SUM(#REF!),""))</f>
        <v/>
      </c>
    </row>
    <row r="253" spans="11:13" x14ac:dyDescent="0.25">
      <c r="K253" s="168" t="str">
        <f>IF($A253="","",VLOOKUP('Input Sheet'!$D$2 &amp; " " &amp; $A253,Pop[#All],4,FALSE))</f>
        <v/>
      </c>
      <c r="L253" s="167" t="str">
        <f t="shared" si="14"/>
        <v/>
      </c>
      <c r="M253" s="165" t="str">
        <f>IF(A253="Grand Total","",IF(ISNUMBER(#REF!),#REF!*2/SUM(#REF!),""))</f>
        <v/>
      </c>
    </row>
    <row r="254" spans="11:13" x14ac:dyDescent="0.25">
      <c r="K254" s="168" t="str">
        <f>IF($A254="","",VLOOKUP('Input Sheet'!$D$2 &amp; " " &amp; $A254,Pop[#All],4,FALSE))</f>
        <v/>
      </c>
      <c r="L254" s="167" t="str">
        <f t="shared" si="14"/>
        <v/>
      </c>
      <c r="M254" s="165" t="str">
        <f>IF(A254="Grand Total","",IF(ISNUMBER(#REF!),#REF!*2/SUM(#REF!),""))</f>
        <v/>
      </c>
    </row>
    <row r="255" spans="11:13" x14ac:dyDescent="0.25">
      <c r="K255" s="168" t="str">
        <f>IF($A255="","",VLOOKUP('Input Sheet'!$D$2 &amp; " " &amp; $A255,Pop[#All],4,FALSE))</f>
        <v/>
      </c>
      <c r="L255" s="167" t="str">
        <f t="shared" si="14"/>
        <v/>
      </c>
      <c r="M255" s="165" t="str">
        <f>IF(A255="Grand Total","",IF(ISNUMBER(#REF!),#REF!*2/SUM(#REF!),""))</f>
        <v/>
      </c>
    </row>
    <row r="256" spans="11:13" x14ac:dyDescent="0.25">
      <c r="K256" s="168" t="str">
        <f>IF($A256="","",VLOOKUP('Input Sheet'!$D$2 &amp; " " &amp; $A256,Pop[#All],4,FALSE))</f>
        <v/>
      </c>
      <c r="L256" s="167" t="str">
        <f t="shared" si="14"/>
        <v/>
      </c>
      <c r="M256" s="165" t="str">
        <f>IF(A256="Grand Total","",IF(ISNUMBER(#REF!),#REF!*2/SUM(#REF!),""))</f>
        <v/>
      </c>
    </row>
    <row r="257" spans="11:13" x14ac:dyDescent="0.25">
      <c r="K257" s="168" t="str">
        <f>IF($A257="","",VLOOKUP('Input Sheet'!$D$2 &amp; " " &amp; $A257,Pop[#All],4,FALSE))</f>
        <v/>
      </c>
      <c r="L257" s="167" t="str">
        <f t="shared" si="14"/>
        <v/>
      </c>
      <c r="M257" s="165" t="str">
        <f>IF(A257="Grand Total","",IF(ISNUMBER(#REF!),#REF!*2/SUM(#REF!),""))</f>
        <v/>
      </c>
    </row>
    <row r="258" spans="11:13" x14ac:dyDescent="0.25">
      <c r="K258" s="168" t="str">
        <f>IF($A258="","",VLOOKUP('Input Sheet'!$D$2 &amp; " " &amp; $A258,Pop[#All],4,FALSE))</f>
        <v/>
      </c>
      <c r="L258" s="167" t="str">
        <f t="shared" si="14"/>
        <v/>
      </c>
      <c r="M258" s="165" t="str">
        <f>IF(A258="Grand Total","",IF(ISNUMBER(#REF!),#REF!*2/SUM(#REF!),""))</f>
        <v/>
      </c>
    </row>
    <row r="259" spans="11:13" x14ac:dyDescent="0.25">
      <c r="K259" s="168" t="str">
        <f>IF($A259="","",VLOOKUP('Input Sheet'!$D$2 &amp; " " &amp; $A259,Pop[#All],4,FALSE))</f>
        <v/>
      </c>
      <c r="L259" s="167" t="str">
        <f t="shared" si="14"/>
        <v/>
      </c>
      <c r="M259" s="165" t="str">
        <f>IF(A259="Grand Total","",IF(ISNUMBER(#REF!),#REF!*2/SUM(#REF!),""))</f>
        <v/>
      </c>
    </row>
    <row r="260" spans="11:13" x14ac:dyDescent="0.25">
      <c r="K260" s="168" t="str">
        <f>IF($A260="","",VLOOKUP('Input Sheet'!$D$2 &amp; " " &amp; $A260,Pop[#All],4,FALSE))</f>
        <v/>
      </c>
      <c r="L260" s="167" t="str">
        <f t="shared" si="14"/>
        <v/>
      </c>
      <c r="M260" s="165" t="str">
        <f>IF(A260="Grand Total","",IF(ISNUMBER(#REF!),#REF!*2/SUM(#REF!),""))</f>
        <v/>
      </c>
    </row>
    <row r="261" spans="11:13" x14ac:dyDescent="0.25">
      <c r="K261" s="168" t="str">
        <f>IF($A261="","",VLOOKUP('Input Sheet'!$D$2 &amp; " " &amp; $A261,Pop[#All],4,FALSE))</f>
        <v/>
      </c>
      <c r="L261" s="167" t="str">
        <f t="shared" si="14"/>
        <v/>
      </c>
      <c r="M261" s="165" t="str">
        <f>IF(A261="Grand Total","",IF(ISNUMBER(#REF!),#REF!*2/SUM(#REF!),""))</f>
        <v/>
      </c>
    </row>
    <row r="262" spans="11:13" x14ac:dyDescent="0.25">
      <c r="K262" s="168" t="str">
        <f>IF($A262="","",VLOOKUP('Input Sheet'!$D$2 &amp; " " &amp; $A262,Pop[#All],4,FALSE))</f>
        <v/>
      </c>
      <c r="L262" s="167" t="str">
        <f t="shared" si="14"/>
        <v/>
      </c>
      <c r="M262" s="165" t="str">
        <f>IF(A262="Grand Total","",IF(ISNUMBER(#REF!),#REF!*2/SUM(#REF!),""))</f>
        <v/>
      </c>
    </row>
    <row r="263" spans="11:13" x14ac:dyDescent="0.25">
      <c r="K263" s="168" t="str">
        <f>IF($A263="","",VLOOKUP('Input Sheet'!$D$2 &amp; " " &amp; $A263,Pop[#All],4,FALSE))</f>
        <v/>
      </c>
      <c r="L263" s="167" t="str">
        <f t="shared" si="14"/>
        <v/>
      </c>
      <c r="M263" s="165" t="str">
        <f>IF(A263="Grand Total","",IF(ISNUMBER(#REF!),#REF!*2/SUM(#REF!),""))</f>
        <v/>
      </c>
    </row>
    <row r="264" spans="11:13" x14ac:dyDescent="0.25">
      <c r="K264" s="168" t="str">
        <f>IF($A264="","",VLOOKUP('Input Sheet'!$D$2 &amp; " " &amp; $A264,Pop[#All],4,FALSE))</f>
        <v/>
      </c>
      <c r="L264" s="167" t="str">
        <f t="shared" si="14"/>
        <v/>
      </c>
      <c r="M264" s="165" t="str">
        <f>IF(A264="Grand Total","",IF(ISNUMBER(#REF!),#REF!*2/SUM(#REF!),""))</f>
        <v/>
      </c>
    </row>
    <row r="265" spans="11:13" x14ac:dyDescent="0.25">
      <c r="K265" s="168" t="str">
        <f>IF($A265="","",VLOOKUP('Input Sheet'!$D$2 &amp; " " &amp; $A265,Pop[#All],4,FALSE))</f>
        <v/>
      </c>
      <c r="L265" s="167" t="str">
        <f t="shared" si="14"/>
        <v/>
      </c>
      <c r="M265" s="165" t="str">
        <f>IF(A265="Grand Total","",IF(ISNUMBER(#REF!),#REF!*2/SUM(#REF!),""))</f>
        <v/>
      </c>
    </row>
    <row r="266" spans="11:13" x14ac:dyDescent="0.25">
      <c r="K266" s="168" t="str">
        <f>IF($A266="","",VLOOKUP('Input Sheet'!$D$2 &amp; " " &amp; $A266,Pop[#All],4,FALSE))</f>
        <v/>
      </c>
      <c r="L266" s="167" t="str">
        <f t="shared" si="14"/>
        <v/>
      </c>
      <c r="M266" s="165" t="str">
        <f>IF(A266="Grand Total","",IF(ISNUMBER(#REF!),#REF!*2/SUM(#REF!),""))</f>
        <v/>
      </c>
    </row>
    <row r="267" spans="11:13" x14ac:dyDescent="0.25">
      <c r="K267" s="168" t="str">
        <f>IF($A267="","",VLOOKUP('Input Sheet'!$D$2 &amp; " " &amp; $A267,Pop[#All],4,FALSE))</f>
        <v/>
      </c>
      <c r="L267" s="167" t="str">
        <f t="shared" si="14"/>
        <v/>
      </c>
      <c r="M267" s="165" t="str">
        <f>IF(A267="Grand Total","",IF(ISNUMBER(#REF!),#REF!*2/SUM(#REF!),""))</f>
        <v/>
      </c>
    </row>
    <row r="268" spans="11:13" x14ac:dyDescent="0.25">
      <c r="K268" s="168" t="str">
        <f>IF($A268="","",VLOOKUP('Input Sheet'!$D$2 &amp; " " &amp; $A268,Pop[#All],4,FALSE))</f>
        <v/>
      </c>
      <c r="L268" s="167" t="str">
        <f t="shared" si="14"/>
        <v/>
      </c>
      <c r="M268" s="165" t="str">
        <f>IF(A268="Grand Total","",IF(ISNUMBER(#REF!),#REF!*2/SUM(#REF!),""))</f>
        <v/>
      </c>
    </row>
    <row r="269" spans="11:13" x14ac:dyDescent="0.25">
      <c r="K269" s="168" t="str">
        <f>IF($A269="","",VLOOKUP('Input Sheet'!$D$2 &amp; " " &amp; $A269,Pop[#All],4,FALSE))</f>
        <v/>
      </c>
      <c r="L269" s="167" t="str">
        <f t="shared" si="14"/>
        <v/>
      </c>
      <c r="M269" s="165" t="str">
        <f>IF(A269="Grand Total","",IF(ISNUMBER(#REF!),#REF!*2/SUM(#REF!),""))</f>
        <v/>
      </c>
    </row>
    <row r="270" spans="11:13" x14ac:dyDescent="0.25">
      <c r="K270" s="168" t="str">
        <f>IF($A270="","",VLOOKUP('Input Sheet'!$D$2 &amp; " " &amp; $A270,Pop[#All],4,FALSE))</f>
        <v/>
      </c>
      <c r="L270" s="167" t="str">
        <f t="shared" si="14"/>
        <v/>
      </c>
      <c r="M270" s="165" t="str">
        <f>IF(A270="Grand Total","",IF(ISNUMBER(#REF!),#REF!*2/SUM(#REF!),""))</f>
        <v/>
      </c>
    </row>
    <row r="271" spans="11:13" x14ac:dyDescent="0.25">
      <c r="K271" s="168" t="str">
        <f>IF($A271="","",VLOOKUP('Input Sheet'!$D$2 &amp; " " &amp; $A271,Pop[#All],4,FALSE))</f>
        <v/>
      </c>
      <c r="L271" s="167" t="str">
        <f t="shared" ref="L271:L334" si="15">IFERROR(IF($A271="","",ROUND($J271/$K271,2)),"")</f>
        <v/>
      </c>
      <c r="M271" s="165" t="str">
        <f>IF(A271="Grand Total","",IF(ISNUMBER(#REF!),#REF!*2/SUM(#REF!),""))</f>
        <v/>
      </c>
    </row>
    <row r="272" spans="11:13" x14ac:dyDescent="0.25">
      <c r="K272" s="168" t="str">
        <f>IF($A272="","",VLOOKUP('Input Sheet'!$D$2 &amp; " " &amp; $A272,Pop[#All],4,FALSE))</f>
        <v/>
      </c>
      <c r="L272" s="167" t="str">
        <f t="shared" si="15"/>
        <v/>
      </c>
      <c r="M272" s="165" t="str">
        <f>IF(A272="Grand Total","",IF(ISNUMBER(#REF!),#REF!*2/SUM(#REF!),""))</f>
        <v/>
      </c>
    </row>
    <row r="273" spans="11:13" x14ac:dyDescent="0.25">
      <c r="K273" s="168" t="str">
        <f>IF($A273="","",VLOOKUP('Input Sheet'!$D$2 &amp; " " &amp; $A273,Pop[#All],4,FALSE))</f>
        <v/>
      </c>
      <c r="L273" s="167" t="str">
        <f t="shared" si="15"/>
        <v/>
      </c>
      <c r="M273" s="165" t="str">
        <f>IF(A273="Grand Total","",IF(ISNUMBER(#REF!),#REF!*2/SUM(#REF!),""))</f>
        <v/>
      </c>
    </row>
    <row r="274" spans="11:13" x14ac:dyDescent="0.25">
      <c r="K274" s="168" t="str">
        <f>IF($A274="","",VLOOKUP('Input Sheet'!$D$2 &amp; " " &amp; $A274,Pop[#All],4,FALSE))</f>
        <v/>
      </c>
      <c r="L274" s="167" t="str">
        <f t="shared" si="15"/>
        <v/>
      </c>
      <c r="M274" s="165" t="str">
        <f>IF(A274="Grand Total","",IF(ISNUMBER(#REF!),#REF!*2/SUM(#REF!),""))</f>
        <v/>
      </c>
    </row>
    <row r="275" spans="11:13" x14ac:dyDescent="0.25">
      <c r="K275" s="168" t="str">
        <f>IF($A275="","",VLOOKUP('Input Sheet'!$D$2 &amp; " " &amp; $A275,Pop[#All],4,FALSE))</f>
        <v/>
      </c>
      <c r="L275" s="167" t="str">
        <f t="shared" si="15"/>
        <v/>
      </c>
      <c r="M275" s="165" t="str">
        <f>IF(A275="Grand Total","",IF(ISNUMBER(#REF!),#REF!*2/SUM(#REF!),""))</f>
        <v/>
      </c>
    </row>
    <row r="276" spans="11:13" x14ac:dyDescent="0.25">
      <c r="K276" s="168" t="str">
        <f>IF($A276="","",VLOOKUP('Input Sheet'!$D$2 &amp; " " &amp; $A276,Pop[#All],4,FALSE))</f>
        <v/>
      </c>
      <c r="L276" s="167" t="str">
        <f t="shared" si="15"/>
        <v/>
      </c>
      <c r="M276" s="165" t="str">
        <f>IF(A276="Grand Total","",IF(ISNUMBER(#REF!),#REF!*2/SUM(#REF!),""))</f>
        <v/>
      </c>
    </row>
    <row r="277" spans="11:13" x14ac:dyDescent="0.25">
      <c r="K277" s="168" t="str">
        <f>IF($A277="","",VLOOKUP('Input Sheet'!$D$2 &amp; " " &amp; $A277,Pop[#All],4,FALSE))</f>
        <v/>
      </c>
      <c r="L277" s="167" t="str">
        <f t="shared" si="15"/>
        <v/>
      </c>
      <c r="M277" s="165" t="str">
        <f>IF(A277="Grand Total","",IF(ISNUMBER(#REF!),#REF!*2/SUM(#REF!),""))</f>
        <v/>
      </c>
    </row>
    <row r="278" spans="11:13" x14ac:dyDescent="0.25">
      <c r="K278" s="168" t="str">
        <f>IF($A278="","",VLOOKUP('Input Sheet'!$D$2 &amp; " " &amp; $A278,Pop[#All],4,FALSE))</f>
        <v/>
      </c>
      <c r="L278" s="167" t="str">
        <f t="shared" si="15"/>
        <v/>
      </c>
      <c r="M278" s="165" t="str">
        <f>IF(A278="Grand Total","",IF(ISNUMBER(#REF!),#REF!*2/SUM(#REF!),""))</f>
        <v/>
      </c>
    </row>
    <row r="279" spans="11:13" x14ac:dyDescent="0.25">
      <c r="K279" s="168" t="str">
        <f>IF($A279="","",VLOOKUP('Input Sheet'!$D$2 &amp; " " &amp; $A279,Pop[#All],4,FALSE))</f>
        <v/>
      </c>
      <c r="L279" s="167" t="str">
        <f t="shared" si="15"/>
        <v/>
      </c>
      <c r="M279" s="165" t="str">
        <f>IF(A279="Grand Total","",IF(ISNUMBER(#REF!),#REF!*2/SUM(#REF!),""))</f>
        <v/>
      </c>
    </row>
    <row r="280" spans="11:13" x14ac:dyDescent="0.25">
      <c r="K280" s="168" t="str">
        <f>IF($A280="","",VLOOKUP('Input Sheet'!$D$2 &amp; " " &amp; $A280,Pop[#All],4,FALSE))</f>
        <v/>
      </c>
      <c r="L280" s="167" t="str">
        <f t="shared" si="15"/>
        <v/>
      </c>
      <c r="M280" s="165" t="str">
        <f>IF(A280="Grand Total","",IF(ISNUMBER(#REF!),#REF!*2/SUM(#REF!),""))</f>
        <v/>
      </c>
    </row>
    <row r="281" spans="11:13" x14ac:dyDescent="0.25">
      <c r="K281" s="168" t="str">
        <f>IF($A281="","",VLOOKUP('Input Sheet'!$D$2 &amp; " " &amp; $A281,Pop[#All],4,FALSE))</f>
        <v/>
      </c>
      <c r="L281" s="167" t="str">
        <f t="shared" si="15"/>
        <v/>
      </c>
      <c r="M281" s="165" t="str">
        <f>IF(A281="Grand Total","",IF(ISNUMBER(#REF!),#REF!*2/SUM(#REF!),""))</f>
        <v/>
      </c>
    </row>
    <row r="282" spans="11:13" x14ac:dyDescent="0.25">
      <c r="K282" s="168" t="str">
        <f>IF($A282="","",VLOOKUP('Input Sheet'!$D$2 &amp; " " &amp; $A282,Pop[#All],4,FALSE))</f>
        <v/>
      </c>
      <c r="L282" s="167" t="str">
        <f t="shared" si="15"/>
        <v/>
      </c>
      <c r="M282" s="165" t="str">
        <f>IF(A282="Grand Total","",IF(ISNUMBER(#REF!),#REF!*2/SUM(#REF!),""))</f>
        <v/>
      </c>
    </row>
    <row r="283" spans="11:13" x14ac:dyDescent="0.25">
      <c r="K283" s="168" t="str">
        <f>IF($A283="","",VLOOKUP('Input Sheet'!$D$2 &amp; " " &amp; $A283,Pop[#All],4,FALSE))</f>
        <v/>
      </c>
      <c r="L283" s="167" t="str">
        <f t="shared" si="15"/>
        <v/>
      </c>
      <c r="M283" s="165" t="str">
        <f>IF(A283="Grand Total","",IF(ISNUMBER(#REF!),#REF!*2/SUM(#REF!),""))</f>
        <v/>
      </c>
    </row>
    <row r="284" spans="11:13" x14ac:dyDescent="0.25">
      <c r="K284" s="168" t="str">
        <f>IF($A284="","",VLOOKUP('Input Sheet'!$D$2 &amp; " " &amp; $A284,Pop[#All],4,FALSE))</f>
        <v/>
      </c>
      <c r="L284" s="167" t="str">
        <f t="shared" si="15"/>
        <v/>
      </c>
      <c r="M284" s="165" t="str">
        <f>IF(A284="Grand Total","",IF(ISNUMBER(#REF!),#REF!*2/SUM(#REF!),""))</f>
        <v/>
      </c>
    </row>
    <row r="285" spans="11:13" x14ac:dyDescent="0.25">
      <c r="K285" s="168" t="str">
        <f>IF($A285="","",VLOOKUP('Input Sheet'!$D$2 &amp; " " &amp; $A285,Pop[#All],4,FALSE))</f>
        <v/>
      </c>
      <c r="L285" s="167" t="str">
        <f t="shared" si="15"/>
        <v/>
      </c>
      <c r="M285" s="165" t="str">
        <f>IF(A285="Grand Total","",IF(ISNUMBER(#REF!),#REF!*2/SUM(#REF!),""))</f>
        <v/>
      </c>
    </row>
    <row r="286" spans="11:13" x14ac:dyDescent="0.25">
      <c r="K286" s="168" t="str">
        <f>IF($A286="","",VLOOKUP('Input Sheet'!$D$2 &amp; " " &amp; $A286,Pop[#All],4,FALSE))</f>
        <v/>
      </c>
      <c r="L286" s="167" t="str">
        <f t="shared" si="15"/>
        <v/>
      </c>
      <c r="M286" s="165" t="str">
        <f>IF(A286="Grand Total","",IF(ISNUMBER(#REF!),#REF!*2/SUM(#REF!),""))</f>
        <v/>
      </c>
    </row>
    <row r="287" spans="11:13" x14ac:dyDescent="0.25">
      <c r="K287" s="168" t="str">
        <f>IF($A287="","",VLOOKUP('Input Sheet'!$D$2 &amp; " " &amp; $A287,Pop[#All],4,FALSE))</f>
        <v/>
      </c>
      <c r="L287" s="167" t="str">
        <f t="shared" si="15"/>
        <v/>
      </c>
      <c r="M287" s="165" t="str">
        <f>IF(A287="Grand Total","",IF(ISNUMBER(#REF!),#REF!*2/SUM(#REF!),""))</f>
        <v/>
      </c>
    </row>
    <row r="288" spans="11:13" x14ac:dyDescent="0.25">
      <c r="K288" s="168" t="str">
        <f>IF($A288="","",VLOOKUP('Input Sheet'!$D$2 &amp; " " &amp; $A288,Pop[#All],4,FALSE))</f>
        <v/>
      </c>
      <c r="L288" s="167" t="str">
        <f t="shared" si="15"/>
        <v/>
      </c>
      <c r="M288" s="165" t="str">
        <f>IF(A288="Grand Total","",IF(ISNUMBER(#REF!),#REF!*2/SUM(#REF!),""))</f>
        <v/>
      </c>
    </row>
    <row r="289" spans="11:13" x14ac:dyDescent="0.25">
      <c r="K289" s="168" t="str">
        <f>IF($A289="","",VLOOKUP('Input Sheet'!$D$2 &amp; " " &amp; $A289,Pop[#All],4,FALSE))</f>
        <v/>
      </c>
      <c r="L289" s="167" t="str">
        <f t="shared" si="15"/>
        <v/>
      </c>
      <c r="M289" s="165" t="str">
        <f>IF(A289="Grand Total","",IF(ISNUMBER(#REF!),#REF!*2/SUM(#REF!),""))</f>
        <v/>
      </c>
    </row>
    <row r="290" spans="11:13" x14ac:dyDescent="0.25">
      <c r="K290" s="168" t="str">
        <f>IF($A290="","",VLOOKUP('Input Sheet'!$D$2 &amp; " " &amp; $A290,Pop[#All],4,FALSE))</f>
        <v/>
      </c>
      <c r="L290" s="167" t="str">
        <f t="shared" si="15"/>
        <v/>
      </c>
      <c r="M290" s="165" t="str">
        <f>IF(A290="Grand Total","",IF(ISNUMBER(#REF!),#REF!*2/SUM(#REF!),""))</f>
        <v/>
      </c>
    </row>
    <row r="291" spans="11:13" x14ac:dyDescent="0.25">
      <c r="K291" s="168" t="str">
        <f>IF($A291="","",VLOOKUP('Input Sheet'!$D$2 &amp; " " &amp; $A291,Pop[#All],4,FALSE))</f>
        <v/>
      </c>
      <c r="L291" s="167" t="str">
        <f t="shared" si="15"/>
        <v/>
      </c>
      <c r="M291" s="165" t="str">
        <f>IF(A291="Grand Total","",IF(ISNUMBER(#REF!),#REF!*2/SUM(#REF!),""))</f>
        <v/>
      </c>
    </row>
    <row r="292" spans="11:13" x14ac:dyDescent="0.25">
      <c r="K292" s="168" t="str">
        <f>IF($A292="","",VLOOKUP('Input Sheet'!$D$2 &amp; " " &amp; $A292,Pop[#All],4,FALSE))</f>
        <v/>
      </c>
      <c r="L292" s="167" t="str">
        <f t="shared" si="15"/>
        <v/>
      </c>
      <c r="M292" s="165" t="str">
        <f>IF(A292="Grand Total","",IF(ISNUMBER(#REF!),#REF!*2/SUM(#REF!),""))</f>
        <v/>
      </c>
    </row>
    <row r="293" spans="11:13" x14ac:dyDescent="0.25">
      <c r="K293" s="168" t="str">
        <f>IF($A293="","",VLOOKUP('Input Sheet'!$D$2 &amp; " " &amp; $A293,Pop[#All],4,FALSE))</f>
        <v/>
      </c>
      <c r="L293" s="167" t="str">
        <f t="shared" si="15"/>
        <v/>
      </c>
      <c r="M293" s="165" t="str">
        <f>IF(A293="Grand Total","",IF(ISNUMBER(#REF!),#REF!*2/SUM(#REF!),""))</f>
        <v/>
      </c>
    </row>
    <row r="294" spans="11:13" x14ac:dyDescent="0.25">
      <c r="K294" s="168" t="str">
        <f>IF($A294="","",VLOOKUP('Input Sheet'!$D$2 &amp; " " &amp; $A294,Pop[#All],4,FALSE))</f>
        <v/>
      </c>
      <c r="L294" s="167" t="str">
        <f t="shared" si="15"/>
        <v/>
      </c>
      <c r="M294" s="165" t="str">
        <f>IF(A294="Grand Total","",IF(ISNUMBER(#REF!),#REF!*2/SUM(#REF!),""))</f>
        <v/>
      </c>
    </row>
    <row r="295" spans="11:13" x14ac:dyDescent="0.25">
      <c r="K295" s="168" t="str">
        <f>IF($A295="","",VLOOKUP('Input Sheet'!$D$2 &amp; " " &amp; $A295,Pop[#All],4,FALSE))</f>
        <v/>
      </c>
      <c r="L295" s="167" t="str">
        <f t="shared" si="15"/>
        <v/>
      </c>
      <c r="M295" s="165" t="str">
        <f>IF(A295="Grand Total","",IF(ISNUMBER(#REF!),#REF!*2/SUM(#REF!),""))</f>
        <v/>
      </c>
    </row>
    <row r="296" spans="11:13" x14ac:dyDescent="0.25">
      <c r="K296" s="168" t="str">
        <f>IF($A296="","",VLOOKUP('Input Sheet'!$D$2 &amp; " " &amp; $A296,Pop[#All],4,FALSE))</f>
        <v/>
      </c>
      <c r="L296" s="167" t="str">
        <f t="shared" si="15"/>
        <v/>
      </c>
      <c r="M296" s="165" t="str">
        <f>IF(A296="Grand Total","",IF(ISNUMBER(#REF!),#REF!*2/SUM(#REF!),""))</f>
        <v/>
      </c>
    </row>
    <row r="297" spans="11:13" x14ac:dyDescent="0.25">
      <c r="K297" s="168" t="str">
        <f>IF($A297="","",VLOOKUP('Input Sheet'!$D$2 &amp; " " &amp; $A297,Pop[#All],4,FALSE))</f>
        <v/>
      </c>
      <c r="L297" s="167" t="str">
        <f t="shared" si="15"/>
        <v/>
      </c>
      <c r="M297" s="165" t="str">
        <f>IF(A297="Grand Total","",IF(ISNUMBER(#REF!),#REF!*2/SUM(#REF!),""))</f>
        <v/>
      </c>
    </row>
    <row r="298" spans="11:13" x14ac:dyDescent="0.25">
      <c r="K298" s="168" t="str">
        <f>IF($A298="","",VLOOKUP('Input Sheet'!$D$2 &amp; " " &amp; $A298,Pop[#All],4,FALSE))</f>
        <v/>
      </c>
      <c r="L298" s="167" t="str">
        <f t="shared" si="15"/>
        <v/>
      </c>
      <c r="M298" s="165" t="str">
        <f>IF(A298="Grand Total","",IF(ISNUMBER(#REF!),#REF!*2/SUM(#REF!),""))</f>
        <v/>
      </c>
    </row>
    <row r="299" spans="11:13" x14ac:dyDescent="0.25">
      <c r="K299" s="168" t="str">
        <f>IF($A299="","",VLOOKUP('Input Sheet'!$D$2 &amp; " " &amp; $A299,Pop[#All],4,FALSE))</f>
        <v/>
      </c>
      <c r="L299" s="167" t="str">
        <f t="shared" si="15"/>
        <v/>
      </c>
      <c r="M299" s="165" t="str">
        <f>IF(A299="Grand Total","",IF(ISNUMBER(#REF!),#REF!*2/SUM(#REF!),""))</f>
        <v/>
      </c>
    </row>
    <row r="300" spans="11:13" x14ac:dyDescent="0.25">
      <c r="K300" s="168" t="str">
        <f>IF($A300="","",VLOOKUP('Input Sheet'!$D$2 &amp; " " &amp; $A300,Pop[#All],4,FALSE))</f>
        <v/>
      </c>
      <c r="L300" s="167" t="str">
        <f t="shared" si="15"/>
        <v/>
      </c>
      <c r="M300" s="165" t="str">
        <f>IF(A300="Grand Total","",IF(ISNUMBER(#REF!),#REF!*2/SUM(#REF!),""))</f>
        <v/>
      </c>
    </row>
    <row r="301" spans="11:13" x14ac:dyDescent="0.25">
      <c r="K301" s="168" t="str">
        <f>IF($A301="","",VLOOKUP('Input Sheet'!$D$2 &amp; " " &amp; $A301,Pop[#All],4,FALSE))</f>
        <v/>
      </c>
      <c r="L301" s="167" t="str">
        <f t="shared" si="15"/>
        <v/>
      </c>
      <c r="M301" s="165" t="str">
        <f>IF(A301="Grand Total","",IF(ISNUMBER(#REF!),#REF!*2/SUM(#REF!),""))</f>
        <v/>
      </c>
    </row>
    <row r="302" spans="11:13" x14ac:dyDescent="0.25">
      <c r="K302" s="168" t="str">
        <f>IF($A302="","",VLOOKUP('Input Sheet'!$D$2 &amp; " " &amp; $A302,Pop[#All],4,FALSE))</f>
        <v/>
      </c>
      <c r="L302" s="167" t="str">
        <f t="shared" si="15"/>
        <v/>
      </c>
      <c r="M302" s="165" t="str">
        <f>IF(A302="Grand Total","",IF(ISNUMBER(#REF!),#REF!*2/SUM(#REF!),""))</f>
        <v/>
      </c>
    </row>
    <row r="303" spans="11:13" x14ac:dyDescent="0.25">
      <c r="K303" s="168" t="str">
        <f>IF($A303="","",VLOOKUP('Input Sheet'!$D$2 &amp; " " &amp; $A303,Pop[#All],4,FALSE))</f>
        <v/>
      </c>
      <c r="L303" s="167" t="str">
        <f t="shared" si="15"/>
        <v/>
      </c>
      <c r="M303" s="165" t="str">
        <f>IF(A303="Grand Total","",IF(ISNUMBER(#REF!),#REF!*2/SUM(#REF!),""))</f>
        <v/>
      </c>
    </row>
    <row r="304" spans="11:13" x14ac:dyDescent="0.25">
      <c r="K304" s="168" t="str">
        <f>IF($A304="","",VLOOKUP('Input Sheet'!$D$2 &amp; " " &amp; $A304,Pop[#All],4,FALSE))</f>
        <v/>
      </c>
      <c r="L304" s="167" t="str">
        <f t="shared" si="15"/>
        <v/>
      </c>
      <c r="M304" s="165" t="str">
        <f>IF(A304="Grand Total","",IF(ISNUMBER(#REF!),#REF!*2/SUM(#REF!),""))</f>
        <v/>
      </c>
    </row>
    <row r="305" spans="11:13" x14ac:dyDescent="0.25">
      <c r="K305" s="168" t="str">
        <f>IF($A305="","",VLOOKUP('Input Sheet'!$D$2 &amp; " " &amp; $A305,Pop[#All],4,FALSE))</f>
        <v/>
      </c>
      <c r="L305" s="167" t="str">
        <f t="shared" si="15"/>
        <v/>
      </c>
      <c r="M305" s="165" t="str">
        <f>IF(A305="Grand Total","",IF(ISNUMBER(#REF!),#REF!*2/SUM(#REF!),""))</f>
        <v/>
      </c>
    </row>
    <row r="306" spans="11:13" x14ac:dyDescent="0.25">
      <c r="K306" s="168" t="str">
        <f>IF($A306="","",VLOOKUP('Input Sheet'!$D$2 &amp; " " &amp; $A306,Pop[#All],4,FALSE))</f>
        <v/>
      </c>
      <c r="L306" s="167" t="str">
        <f t="shared" si="15"/>
        <v/>
      </c>
      <c r="M306" s="165" t="str">
        <f>IF(A306="Grand Total","",IF(ISNUMBER(#REF!),#REF!*2/SUM(#REF!),""))</f>
        <v/>
      </c>
    </row>
    <row r="307" spans="11:13" x14ac:dyDescent="0.25">
      <c r="K307" s="168" t="str">
        <f>IF($A307="","",VLOOKUP('Input Sheet'!$D$2 &amp; " " &amp; $A307,Pop[#All],4,FALSE))</f>
        <v/>
      </c>
      <c r="L307" s="167" t="str">
        <f t="shared" si="15"/>
        <v/>
      </c>
      <c r="M307" s="165" t="str">
        <f>IF(A307="Grand Total","",IF(ISNUMBER(#REF!),#REF!*2/SUM(#REF!),""))</f>
        <v/>
      </c>
    </row>
    <row r="308" spans="11:13" x14ac:dyDescent="0.25">
      <c r="K308" s="168" t="str">
        <f>IF($A308="","",VLOOKUP('Input Sheet'!$D$2 &amp; " " &amp; $A308,Pop[#All],4,FALSE))</f>
        <v/>
      </c>
      <c r="L308" s="167" t="str">
        <f t="shared" si="15"/>
        <v/>
      </c>
      <c r="M308" s="165" t="str">
        <f>IF(A308="Grand Total","",IF(ISNUMBER(#REF!),#REF!*2/SUM(#REF!),""))</f>
        <v/>
      </c>
    </row>
    <row r="309" spans="11:13" x14ac:dyDescent="0.25">
      <c r="K309" s="168" t="str">
        <f>IF($A309="","",VLOOKUP('Input Sheet'!$D$2 &amp; " " &amp; $A309,Pop[#All],4,FALSE))</f>
        <v/>
      </c>
      <c r="L309" s="167" t="str">
        <f t="shared" si="15"/>
        <v/>
      </c>
      <c r="M309" s="165" t="str">
        <f>IF(A309="Grand Total","",IF(ISNUMBER(#REF!),#REF!*2/SUM(#REF!),""))</f>
        <v/>
      </c>
    </row>
    <row r="310" spans="11:13" x14ac:dyDescent="0.25">
      <c r="K310" s="168" t="str">
        <f>IF($A310="","",VLOOKUP('Input Sheet'!$D$2 &amp; " " &amp; $A310,Pop[#All],4,FALSE))</f>
        <v/>
      </c>
      <c r="L310" s="167" t="str">
        <f t="shared" si="15"/>
        <v/>
      </c>
      <c r="M310" s="165" t="str">
        <f>IF(A310="Grand Total","",IF(ISNUMBER(#REF!),#REF!*2/SUM(#REF!),""))</f>
        <v/>
      </c>
    </row>
    <row r="311" spans="11:13" x14ac:dyDescent="0.25">
      <c r="K311" s="168" t="str">
        <f>IF($A311="","",VLOOKUP('Input Sheet'!$D$2 &amp; " " &amp; $A311,Pop[#All],4,FALSE))</f>
        <v/>
      </c>
      <c r="L311" s="167" t="str">
        <f t="shared" si="15"/>
        <v/>
      </c>
      <c r="M311" s="165" t="str">
        <f>IF(A311="Grand Total","",IF(ISNUMBER(#REF!),#REF!*2/SUM(#REF!),""))</f>
        <v/>
      </c>
    </row>
    <row r="312" spans="11:13" x14ac:dyDescent="0.25">
      <c r="K312" s="168" t="str">
        <f>IF($A312="","",VLOOKUP('Input Sheet'!$D$2 &amp; " " &amp; $A312,Pop[#All],4,FALSE))</f>
        <v/>
      </c>
      <c r="L312" s="167" t="str">
        <f t="shared" si="15"/>
        <v/>
      </c>
      <c r="M312" s="165" t="str">
        <f>IF(A312="Grand Total","",IF(ISNUMBER(#REF!),#REF!*2/SUM(#REF!),""))</f>
        <v/>
      </c>
    </row>
    <row r="313" spans="11:13" x14ac:dyDescent="0.25">
      <c r="K313" s="168" t="str">
        <f>IF($A313="","",VLOOKUP('Input Sheet'!$D$2 &amp; " " &amp; $A313,Pop[#All],4,FALSE))</f>
        <v/>
      </c>
      <c r="L313" s="167" t="str">
        <f t="shared" si="15"/>
        <v/>
      </c>
      <c r="M313" s="165" t="str">
        <f>IF(A313="Grand Total","",IF(ISNUMBER(#REF!),#REF!*2/SUM(#REF!),""))</f>
        <v/>
      </c>
    </row>
    <row r="314" spans="11:13" x14ac:dyDescent="0.25">
      <c r="K314" s="168" t="str">
        <f>IF($A314="","",VLOOKUP('Input Sheet'!$D$2 &amp; " " &amp; $A314,Pop[#All],4,FALSE))</f>
        <v/>
      </c>
      <c r="L314" s="167" t="str">
        <f t="shared" si="15"/>
        <v/>
      </c>
      <c r="M314" s="165" t="str">
        <f>IF(A314="Grand Total","",IF(ISNUMBER(#REF!),#REF!*2/SUM(#REF!),""))</f>
        <v/>
      </c>
    </row>
    <row r="315" spans="11:13" x14ac:dyDescent="0.25">
      <c r="K315" s="168" t="str">
        <f>IF($A315="","",VLOOKUP('Input Sheet'!$D$2 &amp; " " &amp; $A315,Pop[#All],4,FALSE))</f>
        <v/>
      </c>
      <c r="L315" s="167" t="str">
        <f t="shared" si="15"/>
        <v/>
      </c>
      <c r="M315" s="165" t="str">
        <f>IF(A315="Grand Total","",IF(ISNUMBER(#REF!),#REF!*2/SUM(#REF!),""))</f>
        <v/>
      </c>
    </row>
    <row r="316" spans="11:13" x14ac:dyDescent="0.25">
      <c r="K316" s="168" t="str">
        <f>IF($A316="","",VLOOKUP('Input Sheet'!$D$2 &amp; " " &amp; $A316,Pop[#All],4,FALSE))</f>
        <v/>
      </c>
      <c r="L316" s="167" t="str">
        <f t="shared" si="15"/>
        <v/>
      </c>
      <c r="M316" s="165" t="str">
        <f>IF(A316="Grand Total","",IF(ISNUMBER(#REF!),#REF!*2/SUM(#REF!),""))</f>
        <v/>
      </c>
    </row>
    <row r="317" spans="11:13" x14ac:dyDescent="0.25">
      <c r="K317" s="168" t="str">
        <f>IF($A317="","",VLOOKUP('Input Sheet'!$D$2 &amp; " " &amp; $A317,Pop[#All],4,FALSE))</f>
        <v/>
      </c>
      <c r="L317" s="167" t="str">
        <f t="shared" si="15"/>
        <v/>
      </c>
      <c r="M317" s="165" t="str">
        <f>IF(A317="Grand Total","",IF(ISNUMBER(#REF!),#REF!*2/SUM(#REF!),""))</f>
        <v/>
      </c>
    </row>
    <row r="318" spans="11:13" x14ac:dyDescent="0.25">
      <c r="K318" s="168" t="str">
        <f>IF($A318="","",VLOOKUP('Input Sheet'!$D$2 &amp; " " &amp; $A318,Pop[#All],4,FALSE))</f>
        <v/>
      </c>
      <c r="L318" s="167" t="str">
        <f t="shared" si="15"/>
        <v/>
      </c>
      <c r="M318" s="165" t="str">
        <f>IF(A318="Grand Total","",IF(ISNUMBER(#REF!),#REF!*2/SUM(#REF!),""))</f>
        <v/>
      </c>
    </row>
    <row r="319" spans="11:13" x14ac:dyDescent="0.25">
      <c r="K319" s="168" t="str">
        <f>IF($A319="","",VLOOKUP('Input Sheet'!$D$2 &amp; " " &amp; $A319,Pop[#All],4,FALSE))</f>
        <v/>
      </c>
      <c r="L319" s="167" t="str">
        <f t="shared" si="15"/>
        <v/>
      </c>
      <c r="M319" s="165" t="str">
        <f>IF(A319="Grand Total","",IF(ISNUMBER(#REF!),#REF!*2/SUM(#REF!),""))</f>
        <v/>
      </c>
    </row>
    <row r="320" spans="11:13" x14ac:dyDescent="0.25">
      <c r="K320" s="168" t="str">
        <f>IF($A320="","",VLOOKUP('Input Sheet'!$D$2 &amp; " " &amp; $A320,Pop[#All],4,FALSE))</f>
        <v/>
      </c>
      <c r="L320" s="167" t="str">
        <f t="shared" si="15"/>
        <v/>
      </c>
      <c r="M320" s="165" t="str">
        <f>IF(A320="Grand Total","",IF(ISNUMBER(#REF!),#REF!*2/SUM(#REF!),""))</f>
        <v/>
      </c>
    </row>
    <row r="321" spans="11:13" x14ac:dyDescent="0.25">
      <c r="K321" s="168" t="str">
        <f>IF($A321="","",VLOOKUP('Input Sheet'!$D$2 &amp; " " &amp; $A321,Pop[#All],4,FALSE))</f>
        <v/>
      </c>
      <c r="L321" s="167" t="str">
        <f t="shared" si="15"/>
        <v/>
      </c>
      <c r="M321" s="165" t="str">
        <f>IF(A321="Grand Total","",IF(ISNUMBER(#REF!),#REF!*2/SUM(#REF!),""))</f>
        <v/>
      </c>
    </row>
    <row r="322" spans="11:13" x14ac:dyDescent="0.25">
      <c r="K322" s="168" t="str">
        <f>IF($A322="","",VLOOKUP('Input Sheet'!$D$2 &amp; " " &amp; $A322,Pop[#All],4,FALSE))</f>
        <v/>
      </c>
      <c r="L322" s="167" t="str">
        <f t="shared" si="15"/>
        <v/>
      </c>
      <c r="M322" s="165" t="str">
        <f>IF(A322="Grand Total","",IF(ISNUMBER(#REF!),#REF!*2/SUM(#REF!),""))</f>
        <v/>
      </c>
    </row>
    <row r="323" spans="11:13" x14ac:dyDescent="0.25">
      <c r="K323" s="168" t="str">
        <f>IF($A323="","",VLOOKUP('Input Sheet'!$D$2 &amp; " " &amp; $A323,Pop[#All],4,FALSE))</f>
        <v/>
      </c>
      <c r="L323" s="167" t="str">
        <f t="shared" si="15"/>
        <v/>
      </c>
      <c r="M323" s="165" t="str">
        <f>IF(A323="Grand Total","",IF(ISNUMBER(#REF!),#REF!*2/SUM(#REF!),""))</f>
        <v/>
      </c>
    </row>
    <row r="324" spans="11:13" x14ac:dyDescent="0.25">
      <c r="K324" s="168" t="str">
        <f>IF($A324="","",VLOOKUP('Input Sheet'!$D$2 &amp; " " &amp; $A324,Pop[#All],4,FALSE))</f>
        <v/>
      </c>
      <c r="L324" s="167" t="str">
        <f t="shared" si="15"/>
        <v/>
      </c>
      <c r="M324" s="165" t="str">
        <f>IF(A324="Grand Total","",IF(ISNUMBER(#REF!),#REF!*2/SUM(#REF!),""))</f>
        <v/>
      </c>
    </row>
    <row r="325" spans="11:13" x14ac:dyDescent="0.25">
      <c r="K325" s="168" t="str">
        <f>IF($A325="","",VLOOKUP('Input Sheet'!$D$2 &amp; " " &amp; $A325,Pop[#All],4,FALSE))</f>
        <v/>
      </c>
      <c r="L325" s="167" t="str">
        <f t="shared" si="15"/>
        <v/>
      </c>
      <c r="M325" s="165" t="str">
        <f>IF(A325="Grand Total","",IF(ISNUMBER(#REF!),#REF!*2/SUM(#REF!),""))</f>
        <v/>
      </c>
    </row>
    <row r="326" spans="11:13" x14ac:dyDescent="0.25">
      <c r="K326" s="168" t="str">
        <f>IF($A326="","",VLOOKUP('Input Sheet'!$D$2 &amp; " " &amp; $A326,Pop[#All],4,FALSE))</f>
        <v/>
      </c>
      <c r="L326" s="167" t="str">
        <f t="shared" si="15"/>
        <v/>
      </c>
      <c r="M326" s="165" t="str">
        <f>IF(A326="Grand Total","",IF(ISNUMBER(#REF!),#REF!*2/SUM(#REF!),""))</f>
        <v/>
      </c>
    </row>
    <row r="327" spans="11:13" x14ac:dyDescent="0.25">
      <c r="K327" s="168" t="str">
        <f>IF($A327="","",VLOOKUP('Input Sheet'!$D$2 &amp; " " &amp; $A327,Pop[#All],4,FALSE))</f>
        <v/>
      </c>
      <c r="L327" s="167" t="str">
        <f t="shared" si="15"/>
        <v/>
      </c>
      <c r="M327" s="165" t="str">
        <f>IF(A327="Grand Total","",IF(ISNUMBER(#REF!),#REF!*2/SUM(#REF!),""))</f>
        <v/>
      </c>
    </row>
    <row r="328" spans="11:13" x14ac:dyDescent="0.25">
      <c r="K328" s="168" t="str">
        <f>IF($A328="","",VLOOKUP('Input Sheet'!$D$2 &amp; " " &amp; $A328,Pop[#All],4,FALSE))</f>
        <v/>
      </c>
      <c r="L328" s="167" t="str">
        <f t="shared" si="15"/>
        <v/>
      </c>
      <c r="M328" s="165" t="str">
        <f>IF(A328="Grand Total","",IF(ISNUMBER(#REF!),#REF!*2/SUM(#REF!),""))</f>
        <v/>
      </c>
    </row>
    <row r="329" spans="11:13" x14ac:dyDescent="0.25">
      <c r="K329" s="168" t="str">
        <f>IF($A329="","",VLOOKUP('Input Sheet'!$D$2 &amp; " " &amp; $A329,Pop[#All],4,FALSE))</f>
        <v/>
      </c>
      <c r="L329" s="167" t="str">
        <f t="shared" si="15"/>
        <v/>
      </c>
      <c r="M329" s="165" t="str">
        <f>IF(A329="Grand Total","",IF(ISNUMBER(#REF!),#REF!*2/SUM(#REF!),""))</f>
        <v/>
      </c>
    </row>
    <row r="330" spans="11:13" x14ac:dyDescent="0.25">
      <c r="K330" s="168" t="str">
        <f>IF($A330="","",VLOOKUP('Input Sheet'!$D$2 &amp; " " &amp; $A330,Pop[#All],4,FALSE))</f>
        <v/>
      </c>
      <c r="L330" s="167" t="str">
        <f t="shared" si="15"/>
        <v/>
      </c>
      <c r="M330" s="165" t="str">
        <f>IF(A330="Grand Total","",IF(ISNUMBER(#REF!),#REF!*2/SUM(#REF!),""))</f>
        <v/>
      </c>
    </row>
    <row r="331" spans="11:13" x14ac:dyDescent="0.25">
      <c r="K331" s="168" t="str">
        <f>IF($A331="","",VLOOKUP('Input Sheet'!$D$2 &amp; " " &amp; $A331,Pop[#All],4,FALSE))</f>
        <v/>
      </c>
      <c r="L331" s="167" t="str">
        <f t="shared" si="15"/>
        <v/>
      </c>
      <c r="M331" s="165" t="str">
        <f>IF(A331="Grand Total","",IF(ISNUMBER(#REF!),#REF!*2/SUM(#REF!),""))</f>
        <v/>
      </c>
    </row>
    <row r="332" spans="11:13" x14ac:dyDescent="0.25">
      <c r="K332" s="168" t="str">
        <f>IF($A332="","",VLOOKUP('Input Sheet'!$D$2 &amp; " " &amp; $A332,Pop[#All],4,FALSE))</f>
        <v/>
      </c>
      <c r="L332" s="167" t="str">
        <f t="shared" si="15"/>
        <v/>
      </c>
      <c r="M332" s="165" t="str">
        <f>IF(A332="Grand Total","",IF(ISNUMBER(#REF!),#REF!*2/SUM(#REF!),""))</f>
        <v/>
      </c>
    </row>
    <row r="333" spans="11:13" x14ac:dyDescent="0.25">
      <c r="K333" s="168" t="str">
        <f>IF($A333="","",VLOOKUP('Input Sheet'!$D$2 &amp; " " &amp; $A333,Pop[#All],4,FALSE))</f>
        <v/>
      </c>
      <c r="L333" s="167" t="str">
        <f t="shared" si="15"/>
        <v/>
      </c>
      <c r="M333" s="165" t="str">
        <f>IF(A333="Grand Total","",IF(ISNUMBER(#REF!),#REF!*2/SUM(#REF!),""))</f>
        <v/>
      </c>
    </row>
    <row r="334" spans="11:13" x14ac:dyDescent="0.25">
      <c r="K334" s="168" t="str">
        <f>IF($A334="","",VLOOKUP('Input Sheet'!$D$2 &amp; " " &amp; $A334,Pop[#All],4,FALSE))</f>
        <v/>
      </c>
      <c r="L334" s="167" t="str">
        <f t="shared" si="15"/>
        <v/>
      </c>
      <c r="M334" s="165" t="str">
        <f>IF(A334="Grand Total","",IF(ISNUMBER(#REF!),#REF!*2/SUM(#REF!),""))</f>
        <v/>
      </c>
    </row>
    <row r="335" spans="11:13" x14ac:dyDescent="0.25">
      <c r="K335" s="168" t="str">
        <f>IF($A335="","",VLOOKUP('Input Sheet'!$D$2 &amp; " " &amp; $A335,Pop[#All],4,FALSE))</f>
        <v/>
      </c>
      <c r="L335" s="167" t="str">
        <f t="shared" ref="L335:L398" si="16">IFERROR(IF($A335="","",ROUND($J335/$K335,2)),"")</f>
        <v/>
      </c>
      <c r="M335" s="165" t="str">
        <f>IF(A335="Grand Total","",IF(ISNUMBER(#REF!),#REF!*2/SUM(#REF!),""))</f>
        <v/>
      </c>
    </row>
    <row r="336" spans="11:13" x14ac:dyDescent="0.25">
      <c r="K336" s="168" t="str">
        <f>IF($A336="","",VLOOKUP('Input Sheet'!$D$2 &amp; " " &amp; $A336,Pop[#All],4,FALSE))</f>
        <v/>
      </c>
      <c r="L336" s="167" t="str">
        <f t="shared" si="16"/>
        <v/>
      </c>
      <c r="M336" s="165" t="str">
        <f>IF(A336="Grand Total","",IF(ISNUMBER(#REF!),#REF!*2/SUM(#REF!),""))</f>
        <v/>
      </c>
    </row>
    <row r="337" spans="11:13" x14ac:dyDescent="0.25">
      <c r="K337" s="168" t="str">
        <f>IF($A337="","",VLOOKUP('Input Sheet'!$D$2 &amp; " " &amp; $A337,Pop[#All],4,FALSE))</f>
        <v/>
      </c>
      <c r="L337" s="167" t="str">
        <f t="shared" si="16"/>
        <v/>
      </c>
      <c r="M337" s="165" t="str">
        <f>IF(A337="Grand Total","",IF(ISNUMBER(#REF!),#REF!*2/SUM(#REF!),""))</f>
        <v/>
      </c>
    </row>
    <row r="338" spans="11:13" x14ac:dyDescent="0.25">
      <c r="K338" s="168" t="str">
        <f>IF($A338="","",VLOOKUP('Input Sheet'!$D$2 &amp; " " &amp; $A338,Pop[#All],4,FALSE))</f>
        <v/>
      </c>
      <c r="L338" s="167" t="str">
        <f t="shared" si="16"/>
        <v/>
      </c>
      <c r="M338" s="165" t="str">
        <f>IF(A338="Grand Total","",IF(ISNUMBER(#REF!),#REF!*2/SUM(#REF!),""))</f>
        <v/>
      </c>
    </row>
    <row r="339" spans="11:13" x14ac:dyDescent="0.25">
      <c r="K339" s="168" t="str">
        <f>IF($A339="","",VLOOKUP('Input Sheet'!$D$2 &amp; " " &amp; $A339,Pop[#All],4,FALSE))</f>
        <v/>
      </c>
      <c r="L339" s="167" t="str">
        <f t="shared" si="16"/>
        <v/>
      </c>
      <c r="M339" s="165" t="str">
        <f>IF(A339="Grand Total","",IF(ISNUMBER(#REF!),#REF!*2/SUM(#REF!),""))</f>
        <v/>
      </c>
    </row>
    <row r="340" spans="11:13" x14ac:dyDescent="0.25">
      <c r="K340" s="168" t="str">
        <f>IF($A340="","",VLOOKUP('Input Sheet'!$D$2 &amp; " " &amp; $A340,Pop[#All],4,FALSE))</f>
        <v/>
      </c>
      <c r="L340" s="167" t="str">
        <f t="shared" si="16"/>
        <v/>
      </c>
      <c r="M340" s="165" t="str">
        <f>IF(A340="Grand Total","",IF(ISNUMBER(#REF!),#REF!*2/SUM(#REF!),""))</f>
        <v/>
      </c>
    </row>
    <row r="341" spans="11:13" x14ac:dyDescent="0.25">
      <c r="K341" s="168" t="str">
        <f>IF($A341="","",VLOOKUP('Input Sheet'!$D$2 &amp; " " &amp; $A341,Pop[#All],4,FALSE))</f>
        <v/>
      </c>
      <c r="L341" s="167" t="str">
        <f t="shared" si="16"/>
        <v/>
      </c>
      <c r="M341" s="165" t="str">
        <f>IF(A341="Grand Total","",IF(ISNUMBER(#REF!),#REF!*2/SUM(#REF!),""))</f>
        <v/>
      </c>
    </row>
    <row r="342" spans="11:13" x14ac:dyDescent="0.25">
      <c r="K342" s="168" t="str">
        <f>IF($A342="","",VLOOKUP('Input Sheet'!$D$2 &amp; " " &amp; $A342,Pop[#All],4,FALSE))</f>
        <v/>
      </c>
      <c r="L342" s="167" t="str">
        <f t="shared" si="16"/>
        <v/>
      </c>
      <c r="M342" s="165" t="str">
        <f>IF(A342="Grand Total","",IF(ISNUMBER(#REF!),#REF!*2/SUM(#REF!),""))</f>
        <v/>
      </c>
    </row>
    <row r="343" spans="11:13" x14ac:dyDescent="0.25">
      <c r="K343" s="168" t="str">
        <f>IF($A343="","",VLOOKUP('Input Sheet'!$D$2 &amp; " " &amp; $A343,Pop[#All],4,FALSE))</f>
        <v/>
      </c>
      <c r="L343" s="167" t="str">
        <f t="shared" si="16"/>
        <v/>
      </c>
      <c r="M343" s="165" t="str">
        <f>IF(A343="Grand Total","",IF(ISNUMBER(#REF!),#REF!*2/SUM(#REF!),""))</f>
        <v/>
      </c>
    </row>
    <row r="344" spans="11:13" x14ac:dyDescent="0.25">
      <c r="K344" s="168" t="str">
        <f>IF($A344="","",VLOOKUP('Input Sheet'!$D$2 &amp; " " &amp; $A344,Pop[#All],4,FALSE))</f>
        <v/>
      </c>
      <c r="L344" s="167" t="str">
        <f t="shared" si="16"/>
        <v/>
      </c>
      <c r="M344" s="165" t="str">
        <f>IF(A344="Grand Total","",IF(ISNUMBER(#REF!),#REF!*2/SUM(#REF!),""))</f>
        <v/>
      </c>
    </row>
    <row r="345" spans="11:13" x14ac:dyDescent="0.25">
      <c r="K345" s="168" t="str">
        <f>IF($A345="","",VLOOKUP('Input Sheet'!$D$2 &amp; " " &amp; $A345,Pop[#All],4,FALSE))</f>
        <v/>
      </c>
      <c r="L345" s="167" t="str">
        <f t="shared" si="16"/>
        <v/>
      </c>
      <c r="M345" s="165" t="str">
        <f>IF(A345="Grand Total","",IF(ISNUMBER(#REF!),#REF!*2/SUM(#REF!),""))</f>
        <v/>
      </c>
    </row>
    <row r="346" spans="11:13" x14ac:dyDescent="0.25">
      <c r="K346" s="168" t="str">
        <f>IF($A346="","",VLOOKUP('Input Sheet'!$D$2 &amp; " " &amp; $A346,Pop[#All],4,FALSE))</f>
        <v/>
      </c>
      <c r="L346" s="167" t="str">
        <f t="shared" si="16"/>
        <v/>
      </c>
      <c r="M346" s="165" t="str">
        <f>IF(A346="Grand Total","",IF(ISNUMBER(#REF!),#REF!*2/SUM(#REF!),""))</f>
        <v/>
      </c>
    </row>
    <row r="347" spans="11:13" x14ac:dyDescent="0.25">
      <c r="K347" s="168" t="str">
        <f>IF($A347="","",VLOOKUP('Input Sheet'!$D$2 &amp; " " &amp; $A347,Pop[#All],4,FALSE))</f>
        <v/>
      </c>
      <c r="L347" s="167" t="str">
        <f t="shared" si="16"/>
        <v/>
      </c>
      <c r="M347" s="165" t="str">
        <f>IF(A347="Grand Total","",IF(ISNUMBER(#REF!),#REF!*2/SUM(#REF!),""))</f>
        <v/>
      </c>
    </row>
    <row r="348" spans="11:13" x14ac:dyDescent="0.25">
      <c r="K348" s="168" t="str">
        <f>IF($A348="","",VLOOKUP('Input Sheet'!$D$2 &amp; " " &amp; $A348,Pop[#All],4,FALSE))</f>
        <v/>
      </c>
      <c r="L348" s="167" t="str">
        <f t="shared" si="16"/>
        <v/>
      </c>
      <c r="M348" s="165" t="str">
        <f>IF(A348="Grand Total","",IF(ISNUMBER(#REF!),#REF!*2/SUM(#REF!),""))</f>
        <v/>
      </c>
    </row>
    <row r="349" spans="11:13" x14ac:dyDescent="0.25">
      <c r="K349" s="168" t="str">
        <f>IF($A349="","",VLOOKUP('Input Sheet'!$D$2 &amp; " " &amp; $A349,Pop[#All],4,FALSE))</f>
        <v/>
      </c>
      <c r="L349" s="167" t="str">
        <f t="shared" si="16"/>
        <v/>
      </c>
      <c r="M349" s="165" t="str">
        <f>IF(A349="Grand Total","",IF(ISNUMBER(#REF!),#REF!*2/SUM(#REF!),""))</f>
        <v/>
      </c>
    </row>
    <row r="350" spans="11:13" x14ac:dyDescent="0.25">
      <c r="K350" s="168" t="str">
        <f>IF($A350="","",VLOOKUP('Input Sheet'!$D$2 &amp; " " &amp; $A350,Pop[#All],4,FALSE))</f>
        <v/>
      </c>
      <c r="L350" s="167" t="str">
        <f t="shared" si="16"/>
        <v/>
      </c>
      <c r="M350" s="165" t="str">
        <f>IF(A350="Grand Total","",IF(ISNUMBER(#REF!),#REF!*2/SUM(#REF!),""))</f>
        <v/>
      </c>
    </row>
    <row r="351" spans="11:13" x14ac:dyDescent="0.25">
      <c r="K351" s="168" t="str">
        <f>IF($A351="","",VLOOKUP('Input Sheet'!$D$2 &amp; " " &amp; $A351,Pop[#All],4,FALSE))</f>
        <v/>
      </c>
      <c r="L351" s="167" t="str">
        <f t="shared" si="16"/>
        <v/>
      </c>
      <c r="M351" s="165" t="str">
        <f>IF(A351="Grand Total","",IF(ISNUMBER(#REF!),#REF!*2/SUM(#REF!),""))</f>
        <v/>
      </c>
    </row>
    <row r="352" spans="11:13" x14ac:dyDescent="0.25">
      <c r="K352" s="168" t="str">
        <f>IF($A352="","",VLOOKUP('Input Sheet'!$D$2 &amp; " " &amp; $A352,Pop[#All],4,FALSE))</f>
        <v/>
      </c>
      <c r="L352" s="167" t="str">
        <f t="shared" si="16"/>
        <v/>
      </c>
      <c r="M352" s="165" t="str">
        <f>IF(A352="Grand Total","",IF(ISNUMBER(#REF!),#REF!*2/SUM(#REF!),""))</f>
        <v/>
      </c>
    </row>
    <row r="353" spans="11:13" x14ac:dyDescent="0.25">
      <c r="K353" s="168" t="str">
        <f>IF($A353="","",VLOOKUP('Input Sheet'!$D$2 &amp; " " &amp; $A353,Pop[#All],4,FALSE))</f>
        <v/>
      </c>
      <c r="L353" s="167" t="str">
        <f t="shared" si="16"/>
        <v/>
      </c>
      <c r="M353" s="165" t="str">
        <f>IF(A353="Grand Total","",IF(ISNUMBER(#REF!),#REF!*2/SUM(#REF!),""))</f>
        <v/>
      </c>
    </row>
    <row r="354" spans="11:13" x14ac:dyDescent="0.25">
      <c r="K354" s="168" t="str">
        <f>IF($A354="","",VLOOKUP('Input Sheet'!$D$2 &amp; " " &amp; $A354,Pop[#All],4,FALSE))</f>
        <v/>
      </c>
      <c r="L354" s="167" t="str">
        <f t="shared" si="16"/>
        <v/>
      </c>
      <c r="M354" s="165" t="str">
        <f>IF(A354="Grand Total","",IF(ISNUMBER(#REF!),#REF!*2/SUM(#REF!),""))</f>
        <v/>
      </c>
    </row>
    <row r="355" spans="11:13" x14ac:dyDescent="0.25">
      <c r="K355" s="168" t="str">
        <f>IF($A355="","",VLOOKUP('Input Sheet'!$D$2 &amp; " " &amp; $A355,Pop[#All],4,FALSE))</f>
        <v/>
      </c>
      <c r="L355" s="167" t="str">
        <f t="shared" si="16"/>
        <v/>
      </c>
      <c r="M355" s="165" t="str">
        <f>IF(A355="Grand Total","",IF(ISNUMBER(#REF!),#REF!*2/SUM(#REF!),""))</f>
        <v/>
      </c>
    </row>
    <row r="356" spans="11:13" x14ac:dyDescent="0.25">
      <c r="K356" s="168" t="str">
        <f>IF($A356="","",VLOOKUP('Input Sheet'!$D$2 &amp; " " &amp; $A356,Pop[#All],4,FALSE))</f>
        <v/>
      </c>
      <c r="L356" s="167" t="str">
        <f t="shared" si="16"/>
        <v/>
      </c>
      <c r="M356" s="165" t="str">
        <f>IF(A356="Grand Total","",IF(ISNUMBER(#REF!),#REF!*2/SUM(#REF!),""))</f>
        <v/>
      </c>
    </row>
    <row r="357" spans="11:13" x14ac:dyDescent="0.25">
      <c r="K357" s="168" t="str">
        <f>IF($A357="","",VLOOKUP('Input Sheet'!$D$2 &amp; " " &amp; $A357,Pop[#All],4,FALSE))</f>
        <v/>
      </c>
      <c r="L357" s="167" t="str">
        <f t="shared" si="16"/>
        <v/>
      </c>
      <c r="M357" s="165" t="str">
        <f>IF(A357="Grand Total","",IF(ISNUMBER(#REF!),#REF!*2/SUM(#REF!),""))</f>
        <v/>
      </c>
    </row>
    <row r="358" spans="11:13" x14ac:dyDescent="0.25">
      <c r="K358" s="168" t="str">
        <f>IF($A358="","",VLOOKUP('Input Sheet'!$D$2 &amp; " " &amp; $A358,Pop[#All],4,FALSE))</f>
        <v/>
      </c>
      <c r="L358" s="167" t="str">
        <f t="shared" si="16"/>
        <v/>
      </c>
      <c r="M358" s="165" t="str">
        <f>IF(A358="Grand Total","",IF(ISNUMBER(#REF!),#REF!*2/SUM(#REF!),""))</f>
        <v/>
      </c>
    </row>
    <row r="359" spans="11:13" x14ac:dyDescent="0.25">
      <c r="K359" s="168" t="str">
        <f>IF($A359="","",VLOOKUP('Input Sheet'!$D$2 &amp; " " &amp; $A359,Pop[#All],4,FALSE))</f>
        <v/>
      </c>
      <c r="L359" s="167" t="str">
        <f t="shared" si="16"/>
        <v/>
      </c>
      <c r="M359" s="165" t="str">
        <f>IF(A359="Grand Total","",IF(ISNUMBER(#REF!),#REF!*2/SUM(#REF!),""))</f>
        <v/>
      </c>
    </row>
    <row r="360" spans="11:13" x14ac:dyDescent="0.25">
      <c r="K360" s="168" t="str">
        <f>IF($A360="","",VLOOKUP('Input Sheet'!$D$2 &amp; " " &amp; $A360,Pop[#All],4,FALSE))</f>
        <v/>
      </c>
      <c r="L360" s="167" t="str">
        <f t="shared" si="16"/>
        <v/>
      </c>
      <c r="M360" s="165" t="str">
        <f>IF(A360="Grand Total","",IF(ISNUMBER(#REF!),#REF!*2/SUM(#REF!),""))</f>
        <v/>
      </c>
    </row>
    <row r="361" spans="11:13" x14ac:dyDescent="0.25">
      <c r="K361" s="168" t="str">
        <f>IF($A361="","",VLOOKUP('Input Sheet'!$D$2 &amp; " " &amp; $A361,Pop[#All],4,FALSE))</f>
        <v/>
      </c>
      <c r="L361" s="167" t="str">
        <f t="shared" si="16"/>
        <v/>
      </c>
      <c r="M361" s="165" t="str">
        <f>IF(A361="Grand Total","",IF(ISNUMBER(#REF!),#REF!*2/SUM(#REF!),""))</f>
        <v/>
      </c>
    </row>
    <row r="362" spans="11:13" x14ac:dyDescent="0.25">
      <c r="K362" s="168" t="str">
        <f>IF($A362="","",VLOOKUP('Input Sheet'!$D$2 &amp; " " &amp; $A362,Pop[#All],4,FALSE))</f>
        <v/>
      </c>
      <c r="L362" s="167" t="str">
        <f t="shared" si="16"/>
        <v/>
      </c>
      <c r="M362" s="165" t="str">
        <f>IF(A362="Grand Total","",IF(ISNUMBER(#REF!),#REF!*2/SUM(#REF!),""))</f>
        <v/>
      </c>
    </row>
    <row r="363" spans="11:13" x14ac:dyDescent="0.25">
      <c r="K363" s="168" t="str">
        <f>IF($A363="","",VLOOKUP('Input Sheet'!$D$2 &amp; " " &amp; $A363,Pop[#All],4,FALSE))</f>
        <v/>
      </c>
      <c r="L363" s="167" t="str">
        <f t="shared" si="16"/>
        <v/>
      </c>
      <c r="M363" s="165" t="str">
        <f>IF(A363="Grand Total","",IF(ISNUMBER(#REF!),#REF!*2/SUM(#REF!),""))</f>
        <v/>
      </c>
    </row>
    <row r="364" spans="11:13" x14ac:dyDescent="0.25">
      <c r="K364" s="168" t="str">
        <f>IF($A364="","",VLOOKUP('Input Sheet'!$D$2 &amp; " " &amp; $A364,Pop[#All],4,FALSE))</f>
        <v/>
      </c>
      <c r="L364" s="167" t="str">
        <f t="shared" si="16"/>
        <v/>
      </c>
      <c r="M364" s="165" t="str">
        <f>IF(A364="Grand Total","",IF(ISNUMBER(#REF!),#REF!*2/SUM(#REF!),""))</f>
        <v/>
      </c>
    </row>
    <row r="365" spans="11:13" x14ac:dyDescent="0.25">
      <c r="K365" s="168" t="str">
        <f>IF($A365="","",VLOOKUP('Input Sheet'!$D$2 &amp; " " &amp; $A365,Pop[#All],4,FALSE))</f>
        <v/>
      </c>
      <c r="L365" s="167" t="str">
        <f t="shared" si="16"/>
        <v/>
      </c>
      <c r="M365" s="165" t="str">
        <f>IF(A365="Grand Total","",IF(ISNUMBER(#REF!),#REF!*2/SUM(#REF!),""))</f>
        <v/>
      </c>
    </row>
    <row r="366" spans="11:13" x14ac:dyDescent="0.25">
      <c r="K366" s="168" t="str">
        <f>IF($A366="","",VLOOKUP('Input Sheet'!$D$2 &amp; " " &amp; $A366,Pop[#All],4,FALSE))</f>
        <v/>
      </c>
      <c r="L366" s="167" t="str">
        <f t="shared" si="16"/>
        <v/>
      </c>
      <c r="M366" s="165" t="str">
        <f>IF(A366="Grand Total","",IF(ISNUMBER(#REF!),#REF!*2/SUM(#REF!),""))</f>
        <v/>
      </c>
    </row>
    <row r="367" spans="11:13" x14ac:dyDescent="0.25">
      <c r="K367" s="168" t="str">
        <f>IF($A367="","",VLOOKUP('Input Sheet'!$D$2 &amp; " " &amp; $A367,Pop[#All],4,FALSE))</f>
        <v/>
      </c>
      <c r="L367" s="167" t="str">
        <f t="shared" si="16"/>
        <v/>
      </c>
      <c r="M367" s="165" t="str">
        <f>IF(A367="Grand Total","",IF(ISNUMBER(#REF!),#REF!*2/SUM(#REF!),""))</f>
        <v/>
      </c>
    </row>
    <row r="368" spans="11:13" x14ac:dyDescent="0.25">
      <c r="K368" s="168" t="str">
        <f>IF($A368="","",VLOOKUP('Input Sheet'!$D$2 &amp; " " &amp; $A368,Pop[#All],4,FALSE))</f>
        <v/>
      </c>
      <c r="L368" s="167" t="str">
        <f t="shared" si="16"/>
        <v/>
      </c>
      <c r="M368" s="165" t="str">
        <f>IF(A368="Grand Total","",IF(ISNUMBER(#REF!),#REF!*2/SUM(#REF!),""))</f>
        <v/>
      </c>
    </row>
    <row r="369" spans="11:13" x14ac:dyDescent="0.25">
      <c r="K369" s="168" t="str">
        <f>IF($A369="","",VLOOKUP('Input Sheet'!$D$2 &amp; " " &amp; $A369,Pop[#All],4,FALSE))</f>
        <v/>
      </c>
      <c r="L369" s="167" t="str">
        <f t="shared" si="16"/>
        <v/>
      </c>
      <c r="M369" s="165" t="str">
        <f>IF(A369="Grand Total","",IF(ISNUMBER(#REF!),#REF!*2/SUM(#REF!),""))</f>
        <v/>
      </c>
    </row>
    <row r="370" spans="11:13" x14ac:dyDescent="0.25">
      <c r="K370" s="168" t="str">
        <f>IF($A370="","",VLOOKUP('Input Sheet'!$D$2 &amp; " " &amp; $A370,Pop[#All],4,FALSE))</f>
        <v/>
      </c>
      <c r="L370" s="167" t="str">
        <f t="shared" si="16"/>
        <v/>
      </c>
      <c r="M370" s="165" t="str">
        <f>IF(A370="Grand Total","",IF(ISNUMBER(#REF!),#REF!*2/SUM(#REF!),""))</f>
        <v/>
      </c>
    </row>
    <row r="371" spans="11:13" x14ac:dyDescent="0.25">
      <c r="K371" s="168" t="str">
        <f>IF($A371="","",VLOOKUP('Input Sheet'!$D$2 &amp; " " &amp; $A371,Pop[#All],4,FALSE))</f>
        <v/>
      </c>
      <c r="L371" s="167" t="str">
        <f t="shared" si="16"/>
        <v/>
      </c>
      <c r="M371" s="165" t="str">
        <f>IF(A371="Grand Total","",IF(ISNUMBER(#REF!),#REF!*2/SUM(#REF!),""))</f>
        <v/>
      </c>
    </row>
    <row r="372" spans="11:13" x14ac:dyDescent="0.25">
      <c r="K372" s="168" t="str">
        <f>IF($A372="","",VLOOKUP('Input Sheet'!$D$2 &amp; " " &amp; $A372,Pop[#All],4,FALSE))</f>
        <v/>
      </c>
      <c r="L372" s="167" t="str">
        <f t="shared" si="16"/>
        <v/>
      </c>
      <c r="M372" s="165" t="str">
        <f>IF(A372="Grand Total","",IF(ISNUMBER(#REF!),#REF!*2/SUM(#REF!),""))</f>
        <v/>
      </c>
    </row>
    <row r="373" spans="11:13" x14ac:dyDescent="0.25">
      <c r="K373" s="168" t="str">
        <f>IF($A373="","",VLOOKUP('Input Sheet'!$D$2 &amp; " " &amp; $A373,Pop[#All],4,FALSE))</f>
        <v/>
      </c>
      <c r="L373" s="167" t="str">
        <f t="shared" si="16"/>
        <v/>
      </c>
      <c r="M373" s="165" t="str">
        <f>IF(A373="Grand Total","",IF(ISNUMBER(#REF!),#REF!*2/SUM(#REF!),""))</f>
        <v/>
      </c>
    </row>
    <row r="374" spans="11:13" x14ac:dyDescent="0.25">
      <c r="K374" s="168" t="str">
        <f>IF($A374="","",VLOOKUP('Input Sheet'!$D$2 &amp; " " &amp; $A374,Pop[#All],4,FALSE))</f>
        <v/>
      </c>
      <c r="L374" s="167" t="str">
        <f t="shared" si="16"/>
        <v/>
      </c>
      <c r="M374" s="165" t="str">
        <f>IF(A374="Grand Total","",IF(ISNUMBER(#REF!),#REF!*2/SUM(#REF!),""))</f>
        <v/>
      </c>
    </row>
    <row r="375" spans="11:13" x14ac:dyDescent="0.25">
      <c r="K375" s="168" t="str">
        <f>IF($A375="","",VLOOKUP('Input Sheet'!$D$2 &amp; " " &amp; $A375,Pop[#All],4,FALSE))</f>
        <v/>
      </c>
      <c r="L375" s="167" t="str">
        <f t="shared" si="16"/>
        <v/>
      </c>
      <c r="M375" s="165" t="str">
        <f>IF(A375="Grand Total","",IF(ISNUMBER(#REF!),#REF!*2/SUM(#REF!),""))</f>
        <v/>
      </c>
    </row>
    <row r="376" spans="11:13" x14ac:dyDescent="0.25">
      <c r="K376" s="168" t="str">
        <f>IF($A376="","",VLOOKUP('Input Sheet'!$D$2 &amp; " " &amp; $A376,Pop[#All],4,FALSE))</f>
        <v/>
      </c>
      <c r="L376" s="167" t="str">
        <f t="shared" si="16"/>
        <v/>
      </c>
      <c r="M376" s="165" t="str">
        <f>IF(A376="Grand Total","",IF(ISNUMBER(#REF!),#REF!*2/SUM(#REF!),""))</f>
        <v/>
      </c>
    </row>
    <row r="377" spans="11:13" x14ac:dyDescent="0.25">
      <c r="K377" s="168" t="str">
        <f>IF($A377="","",VLOOKUP('Input Sheet'!$D$2 &amp; " " &amp; $A377,Pop[#All],4,FALSE))</f>
        <v/>
      </c>
      <c r="L377" s="167" t="str">
        <f t="shared" si="16"/>
        <v/>
      </c>
      <c r="M377" s="165" t="str">
        <f>IF(A377="Grand Total","",IF(ISNUMBER(#REF!),#REF!*2/SUM(#REF!),""))</f>
        <v/>
      </c>
    </row>
    <row r="378" spans="11:13" x14ac:dyDescent="0.25">
      <c r="K378" s="168" t="str">
        <f>IF($A378="","",VLOOKUP('Input Sheet'!$D$2 &amp; " " &amp; $A378,Pop[#All],4,FALSE))</f>
        <v/>
      </c>
      <c r="L378" s="167" t="str">
        <f t="shared" si="16"/>
        <v/>
      </c>
      <c r="M378" s="165" t="str">
        <f>IF(A378="Grand Total","",IF(ISNUMBER(#REF!),#REF!*2/SUM(#REF!),""))</f>
        <v/>
      </c>
    </row>
    <row r="379" spans="11:13" x14ac:dyDescent="0.25">
      <c r="K379" s="168" t="str">
        <f>IF($A379="","",VLOOKUP('Input Sheet'!$D$2 &amp; " " &amp; $A379,Pop[#All],4,FALSE))</f>
        <v/>
      </c>
      <c r="L379" s="167" t="str">
        <f t="shared" si="16"/>
        <v/>
      </c>
      <c r="M379" s="165" t="str">
        <f>IF(A379="Grand Total","",IF(ISNUMBER(#REF!),#REF!*2/SUM(#REF!),""))</f>
        <v/>
      </c>
    </row>
    <row r="380" spans="11:13" x14ac:dyDescent="0.25">
      <c r="K380" s="168" t="str">
        <f>IF($A380="","",VLOOKUP('Input Sheet'!$D$2 &amp; " " &amp; $A380,Pop[#All],4,FALSE))</f>
        <v/>
      </c>
      <c r="L380" s="167" t="str">
        <f t="shared" si="16"/>
        <v/>
      </c>
      <c r="M380" s="165" t="str">
        <f>IF(A380="Grand Total","",IF(ISNUMBER(#REF!),#REF!*2/SUM(#REF!),""))</f>
        <v/>
      </c>
    </row>
    <row r="381" spans="11:13" x14ac:dyDescent="0.25">
      <c r="K381" s="168" t="str">
        <f>IF($A381="","",VLOOKUP('Input Sheet'!$D$2 &amp; " " &amp; $A381,Pop[#All],4,FALSE))</f>
        <v/>
      </c>
      <c r="L381" s="167" t="str">
        <f t="shared" si="16"/>
        <v/>
      </c>
      <c r="M381" s="165" t="str">
        <f>IF(A381="Grand Total","",IF(ISNUMBER(#REF!),#REF!*2/SUM(#REF!),""))</f>
        <v/>
      </c>
    </row>
    <row r="382" spans="11:13" x14ac:dyDescent="0.25">
      <c r="K382" s="168" t="str">
        <f>IF($A382="","",VLOOKUP('Input Sheet'!$D$2 &amp; " " &amp; $A382,Pop[#All],4,FALSE))</f>
        <v/>
      </c>
      <c r="L382" s="167" t="str">
        <f t="shared" si="16"/>
        <v/>
      </c>
      <c r="M382" s="165" t="str">
        <f>IF(A382="Grand Total","",IF(ISNUMBER(#REF!),#REF!*2/SUM(#REF!),""))</f>
        <v/>
      </c>
    </row>
    <row r="383" spans="11:13" x14ac:dyDescent="0.25">
      <c r="K383" s="168" t="str">
        <f>IF($A383="","",VLOOKUP('Input Sheet'!$D$2 &amp; " " &amp; $A383,Pop[#All],4,FALSE))</f>
        <v/>
      </c>
      <c r="L383" s="167" t="str">
        <f t="shared" si="16"/>
        <v/>
      </c>
      <c r="M383" s="165" t="str">
        <f>IF(A383="Grand Total","",IF(ISNUMBER(#REF!),#REF!*2/SUM(#REF!),""))</f>
        <v/>
      </c>
    </row>
    <row r="384" spans="11:13" x14ac:dyDescent="0.25">
      <c r="K384" s="168" t="str">
        <f>IF($A384="","",VLOOKUP('Input Sheet'!$D$2 &amp; " " &amp; $A384,Pop[#All],4,FALSE))</f>
        <v/>
      </c>
      <c r="L384" s="167" t="str">
        <f t="shared" si="16"/>
        <v/>
      </c>
      <c r="M384" s="165" t="str">
        <f>IF(A384="Grand Total","",IF(ISNUMBER(#REF!),#REF!*2/SUM(#REF!),""))</f>
        <v/>
      </c>
    </row>
    <row r="385" spans="11:13" x14ac:dyDescent="0.25">
      <c r="K385" s="168" t="str">
        <f>IF($A385="","",VLOOKUP('Input Sheet'!$D$2 &amp; " " &amp; $A385,Pop[#All],4,FALSE))</f>
        <v/>
      </c>
      <c r="L385" s="167" t="str">
        <f t="shared" si="16"/>
        <v/>
      </c>
      <c r="M385" s="165" t="str">
        <f>IF(A385="Grand Total","",IF(ISNUMBER(#REF!),#REF!*2/SUM(#REF!),""))</f>
        <v/>
      </c>
    </row>
    <row r="386" spans="11:13" x14ac:dyDescent="0.25">
      <c r="K386" s="168" t="str">
        <f>IF($A386="","",VLOOKUP('Input Sheet'!$D$2 &amp; " " &amp; $A386,Pop[#All],4,FALSE))</f>
        <v/>
      </c>
      <c r="L386" s="167" t="str">
        <f t="shared" si="16"/>
        <v/>
      </c>
      <c r="M386" s="165" t="str">
        <f>IF(A386="Grand Total","",IF(ISNUMBER(#REF!),#REF!*2/SUM(#REF!),""))</f>
        <v/>
      </c>
    </row>
    <row r="387" spans="11:13" x14ac:dyDescent="0.25">
      <c r="K387" s="168" t="str">
        <f>IF($A387="","",VLOOKUP('Input Sheet'!$D$2 &amp; " " &amp; $A387,Pop[#All],4,FALSE))</f>
        <v/>
      </c>
      <c r="L387" s="167" t="str">
        <f t="shared" si="16"/>
        <v/>
      </c>
      <c r="M387" s="165" t="str">
        <f>IF(A387="Grand Total","",IF(ISNUMBER(#REF!),#REF!*2/SUM(#REF!),""))</f>
        <v/>
      </c>
    </row>
    <row r="388" spans="11:13" x14ac:dyDescent="0.25">
      <c r="K388" s="168" t="str">
        <f>IF($A388="","",VLOOKUP('Input Sheet'!$D$2 &amp; " " &amp; $A388,Pop[#All],4,FALSE))</f>
        <v/>
      </c>
      <c r="L388" s="167" t="str">
        <f t="shared" si="16"/>
        <v/>
      </c>
      <c r="M388" s="165" t="str">
        <f>IF(A388="Grand Total","",IF(ISNUMBER(#REF!),#REF!*2/SUM(#REF!),""))</f>
        <v/>
      </c>
    </row>
    <row r="389" spans="11:13" x14ac:dyDescent="0.25">
      <c r="K389" s="168" t="str">
        <f>IF($A389="","",VLOOKUP('Input Sheet'!$D$2 &amp; " " &amp; $A389,Pop[#All],4,FALSE))</f>
        <v/>
      </c>
      <c r="L389" s="167" t="str">
        <f t="shared" si="16"/>
        <v/>
      </c>
      <c r="M389" s="165" t="str">
        <f>IF(A389="Grand Total","",IF(ISNUMBER(#REF!),#REF!*2/SUM(#REF!),""))</f>
        <v/>
      </c>
    </row>
    <row r="390" spans="11:13" x14ac:dyDescent="0.25">
      <c r="K390" s="168" t="str">
        <f>IF($A390="","",VLOOKUP('Input Sheet'!$D$2 &amp; " " &amp; $A390,Pop[#All],4,FALSE))</f>
        <v/>
      </c>
      <c r="L390" s="167" t="str">
        <f t="shared" si="16"/>
        <v/>
      </c>
      <c r="M390" s="165" t="str">
        <f>IF(A390="Grand Total","",IF(ISNUMBER(#REF!),#REF!*2/SUM(#REF!),""))</f>
        <v/>
      </c>
    </row>
    <row r="391" spans="11:13" x14ac:dyDescent="0.25">
      <c r="K391" s="168" t="str">
        <f>IF($A391="","",VLOOKUP('Input Sheet'!$D$2 &amp; " " &amp; $A391,Pop[#All],4,FALSE))</f>
        <v/>
      </c>
      <c r="L391" s="167" t="str">
        <f t="shared" si="16"/>
        <v/>
      </c>
      <c r="M391" s="165" t="str">
        <f>IF(A391="Grand Total","",IF(ISNUMBER(#REF!),#REF!*2/SUM(#REF!),""))</f>
        <v/>
      </c>
    </row>
    <row r="392" spans="11:13" x14ac:dyDescent="0.25">
      <c r="K392" s="168" t="str">
        <f>IF($A392="","",VLOOKUP('Input Sheet'!$D$2 &amp; " " &amp; $A392,Pop[#All],4,FALSE))</f>
        <v/>
      </c>
      <c r="L392" s="167" t="str">
        <f t="shared" si="16"/>
        <v/>
      </c>
      <c r="M392" s="165" t="str">
        <f>IF(A392="Grand Total","",IF(ISNUMBER(#REF!),#REF!*2/SUM(#REF!),""))</f>
        <v/>
      </c>
    </row>
    <row r="393" spans="11:13" x14ac:dyDescent="0.25">
      <c r="K393" s="168" t="str">
        <f>IF($A393="","",VLOOKUP('Input Sheet'!$D$2 &amp; " " &amp; $A393,Pop[#All],4,FALSE))</f>
        <v/>
      </c>
      <c r="L393" s="167" t="str">
        <f t="shared" si="16"/>
        <v/>
      </c>
      <c r="M393" s="165" t="str">
        <f>IF(A393="Grand Total","",IF(ISNUMBER(#REF!),#REF!*2/SUM(#REF!),""))</f>
        <v/>
      </c>
    </row>
    <row r="394" spans="11:13" x14ac:dyDescent="0.25">
      <c r="K394" s="168" t="str">
        <f>IF($A394="","",VLOOKUP('Input Sheet'!$D$2 &amp; " " &amp; $A394,Pop[#All],4,FALSE))</f>
        <v/>
      </c>
      <c r="L394" s="167" t="str">
        <f t="shared" si="16"/>
        <v/>
      </c>
      <c r="M394" s="165" t="str">
        <f>IF(A394="Grand Total","",IF(ISNUMBER(#REF!),#REF!*2/SUM(#REF!),""))</f>
        <v/>
      </c>
    </row>
    <row r="395" spans="11:13" x14ac:dyDescent="0.25">
      <c r="K395" s="168" t="str">
        <f>IF($A395="","",VLOOKUP('Input Sheet'!$D$2 &amp; " " &amp; $A395,Pop[#All],4,FALSE))</f>
        <v/>
      </c>
      <c r="L395" s="167" t="str">
        <f t="shared" si="16"/>
        <v/>
      </c>
      <c r="M395" s="165" t="str">
        <f>IF(A395="Grand Total","",IF(ISNUMBER(#REF!),#REF!*2/SUM(#REF!),""))</f>
        <v/>
      </c>
    </row>
    <row r="396" spans="11:13" x14ac:dyDescent="0.25">
      <c r="K396" s="168" t="str">
        <f>IF($A396="","",VLOOKUP('Input Sheet'!$D$2 &amp; " " &amp; $A396,Pop[#All],4,FALSE))</f>
        <v/>
      </c>
      <c r="L396" s="167" t="str">
        <f t="shared" si="16"/>
        <v/>
      </c>
      <c r="M396" s="165" t="str">
        <f>IF(A396="Grand Total","",IF(ISNUMBER(#REF!),#REF!*2/SUM(#REF!),""))</f>
        <v/>
      </c>
    </row>
    <row r="397" spans="11:13" x14ac:dyDescent="0.25">
      <c r="K397" s="168" t="str">
        <f>IF($A397="","",VLOOKUP('Input Sheet'!$D$2 &amp; " " &amp; $A397,Pop[#All],4,FALSE))</f>
        <v/>
      </c>
      <c r="L397" s="167" t="str">
        <f t="shared" si="16"/>
        <v/>
      </c>
      <c r="M397" s="165" t="str">
        <f>IF(A397="Grand Total","",IF(ISNUMBER(#REF!),#REF!*2/SUM(#REF!),""))</f>
        <v/>
      </c>
    </row>
    <row r="398" spans="11:13" x14ac:dyDescent="0.25">
      <c r="K398" s="168" t="str">
        <f>IF($A398="","",VLOOKUP('Input Sheet'!$D$2 &amp; " " &amp; $A398,Pop[#All],4,FALSE))</f>
        <v/>
      </c>
      <c r="L398" s="167" t="str">
        <f t="shared" si="16"/>
        <v/>
      </c>
      <c r="M398" s="165" t="str">
        <f>IF(A398="Grand Total","",IF(ISNUMBER(#REF!),#REF!*2/SUM(#REF!),""))</f>
        <v/>
      </c>
    </row>
    <row r="399" spans="11:13" x14ac:dyDescent="0.25">
      <c r="K399" s="168" t="str">
        <f>IF($A399="","",VLOOKUP('Input Sheet'!$D$2 &amp; " " &amp; $A399,Pop[#All],4,FALSE))</f>
        <v/>
      </c>
      <c r="L399" s="167" t="str">
        <f t="shared" ref="L399:L427" si="17">IFERROR(IF($A399="","",ROUND($J399/$K399,2)),"")</f>
        <v/>
      </c>
      <c r="M399" s="165" t="str">
        <f>IF(A399="Grand Total","",IF(ISNUMBER(#REF!),#REF!*2/SUM(#REF!),""))</f>
        <v/>
      </c>
    </row>
    <row r="400" spans="11:13" x14ac:dyDescent="0.25">
      <c r="K400" s="168" t="str">
        <f>IF($A400="","",VLOOKUP('Input Sheet'!$D$2 &amp; " " &amp; $A400,Pop[#All],4,FALSE))</f>
        <v/>
      </c>
      <c r="L400" s="167" t="str">
        <f t="shared" si="17"/>
        <v/>
      </c>
      <c r="M400" s="165" t="str">
        <f>IF(A400="Grand Total","",IF(ISNUMBER(#REF!),#REF!*2/SUM(#REF!),""))</f>
        <v/>
      </c>
    </row>
    <row r="401" spans="11:13" x14ac:dyDescent="0.25">
      <c r="K401" s="168" t="str">
        <f>IF($A401="","",VLOOKUP('Input Sheet'!$D$2 &amp; " " &amp; $A401,Pop[#All],4,FALSE))</f>
        <v/>
      </c>
      <c r="L401" s="167" t="str">
        <f t="shared" si="17"/>
        <v/>
      </c>
      <c r="M401" s="165" t="str">
        <f>IF(A401="Grand Total","",IF(ISNUMBER(#REF!),#REF!*2/SUM(#REF!),""))</f>
        <v/>
      </c>
    </row>
    <row r="402" spans="11:13" x14ac:dyDescent="0.25">
      <c r="K402" s="168" t="str">
        <f>IF($A402="","",VLOOKUP('Input Sheet'!$D$2 &amp; " " &amp; $A402,Pop[#All],4,FALSE))</f>
        <v/>
      </c>
      <c r="L402" s="167" t="str">
        <f t="shared" si="17"/>
        <v/>
      </c>
      <c r="M402" s="165" t="str">
        <f>IF(A402="Grand Total","",IF(ISNUMBER(#REF!),#REF!*2/SUM(#REF!),""))</f>
        <v/>
      </c>
    </row>
    <row r="403" spans="11:13" x14ac:dyDescent="0.25">
      <c r="K403" s="168" t="str">
        <f>IF($A403="","",VLOOKUP('Input Sheet'!$D$2 &amp; " " &amp; $A403,Pop[#All],4,FALSE))</f>
        <v/>
      </c>
      <c r="L403" s="167" t="str">
        <f t="shared" si="17"/>
        <v/>
      </c>
      <c r="M403" s="165" t="str">
        <f>IF(A403="Grand Total","",IF(ISNUMBER(#REF!),#REF!*2/SUM(#REF!),""))</f>
        <v/>
      </c>
    </row>
    <row r="404" spans="11:13" x14ac:dyDescent="0.25">
      <c r="K404" s="168" t="str">
        <f>IF($A404="","",VLOOKUP('Input Sheet'!$D$2 &amp; " " &amp; $A404,Pop[#All],4,FALSE))</f>
        <v/>
      </c>
      <c r="L404" s="167" t="str">
        <f t="shared" si="17"/>
        <v/>
      </c>
      <c r="M404" s="165" t="str">
        <f>IF(A404="Grand Total","",IF(ISNUMBER(#REF!),#REF!*2/SUM(#REF!),""))</f>
        <v/>
      </c>
    </row>
    <row r="405" spans="11:13" x14ac:dyDescent="0.25">
      <c r="K405" s="168" t="str">
        <f>IF($A405="","",VLOOKUP('Input Sheet'!$D$2 &amp; " " &amp; $A405,Pop[#All],4,FALSE))</f>
        <v/>
      </c>
      <c r="L405" s="167" t="str">
        <f t="shared" si="17"/>
        <v/>
      </c>
      <c r="M405" s="165" t="str">
        <f>IF(A405="Grand Total","",IF(ISNUMBER(#REF!),#REF!*2/SUM(#REF!),""))</f>
        <v/>
      </c>
    </row>
    <row r="406" spans="11:13" x14ac:dyDescent="0.25">
      <c r="K406" s="168" t="str">
        <f>IF($A406="","",VLOOKUP('Input Sheet'!$D$2 &amp; " " &amp; $A406,Pop[#All],4,FALSE))</f>
        <v/>
      </c>
      <c r="L406" s="167" t="str">
        <f t="shared" si="17"/>
        <v/>
      </c>
      <c r="M406" s="165" t="str">
        <f>IF(A406="Grand Total","",IF(ISNUMBER(#REF!),#REF!*2/SUM(#REF!),""))</f>
        <v/>
      </c>
    </row>
    <row r="407" spans="11:13" x14ac:dyDescent="0.25">
      <c r="K407" s="168" t="str">
        <f>IF($A407="","",VLOOKUP('Input Sheet'!$D$2 &amp; " " &amp; $A407,Pop[#All],4,FALSE))</f>
        <v/>
      </c>
      <c r="L407" s="167" t="str">
        <f t="shared" si="17"/>
        <v/>
      </c>
      <c r="M407" s="165" t="str">
        <f>IF(A407="Grand Total","",IF(ISNUMBER(#REF!),#REF!*2/SUM(#REF!),""))</f>
        <v/>
      </c>
    </row>
    <row r="408" spans="11:13" x14ac:dyDescent="0.25">
      <c r="K408" s="168" t="str">
        <f>IF($A408="","",VLOOKUP('Input Sheet'!$D$2 &amp; " " &amp; $A408,Pop[#All],4,FALSE))</f>
        <v/>
      </c>
      <c r="L408" s="167" t="str">
        <f t="shared" si="17"/>
        <v/>
      </c>
      <c r="M408" s="165" t="str">
        <f>IF(A408="Grand Total","",IF(ISNUMBER(#REF!),#REF!*2/SUM(#REF!),""))</f>
        <v/>
      </c>
    </row>
    <row r="409" spans="11:13" x14ac:dyDescent="0.25">
      <c r="K409" s="168" t="str">
        <f>IF($A409="","",VLOOKUP('Input Sheet'!$D$2 &amp; " " &amp; $A409,Pop[#All],4,FALSE))</f>
        <v/>
      </c>
      <c r="L409" s="167" t="str">
        <f t="shared" si="17"/>
        <v/>
      </c>
      <c r="M409" s="165" t="str">
        <f>IF(A409="Grand Total","",IF(ISNUMBER(#REF!),#REF!*2/SUM(#REF!),""))</f>
        <v/>
      </c>
    </row>
    <row r="410" spans="11:13" x14ac:dyDescent="0.25">
      <c r="K410" s="168" t="str">
        <f>IF($A410="","",VLOOKUP('Input Sheet'!$D$2 &amp; " " &amp; $A410,Pop[#All],4,FALSE))</f>
        <v/>
      </c>
      <c r="L410" s="167" t="str">
        <f t="shared" si="17"/>
        <v/>
      </c>
      <c r="M410" s="165" t="str">
        <f>IF(A410="Grand Total","",IF(ISNUMBER(#REF!),#REF!*2/SUM(#REF!),""))</f>
        <v/>
      </c>
    </row>
    <row r="411" spans="11:13" x14ac:dyDescent="0.25">
      <c r="K411" s="168" t="str">
        <f>IF($A411="","",VLOOKUP('Input Sheet'!$D$2 &amp; " " &amp; $A411,Pop[#All],4,FALSE))</f>
        <v/>
      </c>
      <c r="L411" s="167" t="str">
        <f t="shared" si="17"/>
        <v/>
      </c>
      <c r="M411" s="165" t="str">
        <f>IF(A411="Grand Total","",IF(ISNUMBER(#REF!),#REF!*2/SUM(#REF!),""))</f>
        <v/>
      </c>
    </row>
    <row r="412" spans="11:13" x14ac:dyDescent="0.25">
      <c r="K412" s="168" t="str">
        <f>IF($A412="","",VLOOKUP('Input Sheet'!$D$2 &amp; " " &amp; $A412,Pop[#All],4,FALSE))</f>
        <v/>
      </c>
      <c r="L412" s="167" t="str">
        <f t="shared" si="17"/>
        <v/>
      </c>
      <c r="M412" s="165" t="str">
        <f>IF(A412="Grand Total","",IF(ISNUMBER(#REF!),#REF!*2/SUM(#REF!),""))</f>
        <v/>
      </c>
    </row>
    <row r="413" spans="11:13" x14ac:dyDescent="0.25">
      <c r="K413" s="168" t="str">
        <f>IF($A413="","",VLOOKUP('Input Sheet'!$D$2 &amp; " " &amp; $A413,Pop[#All],4,FALSE))</f>
        <v/>
      </c>
      <c r="L413" s="167" t="str">
        <f t="shared" si="17"/>
        <v/>
      </c>
      <c r="M413" s="165" t="str">
        <f>IF(A413="Grand Total","",IF(ISNUMBER(#REF!),#REF!*2/SUM(#REF!),""))</f>
        <v/>
      </c>
    </row>
    <row r="414" spans="11:13" x14ac:dyDescent="0.25">
      <c r="K414" s="168" t="str">
        <f>IF($A414="","",VLOOKUP('Input Sheet'!$D$2 &amp; " " &amp; $A414,Pop[#All],4,FALSE))</f>
        <v/>
      </c>
      <c r="L414" s="167" t="str">
        <f t="shared" si="17"/>
        <v/>
      </c>
      <c r="M414" s="165" t="str">
        <f>IF(A414="Grand Total","",IF(ISNUMBER(#REF!),#REF!*2/SUM(#REF!),""))</f>
        <v/>
      </c>
    </row>
    <row r="415" spans="11:13" x14ac:dyDescent="0.25">
      <c r="K415" s="168" t="str">
        <f>IF($A415="","",VLOOKUP('Input Sheet'!$D$2 &amp; " " &amp; $A415,Pop[#All],4,FALSE))</f>
        <v/>
      </c>
      <c r="L415" s="167" t="str">
        <f t="shared" si="17"/>
        <v/>
      </c>
      <c r="M415" s="165" t="str">
        <f>IF(A415="Grand Total","",IF(ISNUMBER(#REF!),#REF!*2/SUM(#REF!),""))</f>
        <v/>
      </c>
    </row>
    <row r="416" spans="11:13" x14ac:dyDescent="0.25">
      <c r="K416" s="168" t="str">
        <f>IF($A416="","",VLOOKUP('Input Sheet'!$D$2 &amp; " " &amp; $A416,Pop[#All],4,FALSE))</f>
        <v/>
      </c>
      <c r="L416" s="167" t="str">
        <f t="shared" si="17"/>
        <v/>
      </c>
      <c r="M416" s="165" t="str">
        <f>IF(A416="Grand Total","",IF(ISNUMBER(#REF!),#REF!*2/SUM(#REF!),""))</f>
        <v/>
      </c>
    </row>
    <row r="417" spans="11:13" x14ac:dyDescent="0.25">
      <c r="K417" s="168" t="str">
        <f>IF($A417="","",VLOOKUP('Input Sheet'!$D$2 &amp; " " &amp; $A417,Pop[#All],4,FALSE))</f>
        <v/>
      </c>
      <c r="L417" s="167" t="str">
        <f t="shared" si="17"/>
        <v/>
      </c>
      <c r="M417" s="165" t="str">
        <f>IF(A417="Grand Total","",IF(ISNUMBER(#REF!),#REF!*2/SUM(#REF!),""))</f>
        <v/>
      </c>
    </row>
    <row r="418" spans="11:13" x14ac:dyDescent="0.25">
      <c r="K418" s="168" t="str">
        <f>IF($A418="","",VLOOKUP('Input Sheet'!$D$2 &amp; " " &amp; $A418,Pop[#All],4,FALSE))</f>
        <v/>
      </c>
      <c r="L418" s="167" t="str">
        <f t="shared" si="17"/>
        <v/>
      </c>
      <c r="M418" s="165" t="str">
        <f>IF(A418="Grand Total","",IF(ISNUMBER(#REF!),#REF!*2/SUM(#REF!),""))</f>
        <v/>
      </c>
    </row>
    <row r="419" spans="11:13" x14ac:dyDescent="0.25">
      <c r="K419" s="168" t="str">
        <f>IF($A419="","",VLOOKUP('Input Sheet'!$D$2 &amp; " " &amp; $A419,Pop[#All],4,FALSE))</f>
        <v/>
      </c>
      <c r="L419" s="167" t="str">
        <f t="shared" si="17"/>
        <v/>
      </c>
      <c r="M419" s="165" t="str">
        <f>IF(A419="Grand Total","",IF(ISNUMBER(#REF!),#REF!*2/SUM(#REF!),""))</f>
        <v/>
      </c>
    </row>
    <row r="420" spans="11:13" x14ac:dyDescent="0.25">
      <c r="K420" s="168" t="str">
        <f>IF($A420="","",VLOOKUP('Input Sheet'!$D$2 &amp; " " &amp; $A420,Pop[#All],4,FALSE))</f>
        <v/>
      </c>
      <c r="L420" s="167" t="str">
        <f t="shared" si="17"/>
        <v/>
      </c>
      <c r="M420" s="165" t="str">
        <f>IF(A420="Grand Total","",IF(ISNUMBER(#REF!),#REF!*2/SUM(#REF!),""))</f>
        <v/>
      </c>
    </row>
    <row r="421" spans="11:13" x14ac:dyDescent="0.25">
      <c r="K421" s="168" t="str">
        <f>IF($A421="","",VLOOKUP('Input Sheet'!$D$2 &amp; " " &amp; $A421,Pop[#All],4,FALSE))</f>
        <v/>
      </c>
      <c r="L421" s="167" t="str">
        <f t="shared" si="17"/>
        <v/>
      </c>
      <c r="M421" s="165" t="str">
        <f>IF(A421="Grand Total","",IF(ISNUMBER(#REF!),#REF!*2/SUM(#REF!),""))</f>
        <v/>
      </c>
    </row>
    <row r="422" spans="11:13" x14ac:dyDescent="0.25">
      <c r="K422" s="168" t="str">
        <f>IF($A422="","",VLOOKUP('Input Sheet'!$D$2 &amp; " " &amp; $A422,Pop[#All],4,FALSE))</f>
        <v/>
      </c>
      <c r="L422" s="167" t="str">
        <f t="shared" si="17"/>
        <v/>
      </c>
      <c r="M422" s="165" t="str">
        <f>IF(A422="Grand Total","",IF(ISNUMBER(#REF!),#REF!*2/SUM(#REF!),""))</f>
        <v/>
      </c>
    </row>
    <row r="423" spans="11:13" x14ac:dyDescent="0.25">
      <c r="K423" s="168" t="str">
        <f>IF($A423="","",VLOOKUP('Input Sheet'!$D$2 &amp; " " &amp; $A423,Pop[#All],4,FALSE))</f>
        <v/>
      </c>
      <c r="L423" s="167" t="str">
        <f t="shared" si="17"/>
        <v/>
      </c>
      <c r="M423" s="165" t="str">
        <f>IF(A423="Grand Total","",IF(ISNUMBER(#REF!),#REF!*2/SUM(#REF!),""))</f>
        <v/>
      </c>
    </row>
    <row r="424" spans="11:13" x14ac:dyDescent="0.25">
      <c r="K424" s="168" t="str">
        <f>IF($A424="","",VLOOKUP('Input Sheet'!$D$2 &amp; " " &amp; $A424,Pop[#All],4,FALSE))</f>
        <v/>
      </c>
      <c r="L424" s="167" t="str">
        <f t="shared" si="17"/>
        <v/>
      </c>
      <c r="M424" s="165" t="str">
        <f>IF(A424="Grand Total","",IF(ISNUMBER(#REF!),#REF!*2/SUM(#REF!),""))</f>
        <v/>
      </c>
    </row>
    <row r="425" spans="11:13" x14ac:dyDescent="0.25">
      <c r="K425" s="168" t="str">
        <f>IF($A425="","",VLOOKUP('Input Sheet'!$D$2 &amp; " " &amp; $A425,Pop[#All],4,FALSE))</f>
        <v/>
      </c>
      <c r="L425" s="167" t="str">
        <f t="shared" si="17"/>
        <v/>
      </c>
      <c r="M425" s="165" t="str">
        <f>IF(A425="Grand Total","",IF(ISNUMBER(#REF!),#REF!*2/SUM(#REF!),""))</f>
        <v/>
      </c>
    </row>
    <row r="426" spans="11:13" x14ac:dyDescent="0.25">
      <c r="K426" s="168" t="str">
        <f>IF($A426="","",VLOOKUP('Input Sheet'!$D$2 &amp; " " &amp; $A426,Pop[#All],4,FALSE))</f>
        <v/>
      </c>
      <c r="L426" s="167" t="str">
        <f t="shared" si="17"/>
        <v/>
      </c>
      <c r="M426" s="165" t="str">
        <f>IF(A426="Grand Total","",IF(ISNUMBER(#REF!),#REF!*2/SUM(#REF!),""))</f>
        <v/>
      </c>
    </row>
    <row r="427" spans="11:13" x14ac:dyDescent="0.25">
      <c r="K427" s="168" t="str">
        <f>IF($A427="","",VLOOKUP('Input Sheet'!$D$2 &amp; " " &amp; $A427,Pop[#All],4,FALSE))</f>
        <v/>
      </c>
      <c r="L427" s="167" t="str">
        <f t="shared" si="17"/>
        <v/>
      </c>
      <c r="M427" s="165" t="str">
        <f>IF(A427="Grand Total","",IF(ISNUMBER(#REF!),#REF!*2/SUM(#REF!),""))</f>
        <v/>
      </c>
    </row>
    <row r="428" spans="11:13" x14ac:dyDescent="0.25">
      <c r="K428" s="168" t="str">
        <f>IF($A428="","",VLOOKUP('Input Sheet'!$D$2 &amp; " " &amp; $A428,Pop[#All],4,FALSE))</f>
        <v/>
      </c>
      <c r="L428" s="167" t="str">
        <f>IFERROR(IF($A428="","",$J428/$K428),"")</f>
        <v/>
      </c>
      <c r="M428" s="165" t="str">
        <f>IF(A428="Grand Total","",IF(ISNUMBER(#REF!),#REF!*2/SUM(#REF!),""))</f>
        <v/>
      </c>
    </row>
  </sheetData>
  <sheetProtection selectLockedCells="1" autoFilter="0" pivotTables="0" selectUnlockedCells="1"/>
  <mergeCells count="8">
    <mergeCell ref="A18:A19"/>
    <mergeCell ref="A15:A16"/>
    <mergeCell ref="A1:M1"/>
    <mergeCell ref="A2:M2"/>
    <mergeCell ref="A4:B4"/>
    <mergeCell ref="A6:A7"/>
    <mergeCell ref="A9:A10"/>
    <mergeCell ref="A12:A13"/>
  </mergeCells>
  <conditionalFormatting sqref="A22:M113">
    <cfRule type="expression" dxfId="44" priority="19">
      <formula>$M22="Met Intermediate PCI Target"</formula>
    </cfRule>
    <cfRule type="expression" dxfId="43" priority="20">
      <formula>$M22="Didn't Meet PCI Target"</formula>
    </cfRule>
    <cfRule type="expression" dxfId="42" priority="21">
      <formula>$M22="Met PCI Target"</formula>
    </cfRule>
  </conditionalFormatting>
  <conditionalFormatting sqref="C7:I7">
    <cfRule type="colorScale" priority="14">
      <colorScale>
        <cfvo type="min"/>
        <cfvo type="max"/>
        <color theme="0" tint="-4.9989318521683403E-2"/>
        <color theme="0" tint="-0.34998626667073579"/>
      </colorScale>
    </cfRule>
    <cfRule type="colorScale" priority="18">
      <colorScale>
        <cfvo type="min"/>
        <cfvo type="max"/>
        <color rgb="FFFCFCFF"/>
        <color rgb="FF63BE7B"/>
      </colorScale>
    </cfRule>
  </conditionalFormatting>
  <conditionalFormatting sqref="C13:I13">
    <cfRule type="colorScale" priority="16">
      <colorScale>
        <cfvo type="min"/>
        <cfvo type="max"/>
        <color rgb="FFF5F8FA"/>
        <color rgb="FF7AA5C1"/>
      </colorScale>
    </cfRule>
  </conditionalFormatting>
  <conditionalFormatting sqref="C16:I16">
    <cfRule type="colorScale" priority="13">
      <colorScale>
        <cfvo type="min"/>
        <cfvo type="max"/>
        <color rgb="FFF5F8FA"/>
        <color rgb="FF7AA5C1"/>
      </colorScale>
    </cfRule>
  </conditionalFormatting>
  <conditionalFormatting sqref="C19:I19">
    <cfRule type="colorScale" priority="10">
      <colorScale>
        <cfvo type="min"/>
        <cfvo type="max"/>
        <color rgb="FFF9FBF7"/>
        <color rgb="FF85B063"/>
      </colorScale>
    </cfRule>
  </conditionalFormatting>
  <conditionalFormatting sqref="M12">
    <cfRule type="cellIs" dxfId="41" priority="6" operator="greaterThan">
      <formula>0.75</formula>
    </cfRule>
    <cfRule type="cellIs" dxfId="40" priority="7" operator="equal">
      <formula>0.75</formula>
    </cfRule>
    <cfRule type="cellIs" dxfId="39" priority="8" operator="lessThan">
      <formula>0.75</formula>
    </cfRule>
  </conditionalFormatting>
  <conditionalFormatting sqref="M18">
    <cfRule type="cellIs" dxfId="38" priority="1" operator="greaterThan">
      <formula>1</formula>
    </cfRule>
    <cfRule type="cellIs" dxfId="37" priority="2" operator="equal">
      <formula>1</formula>
    </cfRule>
    <cfRule type="cellIs" dxfId="36" priority="3" operator="greaterThan">
      <formula>0.75</formula>
    </cfRule>
    <cfRule type="cellIs" dxfId="35" priority="4" operator="equal">
      <formula>0.75</formula>
    </cfRule>
    <cfRule type="cellIs" dxfId="34" priority="5" operator="lessThan">
      <formula>0.75</formula>
    </cfRule>
  </conditionalFormatting>
  <printOptions horizontalCentered="1"/>
  <pageMargins left="0.25" right="0.25" top="0.5" bottom="0.6" header="0.3" footer="0.3"/>
  <pageSetup scale="58" fitToHeight="0" orientation="landscape" r:id="rId1"/>
  <headerFooter>
    <oddFooter>&amp;LPrint Date: &amp;D &amp;T&amp;C&amp;G&amp;R&amp;P of &amp;N</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J149"/>
  <sheetViews>
    <sheetView showZeros="0" workbookViewId="0">
      <pane xSplit="2" ySplit="4" topLeftCell="C5" activePane="bottomRight" state="frozen"/>
      <selection pane="topRight" activeCell="C1" sqref="C1"/>
      <selection pane="bottomLeft" activeCell="A5" sqref="A5"/>
      <selection pane="bottomRight" activeCell="D3" sqref="D3"/>
    </sheetView>
  </sheetViews>
  <sheetFormatPr defaultColWidth="9.140625" defaultRowHeight="15" x14ac:dyDescent="0.25"/>
  <cols>
    <col min="1" max="1" width="42" style="7" bestFit="1" customWidth="1"/>
    <col min="2" max="2" width="15.28515625" style="8" customWidth="1"/>
    <col min="3" max="3" width="14.140625" style="8" customWidth="1"/>
    <col min="4" max="4" width="14.28515625" style="9" customWidth="1"/>
    <col min="5" max="5" width="15.7109375" style="9" customWidth="1"/>
    <col min="6" max="6" width="15.85546875" style="9" customWidth="1"/>
    <col min="7" max="7" width="14.28515625" style="9" customWidth="1"/>
    <col min="8" max="8" width="15.28515625" style="9" customWidth="1"/>
    <col min="9" max="9" width="17.5703125" style="9" bestFit="1" customWidth="1"/>
    <col min="10" max="10" width="14.28515625" style="9" customWidth="1"/>
    <col min="11" max="16384" width="9.140625" style="7"/>
  </cols>
  <sheetData>
    <row r="1" spans="1:10" s="14" customFormat="1" x14ac:dyDescent="0.25">
      <c r="A1" s="207" t="s">
        <v>352</v>
      </c>
      <c r="B1" s="208" cm="1">
        <f t="array" ref="B1">SUMPRODUCT((Input[County]&lt;&gt;"")/COUNTIF(Input[County],Input[County]&amp;""))</f>
        <v>0</v>
      </c>
      <c r="C1" s="229" t="s">
        <v>61</v>
      </c>
      <c r="D1" s="4" t="s">
        <v>360</v>
      </c>
      <c r="E1" s="205" t="s">
        <v>58</v>
      </c>
      <c r="F1" s="93"/>
      <c r="G1" s="10" t="s">
        <v>59</v>
      </c>
      <c r="H1" s="5"/>
      <c r="I1" s="11" t="s">
        <v>60</v>
      </c>
      <c r="J1" s="202">
        <v>1.94</v>
      </c>
    </row>
    <row r="2" spans="1:10" s="14" customFormat="1" ht="15.75" thickBot="1" x14ac:dyDescent="0.3">
      <c r="A2" s="209" t="s">
        <v>353</v>
      </c>
      <c r="B2" s="210"/>
      <c r="C2" s="230" t="s">
        <v>355</v>
      </c>
      <c r="D2" s="231">
        <v>6785528</v>
      </c>
      <c r="E2" s="206" t="s">
        <v>62</v>
      </c>
      <c r="F2" s="6"/>
      <c r="G2" s="12" t="s">
        <v>63</v>
      </c>
      <c r="H2" s="6"/>
      <c r="I2" s="13" t="s">
        <v>64</v>
      </c>
      <c r="J2" s="203">
        <v>4.8600000000000003</v>
      </c>
    </row>
    <row r="3" spans="1:10" s="14" customFormat="1" ht="15" customHeight="1" x14ac:dyDescent="0.25">
      <c r="A3" s="160"/>
      <c r="B3" s="161"/>
      <c r="C3" s="15"/>
      <c r="D3" s="16"/>
      <c r="E3" s="16"/>
      <c r="F3" s="16"/>
      <c r="G3" s="16"/>
      <c r="H3" s="16"/>
      <c r="I3" s="16"/>
      <c r="J3" s="16"/>
    </row>
    <row r="4" spans="1:10" s="14" customFormat="1" ht="15" customHeight="1" x14ac:dyDescent="0.25">
      <c r="A4" s="17" t="s">
        <v>12</v>
      </c>
      <c r="B4" s="18" t="s">
        <v>11</v>
      </c>
      <c r="C4" s="18" t="s">
        <v>65</v>
      </c>
      <c r="D4" s="28" t="s">
        <v>66</v>
      </c>
      <c r="E4" s="28" t="s">
        <v>67</v>
      </c>
      <c r="F4" s="29" t="s">
        <v>68</v>
      </c>
      <c r="G4" s="29" t="s">
        <v>69</v>
      </c>
      <c r="H4" s="29" t="s">
        <v>70</v>
      </c>
      <c r="I4" s="29" t="s">
        <v>71</v>
      </c>
      <c r="J4" s="29" t="s">
        <v>72</v>
      </c>
    </row>
    <row r="5" spans="1:10" x14ac:dyDescent="0.25">
      <c r="A5" s="101"/>
      <c r="B5" s="25"/>
      <c r="C5" s="22"/>
      <c r="D5" s="26"/>
      <c r="E5" s="26"/>
      <c r="F5" s="26"/>
      <c r="G5" s="26"/>
      <c r="H5" s="26"/>
      <c r="I5" s="26"/>
      <c r="J5" s="26"/>
    </row>
    <row r="6" spans="1:10" x14ac:dyDescent="0.25">
      <c r="A6" s="194" t="s">
        <v>7</v>
      </c>
      <c r="B6" s="194"/>
      <c r="C6" s="194"/>
      <c r="D6" s="196">
        <f>SUBTOTAL(109,Input[A])</f>
        <v>0</v>
      </c>
      <c r="E6" s="196">
        <f>SUBTOTAL(109,Input[B])</f>
        <v>0</v>
      </c>
      <c r="F6" s="196">
        <f>SUBTOTAL(109,Input[C])</f>
        <v>0</v>
      </c>
      <c r="G6" s="196">
        <f>SUBTOTAL(109,Input[D])</f>
        <v>0</v>
      </c>
      <c r="H6" s="196">
        <f>SUBTOTAL(109,Input[E])</f>
        <v>0</v>
      </c>
      <c r="I6" s="196">
        <f>SUBTOTAL(109,Input[F])</f>
        <v>0</v>
      </c>
      <c r="J6" s="196">
        <f>SUBTOTAL(109,Input[G])</f>
        <v>0</v>
      </c>
    </row>
    <row r="7" spans="1:10" x14ac:dyDescent="0.25">
      <c r="A7" s="101"/>
      <c r="B7" s="25"/>
      <c r="C7" s="22"/>
      <c r="D7" s="26"/>
      <c r="E7" s="26"/>
      <c r="F7" s="26"/>
      <c r="G7" s="26"/>
      <c r="H7" s="26"/>
      <c r="I7" s="26"/>
      <c r="J7" s="26"/>
    </row>
    <row r="8" spans="1:10" x14ac:dyDescent="0.25">
      <c r="A8" s="24"/>
      <c r="B8" s="25"/>
      <c r="C8" s="22"/>
      <c r="D8" s="26"/>
      <c r="E8" s="26"/>
      <c r="F8" s="26"/>
      <c r="G8" s="26"/>
      <c r="H8" s="26"/>
      <c r="I8" s="26"/>
      <c r="J8" s="26"/>
    </row>
    <row r="9" spans="1:10" x14ac:dyDescent="0.25">
      <c r="A9" s="38"/>
      <c r="B9" s="25"/>
      <c r="C9" s="22"/>
      <c r="D9" s="26"/>
      <c r="E9" s="26"/>
      <c r="F9" s="26"/>
      <c r="G9" s="26"/>
      <c r="H9" s="26"/>
      <c r="I9" s="26"/>
      <c r="J9" s="26"/>
    </row>
    <row r="10" spans="1:10" x14ac:dyDescent="0.25">
      <c r="A10" s="24"/>
      <c r="B10" s="25"/>
      <c r="C10" s="22"/>
      <c r="D10" s="26"/>
      <c r="E10" s="26"/>
      <c r="F10" s="26"/>
      <c r="G10" s="26"/>
      <c r="H10" s="26"/>
      <c r="I10" s="26"/>
      <c r="J10" s="26"/>
    </row>
    <row r="11" spans="1:10" x14ac:dyDescent="0.25">
      <c r="A11" s="24"/>
      <c r="B11" s="25"/>
      <c r="C11" s="22"/>
      <c r="D11" s="26"/>
      <c r="E11" s="26"/>
      <c r="F11" s="26"/>
      <c r="G11" s="26"/>
      <c r="H11" s="26"/>
      <c r="I11" s="26"/>
      <c r="J11" s="26"/>
    </row>
    <row r="12" spans="1:10" x14ac:dyDescent="0.25">
      <c r="A12" s="24"/>
      <c r="B12" s="25"/>
      <c r="C12" s="22"/>
      <c r="D12" s="26"/>
      <c r="E12" s="26"/>
      <c r="F12" s="26"/>
      <c r="G12" s="26"/>
      <c r="H12" s="26"/>
      <c r="I12" s="26"/>
      <c r="J12" s="26"/>
    </row>
    <row r="13" spans="1:10" x14ac:dyDescent="0.25">
      <c r="A13" s="38"/>
      <c r="B13" s="25"/>
      <c r="C13" s="22"/>
      <c r="D13" s="119"/>
      <c r="E13" s="121"/>
      <c r="F13" s="120"/>
      <c r="G13" s="121"/>
      <c r="H13" s="119"/>
      <c r="I13" s="119"/>
      <c r="J13" s="119"/>
    </row>
    <row r="14" spans="1:10" x14ac:dyDescent="0.25">
      <c r="A14" s="24"/>
      <c r="B14" s="25"/>
      <c r="C14" s="22"/>
      <c r="D14" s="26"/>
      <c r="E14" s="26"/>
      <c r="F14" s="26"/>
      <c r="G14" s="26"/>
      <c r="H14" s="26"/>
      <c r="I14" s="26"/>
      <c r="J14" s="26"/>
    </row>
    <row r="15" spans="1:10" x14ac:dyDescent="0.25">
      <c r="A15" s="24"/>
      <c r="B15" s="25"/>
      <c r="C15" s="22"/>
      <c r="D15" s="26"/>
      <c r="E15" s="26"/>
      <c r="F15" s="26"/>
      <c r="G15" s="26"/>
      <c r="H15" s="26"/>
      <c r="I15" s="26"/>
      <c r="J15" s="26"/>
    </row>
    <row r="16" spans="1:10" x14ac:dyDescent="0.25">
      <c r="A16" s="24"/>
      <c r="B16" s="25"/>
      <c r="C16" s="22"/>
      <c r="D16" s="26"/>
      <c r="E16" s="26"/>
      <c r="F16" s="26"/>
      <c r="G16" s="26"/>
      <c r="H16" s="26"/>
      <c r="I16" s="26"/>
      <c r="J16" s="26"/>
    </row>
    <row r="17" spans="1:10" x14ac:dyDescent="0.25">
      <c r="A17" s="24"/>
      <c r="B17" s="25"/>
      <c r="C17" s="22"/>
      <c r="D17" s="26"/>
      <c r="E17" s="26"/>
      <c r="F17" s="26"/>
      <c r="G17" s="26"/>
      <c r="H17" s="26"/>
      <c r="I17" s="26"/>
      <c r="J17" s="26"/>
    </row>
    <row r="18" spans="1:10" x14ac:dyDescent="0.25">
      <c r="A18" s="24"/>
      <c r="B18" s="25"/>
      <c r="C18" s="22"/>
      <c r="D18" s="26"/>
      <c r="E18" s="26"/>
      <c r="F18" s="26"/>
      <c r="G18" s="26"/>
      <c r="H18" s="26"/>
      <c r="I18" s="26"/>
      <c r="J18" s="26"/>
    </row>
    <row r="19" spans="1:10" x14ac:dyDescent="0.25">
      <c r="A19" s="24"/>
      <c r="B19" s="25"/>
      <c r="C19" s="22"/>
      <c r="D19" s="26"/>
      <c r="E19" s="26"/>
      <c r="F19" s="26"/>
      <c r="G19" s="26"/>
      <c r="H19" s="26"/>
      <c r="I19" s="26"/>
      <c r="J19" s="26"/>
    </row>
    <row r="20" spans="1:10" x14ac:dyDescent="0.25">
      <c r="A20" s="24"/>
      <c r="B20" s="25"/>
      <c r="C20" s="22"/>
      <c r="D20" s="26"/>
      <c r="E20" s="26"/>
      <c r="F20" s="26"/>
      <c r="G20" s="26"/>
      <c r="H20" s="26"/>
      <c r="I20" s="26"/>
      <c r="J20" s="26"/>
    </row>
    <row r="21" spans="1:10" x14ac:dyDescent="0.25">
      <c r="A21" s="24"/>
      <c r="B21" s="25"/>
      <c r="C21" s="22"/>
      <c r="D21" s="26"/>
      <c r="E21" s="26"/>
      <c r="F21" s="26"/>
      <c r="G21" s="26"/>
      <c r="H21" s="26"/>
      <c r="I21" s="26"/>
      <c r="J21" s="26"/>
    </row>
    <row r="22" spans="1:10" x14ac:dyDescent="0.25">
      <c r="A22" s="24"/>
      <c r="B22" s="25"/>
      <c r="C22" s="22"/>
      <c r="D22" s="26"/>
      <c r="E22" s="26"/>
      <c r="F22" s="26"/>
      <c r="G22" s="26"/>
      <c r="H22" s="26"/>
      <c r="I22" s="26"/>
      <c r="J22" s="26"/>
    </row>
    <row r="23" spans="1:10" x14ac:dyDescent="0.25">
      <c r="A23" s="24"/>
      <c r="B23" s="25"/>
      <c r="C23" s="22"/>
      <c r="D23" s="26"/>
      <c r="E23" s="26"/>
      <c r="F23" s="26"/>
      <c r="G23" s="26"/>
      <c r="H23" s="26"/>
      <c r="I23" s="26"/>
      <c r="J23" s="26"/>
    </row>
    <row r="24" spans="1:10" x14ac:dyDescent="0.25">
      <c r="A24" s="24"/>
      <c r="B24" s="25"/>
      <c r="C24" s="22"/>
      <c r="D24" s="26"/>
      <c r="E24" s="26"/>
      <c r="F24" s="26"/>
      <c r="G24" s="26"/>
      <c r="H24" s="26"/>
      <c r="I24" s="26"/>
      <c r="J24" s="26"/>
    </row>
    <row r="25" spans="1:10" x14ac:dyDescent="0.25">
      <c r="A25" s="24"/>
      <c r="B25" s="25"/>
      <c r="C25" s="25"/>
      <c r="D25" s="26"/>
      <c r="E25" s="26"/>
      <c r="F25" s="26"/>
      <c r="G25" s="26"/>
      <c r="H25" s="26"/>
      <c r="I25" s="26"/>
      <c r="J25" s="26"/>
    </row>
    <row r="26" spans="1:10" x14ac:dyDescent="0.25">
      <c r="A26" s="24"/>
      <c r="B26" s="25"/>
      <c r="C26" s="25"/>
      <c r="D26" s="26"/>
      <c r="E26" s="26"/>
      <c r="F26" s="26"/>
      <c r="G26" s="26"/>
      <c r="H26" s="26"/>
      <c r="I26" s="26"/>
      <c r="J26" s="26"/>
    </row>
    <row r="27" spans="1:10" x14ac:dyDescent="0.25">
      <c r="A27" s="24"/>
      <c r="B27" s="25"/>
      <c r="C27" s="25"/>
      <c r="D27" s="26"/>
      <c r="E27" s="26"/>
      <c r="F27" s="26"/>
      <c r="G27" s="26"/>
      <c r="H27" s="26"/>
      <c r="I27" s="26"/>
      <c r="J27" s="26"/>
    </row>
    <row r="28" spans="1:10" x14ac:dyDescent="0.25">
      <c r="A28" s="24"/>
      <c r="B28" s="25"/>
      <c r="C28" s="25"/>
      <c r="D28" s="26"/>
      <c r="E28" s="26"/>
      <c r="F28" s="26"/>
      <c r="G28" s="26"/>
      <c r="H28" s="26"/>
      <c r="I28" s="26"/>
      <c r="J28" s="26"/>
    </row>
    <row r="29" spans="1:10" x14ac:dyDescent="0.25">
      <c r="A29" s="24"/>
      <c r="B29" s="25"/>
      <c r="C29" s="25"/>
      <c r="D29" s="26"/>
      <c r="E29" s="26"/>
      <c r="F29" s="26"/>
      <c r="G29" s="26"/>
      <c r="H29" s="26"/>
      <c r="I29" s="26"/>
      <c r="J29" s="26"/>
    </row>
    <row r="30" spans="1:10" x14ac:dyDescent="0.25">
      <c r="A30" s="24"/>
      <c r="B30" s="25"/>
      <c r="C30" s="25"/>
      <c r="D30" s="26"/>
      <c r="E30" s="26"/>
      <c r="F30" s="26"/>
      <c r="G30" s="26"/>
      <c r="H30" s="26"/>
      <c r="I30" s="26"/>
      <c r="J30" s="26"/>
    </row>
    <row r="31" spans="1:10" x14ac:dyDescent="0.25">
      <c r="A31" s="24"/>
      <c r="B31" s="25"/>
      <c r="C31" s="22"/>
      <c r="D31" s="26"/>
      <c r="E31" s="26"/>
      <c r="F31" s="26"/>
      <c r="G31" s="26"/>
      <c r="H31" s="26"/>
      <c r="I31" s="26"/>
      <c r="J31" s="26"/>
    </row>
    <row r="32" spans="1:10" x14ac:dyDescent="0.25">
      <c r="A32" s="24"/>
      <c r="B32" s="25"/>
      <c r="C32" s="22"/>
      <c r="D32" s="26"/>
      <c r="E32" s="26"/>
      <c r="F32" s="26"/>
      <c r="G32" s="26"/>
      <c r="H32" s="26"/>
      <c r="I32" s="26"/>
      <c r="J32" s="26"/>
    </row>
    <row r="33" spans="1:10" x14ac:dyDescent="0.25">
      <c r="A33" s="24"/>
      <c r="B33" s="25"/>
      <c r="C33" s="22"/>
      <c r="D33" s="26"/>
      <c r="E33" s="26"/>
      <c r="F33" s="26"/>
      <c r="G33" s="26"/>
      <c r="H33" s="26"/>
      <c r="I33" s="26"/>
      <c r="J33" s="26"/>
    </row>
    <row r="34" spans="1:10" x14ac:dyDescent="0.25">
      <c r="A34" s="24"/>
      <c r="B34" s="25"/>
      <c r="C34" s="22"/>
      <c r="D34" s="26"/>
      <c r="E34" s="26"/>
      <c r="F34" s="26"/>
      <c r="G34" s="26"/>
      <c r="H34" s="26"/>
      <c r="I34" s="26"/>
      <c r="J34" s="26"/>
    </row>
    <row r="35" spans="1:10" x14ac:dyDescent="0.25">
      <c r="A35" s="24"/>
      <c r="B35" s="25"/>
      <c r="C35" s="22"/>
      <c r="D35" s="26"/>
      <c r="E35" s="26"/>
      <c r="F35" s="26"/>
      <c r="G35" s="26"/>
      <c r="H35" s="26"/>
      <c r="I35" s="26"/>
      <c r="J35" s="26"/>
    </row>
    <row r="36" spans="1:10" x14ac:dyDescent="0.25">
      <c r="A36" s="24"/>
      <c r="B36" s="25"/>
      <c r="C36" s="22"/>
      <c r="D36" s="26"/>
      <c r="E36" s="26"/>
      <c r="F36" s="26"/>
      <c r="G36" s="26"/>
      <c r="H36" s="26"/>
      <c r="I36" s="26"/>
      <c r="J36" s="26"/>
    </row>
    <row r="37" spans="1:10" x14ac:dyDescent="0.25">
      <c r="A37" s="24"/>
      <c r="B37" s="25"/>
      <c r="C37" s="22"/>
      <c r="D37" s="26"/>
      <c r="E37" s="26"/>
      <c r="F37" s="26"/>
      <c r="G37" s="26"/>
      <c r="H37" s="26"/>
      <c r="I37" s="26"/>
      <c r="J37" s="26"/>
    </row>
    <row r="38" spans="1:10" x14ac:dyDescent="0.25">
      <c r="A38" s="23"/>
      <c r="B38" s="25"/>
      <c r="C38" s="22"/>
      <c r="D38" s="26"/>
      <c r="E38" s="26"/>
      <c r="F38" s="26"/>
      <c r="G38" s="26"/>
      <c r="H38" s="26"/>
      <c r="I38" s="26"/>
      <c r="J38" s="26"/>
    </row>
    <row r="39" spans="1:10" x14ac:dyDescent="0.25">
      <c r="A39" s="38"/>
      <c r="B39" s="25"/>
      <c r="C39" s="22"/>
      <c r="D39" s="27"/>
      <c r="E39" s="27"/>
      <c r="F39" s="27"/>
      <c r="G39" s="27"/>
      <c r="H39" s="27"/>
      <c r="I39" s="27"/>
      <c r="J39" s="27"/>
    </row>
    <row r="40" spans="1:10" x14ac:dyDescent="0.25">
      <c r="A40" s="24"/>
      <c r="B40" s="25"/>
      <c r="C40" s="22"/>
      <c r="D40" s="26"/>
      <c r="E40" s="26"/>
      <c r="F40" s="26"/>
      <c r="G40" s="26"/>
      <c r="H40" s="26"/>
      <c r="I40" s="26"/>
      <c r="J40" s="26"/>
    </row>
    <row r="41" spans="1:10" x14ac:dyDescent="0.25">
      <c r="A41" s="24"/>
      <c r="B41" s="25"/>
      <c r="C41" s="22"/>
      <c r="D41" s="26"/>
      <c r="E41" s="26"/>
      <c r="F41" s="26"/>
      <c r="G41" s="26"/>
      <c r="H41" s="26"/>
      <c r="I41" s="26"/>
      <c r="J41" s="26"/>
    </row>
    <row r="42" spans="1:10" x14ac:dyDescent="0.25">
      <c r="A42" s="23"/>
      <c r="B42" s="25"/>
      <c r="C42" s="22"/>
      <c r="D42" s="26"/>
      <c r="E42" s="26"/>
      <c r="F42" s="26"/>
      <c r="G42" s="26"/>
      <c r="H42" s="26"/>
      <c r="I42" s="26"/>
      <c r="J42" s="26"/>
    </row>
    <row r="43" spans="1:10" x14ac:dyDescent="0.25">
      <c r="A43" s="24"/>
      <c r="B43" s="25"/>
      <c r="C43" s="25"/>
      <c r="D43" s="26"/>
      <c r="E43" s="26"/>
      <c r="F43" s="26"/>
      <c r="G43" s="26"/>
      <c r="H43" s="26"/>
      <c r="I43" s="26"/>
      <c r="J43" s="26"/>
    </row>
    <row r="44" spans="1:10" x14ac:dyDescent="0.25">
      <c r="A44" s="24"/>
      <c r="B44" s="25"/>
      <c r="C44" s="25"/>
      <c r="D44" s="26"/>
      <c r="E44" s="26"/>
      <c r="F44" s="26"/>
      <c r="G44" s="26"/>
      <c r="H44" s="26"/>
      <c r="I44" s="26"/>
      <c r="J44" s="26"/>
    </row>
    <row r="45" spans="1:10" x14ac:dyDescent="0.25">
      <c r="A45" s="24"/>
      <c r="B45" s="25"/>
      <c r="C45" s="25"/>
      <c r="D45" s="26"/>
      <c r="E45" s="26"/>
      <c r="F45" s="26"/>
      <c r="G45" s="26"/>
      <c r="H45" s="26"/>
      <c r="I45" s="26"/>
      <c r="J45" s="26"/>
    </row>
    <row r="46" spans="1:10" x14ac:dyDescent="0.25">
      <c r="A46" s="24"/>
      <c r="B46" s="25"/>
      <c r="C46" s="25"/>
      <c r="D46" s="26"/>
      <c r="E46" s="26"/>
      <c r="F46" s="26"/>
      <c r="G46" s="26"/>
      <c r="H46" s="26"/>
      <c r="I46" s="26"/>
      <c r="J46" s="26"/>
    </row>
    <row r="47" spans="1:10" x14ac:dyDescent="0.25">
      <c r="A47" s="24"/>
      <c r="B47" s="25"/>
      <c r="C47" s="25"/>
      <c r="D47" s="26"/>
      <c r="E47" s="26"/>
      <c r="F47" s="26"/>
      <c r="G47" s="26"/>
      <c r="H47" s="26"/>
      <c r="I47" s="26"/>
      <c r="J47" s="26"/>
    </row>
    <row r="48" spans="1:10" x14ac:dyDescent="0.25">
      <c r="A48" s="24"/>
      <c r="B48" s="25"/>
      <c r="C48" s="25"/>
      <c r="D48" s="26"/>
      <c r="E48" s="26"/>
      <c r="F48" s="26"/>
      <c r="G48" s="26"/>
      <c r="H48" s="26"/>
      <c r="I48" s="26"/>
      <c r="J48" s="26"/>
    </row>
    <row r="49" spans="1:10" x14ac:dyDescent="0.25">
      <c r="A49" s="24"/>
      <c r="B49" s="25"/>
      <c r="C49" s="25"/>
      <c r="D49" s="26"/>
      <c r="E49" s="26"/>
      <c r="F49" s="26"/>
      <c r="G49" s="26"/>
      <c r="H49" s="26"/>
      <c r="I49" s="26"/>
      <c r="J49" s="26"/>
    </row>
    <row r="50" spans="1:10" x14ac:dyDescent="0.25">
      <c r="A50" s="24"/>
      <c r="B50" s="25"/>
      <c r="C50" s="25"/>
      <c r="D50" s="26"/>
      <c r="E50" s="26"/>
      <c r="F50" s="26"/>
      <c r="G50" s="26"/>
      <c r="H50" s="26"/>
      <c r="I50" s="26"/>
      <c r="J50" s="26"/>
    </row>
    <row r="51" spans="1:10" x14ac:dyDescent="0.25">
      <c r="A51" s="24"/>
      <c r="B51" s="25"/>
      <c r="C51" s="22"/>
      <c r="D51" s="26"/>
      <c r="E51" s="26"/>
      <c r="F51" s="26"/>
      <c r="G51" s="26"/>
      <c r="H51" s="26"/>
      <c r="I51" s="26"/>
      <c r="J51" s="26"/>
    </row>
    <row r="52" spans="1:10" x14ac:dyDescent="0.25">
      <c r="A52" s="24"/>
      <c r="B52" s="25"/>
      <c r="C52" s="22"/>
      <c r="D52" s="26"/>
      <c r="E52" s="26"/>
      <c r="F52" s="26"/>
      <c r="G52" s="26"/>
      <c r="H52" s="26"/>
      <c r="I52" s="26"/>
      <c r="J52" s="26"/>
    </row>
    <row r="53" spans="1:10" x14ac:dyDescent="0.25">
      <c r="A53" s="24"/>
      <c r="B53" s="25"/>
      <c r="C53" s="22"/>
      <c r="D53" s="26"/>
      <c r="E53" s="26"/>
      <c r="F53" s="26"/>
      <c r="G53" s="26"/>
      <c r="H53" s="26"/>
      <c r="I53" s="26"/>
      <c r="J53" s="26"/>
    </row>
    <row r="54" spans="1:10" x14ac:dyDescent="0.25">
      <c r="A54" s="24"/>
      <c r="B54" s="25"/>
      <c r="C54" s="22"/>
      <c r="D54" s="26"/>
      <c r="E54" s="26"/>
      <c r="F54" s="26"/>
      <c r="G54" s="26"/>
      <c r="H54" s="26"/>
      <c r="I54" s="26"/>
      <c r="J54" s="26"/>
    </row>
    <row r="55" spans="1:10" x14ac:dyDescent="0.25">
      <c r="A55" s="24"/>
      <c r="B55" s="25"/>
      <c r="C55" s="22"/>
      <c r="D55" s="26"/>
      <c r="E55" s="26"/>
      <c r="F55" s="26"/>
      <c r="G55" s="26"/>
      <c r="H55" s="26"/>
      <c r="I55" s="26"/>
      <c r="J55" s="26"/>
    </row>
    <row r="56" spans="1:10" x14ac:dyDescent="0.25">
      <c r="A56" s="24"/>
      <c r="B56" s="25"/>
      <c r="C56" s="22"/>
      <c r="D56" s="26"/>
      <c r="E56" s="26"/>
      <c r="F56" s="26"/>
      <c r="G56" s="26"/>
      <c r="H56" s="26"/>
      <c r="I56" s="26"/>
      <c r="J56" s="26"/>
    </row>
    <row r="57" spans="1:10" x14ac:dyDescent="0.25">
      <c r="A57" s="24"/>
      <c r="B57" s="25"/>
      <c r="C57" s="22"/>
      <c r="D57" s="26"/>
      <c r="E57" s="26"/>
      <c r="F57" s="26"/>
      <c r="G57" s="26"/>
      <c r="H57" s="26"/>
      <c r="I57" s="26"/>
      <c r="J57" s="26"/>
    </row>
    <row r="58" spans="1:10" x14ac:dyDescent="0.25">
      <c r="A58" s="24"/>
      <c r="B58" s="25"/>
      <c r="C58" s="22"/>
      <c r="D58" s="26"/>
      <c r="E58" s="26"/>
      <c r="F58" s="26"/>
      <c r="G58" s="26"/>
      <c r="H58" s="26"/>
      <c r="I58" s="26"/>
      <c r="J58" s="26"/>
    </row>
    <row r="59" spans="1:10" x14ac:dyDescent="0.25">
      <c r="A59" s="24"/>
      <c r="B59" s="25"/>
      <c r="C59" s="22"/>
      <c r="D59" s="26"/>
      <c r="E59" s="26"/>
      <c r="F59" s="26"/>
      <c r="G59" s="26"/>
      <c r="H59" s="26"/>
      <c r="I59" s="26"/>
      <c r="J59" s="26"/>
    </row>
    <row r="60" spans="1:10" x14ac:dyDescent="0.25">
      <c r="A60" s="24"/>
      <c r="B60" s="25"/>
      <c r="C60" s="22"/>
      <c r="D60" s="26"/>
      <c r="E60" s="26"/>
      <c r="F60" s="26"/>
      <c r="G60" s="26"/>
      <c r="H60" s="26"/>
      <c r="I60" s="26"/>
      <c r="J60" s="26"/>
    </row>
    <row r="61" spans="1:10" x14ac:dyDescent="0.25">
      <c r="A61" s="24"/>
      <c r="B61" s="25"/>
      <c r="C61" s="22"/>
      <c r="D61" s="26"/>
      <c r="E61" s="26"/>
      <c r="F61" s="26"/>
      <c r="G61" s="26"/>
      <c r="H61" s="26"/>
      <c r="I61" s="26"/>
      <c r="J61" s="26"/>
    </row>
    <row r="62" spans="1:10" x14ac:dyDescent="0.25">
      <c r="A62" s="24"/>
      <c r="B62" s="25"/>
      <c r="C62" s="25"/>
      <c r="D62" s="26"/>
      <c r="E62" s="26"/>
      <c r="F62" s="26"/>
      <c r="G62" s="26"/>
      <c r="H62" s="26"/>
      <c r="I62" s="26"/>
      <c r="J62" s="26"/>
    </row>
    <row r="63" spans="1:10" x14ac:dyDescent="0.25">
      <c r="A63" s="24"/>
      <c r="B63" s="25"/>
      <c r="C63" s="25"/>
      <c r="D63" s="26"/>
      <c r="E63" s="26"/>
      <c r="F63" s="26"/>
      <c r="G63" s="26"/>
      <c r="H63" s="26"/>
      <c r="I63" s="26"/>
      <c r="J63" s="26"/>
    </row>
    <row r="64" spans="1:10" x14ac:dyDescent="0.25">
      <c r="A64" s="24"/>
      <c r="B64" s="25"/>
      <c r="C64" s="25"/>
      <c r="D64" s="26"/>
      <c r="E64" s="26"/>
      <c r="F64" s="26"/>
      <c r="G64" s="26"/>
      <c r="H64" s="26"/>
      <c r="I64" s="26"/>
      <c r="J64" s="26"/>
    </row>
    <row r="65" spans="1:10" x14ac:dyDescent="0.25">
      <c r="A65" s="24"/>
      <c r="B65" s="25"/>
      <c r="C65" s="25"/>
      <c r="D65" s="26"/>
      <c r="E65" s="26"/>
      <c r="F65" s="26"/>
      <c r="G65" s="26"/>
      <c r="H65" s="26"/>
      <c r="I65" s="26"/>
      <c r="J65" s="26"/>
    </row>
    <row r="66" spans="1:10" x14ac:dyDescent="0.25">
      <c r="A66" s="24"/>
      <c r="B66" s="25"/>
      <c r="C66" s="25"/>
      <c r="D66" s="26"/>
      <c r="E66" s="26"/>
      <c r="F66" s="26"/>
      <c r="G66" s="26"/>
      <c r="H66" s="26"/>
      <c r="I66" s="26"/>
      <c r="J66" s="26"/>
    </row>
    <row r="67" spans="1:10" x14ac:dyDescent="0.25">
      <c r="A67" s="24"/>
      <c r="B67" s="25"/>
      <c r="C67" s="123"/>
      <c r="D67" s="26"/>
      <c r="E67" s="26"/>
      <c r="F67" s="26"/>
      <c r="G67" s="26"/>
      <c r="H67" s="26"/>
      <c r="I67" s="26"/>
      <c r="J67" s="26"/>
    </row>
    <row r="68" spans="1:10" x14ac:dyDescent="0.25">
      <c r="A68" s="24"/>
      <c r="B68" s="25"/>
      <c r="C68" s="22"/>
      <c r="D68" s="26"/>
      <c r="E68" s="26"/>
      <c r="F68" s="26"/>
      <c r="G68" s="26"/>
      <c r="H68" s="26"/>
      <c r="I68" s="26"/>
      <c r="J68" s="26"/>
    </row>
    <row r="69" spans="1:10" x14ac:dyDescent="0.25">
      <c r="A69" s="24"/>
      <c r="B69" s="25"/>
      <c r="C69" s="22"/>
      <c r="D69" s="26"/>
      <c r="E69" s="26"/>
      <c r="F69" s="26"/>
      <c r="G69" s="26"/>
      <c r="H69" s="26"/>
      <c r="I69" s="26"/>
      <c r="J69" s="26"/>
    </row>
    <row r="70" spans="1:10" x14ac:dyDescent="0.25">
      <c r="A70" s="24"/>
      <c r="B70" s="25"/>
      <c r="C70" s="22"/>
      <c r="D70" s="26"/>
      <c r="E70" s="26"/>
      <c r="F70" s="26"/>
      <c r="G70" s="26"/>
      <c r="H70" s="26"/>
      <c r="I70" s="26"/>
      <c r="J70" s="26"/>
    </row>
    <row r="71" spans="1:10" x14ac:dyDescent="0.25">
      <c r="A71" s="24"/>
      <c r="B71" s="25"/>
      <c r="C71" s="123"/>
      <c r="D71" s="26"/>
      <c r="E71" s="26"/>
      <c r="F71" s="26"/>
      <c r="G71" s="26"/>
      <c r="H71" s="26"/>
      <c r="I71" s="26"/>
      <c r="J71" s="26"/>
    </row>
    <row r="72" spans="1:10" x14ac:dyDescent="0.25">
      <c r="A72" s="24"/>
      <c r="B72" s="25"/>
      <c r="C72" s="123"/>
      <c r="D72" s="26"/>
      <c r="E72" s="26"/>
      <c r="F72" s="26"/>
      <c r="G72" s="26"/>
      <c r="H72" s="26"/>
      <c r="I72" s="26"/>
      <c r="J72" s="26"/>
    </row>
    <row r="73" spans="1:10" x14ac:dyDescent="0.25">
      <c r="A73" s="24"/>
      <c r="B73" s="25"/>
      <c r="C73" s="123"/>
      <c r="D73" s="26"/>
      <c r="E73" s="26"/>
      <c r="F73" s="26"/>
      <c r="G73" s="26"/>
      <c r="H73" s="26"/>
      <c r="I73" s="26"/>
      <c r="J73" s="26"/>
    </row>
    <row r="74" spans="1:10" x14ac:dyDescent="0.25">
      <c r="A74" s="24"/>
      <c r="B74" s="25"/>
      <c r="C74" s="22"/>
      <c r="D74" s="26"/>
      <c r="E74" s="26"/>
      <c r="F74" s="26"/>
      <c r="G74" s="26"/>
      <c r="H74" s="26"/>
      <c r="I74" s="26"/>
      <c r="J74" s="26"/>
    </row>
    <row r="75" spans="1:10" x14ac:dyDescent="0.25">
      <c r="A75" s="24"/>
      <c r="B75" s="25"/>
      <c r="C75" s="22"/>
      <c r="D75" s="26"/>
      <c r="E75" s="26"/>
      <c r="F75" s="26"/>
      <c r="G75" s="26"/>
      <c r="H75" s="26"/>
      <c r="I75" s="26"/>
      <c r="J75" s="26"/>
    </row>
    <row r="76" spans="1:10" x14ac:dyDescent="0.25">
      <c r="A76" s="24"/>
      <c r="B76" s="25"/>
      <c r="C76" s="22"/>
      <c r="D76" s="26"/>
      <c r="E76" s="26"/>
      <c r="F76" s="26"/>
      <c r="G76" s="26"/>
      <c r="H76" s="26"/>
      <c r="I76" s="26"/>
      <c r="J76" s="26"/>
    </row>
    <row r="77" spans="1:10" x14ac:dyDescent="0.25">
      <c r="A77" s="101"/>
      <c r="B77" s="25"/>
      <c r="C77" s="22"/>
      <c r="D77" s="26"/>
      <c r="E77" s="26"/>
      <c r="F77" s="26"/>
      <c r="G77" s="26"/>
      <c r="H77" s="26"/>
      <c r="I77" s="26"/>
      <c r="J77" s="26"/>
    </row>
    <row r="78" spans="1:10" x14ac:dyDescent="0.25">
      <c r="A78" s="24"/>
      <c r="B78" s="25"/>
      <c r="C78" s="22"/>
      <c r="D78" s="26"/>
      <c r="E78" s="26"/>
      <c r="F78" s="26"/>
      <c r="G78" s="26"/>
      <c r="H78" s="26"/>
      <c r="I78" s="26"/>
      <c r="J78" s="26"/>
    </row>
    <row r="79" spans="1:10" x14ac:dyDescent="0.25">
      <c r="A79" s="24"/>
      <c r="B79" s="25"/>
      <c r="C79" s="22"/>
      <c r="D79" s="26"/>
      <c r="E79" s="26"/>
      <c r="F79" s="26"/>
      <c r="G79" s="26"/>
      <c r="H79" s="26"/>
      <c r="I79" s="26"/>
      <c r="J79" s="26"/>
    </row>
    <row r="80" spans="1:10" x14ac:dyDescent="0.25">
      <c r="A80" s="24"/>
      <c r="B80" s="25"/>
      <c r="C80" s="22"/>
      <c r="D80" s="26"/>
      <c r="E80" s="26"/>
      <c r="F80" s="26"/>
      <c r="G80" s="26"/>
      <c r="H80" s="26"/>
      <c r="I80" s="26"/>
      <c r="J80" s="26"/>
    </row>
    <row r="81" spans="1:10" x14ac:dyDescent="0.25">
      <c r="A81" s="24"/>
      <c r="B81" s="25"/>
      <c r="C81" s="22"/>
      <c r="D81" s="26"/>
      <c r="E81" s="26"/>
      <c r="F81" s="26"/>
      <c r="G81" s="26"/>
      <c r="H81" s="26"/>
      <c r="I81" s="26"/>
      <c r="J81" s="26"/>
    </row>
    <row r="82" spans="1:10" x14ac:dyDescent="0.25">
      <c r="A82" s="24"/>
      <c r="B82" s="25"/>
      <c r="C82" s="22"/>
      <c r="D82" s="26"/>
      <c r="E82" s="26"/>
      <c r="F82" s="26"/>
      <c r="G82" s="26"/>
      <c r="H82" s="26"/>
      <c r="I82" s="26"/>
      <c r="J82" s="26"/>
    </row>
    <row r="83" spans="1:10" x14ac:dyDescent="0.25">
      <c r="A83" s="24"/>
      <c r="B83" s="25"/>
      <c r="C83" s="22"/>
      <c r="D83" s="26"/>
      <c r="E83" s="26"/>
      <c r="F83" s="26"/>
      <c r="G83" s="26"/>
      <c r="H83" s="26"/>
      <c r="I83" s="26"/>
      <c r="J83" s="26"/>
    </row>
    <row r="84" spans="1:10" x14ac:dyDescent="0.25">
      <c r="A84" s="24"/>
      <c r="B84" s="25"/>
      <c r="C84" s="123"/>
      <c r="D84" s="26"/>
      <c r="E84" s="26"/>
      <c r="F84" s="26"/>
      <c r="G84" s="26"/>
      <c r="H84" s="26"/>
      <c r="I84" s="26"/>
      <c r="J84" s="26"/>
    </row>
    <row r="85" spans="1:10" x14ac:dyDescent="0.25">
      <c r="A85" s="24"/>
      <c r="B85" s="25"/>
      <c r="C85" s="22"/>
      <c r="D85" s="26"/>
      <c r="E85" s="26"/>
      <c r="F85" s="26"/>
      <c r="G85" s="26"/>
      <c r="H85" s="26"/>
      <c r="I85" s="26"/>
      <c r="J85" s="26"/>
    </row>
    <row r="86" spans="1:10" x14ac:dyDescent="0.25">
      <c r="A86" s="24"/>
      <c r="B86" s="25"/>
      <c r="C86" s="22"/>
      <c r="D86" s="26"/>
      <c r="E86" s="26"/>
      <c r="F86" s="26"/>
      <c r="G86" s="26"/>
      <c r="H86" s="26"/>
      <c r="I86" s="26"/>
      <c r="J86" s="26"/>
    </row>
    <row r="87" spans="1:10" x14ac:dyDescent="0.25">
      <c r="A87" s="24"/>
      <c r="B87" s="25"/>
      <c r="C87" s="22"/>
      <c r="D87" s="26"/>
      <c r="E87" s="26"/>
      <c r="F87" s="26"/>
      <c r="G87" s="26"/>
      <c r="H87" s="26"/>
      <c r="I87" s="26"/>
      <c r="J87" s="26"/>
    </row>
    <row r="88" spans="1:10" x14ac:dyDescent="0.25">
      <c r="A88" s="24"/>
      <c r="B88" s="25"/>
      <c r="C88" s="22"/>
      <c r="D88" s="26"/>
      <c r="E88" s="26"/>
      <c r="F88" s="26"/>
      <c r="G88" s="26"/>
      <c r="H88" s="26"/>
      <c r="I88" s="26"/>
      <c r="J88" s="26"/>
    </row>
    <row r="89" spans="1:10" x14ac:dyDescent="0.25">
      <c r="A89" s="24"/>
      <c r="B89" s="25"/>
      <c r="C89" s="22"/>
      <c r="D89" s="26"/>
      <c r="E89" s="26"/>
      <c r="F89" s="26"/>
      <c r="G89" s="26"/>
      <c r="H89" s="26"/>
      <c r="I89" s="26"/>
      <c r="J89" s="26"/>
    </row>
    <row r="90" spans="1:10" x14ac:dyDescent="0.25">
      <c r="A90" s="24"/>
      <c r="B90" s="25"/>
      <c r="C90" s="22"/>
      <c r="D90" s="26"/>
      <c r="E90" s="26"/>
      <c r="F90" s="26"/>
      <c r="G90" s="26"/>
      <c r="H90" s="26"/>
      <c r="I90" s="26"/>
      <c r="J90" s="26"/>
    </row>
    <row r="91" spans="1:10" x14ac:dyDescent="0.25">
      <c r="A91" s="24"/>
      <c r="B91" s="25"/>
      <c r="C91" s="22"/>
      <c r="D91" s="26"/>
      <c r="E91" s="26"/>
      <c r="F91" s="26"/>
      <c r="G91" s="26"/>
      <c r="H91" s="26"/>
      <c r="I91" s="26"/>
      <c r="J91" s="26"/>
    </row>
    <row r="92" spans="1:10" x14ac:dyDescent="0.25">
      <c r="A92" s="24"/>
      <c r="B92" s="25"/>
      <c r="C92" s="22"/>
      <c r="D92" s="26"/>
      <c r="E92" s="26"/>
      <c r="F92" s="26"/>
      <c r="G92" s="26"/>
      <c r="H92" s="26"/>
      <c r="I92" s="26"/>
      <c r="J92" s="26"/>
    </row>
    <row r="93" spans="1:10" x14ac:dyDescent="0.25">
      <c r="A93" s="101"/>
      <c r="B93" s="25"/>
      <c r="C93" s="22"/>
      <c r="D93" s="26"/>
      <c r="E93" s="26"/>
      <c r="F93" s="26"/>
      <c r="G93" s="26"/>
      <c r="H93" s="26"/>
      <c r="I93" s="26"/>
      <c r="J93" s="26"/>
    </row>
    <row r="94" spans="1:10" x14ac:dyDescent="0.25">
      <c r="A94" s="24"/>
      <c r="B94" s="25"/>
      <c r="C94" s="22"/>
      <c r="D94" s="26"/>
      <c r="E94" s="26"/>
      <c r="F94" s="26"/>
      <c r="G94" s="26"/>
      <c r="H94" s="26"/>
      <c r="I94" s="26"/>
      <c r="J94" s="26"/>
    </row>
    <row r="95" spans="1:10" x14ac:dyDescent="0.25">
      <c r="A95" s="24"/>
      <c r="B95" s="25"/>
      <c r="C95" s="22"/>
      <c r="D95" s="26"/>
      <c r="E95" s="26"/>
      <c r="F95" s="26"/>
      <c r="G95" s="26"/>
      <c r="H95" s="26"/>
      <c r="I95" s="26"/>
      <c r="J95" s="26"/>
    </row>
    <row r="96" spans="1:10" x14ac:dyDescent="0.25">
      <c r="A96" s="24"/>
      <c r="B96" s="25"/>
      <c r="C96" s="22"/>
      <c r="D96" s="26"/>
      <c r="E96" s="26"/>
      <c r="F96" s="26"/>
      <c r="G96" s="26"/>
      <c r="H96" s="26"/>
      <c r="I96" s="26"/>
      <c r="J96" s="26"/>
    </row>
    <row r="97" spans="1:10" x14ac:dyDescent="0.25">
      <c r="A97" s="23"/>
      <c r="B97" s="25"/>
      <c r="C97" s="22"/>
      <c r="D97" s="26"/>
      <c r="E97" s="26"/>
      <c r="F97" s="26"/>
      <c r="G97" s="26"/>
      <c r="H97" s="26"/>
      <c r="I97" s="26"/>
      <c r="J97" s="26"/>
    </row>
    <row r="98" spans="1:10" x14ac:dyDescent="0.25">
      <c r="A98" s="24"/>
      <c r="B98" s="25"/>
      <c r="C98" s="22"/>
      <c r="D98" s="26"/>
      <c r="E98" s="26"/>
      <c r="F98" s="26"/>
      <c r="G98" s="26"/>
      <c r="H98" s="26"/>
      <c r="I98" s="26"/>
      <c r="J98" s="26"/>
    </row>
    <row r="99" spans="1:10" x14ac:dyDescent="0.25">
      <c r="A99" s="24"/>
      <c r="B99" s="25"/>
      <c r="C99" s="22"/>
      <c r="D99" s="26"/>
      <c r="E99" s="26"/>
      <c r="F99" s="26"/>
      <c r="G99" s="26"/>
      <c r="H99" s="26"/>
      <c r="I99" s="26"/>
      <c r="J99" s="26"/>
    </row>
    <row r="100" spans="1:10" x14ac:dyDescent="0.25">
      <c r="A100" s="23"/>
      <c r="B100" s="25"/>
      <c r="C100" s="22"/>
      <c r="D100" s="26"/>
      <c r="E100" s="26"/>
      <c r="F100" s="26"/>
      <c r="G100" s="26"/>
      <c r="H100" s="26"/>
      <c r="I100" s="26"/>
      <c r="J100" s="26"/>
    </row>
    <row r="101" spans="1:10" x14ac:dyDescent="0.25">
      <c r="A101" s="24"/>
      <c r="B101" s="25"/>
      <c r="C101" s="22"/>
      <c r="D101" s="26"/>
      <c r="E101" s="26"/>
      <c r="F101" s="26"/>
      <c r="G101" s="26"/>
      <c r="H101" s="26"/>
      <c r="I101" s="26"/>
      <c r="J101" s="26"/>
    </row>
    <row r="102" spans="1:10" x14ac:dyDescent="0.25">
      <c r="A102" s="24"/>
      <c r="B102" s="25"/>
      <c r="C102" s="22"/>
      <c r="D102" s="26"/>
      <c r="E102" s="26"/>
      <c r="F102" s="26"/>
      <c r="G102" s="26"/>
      <c r="H102" s="26"/>
      <c r="I102" s="26"/>
      <c r="J102" s="26"/>
    </row>
    <row r="103" spans="1:10" x14ac:dyDescent="0.25">
      <c r="A103" s="24"/>
      <c r="B103" s="25"/>
      <c r="C103" s="22"/>
      <c r="D103" s="26"/>
      <c r="E103" s="26"/>
      <c r="F103" s="26"/>
      <c r="G103" s="26"/>
      <c r="H103" s="26"/>
      <c r="I103" s="26"/>
      <c r="J103" s="26"/>
    </row>
    <row r="104" spans="1:10" x14ac:dyDescent="0.25">
      <c r="A104" s="24"/>
      <c r="B104" s="25"/>
      <c r="C104" s="22"/>
      <c r="D104" s="26"/>
      <c r="E104" s="26"/>
      <c r="F104" s="26"/>
      <c r="G104" s="26"/>
      <c r="H104" s="26"/>
      <c r="I104" s="26"/>
      <c r="J104" s="26"/>
    </row>
    <row r="105" spans="1:10" x14ac:dyDescent="0.25">
      <c r="A105" s="24"/>
      <c r="B105" s="25"/>
      <c r="C105" s="22"/>
      <c r="D105" s="26"/>
      <c r="E105" s="26"/>
      <c r="F105" s="26"/>
      <c r="G105" s="26"/>
      <c r="H105" s="26"/>
      <c r="I105" s="26"/>
      <c r="J105" s="26"/>
    </row>
    <row r="106" spans="1:10" x14ac:dyDescent="0.25">
      <c r="A106" s="24"/>
      <c r="B106" s="25"/>
      <c r="C106" s="22"/>
      <c r="D106" s="26"/>
      <c r="E106" s="26"/>
      <c r="F106" s="26"/>
      <c r="G106" s="26"/>
      <c r="H106" s="26"/>
      <c r="I106" s="26"/>
      <c r="J106" s="26"/>
    </row>
    <row r="107" spans="1:10" x14ac:dyDescent="0.25">
      <c r="A107" s="24"/>
      <c r="B107" s="25"/>
      <c r="C107" s="22"/>
      <c r="D107" s="26"/>
      <c r="E107" s="26"/>
      <c r="F107" s="26"/>
      <c r="G107" s="26"/>
      <c r="H107" s="26"/>
      <c r="I107" s="26"/>
      <c r="J107" s="26"/>
    </row>
    <row r="108" spans="1:10" x14ac:dyDescent="0.25">
      <c r="A108" s="24"/>
      <c r="B108" s="25"/>
      <c r="C108" s="22"/>
      <c r="D108" s="26"/>
      <c r="E108" s="26"/>
      <c r="F108" s="26"/>
      <c r="G108" s="26"/>
      <c r="H108" s="26"/>
      <c r="I108" s="26"/>
      <c r="J108" s="26"/>
    </row>
    <row r="109" spans="1:10" x14ac:dyDescent="0.25">
      <c r="A109" s="24"/>
      <c r="B109" s="25"/>
      <c r="C109" s="22"/>
      <c r="D109" s="26"/>
      <c r="E109" s="26"/>
      <c r="F109" s="26"/>
      <c r="G109" s="26"/>
      <c r="H109" s="26"/>
      <c r="I109" s="26"/>
      <c r="J109" s="26"/>
    </row>
    <row r="110" spans="1:10" x14ac:dyDescent="0.25">
      <c r="A110" s="24"/>
      <c r="B110" s="25"/>
      <c r="C110" s="22"/>
      <c r="D110" s="26"/>
      <c r="E110" s="26"/>
      <c r="F110" s="26"/>
      <c r="G110" s="26"/>
      <c r="H110" s="26"/>
      <c r="I110" s="26"/>
      <c r="J110" s="26"/>
    </row>
    <row r="111" spans="1:10" x14ac:dyDescent="0.25">
      <c r="A111" s="24"/>
      <c r="B111" s="25"/>
      <c r="C111" s="22"/>
      <c r="D111" s="26"/>
      <c r="E111" s="26"/>
      <c r="F111" s="26"/>
      <c r="G111" s="26"/>
      <c r="H111" s="26"/>
      <c r="I111" s="26"/>
      <c r="J111" s="26"/>
    </row>
    <row r="112" spans="1:10" x14ac:dyDescent="0.25">
      <c r="A112" s="24"/>
      <c r="B112" s="25"/>
      <c r="C112" s="22"/>
      <c r="D112" s="26"/>
      <c r="E112" s="26"/>
      <c r="F112" s="26"/>
      <c r="G112" s="26"/>
      <c r="H112" s="26"/>
      <c r="I112" s="26"/>
      <c r="J112" s="26"/>
    </row>
    <row r="113" spans="1:10" x14ac:dyDescent="0.25">
      <c r="A113" s="24"/>
      <c r="B113" s="25"/>
      <c r="C113" s="22"/>
      <c r="D113" s="26"/>
      <c r="E113" s="26"/>
      <c r="F113" s="26"/>
      <c r="G113" s="26"/>
      <c r="H113" s="26"/>
      <c r="I113" s="26"/>
      <c r="J113" s="26"/>
    </row>
    <row r="114" spans="1:10" x14ac:dyDescent="0.25">
      <c r="A114" s="24"/>
      <c r="B114" s="25"/>
      <c r="C114" s="22"/>
      <c r="D114" s="26"/>
      <c r="E114" s="26"/>
      <c r="F114" s="26"/>
      <c r="G114" s="26"/>
      <c r="H114" s="26"/>
      <c r="I114" s="26"/>
      <c r="J114" s="26"/>
    </row>
    <row r="115" spans="1:10" x14ac:dyDescent="0.25">
      <c r="A115" s="24"/>
      <c r="B115" s="25"/>
      <c r="C115" s="22"/>
      <c r="D115" s="26"/>
      <c r="E115" s="26"/>
      <c r="F115" s="26"/>
      <c r="G115" s="26"/>
      <c r="H115" s="26"/>
      <c r="I115" s="26"/>
      <c r="J115" s="26"/>
    </row>
    <row r="116" spans="1:10" x14ac:dyDescent="0.25">
      <c r="A116" s="24"/>
      <c r="B116" s="25"/>
      <c r="C116" s="22"/>
      <c r="D116" s="26"/>
      <c r="E116" s="26"/>
      <c r="F116" s="26"/>
      <c r="G116" s="26"/>
      <c r="H116" s="26"/>
      <c r="I116" s="26"/>
      <c r="J116" s="26"/>
    </row>
    <row r="117" spans="1:10" x14ac:dyDescent="0.25">
      <c r="A117" s="24"/>
      <c r="B117" s="25"/>
      <c r="C117" s="22"/>
      <c r="D117" s="26"/>
      <c r="E117" s="26"/>
      <c r="F117" s="26"/>
      <c r="G117" s="26"/>
      <c r="H117" s="26"/>
      <c r="I117" s="26"/>
      <c r="J117" s="26"/>
    </row>
    <row r="118" spans="1:10" x14ac:dyDescent="0.25">
      <c r="A118" s="24"/>
      <c r="B118" s="25"/>
      <c r="C118" s="22"/>
      <c r="D118" s="26"/>
      <c r="E118" s="26"/>
      <c r="F118" s="26"/>
      <c r="G118" s="26"/>
      <c r="H118" s="26"/>
      <c r="I118" s="26"/>
      <c r="J118" s="26"/>
    </row>
    <row r="119" spans="1:10" x14ac:dyDescent="0.25">
      <c r="A119" s="24"/>
      <c r="B119" s="25"/>
      <c r="C119" s="22"/>
      <c r="D119" s="26"/>
      <c r="E119" s="26"/>
      <c r="F119" s="26"/>
      <c r="G119" s="26"/>
      <c r="H119" s="26"/>
      <c r="I119" s="26"/>
      <c r="J119" s="26"/>
    </row>
    <row r="120" spans="1:10" x14ac:dyDescent="0.25">
      <c r="A120" s="24"/>
      <c r="B120" s="25"/>
      <c r="C120" s="22"/>
      <c r="D120" s="26"/>
      <c r="E120" s="26"/>
      <c r="F120" s="26"/>
      <c r="G120" s="26"/>
      <c r="H120" s="26"/>
      <c r="I120" s="26"/>
      <c r="J120" s="26"/>
    </row>
    <row r="121" spans="1:10" x14ac:dyDescent="0.25">
      <c r="A121" s="24"/>
      <c r="B121" s="25"/>
      <c r="C121" s="25"/>
      <c r="D121" s="26"/>
      <c r="E121" s="26"/>
      <c r="F121" s="26"/>
      <c r="G121" s="26"/>
      <c r="H121" s="26"/>
      <c r="I121" s="26"/>
      <c r="J121" s="26"/>
    </row>
    <row r="122" spans="1:10" x14ac:dyDescent="0.25">
      <c r="A122" s="24"/>
      <c r="B122" s="25"/>
      <c r="C122" s="25"/>
      <c r="D122" s="26"/>
      <c r="E122" s="26"/>
      <c r="F122" s="26"/>
      <c r="G122" s="26"/>
      <c r="H122" s="26"/>
      <c r="I122" s="26"/>
      <c r="J122" s="26"/>
    </row>
    <row r="123" spans="1:10" x14ac:dyDescent="0.25">
      <c r="A123" s="24"/>
      <c r="B123" s="25"/>
      <c r="C123" s="25"/>
      <c r="D123" s="26"/>
      <c r="E123" s="26"/>
      <c r="F123" s="26"/>
      <c r="G123" s="26"/>
      <c r="H123" s="26"/>
      <c r="I123" s="26"/>
      <c r="J123" s="26"/>
    </row>
    <row r="124" spans="1:10" x14ac:dyDescent="0.25">
      <c r="A124" s="24"/>
      <c r="B124" s="25"/>
      <c r="C124" s="25"/>
      <c r="D124" s="26"/>
      <c r="E124" s="26"/>
      <c r="F124" s="26"/>
      <c r="G124" s="26"/>
      <c r="H124" s="26"/>
      <c r="I124" s="26"/>
      <c r="J124" s="26"/>
    </row>
    <row r="125" spans="1:10" x14ac:dyDescent="0.25">
      <c r="A125" s="194"/>
      <c r="B125" s="195"/>
      <c r="C125" s="195"/>
      <c r="D125" s="199"/>
      <c r="E125" s="199"/>
      <c r="F125" s="199"/>
      <c r="G125" s="199"/>
      <c r="H125" s="199"/>
      <c r="I125" s="199"/>
      <c r="J125" s="199"/>
    </row>
    <row r="126" spans="1:10" x14ac:dyDescent="0.25">
      <c r="A126" s="194"/>
      <c r="B126" s="195"/>
      <c r="C126" s="195"/>
      <c r="D126" s="199"/>
      <c r="E126" s="199"/>
      <c r="F126" s="199"/>
      <c r="G126" s="199"/>
      <c r="H126" s="199"/>
      <c r="I126" s="199"/>
      <c r="J126" s="199"/>
    </row>
    <row r="127" spans="1:10" x14ac:dyDescent="0.25">
      <c r="A127" s="194"/>
      <c r="B127" s="195"/>
      <c r="C127" s="195"/>
      <c r="D127" s="199"/>
      <c r="E127" s="199"/>
      <c r="F127" s="199"/>
      <c r="G127" s="199"/>
      <c r="H127" s="199"/>
      <c r="I127" s="199"/>
      <c r="J127" s="199"/>
    </row>
    <row r="128" spans="1:10" x14ac:dyDescent="0.25">
      <c r="A128" s="194"/>
      <c r="B128" s="195"/>
      <c r="C128" s="195"/>
      <c r="D128" s="199"/>
      <c r="E128" s="199"/>
      <c r="F128" s="199"/>
      <c r="G128" s="199"/>
      <c r="H128" s="199"/>
      <c r="I128" s="199"/>
      <c r="J128" s="199"/>
    </row>
    <row r="129" spans="1:10" x14ac:dyDescent="0.25">
      <c r="A129" s="194"/>
      <c r="B129" s="195"/>
      <c r="C129" s="195"/>
      <c r="D129" s="199"/>
      <c r="E129" s="199"/>
      <c r="F129" s="199"/>
      <c r="G129" s="199"/>
      <c r="H129" s="199"/>
      <c r="I129" s="199"/>
      <c r="J129" s="199"/>
    </row>
    <row r="130" spans="1:10" x14ac:dyDescent="0.25">
      <c r="A130" s="194"/>
      <c r="B130" s="195"/>
      <c r="C130" s="195"/>
      <c r="D130" s="199"/>
      <c r="E130" s="199"/>
      <c r="F130" s="199"/>
      <c r="G130" s="199"/>
      <c r="H130" s="199"/>
      <c r="I130" s="199"/>
      <c r="J130" s="199"/>
    </row>
    <row r="131" spans="1:10" x14ac:dyDescent="0.25">
      <c r="A131" s="194"/>
      <c r="B131" s="195"/>
      <c r="C131" s="195"/>
      <c r="D131" s="199"/>
      <c r="E131" s="199"/>
      <c r="F131" s="199"/>
      <c r="G131" s="199"/>
      <c r="H131" s="199"/>
      <c r="I131" s="199"/>
      <c r="J131" s="199"/>
    </row>
    <row r="132" spans="1:10" x14ac:dyDescent="0.25">
      <c r="A132" s="194"/>
      <c r="B132" s="195"/>
      <c r="C132" s="195"/>
      <c r="D132" s="199"/>
      <c r="E132" s="199"/>
      <c r="F132" s="199"/>
      <c r="G132" s="199"/>
      <c r="H132" s="199"/>
      <c r="I132" s="199"/>
      <c r="J132" s="199"/>
    </row>
    <row r="133" spans="1:10" x14ac:dyDescent="0.25">
      <c r="A133" s="194"/>
      <c r="B133" s="195"/>
      <c r="C133" s="195"/>
      <c r="D133" s="199"/>
      <c r="E133" s="199"/>
      <c r="F133" s="199"/>
      <c r="G133" s="199"/>
      <c r="H133" s="199"/>
      <c r="I133" s="199"/>
      <c r="J133" s="199"/>
    </row>
    <row r="134" spans="1:10" x14ac:dyDescent="0.25">
      <c r="A134" s="194"/>
      <c r="B134" s="195"/>
      <c r="C134" s="195"/>
      <c r="D134" s="199"/>
      <c r="E134" s="199"/>
      <c r="F134" s="199"/>
      <c r="G134" s="199"/>
      <c r="H134" s="199"/>
      <c r="I134" s="199"/>
      <c r="J134" s="199"/>
    </row>
    <row r="135" spans="1:10" x14ac:dyDescent="0.25">
      <c r="A135" s="194"/>
      <c r="B135" s="195"/>
      <c r="C135" s="195"/>
      <c r="D135" s="199"/>
      <c r="E135" s="199"/>
      <c r="F135" s="199"/>
      <c r="G135" s="199"/>
      <c r="H135" s="199"/>
      <c r="I135" s="199"/>
      <c r="J135" s="199"/>
    </row>
    <row r="136" spans="1:10" x14ac:dyDescent="0.25">
      <c r="A136" s="194"/>
      <c r="B136" s="195"/>
      <c r="C136" s="195"/>
      <c r="D136" s="199"/>
      <c r="E136" s="199"/>
      <c r="F136" s="199"/>
      <c r="G136" s="199"/>
      <c r="H136" s="199"/>
      <c r="I136" s="199"/>
      <c r="J136" s="199"/>
    </row>
    <row r="137" spans="1:10" x14ac:dyDescent="0.25">
      <c r="A137" s="194"/>
      <c r="B137" s="195"/>
      <c r="C137" s="195"/>
      <c r="D137" s="199"/>
      <c r="E137" s="199"/>
      <c r="F137" s="199"/>
      <c r="G137" s="199"/>
      <c r="H137" s="199"/>
      <c r="I137" s="199"/>
      <c r="J137" s="199"/>
    </row>
    <row r="138" spans="1:10" x14ac:dyDescent="0.25">
      <c r="A138" s="194"/>
      <c r="B138" s="195"/>
      <c r="C138" s="195"/>
      <c r="D138" s="199"/>
      <c r="E138" s="199"/>
      <c r="F138" s="199"/>
      <c r="G138" s="199"/>
      <c r="H138" s="199"/>
      <c r="I138" s="199"/>
      <c r="J138" s="199"/>
    </row>
    <row r="139" spans="1:10" x14ac:dyDescent="0.25">
      <c r="A139" s="194"/>
      <c r="B139" s="195"/>
      <c r="C139" s="195"/>
      <c r="D139" s="199"/>
      <c r="E139" s="199"/>
      <c r="F139" s="199"/>
      <c r="G139" s="199"/>
      <c r="H139" s="199"/>
      <c r="I139" s="199"/>
      <c r="J139" s="199"/>
    </row>
    <row r="140" spans="1:10" x14ac:dyDescent="0.25">
      <c r="A140" s="194"/>
      <c r="B140" s="195"/>
      <c r="C140" s="195"/>
      <c r="D140" s="199"/>
      <c r="E140" s="199"/>
      <c r="F140" s="199"/>
      <c r="G140" s="199"/>
      <c r="H140" s="199"/>
      <c r="I140" s="199"/>
      <c r="J140" s="199"/>
    </row>
    <row r="141" spans="1:10" x14ac:dyDescent="0.25">
      <c r="A141" s="194"/>
      <c r="B141" s="195"/>
      <c r="C141" s="195"/>
      <c r="D141" s="199"/>
      <c r="E141" s="199"/>
      <c r="F141" s="199"/>
      <c r="G141" s="199"/>
      <c r="H141" s="199"/>
      <c r="I141" s="199"/>
      <c r="J141" s="199"/>
    </row>
    <row r="142" spans="1:10" x14ac:dyDescent="0.25">
      <c r="A142" s="194"/>
      <c r="B142" s="195"/>
      <c r="C142" s="195"/>
      <c r="D142" s="199"/>
      <c r="E142" s="199"/>
      <c r="F142" s="199"/>
      <c r="G142" s="199"/>
      <c r="H142" s="199"/>
      <c r="I142" s="199"/>
      <c r="J142" s="199"/>
    </row>
    <row r="143" spans="1:10" x14ac:dyDescent="0.25">
      <c r="A143" s="194"/>
      <c r="B143" s="195"/>
      <c r="C143" s="195"/>
      <c r="D143" s="199"/>
      <c r="E143" s="199"/>
      <c r="F143" s="199"/>
      <c r="G143" s="199"/>
      <c r="H143" s="199"/>
      <c r="I143" s="199"/>
      <c r="J143" s="199"/>
    </row>
    <row r="144" spans="1:10" x14ac:dyDescent="0.25">
      <c r="A144" s="194"/>
      <c r="B144" s="195"/>
      <c r="C144" s="195"/>
      <c r="D144" s="199"/>
      <c r="E144" s="199"/>
      <c r="F144" s="199"/>
      <c r="G144" s="199"/>
      <c r="H144" s="199"/>
      <c r="I144" s="199"/>
      <c r="J144" s="199"/>
    </row>
    <row r="145" spans="1:10" x14ac:dyDescent="0.25">
      <c r="A145" s="194"/>
      <c r="B145" s="195"/>
      <c r="C145" s="195"/>
      <c r="D145" s="199"/>
      <c r="E145" s="199"/>
      <c r="F145" s="199"/>
      <c r="G145" s="199"/>
      <c r="H145" s="199"/>
      <c r="I145" s="199"/>
      <c r="J145" s="199"/>
    </row>
    <row r="146" spans="1:10" x14ac:dyDescent="0.25">
      <c r="A146" s="194"/>
      <c r="B146" s="195"/>
      <c r="C146" s="195"/>
      <c r="D146" s="199"/>
      <c r="E146" s="199"/>
      <c r="F146" s="199"/>
      <c r="G146" s="199"/>
      <c r="H146" s="199"/>
      <c r="I146" s="199"/>
      <c r="J146" s="199"/>
    </row>
    <row r="147" spans="1:10" x14ac:dyDescent="0.25">
      <c r="A147" s="194"/>
      <c r="B147" s="195"/>
      <c r="C147" s="195"/>
      <c r="D147" s="199"/>
      <c r="E147" s="199"/>
      <c r="F147" s="199"/>
      <c r="G147" s="199"/>
      <c r="H147" s="199"/>
      <c r="I147" s="199"/>
      <c r="J147" s="199"/>
    </row>
    <row r="148" spans="1:10" x14ac:dyDescent="0.25">
      <c r="A148" s="194"/>
      <c r="B148" s="195"/>
      <c r="C148" s="195"/>
      <c r="D148" s="199"/>
      <c r="E148" s="199"/>
      <c r="F148" s="199"/>
      <c r="G148" s="199"/>
      <c r="H148" s="199"/>
      <c r="I148" s="199"/>
      <c r="J148" s="199"/>
    </row>
    <row r="149" spans="1:10" x14ac:dyDescent="0.25">
      <c r="A149" s="194"/>
      <c r="B149" s="195"/>
      <c r="C149" s="195"/>
      <c r="D149" s="199"/>
      <c r="E149" s="199"/>
      <c r="F149" s="199"/>
      <c r="G149" s="199"/>
      <c r="H149" s="199"/>
      <c r="I149" s="199"/>
      <c r="J149" s="199"/>
    </row>
  </sheetData>
  <sheetProtection selectLockedCells="1" selectUnlockedCells="1"/>
  <protectedRanges>
    <protectedRange sqref="A7 A5" name="Filter"/>
    <protectedRange sqref="A47" name="Filter_1"/>
    <protectedRange sqref="A53" name="Filter_2"/>
    <protectedRange sqref="D67:J67" name="Filter_3"/>
  </protectedRanges>
  <phoneticPr fontId="9" type="noConversion"/>
  <conditionalFormatting sqref="A5 A7 A47 A53 D67 F67 H67:J67">
    <cfRule type="expression" dxfId="33" priority="17">
      <formula>$D5="In Progress"</formula>
    </cfRule>
    <cfRule type="expression" dxfId="32" priority="18">
      <formula>$D5="Complete"</formula>
    </cfRule>
    <cfRule type="expression" dxfId="31" priority="19">
      <formula>$D5="Not Started"</formula>
    </cfRule>
    <cfRule type="expression" dxfId="30" priority="20">
      <formula>$D5="Withdrawn"</formula>
    </cfRule>
    <cfRule type="expression" dxfId="29" priority="21">
      <formula>$D5="Ineligible"</formula>
    </cfRule>
  </conditionalFormatting>
  <conditionalFormatting sqref="A54:A124 A150:A1048576 A48:A52 A1 A3:A4 A8:A46">
    <cfRule type="duplicateValues" dxfId="28" priority="777"/>
  </conditionalFormatting>
  <conditionalFormatting sqref="D1:D2">
    <cfRule type="cellIs" dxfId="27" priority="1" operator="equal">
      <formula>""</formula>
    </cfRule>
  </conditionalFormatting>
  <conditionalFormatting sqref="F1:F2 H1:H2 J1:J2">
    <cfRule type="cellIs" dxfId="26" priority="24" operator="equal">
      <formula>""</formula>
    </cfRule>
  </conditionalFormatting>
  <dataValidations count="4">
    <dataValidation allowBlank="1" showInputMessage="1" showErrorMessage="1" errorTitle="County not in List" error="ERROR: County not included in County Population List. County must be added to the county population list first." promptTitle="Select County from Drop Down" sqref="I1:I2" xr:uid="{00000000-0002-0000-0200-000000000000}"/>
    <dataValidation type="decimal" operator="greaterThanOrEqual" allowBlank="1" showInputMessage="1" showErrorMessage="1" errorTitle="Must be Positive Number" error="Value entered for damage must be a number greater than or equal to $0.00." promptTitle="Enter Damage Amount in Dollars" sqref="D150:J1048576 D68:J124 D7:J66 D3:J5" xr:uid="{00000000-0002-0000-0200-000004000000}">
      <formula1>0</formula1>
    </dataValidation>
    <dataValidation type="list" allowBlank="1" showInputMessage="1" showErrorMessage="1" errorTitle="County not in List" error="ERROR: County not included in County Population List. County must be added to the county population list first." promptTitle="Select County from Drop Down" sqref="B150:B1048576 B7:B124 B3:B5" xr:uid="{00000000-0002-0000-0200-000003000000}">
      <formula1>SelCounty</formula1>
    </dataValidation>
    <dataValidation type="list" allowBlank="1" showInputMessage="1" showErrorMessage="1" sqref="C150:C1048576 C7:C124 C3:C5" xr:uid="{00000000-0002-0000-0200-000005000000}">
      <formula1>INDIRECT("Status")</formula1>
    </dataValidation>
  </dataValidations>
  <pageMargins left="0.7" right="0.7" top="0.75" bottom="0.75" header="0.3" footer="0.3"/>
  <pageSetup orientation="portrait" r:id="rId1"/>
  <ignoredErrors>
    <ignoredError sqref="D3:J4" listDataValidatio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DB28A-E9F6-47A3-98C2-2A72A3E10112}">
  <dimension ref="A1:B121"/>
  <sheetViews>
    <sheetView topLeftCell="A98" workbookViewId="0">
      <selection activeCell="B121" sqref="B121"/>
    </sheetView>
  </sheetViews>
  <sheetFormatPr defaultRowHeight="15" x14ac:dyDescent="0.25"/>
  <cols>
    <col min="1" max="1" width="57.7109375" bestFit="1" customWidth="1"/>
    <col min="2" max="2" width="11" customWidth="1"/>
  </cols>
  <sheetData>
    <row r="1" spans="1:2" x14ac:dyDescent="0.25">
      <c r="A1" t="s">
        <v>190</v>
      </c>
      <c r="B1" t="s">
        <v>191</v>
      </c>
    </row>
    <row r="2" spans="1:2" x14ac:dyDescent="0.25">
      <c r="A2" t="s">
        <v>73</v>
      </c>
      <c r="B2">
        <v>1</v>
      </c>
    </row>
    <row r="3" spans="1:2" x14ac:dyDescent="0.25">
      <c r="A3" t="s">
        <v>74</v>
      </c>
      <c r="B3">
        <v>1</v>
      </c>
    </row>
    <row r="4" spans="1:2" x14ac:dyDescent="0.25">
      <c r="A4" t="s">
        <v>75</v>
      </c>
      <c r="B4">
        <v>1</v>
      </c>
    </row>
    <row r="5" spans="1:2" x14ac:dyDescent="0.25">
      <c r="A5" t="s">
        <v>76</v>
      </c>
      <c r="B5">
        <v>1</v>
      </c>
    </row>
    <row r="6" spans="1:2" x14ac:dyDescent="0.25">
      <c r="A6" t="s">
        <v>77</v>
      </c>
      <c r="B6">
        <v>1</v>
      </c>
    </row>
    <row r="7" spans="1:2" x14ac:dyDescent="0.25">
      <c r="A7" t="s">
        <v>78</v>
      </c>
      <c r="B7">
        <v>1</v>
      </c>
    </row>
    <row r="8" spans="1:2" x14ac:dyDescent="0.25">
      <c r="A8" t="s">
        <v>79</v>
      </c>
      <c r="B8">
        <v>1</v>
      </c>
    </row>
    <row r="9" spans="1:2" x14ac:dyDescent="0.25">
      <c r="A9" t="s">
        <v>81</v>
      </c>
      <c r="B9">
        <v>1</v>
      </c>
    </row>
    <row r="10" spans="1:2" x14ac:dyDescent="0.25">
      <c r="A10" t="s">
        <v>80</v>
      </c>
      <c r="B10">
        <v>1</v>
      </c>
    </row>
    <row r="11" spans="1:2" x14ac:dyDescent="0.25">
      <c r="A11" t="s">
        <v>82</v>
      </c>
      <c r="B11">
        <v>1</v>
      </c>
    </row>
    <row r="12" spans="1:2" x14ac:dyDescent="0.25">
      <c r="A12" t="s">
        <v>83</v>
      </c>
      <c r="B12">
        <v>1</v>
      </c>
    </row>
    <row r="13" spans="1:2" x14ac:dyDescent="0.25">
      <c r="A13" t="s">
        <v>84</v>
      </c>
      <c r="B13">
        <v>1</v>
      </c>
    </row>
    <row r="14" spans="1:2" x14ac:dyDescent="0.25">
      <c r="A14" t="s">
        <v>85</v>
      </c>
      <c r="B14">
        <v>1</v>
      </c>
    </row>
    <row r="15" spans="1:2" x14ac:dyDescent="0.25">
      <c r="A15" t="s">
        <v>86</v>
      </c>
      <c r="B15">
        <v>1</v>
      </c>
    </row>
    <row r="16" spans="1:2" x14ac:dyDescent="0.25">
      <c r="A16" t="s">
        <v>192</v>
      </c>
      <c r="B16">
        <v>1</v>
      </c>
    </row>
    <row r="17" spans="1:2" x14ac:dyDescent="0.25">
      <c r="A17" t="s">
        <v>87</v>
      </c>
      <c r="B17">
        <v>1</v>
      </c>
    </row>
    <row r="18" spans="1:2" x14ac:dyDescent="0.25">
      <c r="A18" t="s">
        <v>88</v>
      </c>
      <c r="B18">
        <v>1</v>
      </c>
    </row>
    <row r="19" spans="1:2" x14ac:dyDescent="0.25">
      <c r="A19" t="s">
        <v>89</v>
      </c>
      <c r="B19">
        <v>1</v>
      </c>
    </row>
    <row r="20" spans="1:2" x14ac:dyDescent="0.25">
      <c r="A20" t="s">
        <v>90</v>
      </c>
      <c r="B20">
        <v>1</v>
      </c>
    </row>
    <row r="21" spans="1:2" x14ac:dyDescent="0.25">
      <c r="A21" t="s">
        <v>91</v>
      </c>
      <c r="B21">
        <v>1</v>
      </c>
    </row>
    <row r="22" spans="1:2" x14ac:dyDescent="0.25">
      <c r="A22" t="s">
        <v>92</v>
      </c>
      <c r="B22">
        <v>1</v>
      </c>
    </row>
    <row r="23" spans="1:2" x14ac:dyDescent="0.25">
      <c r="A23" t="s">
        <v>96</v>
      </c>
      <c r="B23">
        <v>1</v>
      </c>
    </row>
    <row r="24" spans="1:2" x14ac:dyDescent="0.25">
      <c r="A24" t="s">
        <v>95</v>
      </c>
      <c r="B24">
        <v>0</v>
      </c>
    </row>
    <row r="25" spans="1:2" x14ac:dyDescent="0.25">
      <c r="A25" t="s">
        <v>94</v>
      </c>
      <c r="B25">
        <v>1</v>
      </c>
    </row>
    <row r="26" spans="1:2" x14ac:dyDescent="0.25">
      <c r="A26" t="s">
        <v>93</v>
      </c>
      <c r="B26">
        <v>0</v>
      </c>
    </row>
    <row r="27" spans="1:2" x14ac:dyDescent="0.25">
      <c r="A27" t="s">
        <v>97</v>
      </c>
      <c r="B27">
        <v>1</v>
      </c>
    </row>
    <row r="28" spans="1:2" x14ac:dyDescent="0.25">
      <c r="A28" t="s">
        <v>98</v>
      </c>
      <c r="B28">
        <v>1</v>
      </c>
    </row>
    <row r="29" spans="1:2" x14ac:dyDescent="0.25">
      <c r="A29" t="s">
        <v>100</v>
      </c>
      <c r="B29">
        <v>1</v>
      </c>
    </row>
    <row r="30" spans="1:2" x14ac:dyDescent="0.25">
      <c r="A30" t="s">
        <v>101</v>
      </c>
      <c r="B30">
        <v>1</v>
      </c>
    </row>
    <row r="31" spans="1:2" x14ac:dyDescent="0.25">
      <c r="A31" t="s">
        <v>102</v>
      </c>
      <c r="B31">
        <v>1</v>
      </c>
    </row>
    <row r="32" spans="1:2" x14ac:dyDescent="0.25">
      <c r="A32" t="s">
        <v>99</v>
      </c>
      <c r="B32">
        <v>1</v>
      </c>
    </row>
    <row r="33" spans="1:2" x14ac:dyDescent="0.25">
      <c r="A33" t="s">
        <v>193</v>
      </c>
      <c r="B33">
        <v>0</v>
      </c>
    </row>
    <row r="34" spans="1:2" x14ac:dyDescent="0.25">
      <c r="A34" t="s">
        <v>103</v>
      </c>
      <c r="B34">
        <v>1</v>
      </c>
    </row>
    <row r="35" spans="1:2" x14ac:dyDescent="0.25">
      <c r="A35" t="s">
        <v>104</v>
      </c>
      <c r="B35">
        <v>1</v>
      </c>
    </row>
    <row r="36" spans="1:2" x14ac:dyDescent="0.25">
      <c r="A36" t="s">
        <v>107</v>
      </c>
      <c r="B36">
        <v>1</v>
      </c>
    </row>
    <row r="37" spans="1:2" x14ac:dyDescent="0.25">
      <c r="A37" t="s">
        <v>106</v>
      </c>
      <c r="B37">
        <v>0</v>
      </c>
    </row>
    <row r="38" spans="1:2" x14ac:dyDescent="0.25">
      <c r="A38" t="s">
        <v>105</v>
      </c>
      <c r="B38">
        <v>1</v>
      </c>
    </row>
    <row r="39" spans="1:2" x14ac:dyDescent="0.25">
      <c r="A39" t="s">
        <v>110</v>
      </c>
      <c r="B39">
        <v>1</v>
      </c>
    </row>
    <row r="40" spans="1:2" x14ac:dyDescent="0.25">
      <c r="A40" t="s">
        <v>108</v>
      </c>
      <c r="B40">
        <v>1</v>
      </c>
    </row>
    <row r="41" spans="1:2" x14ac:dyDescent="0.25">
      <c r="A41" t="s">
        <v>109</v>
      </c>
      <c r="B41">
        <v>0</v>
      </c>
    </row>
    <row r="42" spans="1:2" x14ac:dyDescent="0.25">
      <c r="A42" t="s">
        <v>111</v>
      </c>
      <c r="B42">
        <v>1</v>
      </c>
    </row>
    <row r="43" spans="1:2" x14ac:dyDescent="0.25">
      <c r="A43" t="s">
        <v>115</v>
      </c>
      <c r="B43">
        <v>1</v>
      </c>
    </row>
    <row r="44" spans="1:2" x14ac:dyDescent="0.25">
      <c r="A44" t="s">
        <v>113</v>
      </c>
      <c r="B44">
        <v>1</v>
      </c>
    </row>
    <row r="45" spans="1:2" x14ac:dyDescent="0.25">
      <c r="A45" t="s">
        <v>112</v>
      </c>
      <c r="B45">
        <v>1</v>
      </c>
    </row>
    <row r="46" spans="1:2" x14ac:dyDescent="0.25">
      <c r="A46" t="s">
        <v>114</v>
      </c>
      <c r="B46">
        <v>0</v>
      </c>
    </row>
    <row r="47" spans="1:2" x14ac:dyDescent="0.25">
      <c r="A47" t="s">
        <v>116</v>
      </c>
      <c r="B47">
        <v>1</v>
      </c>
    </row>
    <row r="48" spans="1:2" x14ac:dyDescent="0.25">
      <c r="A48" t="s">
        <v>117</v>
      </c>
      <c r="B48">
        <v>1</v>
      </c>
    </row>
    <row r="49" spans="1:2" x14ac:dyDescent="0.25">
      <c r="A49" t="s">
        <v>118</v>
      </c>
      <c r="B49">
        <v>1</v>
      </c>
    </row>
    <row r="50" spans="1:2" x14ac:dyDescent="0.25">
      <c r="A50" t="s">
        <v>119</v>
      </c>
      <c r="B50">
        <v>1</v>
      </c>
    </row>
    <row r="51" spans="1:2" x14ac:dyDescent="0.25">
      <c r="A51" t="s">
        <v>120</v>
      </c>
      <c r="B51">
        <v>1</v>
      </c>
    </row>
    <row r="52" spans="1:2" x14ac:dyDescent="0.25">
      <c r="A52" t="s">
        <v>121</v>
      </c>
      <c r="B52">
        <v>1</v>
      </c>
    </row>
    <row r="53" spans="1:2" x14ac:dyDescent="0.25">
      <c r="A53" t="s">
        <v>122</v>
      </c>
      <c r="B53">
        <v>1</v>
      </c>
    </row>
    <row r="54" spans="1:2" x14ac:dyDescent="0.25">
      <c r="A54" t="s">
        <v>123</v>
      </c>
      <c r="B54">
        <v>1</v>
      </c>
    </row>
    <row r="55" spans="1:2" x14ac:dyDescent="0.25">
      <c r="A55" t="s">
        <v>124</v>
      </c>
      <c r="B55">
        <v>1</v>
      </c>
    </row>
    <row r="56" spans="1:2" x14ac:dyDescent="0.25">
      <c r="A56" t="s">
        <v>125</v>
      </c>
      <c r="B56">
        <v>1</v>
      </c>
    </row>
    <row r="57" spans="1:2" x14ac:dyDescent="0.25">
      <c r="A57" t="s">
        <v>126</v>
      </c>
      <c r="B57">
        <v>1</v>
      </c>
    </row>
    <row r="58" spans="1:2" x14ac:dyDescent="0.25">
      <c r="A58" t="s">
        <v>133</v>
      </c>
      <c r="B58">
        <v>1</v>
      </c>
    </row>
    <row r="59" spans="1:2" x14ac:dyDescent="0.25">
      <c r="A59" t="s">
        <v>132</v>
      </c>
      <c r="B59">
        <v>0</v>
      </c>
    </row>
    <row r="60" spans="1:2" x14ac:dyDescent="0.25">
      <c r="A60" t="s">
        <v>134</v>
      </c>
      <c r="B60">
        <v>1</v>
      </c>
    </row>
    <row r="61" spans="1:2" x14ac:dyDescent="0.25">
      <c r="A61" t="s">
        <v>135</v>
      </c>
      <c r="B61">
        <v>0</v>
      </c>
    </row>
    <row r="62" spans="1:2" x14ac:dyDescent="0.25">
      <c r="A62" t="s">
        <v>136</v>
      </c>
      <c r="B62">
        <v>1</v>
      </c>
    </row>
    <row r="63" spans="1:2" x14ac:dyDescent="0.25">
      <c r="A63" t="s">
        <v>137</v>
      </c>
      <c r="B63">
        <v>1</v>
      </c>
    </row>
    <row r="64" spans="1:2" x14ac:dyDescent="0.25">
      <c r="A64" t="s">
        <v>138</v>
      </c>
      <c r="B64">
        <v>0</v>
      </c>
    </row>
    <row r="65" spans="1:2" x14ac:dyDescent="0.25">
      <c r="A65" t="s">
        <v>140</v>
      </c>
      <c r="B65">
        <v>1</v>
      </c>
    </row>
    <row r="66" spans="1:2" x14ac:dyDescent="0.25">
      <c r="A66" t="s">
        <v>139</v>
      </c>
      <c r="B66">
        <v>1</v>
      </c>
    </row>
    <row r="67" spans="1:2" x14ac:dyDescent="0.25">
      <c r="A67" t="s">
        <v>141</v>
      </c>
      <c r="B67">
        <v>1</v>
      </c>
    </row>
    <row r="68" spans="1:2" x14ac:dyDescent="0.25">
      <c r="A68" t="s">
        <v>142</v>
      </c>
      <c r="B68">
        <v>1</v>
      </c>
    </row>
    <row r="69" spans="1:2" x14ac:dyDescent="0.25">
      <c r="A69" t="s">
        <v>143</v>
      </c>
      <c r="B69">
        <v>1</v>
      </c>
    </row>
    <row r="70" spans="1:2" x14ac:dyDescent="0.25">
      <c r="A70" t="s">
        <v>145</v>
      </c>
      <c r="B70">
        <v>1</v>
      </c>
    </row>
    <row r="71" spans="1:2" x14ac:dyDescent="0.25">
      <c r="A71" t="s">
        <v>146</v>
      </c>
      <c r="B71">
        <v>1</v>
      </c>
    </row>
    <row r="72" spans="1:2" x14ac:dyDescent="0.25">
      <c r="A72" t="s">
        <v>144</v>
      </c>
      <c r="B72">
        <v>1</v>
      </c>
    </row>
    <row r="73" spans="1:2" x14ac:dyDescent="0.25">
      <c r="A73" t="s">
        <v>148</v>
      </c>
      <c r="B73">
        <v>0</v>
      </c>
    </row>
    <row r="74" spans="1:2" x14ac:dyDescent="0.25">
      <c r="A74" t="s">
        <v>147</v>
      </c>
      <c r="B74">
        <v>1</v>
      </c>
    </row>
    <row r="75" spans="1:2" x14ac:dyDescent="0.25">
      <c r="A75" t="s">
        <v>149</v>
      </c>
      <c r="B75">
        <v>1</v>
      </c>
    </row>
    <row r="76" spans="1:2" x14ac:dyDescent="0.25">
      <c r="A76" t="s">
        <v>150</v>
      </c>
      <c r="B76">
        <v>1</v>
      </c>
    </row>
    <row r="77" spans="1:2" x14ac:dyDescent="0.25">
      <c r="A77" t="s">
        <v>151</v>
      </c>
      <c r="B77">
        <v>1</v>
      </c>
    </row>
    <row r="78" spans="1:2" x14ac:dyDescent="0.25">
      <c r="A78" t="s">
        <v>152</v>
      </c>
      <c r="B78">
        <v>1</v>
      </c>
    </row>
    <row r="79" spans="1:2" x14ac:dyDescent="0.25">
      <c r="A79" t="s">
        <v>153</v>
      </c>
      <c r="B79">
        <v>1</v>
      </c>
    </row>
    <row r="80" spans="1:2" x14ac:dyDescent="0.25">
      <c r="A80" t="s">
        <v>156</v>
      </c>
      <c r="B80">
        <v>1</v>
      </c>
    </row>
    <row r="81" spans="1:2" x14ac:dyDescent="0.25">
      <c r="A81" t="s">
        <v>154</v>
      </c>
      <c r="B81">
        <v>0</v>
      </c>
    </row>
    <row r="82" spans="1:2" x14ac:dyDescent="0.25">
      <c r="A82" t="s">
        <v>155</v>
      </c>
      <c r="B82">
        <v>0</v>
      </c>
    </row>
    <row r="83" spans="1:2" x14ac:dyDescent="0.25">
      <c r="A83" t="s">
        <v>158</v>
      </c>
      <c r="B83">
        <v>1</v>
      </c>
    </row>
    <row r="84" spans="1:2" x14ac:dyDescent="0.25">
      <c r="A84" t="s">
        <v>159</v>
      </c>
      <c r="B84">
        <v>1</v>
      </c>
    </row>
    <row r="85" spans="1:2" x14ac:dyDescent="0.25">
      <c r="A85" t="s">
        <v>157</v>
      </c>
      <c r="B85">
        <v>0</v>
      </c>
    </row>
    <row r="86" spans="1:2" x14ac:dyDescent="0.25">
      <c r="A86" t="s">
        <v>160</v>
      </c>
      <c r="B86">
        <v>1</v>
      </c>
    </row>
    <row r="87" spans="1:2" x14ac:dyDescent="0.25">
      <c r="A87" t="s">
        <v>164</v>
      </c>
      <c r="B87">
        <v>1</v>
      </c>
    </row>
    <row r="88" spans="1:2" x14ac:dyDescent="0.25">
      <c r="A88" t="s">
        <v>167</v>
      </c>
      <c r="B88">
        <v>1</v>
      </c>
    </row>
    <row r="89" spans="1:2" x14ac:dyDescent="0.25">
      <c r="A89" t="s">
        <v>166</v>
      </c>
      <c r="B89">
        <v>1</v>
      </c>
    </row>
    <row r="90" spans="1:2" x14ac:dyDescent="0.25">
      <c r="A90" t="s">
        <v>161</v>
      </c>
      <c r="B90">
        <v>1</v>
      </c>
    </row>
    <row r="91" spans="1:2" x14ac:dyDescent="0.25">
      <c r="A91" t="s">
        <v>163</v>
      </c>
      <c r="B91">
        <v>1</v>
      </c>
    </row>
    <row r="92" spans="1:2" x14ac:dyDescent="0.25">
      <c r="A92" t="s">
        <v>162</v>
      </c>
      <c r="B92">
        <v>0</v>
      </c>
    </row>
    <row r="93" spans="1:2" x14ac:dyDescent="0.25">
      <c r="A93" t="s">
        <v>165</v>
      </c>
      <c r="B93">
        <v>0</v>
      </c>
    </row>
    <row r="94" spans="1:2" x14ac:dyDescent="0.25">
      <c r="A94" t="s">
        <v>169</v>
      </c>
      <c r="B94">
        <v>1</v>
      </c>
    </row>
    <row r="95" spans="1:2" x14ac:dyDescent="0.25">
      <c r="A95" t="s">
        <v>168</v>
      </c>
      <c r="B95">
        <v>0</v>
      </c>
    </row>
    <row r="96" spans="1:2" x14ac:dyDescent="0.25">
      <c r="A96" t="s">
        <v>171</v>
      </c>
      <c r="B96">
        <v>0</v>
      </c>
    </row>
    <row r="97" spans="1:2" x14ac:dyDescent="0.25">
      <c r="A97" t="s">
        <v>172</v>
      </c>
      <c r="B97">
        <v>1</v>
      </c>
    </row>
    <row r="98" spans="1:2" x14ac:dyDescent="0.25">
      <c r="A98" t="s">
        <v>170</v>
      </c>
      <c r="B98">
        <v>0</v>
      </c>
    </row>
    <row r="99" spans="1:2" x14ac:dyDescent="0.25">
      <c r="A99" t="s">
        <v>173</v>
      </c>
      <c r="B99">
        <v>1</v>
      </c>
    </row>
    <row r="100" spans="1:2" x14ac:dyDescent="0.25">
      <c r="A100" t="s">
        <v>175</v>
      </c>
      <c r="B100">
        <v>1</v>
      </c>
    </row>
    <row r="101" spans="1:2" x14ac:dyDescent="0.25">
      <c r="A101" t="s">
        <v>176</v>
      </c>
      <c r="B101">
        <v>1</v>
      </c>
    </row>
    <row r="102" spans="1:2" x14ac:dyDescent="0.25">
      <c r="A102" t="s">
        <v>177</v>
      </c>
      <c r="B102">
        <v>1</v>
      </c>
    </row>
    <row r="103" spans="1:2" x14ac:dyDescent="0.25">
      <c r="A103" t="s">
        <v>174</v>
      </c>
      <c r="B103">
        <v>0</v>
      </c>
    </row>
    <row r="104" spans="1:2" x14ac:dyDescent="0.25">
      <c r="A104" t="s">
        <v>181</v>
      </c>
      <c r="B104">
        <v>1</v>
      </c>
    </row>
    <row r="105" spans="1:2" x14ac:dyDescent="0.25">
      <c r="A105" t="s">
        <v>180</v>
      </c>
      <c r="B105">
        <v>1</v>
      </c>
    </row>
    <row r="106" spans="1:2" x14ac:dyDescent="0.25">
      <c r="A106" t="s">
        <v>182</v>
      </c>
      <c r="B106">
        <v>1</v>
      </c>
    </row>
    <row r="107" spans="1:2" x14ac:dyDescent="0.25">
      <c r="A107" t="s">
        <v>178</v>
      </c>
      <c r="B107">
        <v>1</v>
      </c>
    </row>
    <row r="108" spans="1:2" x14ac:dyDescent="0.25">
      <c r="A108" t="s">
        <v>179</v>
      </c>
      <c r="B108">
        <v>1</v>
      </c>
    </row>
    <row r="109" spans="1:2" x14ac:dyDescent="0.25">
      <c r="A109" t="s">
        <v>184</v>
      </c>
      <c r="B109">
        <v>1</v>
      </c>
    </row>
    <row r="110" spans="1:2" x14ac:dyDescent="0.25">
      <c r="A110" t="s">
        <v>183</v>
      </c>
      <c r="B110">
        <v>1</v>
      </c>
    </row>
    <row r="111" spans="1:2" x14ac:dyDescent="0.25">
      <c r="A111" t="s">
        <v>185</v>
      </c>
      <c r="B111">
        <v>1</v>
      </c>
    </row>
    <row r="112" spans="1:2" x14ac:dyDescent="0.25">
      <c r="A112" t="s">
        <v>186</v>
      </c>
      <c r="B112">
        <v>1</v>
      </c>
    </row>
    <row r="113" spans="1:2" x14ac:dyDescent="0.25">
      <c r="A113" t="s">
        <v>187</v>
      </c>
      <c r="B113">
        <v>1</v>
      </c>
    </row>
    <row r="114" spans="1:2" x14ac:dyDescent="0.25">
      <c r="A114" t="s">
        <v>188</v>
      </c>
      <c r="B114">
        <v>1</v>
      </c>
    </row>
    <row r="115" spans="1:2" x14ac:dyDescent="0.25">
      <c r="A115" t="s">
        <v>189</v>
      </c>
      <c r="B115">
        <v>0</v>
      </c>
    </row>
    <row r="116" spans="1:2" x14ac:dyDescent="0.25">
      <c r="A116" s="101" t="s">
        <v>127</v>
      </c>
      <c r="B116">
        <v>1</v>
      </c>
    </row>
    <row r="117" spans="1:2" x14ac:dyDescent="0.25">
      <c r="A117" s="101" t="s">
        <v>128</v>
      </c>
      <c r="B117">
        <v>1</v>
      </c>
    </row>
    <row r="118" spans="1:2" x14ac:dyDescent="0.25">
      <c r="A118" s="101" t="s">
        <v>130</v>
      </c>
      <c r="B118">
        <v>1</v>
      </c>
    </row>
    <row r="119" spans="1:2" x14ac:dyDescent="0.25">
      <c r="A119" s="101" t="s">
        <v>129</v>
      </c>
      <c r="B119">
        <v>1</v>
      </c>
    </row>
    <row r="120" spans="1:2" x14ac:dyDescent="0.25">
      <c r="A120" s="101" t="s">
        <v>131</v>
      </c>
      <c r="B120">
        <v>1</v>
      </c>
    </row>
    <row r="121" spans="1:2" x14ac:dyDescent="0.25">
      <c r="B121">
        <f>SUBTOTAL(109,Table14[Count])</f>
        <v>99</v>
      </c>
    </row>
  </sheetData>
  <protectedRanges>
    <protectedRange sqref="A116:A120" name="Filter"/>
  </protectedRanges>
  <conditionalFormatting sqref="A1:A115">
    <cfRule type="containsText" dxfId="25" priority="6" operator="containsText" text="Great Lakes Energy Co">
      <formula>NOT(ISERROR(SEARCH("Great Lakes Energy Co",A1)))</formula>
    </cfRule>
  </conditionalFormatting>
  <conditionalFormatting sqref="A116:A120">
    <cfRule type="expression" dxfId="24" priority="1">
      <formula>$D116="In Progress"</formula>
    </cfRule>
    <cfRule type="expression" dxfId="23" priority="2">
      <formula>$D116="Complete"</formula>
    </cfRule>
    <cfRule type="expression" dxfId="22" priority="3">
      <formula>$D116="Not Started"</formula>
    </cfRule>
    <cfRule type="expression" dxfId="21" priority="4">
      <formula>$D116="Withdrawn"</formula>
    </cfRule>
    <cfRule type="expression" dxfId="20" priority="5">
      <formula>$D116="Ineligible"</formula>
    </cfRule>
  </conditionalFormatting>
  <conditionalFormatting sqref="A122:A124">
    <cfRule type="containsText" dxfId="19" priority="7" operator="containsText" text="Great Lakes Energy Co">
      <formula>NOT(ISERROR(SEARCH("Great Lakes Energy Co",A122)))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BD7E-A1A8-4EB3-9116-FC2F3FC53428}">
  <sheetPr>
    <tabColor theme="5" tint="0.39997558519241921"/>
  </sheetPr>
  <dimension ref="A1:J90"/>
  <sheetViews>
    <sheetView zoomScaleNormal="100" workbookViewId="0">
      <pane ySplit="2" topLeftCell="A3" activePane="bottomLeft" state="frozen"/>
      <selection pane="bottomLeft" activeCell="I87" sqref="I87"/>
    </sheetView>
  </sheetViews>
  <sheetFormatPr defaultColWidth="8.85546875" defaultRowHeight="12.75" x14ac:dyDescent="0.2"/>
  <cols>
    <col min="1" max="1" width="0.7109375" style="30" customWidth="1"/>
    <col min="2" max="2" width="12.5703125" style="34" customWidth="1"/>
    <col min="3" max="3" width="31.7109375" style="34" customWidth="1"/>
    <col min="4" max="4" width="6.42578125" style="34" customWidth="1"/>
    <col min="5" max="5" width="13.7109375" style="34" customWidth="1"/>
    <col min="6" max="6" width="10.28515625" style="34" customWidth="1"/>
    <col min="7" max="7" width="15.85546875" style="34" customWidth="1"/>
    <col min="8" max="8" width="23.28515625" style="34" bestFit="1" customWidth="1"/>
    <col min="9" max="9" width="110.5703125" style="46" customWidth="1"/>
    <col min="10" max="10" width="2" style="31" customWidth="1"/>
    <col min="11" max="16384" width="8.85546875" style="34"/>
  </cols>
  <sheetData>
    <row r="1" spans="2:9" s="30" customFormat="1" ht="13.15" customHeight="1" thickBot="1" x14ac:dyDescent="0.25">
      <c r="E1" s="260" t="s">
        <v>194</v>
      </c>
      <c r="F1" s="261"/>
      <c r="G1" s="39">
        <f>SUM(Table4[Reduction])</f>
        <v>0</v>
      </c>
      <c r="I1" s="42"/>
    </row>
    <row r="2" spans="2:9" x14ac:dyDescent="0.2">
      <c r="B2" s="35" t="s">
        <v>11</v>
      </c>
      <c r="C2" s="35" t="s">
        <v>190</v>
      </c>
      <c r="D2" s="35" t="s">
        <v>195</v>
      </c>
      <c r="E2" s="36" t="s">
        <v>196</v>
      </c>
      <c r="F2" s="36" t="s">
        <v>197</v>
      </c>
      <c r="G2" s="36" t="s">
        <v>198</v>
      </c>
      <c r="H2" s="37" t="s">
        <v>199</v>
      </c>
      <c r="I2" s="43" t="s">
        <v>200</v>
      </c>
    </row>
    <row r="3" spans="2:9" x14ac:dyDescent="0.2">
      <c r="B3" s="49"/>
      <c r="C3" s="49"/>
      <c r="D3" s="49"/>
      <c r="E3" s="32"/>
      <c r="F3" s="32"/>
      <c r="G3" s="33"/>
      <c r="H3" s="49"/>
      <c r="I3" s="44"/>
    </row>
    <row r="4" spans="2:9" x14ac:dyDescent="0.2">
      <c r="B4" s="49"/>
      <c r="C4" s="49"/>
      <c r="D4" s="49"/>
      <c r="E4" s="32"/>
      <c r="F4" s="32"/>
      <c r="G4" s="33"/>
      <c r="H4" s="49"/>
      <c r="I4" s="44"/>
    </row>
    <row r="5" spans="2:9" x14ac:dyDescent="0.2">
      <c r="B5" s="49"/>
      <c r="C5" s="49"/>
      <c r="D5" s="49"/>
      <c r="E5" s="32"/>
      <c r="F5" s="32"/>
      <c r="G5" s="33"/>
      <c r="H5" s="49"/>
      <c r="I5" s="44"/>
    </row>
    <row r="6" spans="2:9" x14ac:dyDescent="0.2">
      <c r="B6" s="49"/>
      <c r="C6" s="40"/>
      <c r="D6" s="49"/>
      <c r="E6" s="32"/>
      <c r="F6" s="32"/>
      <c r="G6" s="41"/>
      <c r="H6" s="49"/>
      <c r="I6" s="44"/>
    </row>
    <row r="7" spans="2:9" x14ac:dyDescent="0.2">
      <c r="B7" s="49"/>
      <c r="C7" s="49"/>
      <c r="D7" s="49"/>
      <c r="E7" s="32"/>
      <c r="F7" s="32"/>
      <c r="G7" s="33"/>
      <c r="H7" s="49"/>
      <c r="I7" s="44"/>
    </row>
    <row r="8" spans="2:9" x14ac:dyDescent="0.2">
      <c r="B8" s="49"/>
      <c r="C8" s="49"/>
      <c r="D8" s="49"/>
      <c r="E8" s="32"/>
      <c r="F8" s="32"/>
      <c r="G8" s="33"/>
      <c r="H8" s="49"/>
      <c r="I8" s="44"/>
    </row>
    <row r="9" spans="2:9" x14ac:dyDescent="0.2">
      <c r="B9" s="49"/>
      <c r="C9" s="49"/>
      <c r="D9" s="49"/>
      <c r="E9" s="32"/>
      <c r="F9" s="32"/>
      <c r="G9" s="33"/>
      <c r="H9" s="49"/>
      <c r="I9" s="44"/>
    </row>
    <row r="10" spans="2:9" x14ac:dyDescent="0.2">
      <c r="B10" s="49"/>
      <c r="C10" s="49"/>
      <c r="D10" s="49"/>
      <c r="E10" s="32"/>
      <c r="F10" s="32"/>
      <c r="G10" s="33"/>
      <c r="H10" s="49"/>
      <c r="I10" s="44"/>
    </row>
    <row r="11" spans="2:9" x14ac:dyDescent="0.2">
      <c r="B11" s="49"/>
      <c r="C11" s="49"/>
      <c r="D11" s="49"/>
      <c r="E11" s="32"/>
      <c r="F11" s="32"/>
      <c r="G11" s="33"/>
      <c r="H11" s="49"/>
      <c r="I11" s="44"/>
    </row>
    <row r="12" spans="2:9" x14ac:dyDescent="0.2">
      <c r="B12" s="49"/>
      <c r="C12" s="49"/>
      <c r="D12" s="49"/>
      <c r="E12" s="32"/>
      <c r="F12" s="32"/>
      <c r="G12" s="33"/>
      <c r="H12" s="49"/>
      <c r="I12" s="44"/>
    </row>
    <row r="13" spans="2:9" x14ac:dyDescent="0.2">
      <c r="B13" s="49"/>
      <c r="C13" s="49"/>
      <c r="D13" s="49"/>
      <c r="E13" s="32"/>
      <c r="F13" s="32"/>
      <c r="G13" s="33"/>
      <c r="H13" s="49"/>
      <c r="I13" s="44"/>
    </row>
    <row r="14" spans="2:9" x14ac:dyDescent="0.2">
      <c r="B14" s="49"/>
      <c r="C14" s="49"/>
      <c r="D14" s="49"/>
      <c r="E14" s="32"/>
      <c r="F14" s="32"/>
      <c r="G14" s="33"/>
      <c r="H14" s="49"/>
      <c r="I14" s="44"/>
    </row>
    <row r="15" spans="2:9" x14ac:dyDescent="0.2">
      <c r="B15" s="49"/>
      <c r="C15" s="49"/>
      <c r="D15" s="49"/>
      <c r="E15" s="32"/>
      <c r="F15" s="32"/>
      <c r="G15" s="33"/>
      <c r="H15" s="49"/>
      <c r="I15" s="44"/>
    </row>
    <row r="16" spans="2:9" x14ac:dyDescent="0.2">
      <c r="B16" s="49"/>
      <c r="C16" s="49"/>
      <c r="D16" s="49"/>
      <c r="E16" s="32"/>
      <c r="F16" s="32"/>
      <c r="G16" s="33"/>
      <c r="H16" s="49"/>
      <c r="I16" s="44"/>
    </row>
    <row r="17" spans="2:9" x14ac:dyDescent="0.2">
      <c r="B17" s="49"/>
      <c r="C17" s="49"/>
      <c r="D17" s="49"/>
      <c r="E17" s="32"/>
      <c r="F17" s="32"/>
      <c r="G17" s="33"/>
      <c r="H17" s="49"/>
      <c r="I17" s="44"/>
    </row>
    <row r="18" spans="2:9" x14ac:dyDescent="0.2">
      <c r="B18" s="49"/>
      <c r="C18" s="49"/>
      <c r="D18" s="49"/>
      <c r="E18" s="32"/>
      <c r="F18" s="32"/>
      <c r="G18" s="33"/>
      <c r="H18" s="49"/>
      <c r="I18" s="44"/>
    </row>
    <row r="19" spans="2:9" x14ac:dyDescent="0.2">
      <c r="B19" s="49"/>
      <c r="C19" s="49"/>
      <c r="D19" s="49"/>
      <c r="E19" s="32"/>
      <c r="F19" s="32"/>
      <c r="G19" s="33"/>
      <c r="H19" s="49"/>
      <c r="I19" s="44"/>
    </row>
    <row r="20" spans="2:9" x14ac:dyDescent="0.2">
      <c r="B20" s="49"/>
      <c r="C20" s="49"/>
      <c r="D20" s="49"/>
      <c r="E20" s="32"/>
      <c r="F20" s="32"/>
      <c r="G20" s="41"/>
      <c r="H20" s="49"/>
      <c r="I20" s="44"/>
    </row>
    <row r="21" spans="2:9" x14ac:dyDescent="0.2">
      <c r="B21" s="49"/>
      <c r="C21" s="40"/>
      <c r="D21" s="49"/>
      <c r="E21" s="32"/>
      <c r="F21" s="32"/>
      <c r="G21" s="41"/>
      <c r="H21" s="49"/>
      <c r="I21" s="44"/>
    </row>
    <row r="22" spans="2:9" x14ac:dyDescent="0.2">
      <c r="B22" s="49"/>
      <c r="C22" s="49"/>
      <c r="D22" s="49"/>
      <c r="E22" s="32"/>
      <c r="F22" s="32"/>
      <c r="G22" s="33"/>
      <c r="H22" s="49"/>
      <c r="I22" s="44"/>
    </row>
    <row r="23" spans="2:9" x14ac:dyDescent="0.2">
      <c r="B23" s="49"/>
      <c r="C23" s="49"/>
      <c r="D23" s="49"/>
      <c r="E23" s="32"/>
      <c r="F23" s="32"/>
      <c r="G23" s="33"/>
      <c r="H23" s="49"/>
      <c r="I23" s="44"/>
    </row>
    <row r="24" spans="2:9" x14ac:dyDescent="0.2">
      <c r="B24" s="49"/>
      <c r="C24" s="49"/>
      <c r="D24" s="49"/>
      <c r="E24" s="32"/>
      <c r="F24" s="32"/>
      <c r="G24" s="33"/>
      <c r="H24" s="49"/>
      <c r="I24" s="44"/>
    </row>
    <row r="25" spans="2:9" x14ac:dyDescent="0.2">
      <c r="B25" s="49"/>
      <c r="C25" s="48"/>
      <c r="D25" s="49"/>
      <c r="E25" s="32"/>
      <c r="F25" s="32"/>
      <c r="G25" s="33"/>
      <c r="H25" s="49"/>
      <c r="I25" s="44"/>
    </row>
    <row r="26" spans="2:9" x14ac:dyDescent="0.2">
      <c r="B26" s="49"/>
      <c r="C26" s="49"/>
      <c r="D26" s="49"/>
      <c r="E26" s="32"/>
      <c r="F26" s="32"/>
      <c r="G26" s="33"/>
      <c r="H26" s="49"/>
      <c r="I26" s="44"/>
    </row>
    <row r="27" spans="2:9" x14ac:dyDescent="0.2">
      <c r="B27" s="49"/>
      <c r="C27" s="49"/>
      <c r="D27" s="49"/>
      <c r="E27" s="32"/>
      <c r="F27" s="32"/>
      <c r="G27" s="33"/>
      <c r="H27" s="49"/>
      <c r="I27" s="44"/>
    </row>
    <row r="28" spans="2:9" x14ac:dyDescent="0.2">
      <c r="B28" s="49"/>
      <c r="C28" s="49"/>
      <c r="D28" s="49"/>
      <c r="E28" s="32"/>
      <c r="F28" s="32"/>
      <c r="G28" s="33"/>
      <c r="H28" s="49"/>
      <c r="I28" s="44"/>
    </row>
    <row r="29" spans="2:9" x14ac:dyDescent="0.2">
      <c r="B29" s="49"/>
      <c r="C29" s="40"/>
      <c r="D29" s="49"/>
      <c r="E29" s="47"/>
      <c r="F29" s="32"/>
      <c r="G29" s="41"/>
      <c r="H29" s="49"/>
      <c r="I29" s="44"/>
    </row>
    <row r="30" spans="2:9" x14ac:dyDescent="0.2">
      <c r="B30" s="49"/>
      <c r="C30" s="49"/>
      <c r="D30" s="49"/>
      <c r="E30" s="32"/>
      <c r="F30" s="32"/>
      <c r="G30" s="41"/>
      <c r="H30" s="49"/>
      <c r="I30" s="44"/>
    </row>
    <row r="31" spans="2:9" x14ac:dyDescent="0.2">
      <c r="B31" s="49"/>
      <c r="C31" s="49"/>
      <c r="D31" s="49"/>
      <c r="E31" s="32"/>
      <c r="F31" s="32"/>
      <c r="G31" s="41"/>
      <c r="H31" s="49"/>
      <c r="I31" s="44"/>
    </row>
    <row r="32" spans="2:9" x14ac:dyDescent="0.2">
      <c r="B32" s="49"/>
      <c r="C32" s="49"/>
      <c r="D32" s="49"/>
      <c r="E32" s="32"/>
      <c r="F32" s="32"/>
      <c r="G32" s="33"/>
      <c r="H32" s="49"/>
      <c r="I32" s="44"/>
    </row>
    <row r="33" spans="2:9" x14ac:dyDescent="0.2">
      <c r="B33" s="49"/>
      <c r="C33" s="49"/>
      <c r="D33" s="49"/>
      <c r="E33" s="32"/>
      <c r="F33" s="32"/>
      <c r="G33" s="33"/>
      <c r="H33" s="49"/>
      <c r="I33" s="44"/>
    </row>
    <row r="34" spans="2:9" x14ac:dyDescent="0.2">
      <c r="B34" s="49"/>
      <c r="C34" s="49"/>
      <c r="D34" s="49"/>
      <c r="E34" s="32"/>
      <c r="F34" s="32"/>
      <c r="G34" s="33"/>
      <c r="H34" s="49"/>
      <c r="I34" s="44"/>
    </row>
    <row r="35" spans="2:9" x14ac:dyDescent="0.2">
      <c r="B35" s="49"/>
      <c r="C35" s="49"/>
      <c r="D35" s="49"/>
      <c r="E35" s="32"/>
      <c r="F35" s="32"/>
      <c r="G35" s="33"/>
      <c r="H35" s="49"/>
      <c r="I35" s="44"/>
    </row>
    <row r="36" spans="2:9" x14ac:dyDescent="0.2">
      <c r="B36" s="49"/>
      <c r="C36" s="49"/>
      <c r="D36" s="49"/>
      <c r="E36" s="32"/>
      <c r="F36" s="32"/>
      <c r="G36" s="33"/>
      <c r="H36" s="49"/>
      <c r="I36" s="44"/>
    </row>
    <row r="37" spans="2:9" x14ac:dyDescent="0.2">
      <c r="B37" s="49"/>
      <c r="C37" s="49"/>
      <c r="D37" s="49"/>
      <c r="E37" s="32"/>
      <c r="F37" s="32"/>
      <c r="G37" s="33"/>
      <c r="H37" s="49"/>
      <c r="I37" s="45"/>
    </row>
    <row r="38" spans="2:9" x14ac:dyDescent="0.2">
      <c r="B38" s="49"/>
      <c r="C38" s="49"/>
      <c r="D38" s="49"/>
      <c r="E38" s="32"/>
      <c r="F38" s="32"/>
      <c r="G38" s="33"/>
      <c r="H38" s="49"/>
      <c r="I38" s="44"/>
    </row>
    <row r="39" spans="2:9" x14ac:dyDescent="0.2">
      <c r="B39" s="49"/>
      <c r="C39" s="49"/>
      <c r="D39" s="49"/>
      <c r="E39" s="32"/>
      <c r="F39" s="32"/>
      <c r="G39" s="33"/>
      <c r="H39" s="49"/>
      <c r="I39" s="44"/>
    </row>
    <row r="40" spans="2:9" x14ac:dyDescent="0.2">
      <c r="B40" s="49"/>
      <c r="C40" s="49"/>
      <c r="D40" s="49"/>
      <c r="E40" s="32"/>
      <c r="F40" s="32"/>
      <c r="G40" s="33"/>
      <c r="H40" s="49"/>
      <c r="I40" s="44"/>
    </row>
    <row r="41" spans="2:9" x14ac:dyDescent="0.2">
      <c r="B41" s="49"/>
      <c r="C41" s="49"/>
      <c r="D41" s="49"/>
      <c r="E41" s="32"/>
      <c r="F41" s="32"/>
      <c r="G41" s="33"/>
      <c r="H41" s="49"/>
      <c r="I41" s="44"/>
    </row>
    <row r="42" spans="2:9" x14ac:dyDescent="0.2">
      <c r="B42" s="49"/>
      <c r="C42" s="49"/>
      <c r="D42" s="49"/>
      <c r="E42" s="32"/>
      <c r="F42" s="32"/>
      <c r="G42" s="33"/>
      <c r="H42" s="49"/>
      <c r="I42" s="44"/>
    </row>
    <row r="43" spans="2:9" x14ac:dyDescent="0.2">
      <c r="B43" s="49"/>
      <c r="C43" s="49"/>
      <c r="D43" s="49"/>
      <c r="E43" s="32"/>
      <c r="F43" s="32"/>
      <c r="G43" s="33"/>
      <c r="H43" s="49"/>
      <c r="I43" s="44"/>
    </row>
    <row r="44" spans="2:9" x14ac:dyDescent="0.2">
      <c r="B44" s="49"/>
      <c r="C44" s="49"/>
      <c r="D44" s="49"/>
      <c r="E44" s="32"/>
      <c r="F44" s="32"/>
      <c r="G44" s="33"/>
      <c r="H44" s="49"/>
      <c r="I44" s="44"/>
    </row>
    <row r="45" spans="2:9" x14ac:dyDescent="0.2">
      <c r="B45" s="49"/>
      <c r="C45" s="49"/>
      <c r="D45" s="49"/>
      <c r="E45" s="32"/>
      <c r="F45" s="32"/>
      <c r="G45" s="33"/>
      <c r="H45" s="49"/>
      <c r="I45" s="44"/>
    </row>
    <row r="46" spans="2:9" x14ac:dyDescent="0.2">
      <c r="B46" s="49"/>
      <c r="C46" s="49"/>
      <c r="D46" s="49"/>
      <c r="E46" s="32"/>
      <c r="F46" s="32"/>
      <c r="G46" s="33"/>
      <c r="H46" s="49"/>
      <c r="I46" s="44"/>
    </row>
    <row r="47" spans="2:9" x14ac:dyDescent="0.2">
      <c r="B47" s="49"/>
      <c r="C47" s="49"/>
      <c r="D47" s="49"/>
      <c r="E47" s="32"/>
      <c r="F47" s="32"/>
      <c r="G47" s="33"/>
      <c r="H47" s="49"/>
      <c r="I47" s="44"/>
    </row>
    <row r="48" spans="2:9" x14ac:dyDescent="0.2">
      <c r="B48" s="49"/>
      <c r="C48" s="52"/>
      <c r="D48" s="52"/>
      <c r="E48" s="50"/>
      <c r="F48" s="50"/>
      <c r="G48" s="33"/>
      <c r="H48" s="52"/>
      <c r="I48" s="51"/>
    </row>
    <row r="49" spans="2:9" x14ac:dyDescent="0.2">
      <c r="B49" s="49"/>
      <c r="C49" s="52"/>
      <c r="D49" s="52"/>
      <c r="E49" s="50"/>
      <c r="F49" s="50"/>
      <c r="G49" s="33"/>
      <c r="H49" s="52"/>
      <c r="I49" s="52"/>
    </row>
    <row r="50" spans="2:9" x14ac:dyDescent="0.2">
      <c r="B50" s="49"/>
      <c r="C50" s="52"/>
      <c r="D50" s="52"/>
      <c r="E50" s="50"/>
      <c r="F50" s="50"/>
      <c r="G50" s="33"/>
      <c r="H50" s="52"/>
      <c r="I50" s="52"/>
    </row>
    <row r="51" spans="2:9" x14ac:dyDescent="0.2">
      <c r="B51" s="49"/>
      <c r="C51" s="52"/>
      <c r="D51" s="52"/>
      <c r="E51" s="50"/>
      <c r="F51" s="50"/>
      <c r="G51" s="33"/>
      <c r="H51" s="52"/>
      <c r="I51" s="52"/>
    </row>
    <row r="52" spans="2:9" x14ac:dyDescent="0.2">
      <c r="B52" s="49"/>
      <c r="C52" s="52"/>
      <c r="D52" s="52"/>
      <c r="E52" s="50"/>
      <c r="F52" s="50"/>
      <c r="G52" s="33"/>
      <c r="H52" s="52"/>
      <c r="I52" s="52"/>
    </row>
    <row r="53" spans="2:9" x14ac:dyDescent="0.2">
      <c r="B53" s="49"/>
      <c r="C53" s="52"/>
      <c r="D53" s="52"/>
      <c r="E53" s="50"/>
      <c r="F53" s="50"/>
      <c r="G53" s="33"/>
      <c r="H53" s="52"/>
      <c r="I53" s="52"/>
    </row>
    <row r="54" spans="2:9" x14ac:dyDescent="0.2">
      <c r="B54" s="49"/>
      <c r="C54" s="52"/>
      <c r="D54" s="52"/>
      <c r="E54" s="50"/>
      <c r="F54" s="50"/>
      <c r="G54" s="33"/>
      <c r="H54" s="52"/>
      <c r="I54" s="52"/>
    </row>
    <row r="55" spans="2:9" x14ac:dyDescent="0.2">
      <c r="B55" s="49"/>
      <c r="C55" s="52"/>
      <c r="D55" s="52"/>
      <c r="E55" s="50"/>
      <c r="F55" s="50"/>
      <c r="G55" s="33"/>
      <c r="H55" s="52"/>
      <c r="I55" s="52"/>
    </row>
    <row r="56" spans="2:9" x14ac:dyDescent="0.2">
      <c r="B56" s="49"/>
      <c r="C56" s="52"/>
      <c r="D56" s="52"/>
      <c r="E56" s="50"/>
      <c r="F56" s="50"/>
      <c r="G56" s="33"/>
      <c r="H56" s="52"/>
      <c r="I56" s="52"/>
    </row>
    <row r="57" spans="2:9" x14ac:dyDescent="0.2">
      <c r="B57" s="49"/>
      <c r="C57" s="52"/>
      <c r="D57" s="52"/>
      <c r="E57" s="50"/>
      <c r="F57" s="50"/>
      <c r="G57" s="33"/>
      <c r="H57" s="52"/>
      <c r="I57" s="52"/>
    </row>
    <row r="58" spans="2:9" x14ac:dyDescent="0.2">
      <c r="B58" s="49"/>
      <c r="C58" s="52"/>
      <c r="D58" s="52"/>
      <c r="E58" s="50"/>
      <c r="F58" s="50"/>
      <c r="G58" s="33"/>
      <c r="H58" s="52"/>
      <c r="I58" s="52"/>
    </row>
    <row r="59" spans="2:9" x14ac:dyDescent="0.2">
      <c r="B59" s="49"/>
      <c r="C59" s="52"/>
      <c r="D59" s="52"/>
      <c r="E59" s="50"/>
      <c r="F59" s="50"/>
      <c r="G59" s="33"/>
      <c r="H59" s="52"/>
      <c r="I59" s="52"/>
    </row>
    <row r="60" spans="2:9" x14ac:dyDescent="0.2">
      <c r="B60" s="49"/>
      <c r="C60" s="52"/>
      <c r="D60" s="52"/>
      <c r="E60" s="50"/>
      <c r="F60" s="50"/>
      <c r="G60" s="33"/>
      <c r="H60" s="52"/>
      <c r="I60" s="52"/>
    </row>
    <row r="61" spans="2:9" x14ac:dyDescent="0.2">
      <c r="B61" s="49"/>
      <c r="C61" s="52"/>
      <c r="D61" s="52"/>
      <c r="E61" s="50"/>
      <c r="F61" s="50"/>
      <c r="G61" s="33"/>
      <c r="H61" s="52"/>
      <c r="I61" s="52"/>
    </row>
    <row r="62" spans="2:9" x14ac:dyDescent="0.2">
      <c r="B62" s="49"/>
      <c r="C62" s="52"/>
      <c r="D62" s="52"/>
      <c r="E62" s="50"/>
      <c r="F62" s="50"/>
      <c r="G62" s="41"/>
      <c r="H62" s="52"/>
      <c r="I62" s="52"/>
    </row>
    <row r="63" spans="2:9" x14ac:dyDescent="0.2">
      <c r="B63" s="49"/>
      <c r="C63" s="52"/>
      <c r="D63" s="52"/>
      <c r="E63" s="50"/>
      <c r="F63" s="50"/>
      <c r="G63" s="41"/>
      <c r="H63" s="52"/>
      <c r="I63" s="52"/>
    </row>
    <row r="64" spans="2:9" x14ac:dyDescent="0.2">
      <c r="B64" s="49"/>
      <c r="C64" s="52"/>
      <c r="D64" s="52"/>
      <c r="E64" s="50"/>
      <c r="F64" s="50"/>
      <c r="G64" s="41"/>
      <c r="H64" s="52"/>
      <c r="I64" s="52"/>
    </row>
    <row r="65" spans="2:9" x14ac:dyDescent="0.2">
      <c r="B65" s="49"/>
      <c r="C65" s="52"/>
      <c r="D65" s="52"/>
      <c r="E65" s="50"/>
      <c r="F65" s="50"/>
      <c r="G65" s="33"/>
      <c r="H65" s="52"/>
      <c r="I65" s="52"/>
    </row>
    <row r="66" spans="2:9" x14ac:dyDescent="0.2">
      <c r="B66" s="49"/>
      <c r="C66" s="52"/>
      <c r="D66" s="52"/>
      <c r="E66" s="50"/>
      <c r="F66" s="50"/>
      <c r="G66" s="41"/>
      <c r="H66" s="52"/>
      <c r="I66" s="52"/>
    </row>
    <row r="67" spans="2:9" x14ac:dyDescent="0.2">
      <c r="B67" s="49"/>
      <c r="C67" s="49"/>
      <c r="D67" s="49"/>
      <c r="E67" s="32"/>
      <c r="F67" s="32"/>
      <c r="G67" s="33"/>
      <c r="H67" s="49"/>
      <c r="I67" s="44"/>
    </row>
    <row r="68" spans="2:9" x14ac:dyDescent="0.2">
      <c r="B68" s="49"/>
      <c r="C68" s="40"/>
      <c r="D68" s="49"/>
      <c r="E68" s="32"/>
      <c r="F68" s="32"/>
      <c r="G68" s="41"/>
      <c r="H68" s="49"/>
      <c r="I68" s="44"/>
    </row>
    <row r="69" spans="2:9" x14ac:dyDescent="0.2">
      <c r="B69" s="49"/>
      <c r="C69" s="49"/>
      <c r="D69" s="49"/>
      <c r="E69" s="32"/>
      <c r="F69" s="32"/>
      <c r="G69" s="33"/>
      <c r="H69" s="49"/>
      <c r="I69" s="45"/>
    </row>
    <row r="70" spans="2:9" x14ac:dyDescent="0.2">
      <c r="B70" s="49"/>
      <c r="C70" s="49"/>
      <c r="D70" s="49"/>
      <c r="E70" s="32"/>
      <c r="F70" s="32"/>
      <c r="G70" s="33"/>
      <c r="H70" s="49"/>
      <c r="I70" s="44"/>
    </row>
    <row r="71" spans="2:9" x14ac:dyDescent="0.2">
      <c r="B71" s="49"/>
      <c r="C71" s="49"/>
      <c r="D71" s="49"/>
      <c r="E71" s="32"/>
      <c r="F71" s="32"/>
      <c r="G71" s="33"/>
      <c r="H71" s="49"/>
      <c r="I71" s="44"/>
    </row>
    <row r="72" spans="2:9" x14ac:dyDescent="0.2">
      <c r="B72" s="49"/>
      <c r="C72" s="49"/>
      <c r="D72" s="49"/>
      <c r="E72" s="32"/>
      <c r="F72" s="32"/>
      <c r="G72" s="33"/>
      <c r="H72" s="49"/>
      <c r="I72" s="44"/>
    </row>
    <row r="73" spans="2:9" x14ac:dyDescent="0.2">
      <c r="B73" s="49"/>
      <c r="C73" s="49"/>
      <c r="D73" s="49"/>
      <c r="E73" s="32"/>
      <c r="F73" s="32"/>
      <c r="G73" s="33"/>
      <c r="H73" s="49"/>
      <c r="I73" s="44"/>
    </row>
    <row r="74" spans="2:9" x14ac:dyDescent="0.2">
      <c r="B74" s="49"/>
      <c r="C74" s="49"/>
      <c r="D74" s="49"/>
      <c r="E74" s="32"/>
      <c r="F74" s="32"/>
      <c r="G74" s="33"/>
      <c r="H74" s="49"/>
      <c r="I74" s="44"/>
    </row>
    <row r="75" spans="2:9" x14ac:dyDescent="0.2">
      <c r="B75" s="49"/>
      <c r="C75" s="49"/>
      <c r="D75" s="49"/>
      <c r="E75" s="32"/>
      <c r="F75" s="32"/>
      <c r="G75" s="33"/>
      <c r="H75" s="49"/>
      <c r="I75" s="44"/>
    </row>
    <row r="76" spans="2:9" x14ac:dyDescent="0.2">
      <c r="B76" s="49"/>
      <c r="C76" s="40"/>
      <c r="D76" s="49"/>
      <c r="E76" s="32"/>
      <c r="F76" s="32"/>
      <c r="G76" s="41"/>
      <c r="H76" s="49"/>
      <c r="I76" s="44"/>
    </row>
    <row r="77" spans="2:9" x14ac:dyDescent="0.2">
      <c r="B77" s="49"/>
      <c r="C77" s="49"/>
      <c r="D77" s="49"/>
      <c r="E77" s="32"/>
      <c r="F77" s="32"/>
      <c r="G77" s="33"/>
      <c r="H77" s="49"/>
      <c r="I77" s="44"/>
    </row>
    <row r="78" spans="2:9" x14ac:dyDescent="0.2">
      <c r="B78" s="49"/>
      <c r="C78" s="49"/>
      <c r="D78" s="49"/>
      <c r="E78" s="32"/>
      <c r="F78" s="32"/>
      <c r="G78" s="33"/>
      <c r="H78" s="49"/>
      <c r="I78" s="44"/>
    </row>
    <row r="79" spans="2:9" x14ac:dyDescent="0.2">
      <c r="B79" s="49"/>
      <c r="C79" s="40"/>
      <c r="D79" s="49"/>
      <c r="E79" s="32"/>
      <c r="F79" s="32"/>
      <c r="G79" s="41"/>
      <c r="H79" s="49"/>
      <c r="I79" s="45"/>
    </row>
    <row r="80" spans="2:9" x14ac:dyDescent="0.2">
      <c r="B80" s="49"/>
      <c r="C80" s="49"/>
      <c r="D80" s="49"/>
      <c r="E80" s="32"/>
      <c r="F80" s="32"/>
      <c r="G80" s="33"/>
      <c r="H80" s="49"/>
      <c r="I80" s="44"/>
    </row>
    <row r="81" spans="2:9" x14ac:dyDescent="0.2">
      <c r="B81" s="49"/>
      <c r="C81" s="49"/>
      <c r="D81" s="49"/>
      <c r="E81" s="32"/>
      <c r="F81" s="32"/>
      <c r="G81" s="33"/>
      <c r="H81" s="49"/>
      <c r="I81" s="44"/>
    </row>
    <row r="82" spans="2:9" x14ac:dyDescent="0.2">
      <c r="B82" s="49"/>
      <c r="C82" s="49"/>
      <c r="D82" s="49"/>
      <c r="E82" s="32"/>
      <c r="F82" s="32"/>
      <c r="G82" s="33"/>
      <c r="H82" s="49"/>
      <c r="I82" s="44"/>
    </row>
    <row r="83" spans="2:9" x14ac:dyDescent="0.2">
      <c r="B83" s="49"/>
      <c r="C83" s="49"/>
      <c r="D83" s="49"/>
      <c r="E83" s="32"/>
      <c r="F83" s="32"/>
      <c r="G83" s="33"/>
      <c r="H83" s="49"/>
      <c r="I83" s="44"/>
    </row>
    <row r="84" spans="2:9" x14ac:dyDescent="0.2">
      <c r="B84" s="49"/>
      <c r="C84" s="49"/>
      <c r="D84" s="49"/>
      <c r="E84" s="32"/>
      <c r="F84" s="32"/>
      <c r="G84" s="33"/>
      <c r="H84" s="49"/>
      <c r="I84" s="44"/>
    </row>
    <row r="85" spans="2:9" x14ac:dyDescent="0.2">
      <c r="B85" s="49"/>
      <c r="C85" s="49"/>
      <c r="D85" s="49"/>
      <c r="E85" s="32"/>
      <c r="F85" s="32"/>
      <c r="G85" s="33"/>
      <c r="H85" s="49"/>
      <c r="I85" s="44"/>
    </row>
    <row r="86" spans="2:9" x14ac:dyDescent="0.2">
      <c r="B86" s="49"/>
      <c r="C86" s="40"/>
      <c r="D86" s="49"/>
      <c r="E86" s="32"/>
      <c r="F86" s="32"/>
      <c r="G86" s="41">
        <f>Table4[[#This Row],[Eligible]]-Table4[[#This Row],[Original]]</f>
        <v>0</v>
      </c>
      <c r="H86" s="49"/>
      <c r="I86" s="44"/>
    </row>
    <row r="87" spans="2:9" x14ac:dyDescent="0.2">
      <c r="B87" s="49"/>
      <c r="C87" s="40"/>
      <c r="D87" s="49"/>
      <c r="E87" s="32"/>
      <c r="F87" s="32"/>
      <c r="G87" s="41">
        <f>Table4[[#This Row],[Eligible]]-Table4[[#This Row],[Original]]</f>
        <v>0</v>
      </c>
      <c r="H87" s="49"/>
      <c r="I87" s="44"/>
    </row>
    <row r="88" spans="2:9" x14ac:dyDescent="0.2">
      <c r="B88" s="49"/>
      <c r="C88" s="40"/>
      <c r="D88" s="49"/>
      <c r="E88" s="32"/>
      <c r="F88" s="32"/>
      <c r="G88" s="41">
        <f>Table4[[#This Row],[Eligible]]-Table4[[#This Row],[Original]]</f>
        <v>0</v>
      </c>
      <c r="H88" s="49"/>
      <c r="I88" s="44"/>
    </row>
    <row r="89" spans="2:9" x14ac:dyDescent="0.2">
      <c r="B89" s="49"/>
      <c r="C89" s="40"/>
      <c r="D89" s="49"/>
      <c r="E89" s="32"/>
      <c r="F89" s="32"/>
      <c r="G89" s="41">
        <f>Table4[[#This Row],[Eligible]]-Table4[[#This Row],[Original]]</f>
        <v>0</v>
      </c>
      <c r="H89" s="49"/>
      <c r="I89" s="44"/>
    </row>
    <row r="90" spans="2:9" x14ac:dyDescent="0.2">
      <c r="B90" s="49"/>
      <c r="C90" s="40"/>
      <c r="D90" s="49"/>
      <c r="E90" s="32"/>
      <c r="F90" s="32"/>
      <c r="G90" s="41">
        <f>Table4[[#This Row],[Eligible]]-Table4[[#This Row],[Original]]</f>
        <v>0</v>
      </c>
      <c r="H90" s="49"/>
      <c r="I90" s="44"/>
    </row>
  </sheetData>
  <sheetProtection formatColumns="0" formatRows="0" deleteRows="0" selectLockedCells="1" autoFilter="0"/>
  <mergeCells count="1">
    <mergeCell ref="E1:F1"/>
  </mergeCells>
  <dataValidations count="2">
    <dataValidation type="list" allowBlank="1" showInputMessage="1" showErrorMessage="1" sqref="D86:D90 D3:D85" xr:uid="{264F433D-797B-43B7-A1B7-7EB3A3ED76A9}">
      <formula1>"A, B, C, D, E, F, G"</formula1>
    </dataValidation>
    <dataValidation type="list" allowBlank="1" showInputMessage="1" showErrorMessage="1" sqref="H86:H90 H3:H85" xr:uid="{E56A3AE3-C95F-4D67-9A91-0B465717EFED}">
      <formula1>"Lack of Maintenance, Unable to Validate Damage, Unreasonable Dimensions, Mitigation, Soft Costs, No Cost Docs, Unsubstantiated Costs, Other, No reduction"</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4FEC2DD3-CFFE-425D-AC35-0E353302EA85}">
          <x14:formula1>
            <xm:f>'County Populations'!#REF!</xm:f>
          </x14:formula1>
          <xm:sqref>B3:B90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221A-24C5-4E8F-9E54-50CE231B8ED9}">
  <sheetPr>
    <tabColor theme="4" tint="-0.249977111117893"/>
  </sheetPr>
  <dimension ref="A1:E108"/>
  <sheetViews>
    <sheetView workbookViewId="0">
      <selection activeCell="D17" sqref="D17:D108"/>
    </sheetView>
  </sheetViews>
  <sheetFormatPr defaultRowHeight="15" x14ac:dyDescent="0.25"/>
  <cols>
    <col min="1" max="1" width="26.7109375" bestFit="1" customWidth="1"/>
    <col min="2" max="2" width="15.42578125" style="1" bestFit="1" customWidth="1"/>
    <col min="3" max="3" width="2.7109375" customWidth="1"/>
    <col min="4" max="4" width="19.7109375" customWidth="1"/>
    <col min="5" max="5" width="19.140625" customWidth="1"/>
    <col min="9" max="9" width="11" bestFit="1" customWidth="1"/>
    <col min="16" max="16" width="35.7109375" bestFit="1" customWidth="1"/>
  </cols>
  <sheetData>
    <row r="1" spans="1:5" ht="21" x14ac:dyDescent="0.35">
      <c r="A1" s="262" t="s">
        <v>354</v>
      </c>
      <c r="B1" s="262"/>
      <c r="C1" s="262"/>
      <c r="D1" s="262"/>
      <c r="E1" s="262"/>
    </row>
    <row r="2" spans="1:5" ht="7.15" customHeight="1" x14ac:dyDescent="0.25"/>
    <row r="3" spans="1:5" x14ac:dyDescent="0.25">
      <c r="A3" s="148" t="s">
        <v>201</v>
      </c>
      <c r="B3" s="148" t="s">
        <v>202</v>
      </c>
    </row>
    <row r="4" spans="1:5" x14ac:dyDescent="0.25">
      <c r="A4" s="148" t="s">
        <v>203</v>
      </c>
      <c r="B4" s="61"/>
    </row>
    <row r="5" spans="1:5" x14ac:dyDescent="0.25">
      <c r="A5" s="148" t="s">
        <v>204</v>
      </c>
    </row>
    <row r="6" spans="1:5" x14ac:dyDescent="0.25">
      <c r="A6" s="1"/>
    </row>
    <row r="7" spans="1:5" x14ac:dyDescent="0.25">
      <c r="A7" s="1" t="s">
        <v>205</v>
      </c>
      <c r="B7" s="1" t="s">
        <v>7</v>
      </c>
    </row>
    <row r="8" spans="1:5" x14ac:dyDescent="0.25">
      <c r="A8" s="148" t="s">
        <v>208</v>
      </c>
      <c r="D8" s="1" t="s">
        <v>207</v>
      </c>
      <c r="E8" s="1" t="s">
        <v>207</v>
      </c>
    </row>
    <row r="9" spans="1:5" x14ac:dyDescent="0.25">
      <c r="A9" s="148" t="s">
        <v>206</v>
      </c>
      <c r="B9" s="1">
        <f>'Input Sheet'!B2</f>
        <v>0</v>
      </c>
    </row>
    <row r="10" spans="1:5" x14ac:dyDescent="0.25">
      <c r="A10" s="1"/>
    </row>
    <row r="11" spans="1:5" x14ac:dyDescent="0.25">
      <c r="A11" s="1" t="s">
        <v>209</v>
      </c>
      <c r="B11" s="1" t="s">
        <v>7</v>
      </c>
    </row>
    <row r="12" spans="1:5" x14ac:dyDescent="0.25">
      <c r="A12" s="56" t="s">
        <v>210</v>
      </c>
      <c r="B12" s="132"/>
    </row>
    <row r="13" spans="1:5" x14ac:dyDescent="0.25">
      <c r="A13" s="148" t="s">
        <v>211</v>
      </c>
      <c r="B13" s="133">
        <f>Summary!K6*'Input Sheet'!J1</f>
        <v>13163924.32</v>
      </c>
      <c r="D13" s="62"/>
    </row>
    <row r="14" spans="1:5" x14ac:dyDescent="0.25">
      <c r="A14" s="148"/>
      <c r="B14" s="53"/>
    </row>
    <row r="15" spans="1:5" x14ac:dyDescent="0.25">
      <c r="A15" s="148" t="s">
        <v>212</v>
      </c>
      <c r="B15" s="54" t="s">
        <v>7</v>
      </c>
    </row>
    <row r="16" spans="1:5" x14ac:dyDescent="0.25">
      <c r="A16" s="148" t="s">
        <v>213</v>
      </c>
      <c r="B16" s="131">
        <v>1.94</v>
      </c>
      <c r="D16" t="s">
        <v>11</v>
      </c>
      <c r="E16" s="1" t="s">
        <v>7</v>
      </c>
    </row>
    <row r="17" spans="1:5" x14ac:dyDescent="0.25">
      <c r="A17" s="148" t="s">
        <v>214</v>
      </c>
      <c r="B17" s="131">
        <v>4.8600000000000003</v>
      </c>
      <c r="D17" s="213" t="s">
        <v>271</v>
      </c>
      <c r="E17" s="214">
        <f>_xlfn.XLOOKUP(Table114[[#This Row],[County]], Summary[County], Summary[Total])</f>
        <v>0</v>
      </c>
    </row>
    <row r="18" spans="1:5" x14ac:dyDescent="0.25">
      <c r="A18" s="148" t="s">
        <v>215</v>
      </c>
      <c r="B18" s="133">
        <v>4100</v>
      </c>
      <c r="D18" s="211" t="s">
        <v>362</v>
      </c>
      <c r="E18" s="212">
        <f>_xlfn.XLOOKUP(Table114[[#This Row],[County]], Summary[County], Summary[Total])</f>
        <v>0</v>
      </c>
    </row>
    <row r="19" spans="1:5" x14ac:dyDescent="0.25">
      <c r="A19" s="148" t="s">
        <v>216</v>
      </c>
      <c r="B19" s="133">
        <v>1093800</v>
      </c>
      <c r="D19" s="211" t="s">
        <v>363</v>
      </c>
      <c r="E19" s="212">
        <f>_xlfn.XLOOKUP(Table114[[#This Row],[County]], Summary[County], Summary[Total])</f>
        <v>0</v>
      </c>
    </row>
    <row r="20" spans="1:5" x14ac:dyDescent="0.25">
      <c r="A20" s="1"/>
      <c r="D20" s="211" t="s">
        <v>364</v>
      </c>
      <c r="E20" s="212">
        <f>_xlfn.XLOOKUP(Table114[[#This Row],[County]], Summary[County], Summary[Total])</f>
        <v>0</v>
      </c>
    </row>
    <row r="21" spans="1:5" x14ac:dyDescent="0.25">
      <c r="A21" s="1" t="s">
        <v>217</v>
      </c>
      <c r="B21" s="1" t="s">
        <v>7</v>
      </c>
      <c r="D21" s="211" t="s">
        <v>365</v>
      </c>
      <c r="E21" s="212">
        <f>_xlfn.XLOOKUP(Table114[[#This Row],[County]], Summary[County], Summary[Total])</f>
        <v>0</v>
      </c>
    </row>
    <row r="22" spans="1:5" x14ac:dyDescent="0.25">
      <c r="A22" s="148" t="s">
        <v>219</v>
      </c>
      <c r="B22" s="134"/>
      <c r="D22" s="211" t="s">
        <v>366</v>
      </c>
      <c r="E22" s="212">
        <f>_xlfn.XLOOKUP(Table114[[#This Row],[County]], Summary[County], Summary[Total])</f>
        <v>0</v>
      </c>
    </row>
    <row r="23" spans="1:5" x14ac:dyDescent="0.25">
      <c r="A23" s="148" t="s">
        <v>221</v>
      </c>
      <c r="B23" s="134"/>
      <c r="D23" s="211" t="s">
        <v>278</v>
      </c>
      <c r="E23" s="212">
        <f>_xlfn.XLOOKUP(Table114[[#This Row],[County]], Summary[County], Summary[Total])</f>
        <v>0</v>
      </c>
    </row>
    <row r="24" spans="1:5" x14ac:dyDescent="0.25">
      <c r="A24" s="148" t="s">
        <v>222</v>
      </c>
      <c r="B24" s="134"/>
      <c r="D24" s="211" t="s">
        <v>367</v>
      </c>
      <c r="E24" s="212">
        <f>_xlfn.XLOOKUP(Table114[[#This Row],[County]], Summary[County], Summary[Total])</f>
        <v>0</v>
      </c>
    </row>
    <row r="25" spans="1:5" x14ac:dyDescent="0.25">
      <c r="A25" s="148" t="s">
        <v>223</v>
      </c>
      <c r="B25" s="134"/>
      <c r="D25" s="211" t="s">
        <v>356</v>
      </c>
      <c r="E25" s="212">
        <f>_xlfn.XLOOKUP(Table114[[#This Row],[County]], Summary[County], Summary[Total])</f>
        <v>0</v>
      </c>
    </row>
    <row r="26" spans="1:5" x14ac:dyDescent="0.25">
      <c r="A26" s="148" t="s">
        <v>224</v>
      </c>
      <c r="B26" s="134"/>
      <c r="D26" s="211" t="s">
        <v>265</v>
      </c>
      <c r="E26" s="212">
        <f>_xlfn.XLOOKUP(Table114[[#This Row],[County]], Summary[County], Summary[Total])</f>
        <v>0</v>
      </c>
    </row>
    <row r="27" spans="1:5" x14ac:dyDescent="0.25">
      <c r="A27" s="148" t="s">
        <v>225</v>
      </c>
      <c r="B27" s="134"/>
      <c r="D27" s="211" t="s">
        <v>368</v>
      </c>
      <c r="E27" s="212">
        <f>_xlfn.XLOOKUP(Table114[[#This Row],[County]], Summary[County], Summary[Total])</f>
        <v>0</v>
      </c>
    </row>
    <row r="28" spans="1:5" x14ac:dyDescent="0.25">
      <c r="A28" s="148" t="s">
        <v>226</v>
      </c>
      <c r="B28" s="134"/>
      <c r="D28" s="211" t="s">
        <v>357</v>
      </c>
      <c r="E28" s="212">
        <f>_xlfn.XLOOKUP(Table114[[#This Row],[County]], Summary[County], Summary[Total])</f>
        <v>0</v>
      </c>
    </row>
    <row r="29" spans="1:5" x14ac:dyDescent="0.25">
      <c r="D29" s="211" t="s">
        <v>28</v>
      </c>
      <c r="E29" s="212">
        <f>_xlfn.XLOOKUP(Table114[[#This Row],[County]], Summary[County], Summary[Total])</f>
        <v>0</v>
      </c>
    </row>
    <row r="30" spans="1:5" x14ac:dyDescent="0.25">
      <c r="A30" s="55" t="s">
        <v>227</v>
      </c>
      <c r="B30" s="55" t="s">
        <v>228</v>
      </c>
      <c r="D30" s="211" t="s">
        <v>369</v>
      </c>
      <c r="E30" s="212">
        <f>_xlfn.XLOOKUP(Table114[[#This Row],[County]], Summary[County], Summary[Total])</f>
        <v>0</v>
      </c>
    </row>
    <row r="31" spans="1:5" x14ac:dyDescent="0.25">
      <c r="A31" s="57"/>
      <c r="B31" s="57"/>
      <c r="D31" s="211" t="s">
        <v>370</v>
      </c>
      <c r="E31" s="212">
        <f>_xlfn.XLOOKUP(Table114[[#This Row],[County]], Summary[County], Summary[Total])</f>
        <v>0</v>
      </c>
    </row>
    <row r="32" spans="1:5" x14ac:dyDescent="0.25">
      <c r="A32" s="57"/>
      <c r="B32" s="57"/>
      <c r="D32" s="211" t="s">
        <v>371</v>
      </c>
      <c r="E32" s="212">
        <f>_xlfn.XLOOKUP(Table114[[#This Row],[County]], Summary[County], Summary[Total])</f>
        <v>0</v>
      </c>
    </row>
    <row r="33" spans="1:5" x14ac:dyDescent="0.25">
      <c r="A33" s="57"/>
      <c r="B33" s="57"/>
      <c r="D33" s="211" t="s">
        <v>372</v>
      </c>
      <c r="E33" s="212">
        <f>_xlfn.XLOOKUP(Table114[[#This Row],[County]], Summary[County], Summary[Total])</f>
        <v>0</v>
      </c>
    </row>
    <row r="34" spans="1:5" x14ac:dyDescent="0.25">
      <c r="A34" s="57"/>
      <c r="B34" s="57"/>
      <c r="D34" s="211" t="s">
        <v>373</v>
      </c>
      <c r="E34" s="212">
        <f>_xlfn.XLOOKUP(Table114[[#This Row],[County]], Summary[County], Summary[Total])</f>
        <v>0</v>
      </c>
    </row>
    <row r="35" spans="1:5" x14ac:dyDescent="0.25">
      <c r="A35" s="57"/>
      <c r="B35" s="57"/>
      <c r="D35" s="211" t="s">
        <v>374</v>
      </c>
      <c r="E35" s="212">
        <f>_xlfn.XLOOKUP(Table114[[#This Row],[County]], Summary[County], Summary[Total])</f>
        <v>0</v>
      </c>
    </row>
    <row r="36" spans="1:5" x14ac:dyDescent="0.25">
      <c r="A36" s="57"/>
      <c r="B36" s="57"/>
      <c r="D36" s="211" t="s">
        <v>375</v>
      </c>
      <c r="E36" s="212">
        <f>_xlfn.XLOOKUP(Table114[[#This Row],[County]], Summary[County], Summary[Total])</f>
        <v>0</v>
      </c>
    </row>
    <row r="37" spans="1:5" x14ac:dyDescent="0.25">
      <c r="A37" s="57"/>
      <c r="B37" s="57"/>
      <c r="D37" s="211" t="s">
        <v>376</v>
      </c>
      <c r="E37" s="212">
        <f>_xlfn.XLOOKUP(Table114[[#This Row],[County]], Summary[County], Summary[Total])</f>
        <v>0</v>
      </c>
    </row>
    <row r="38" spans="1:5" x14ac:dyDescent="0.25">
      <c r="A38" s="57"/>
      <c r="B38" s="57"/>
      <c r="D38" s="211" t="s">
        <v>377</v>
      </c>
      <c r="E38" s="212">
        <f>_xlfn.XLOOKUP(Table114[[#This Row],[County]], Summary[County], Summary[Total])</f>
        <v>0</v>
      </c>
    </row>
    <row r="39" spans="1:5" x14ac:dyDescent="0.25">
      <c r="A39" s="58"/>
      <c r="B39" s="57"/>
      <c r="D39" s="211" t="s">
        <v>378</v>
      </c>
      <c r="E39" s="212">
        <f>_xlfn.XLOOKUP(Table114[[#This Row],[County]], Summary[County], Summary[Total])</f>
        <v>0</v>
      </c>
    </row>
    <row r="40" spans="1:5" x14ac:dyDescent="0.25">
      <c r="A40" s="57"/>
      <c r="B40" s="57"/>
      <c r="D40" s="211" t="s">
        <v>379</v>
      </c>
      <c r="E40" s="212">
        <f>_xlfn.XLOOKUP(Table114[[#This Row],[County]], Summary[County], Summary[Total])</f>
        <v>0</v>
      </c>
    </row>
    <row r="41" spans="1:5" x14ac:dyDescent="0.25">
      <c r="A41" s="57"/>
      <c r="B41" s="57"/>
      <c r="D41" s="211" t="s">
        <v>380</v>
      </c>
      <c r="E41" s="212">
        <f>_xlfn.XLOOKUP(Table114[[#This Row],[County]], Summary[County], Summary[Total])</f>
        <v>0</v>
      </c>
    </row>
    <row r="42" spans="1:5" x14ac:dyDescent="0.25">
      <c r="A42" s="57"/>
      <c r="B42" s="57"/>
      <c r="D42" s="211" t="s">
        <v>381</v>
      </c>
      <c r="E42" s="212">
        <f>_xlfn.XLOOKUP(Table114[[#This Row],[County]], Summary[County], Summary[Total])</f>
        <v>0</v>
      </c>
    </row>
    <row r="43" spans="1:5" x14ac:dyDescent="0.25">
      <c r="A43" s="57"/>
      <c r="B43" s="57"/>
      <c r="D43" s="211" t="s">
        <v>267</v>
      </c>
      <c r="E43" s="212">
        <f>_xlfn.XLOOKUP(Table114[[#This Row],[County]], Summary[County], Summary[Total])</f>
        <v>0</v>
      </c>
    </row>
    <row r="44" spans="1:5" x14ac:dyDescent="0.25">
      <c r="A44" s="148"/>
      <c r="B44" s="148"/>
      <c r="D44" s="211" t="s">
        <v>382</v>
      </c>
      <c r="E44" s="212">
        <f>_xlfn.XLOOKUP(Table114[[#This Row],[County]], Summary[County], Summary[Total])</f>
        <v>0</v>
      </c>
    </row>
    <row r="45" spans="1:5" x14ac:dyDescent="0.25">
      <c r="A45" s="57"/>
      <c r="B45" s="59"/>
      <c r="D45" s="211" t="s">
        <v>383</v>
      </c>
      <c r="E45" s="212">
        <f>_xlfn.XLOOKUP(Table114[[#This Row],[County]], Summary[County], Summary[Total])</f>
        <v>0</v>
      </c>
    </row>
    <row r="46" spans="1:5" x14ac:dyDescent="0.25">
      <c r="A46" s="57"/>
      <c r="B46" s="59"/>
      <c r="D46" s="211" t="s">
        <v>384</v>
      </c>
      <c r="E46" s="212">
        <f>_xlfn.XLOOKUP(Table114[[#This Row],[County]], Summary[County], Summary[Total])</f>
        <v>0</v>
      </c>
    </row>
    <row r="47" spans="1:5" x14ac:dyDescent="0.25">
      <c r="A47" s="57"/>
      <c r="B47" s="59"/>
      <c r="D47" s="211" t="s">
        <v>385</v>
      </c>
      <c r="E47" s="212">
        <f>_xlfn.XLOOKUP(Table114[[#This Row],[County]], Summary[County], Summary[Total])</f>
        <v>0</v>
      </c>
    </row>
    <row r="48" spans="1:5" x14ac:dyDescent="0.25">
      <c r="D48" s="211" t="s">
        <v>386</v>
      </c>
      <c r="E48" s="212">
        <f>_xlfn.XLOOKUP(Table114[[#This Row],[County]], Summary[County], Summary[Total])</f>
        <v>0</v>
      </c>
    </row>
    <row r="49" spans="4:5" x14ac:dyDescent="0.25">
      <c r="D49" s="211" t="s">
        <v>387</v>
      </c>
      <c r="E49" s="212">
        <f>_xlfn.XLOOKUP(Table114[[#This Row],[County]], Summary[County], Summary[Total])</f>
        <v>0</v>
      </c>
    </row>
    <row r="50" spans="4:5" x14ac:dyDescent="0.25">
      <c r="D50" s="211" t="s">
        <v>388</v>
      </c>
      <c r="E50" s="212">
        <f>_xlfn.XLOOKUP(Table114[[#This Row],[County]], Summary[County], Summary[Total])</f>
        <v>0</v>
      </c>
    </row>
    <row r="51" spans="4:5" x14ac:dyDescent="0.25">
      <c r="D51" s="211" t="s">
        <v>389</v>
      </c>
      <c r="E51" s="212">
        <f>_xlfn.XLOOKUP(Table114[[#This Row],[County]], Summary[County], Summary[Total])</f>
        <v>0</v>
      </c>
    </row>
    <row r="52" spans="4:5" x14ac:dyDescent="0.25">
      <c r="D52" s="211" t="s">
        <v>34</v>
      </c>
      <c r="E52" s="212">
        <f>_xlfn.XLOOKUP(Table114[[#This Row],[County]], Summary[County], Summary[Total])</f>
        <v>0</v>
      </c>
    </row>
    <row r="53" spans="4:5" x14ac:dyDescent="0.25">
      <c r="D53" s="211" t="s">
        <v>390</v>
      </c>
      <c r="E53" s="212">
        <f>_xlfn.XLOOKUP(Table114[[#This Row],[County]], Summary[County], Summary[Total])</f>
        <v>0</v>
      </c>
    </row>
    <row r="54" spans="4:5" x14ac:dyDescent="0.25">
      <c r="D54" s="211" t="s">
        <v>391</v>
      </c>
      <c r="E54" s="212">
        <f>_xlfn.XLOOKUP(Table114[[#This Row],[County]], Summary[County], Summary[Total])</f>
        <v>0</v>
      </c>
    </row>
    <row r="55" spans="4:5" x14ac:dyDescent="0.25">
      <c r="D55" s="211" t="s">
        <v>263</v>
      </c>
      <c r="E55" s="212">
        <f>_xlfn.XLOOKUP(Table114[[#This Row],[County]], Summary[County], Summary[Total])</f>
        <v>0</v>
      </c>
    </row>
    <row r="56" spans="4:5" x14ac:dyDescent="0.25">
      <c r="D56" s="211" t="s">
        <v>392</v>
      </c>
      <c r="E56" s="212">
        <f>_xlfn.XLOOKUP(Table114[[#This Row],[County]], Summary[County], Summary[Total])</f>
        <v>0</v>
      </c>
    </row>
    <row r="57" spans="4:5" x14ac:dyDescent="0.25">
      <c r="D57" s="211" t="s">
        <v>393</v>
      </c>
      <c r="E57" s="212">
        <f>_xlfn.XLOOKUP(Table114[[#This Row],[County]], Summary[County], Summary[Total])</f>
        <v>0</v>
      </c>
    </row>
    <row r="58" spans="4:5" x14ac:dyDescent="0.25">
      <c r="D58" s="211" t="s">
        <v>394</v>
      </c>
      <c r="E58" s="212">
        <f>_xlfn.XLOOKUP(Table114[[#This Row],[County]], Summary[County], Summary[Total])</f>
        <v>0</v>
      </c>
    </row>
    <row r="59" spans="4:5" x14ac:dyDescent="0.25">
      <c r="D59" s="211" t="s">
        <v>395</v>
      </c>
      <c r="E59" s="212">
        <f>_xlfn.XLOOKUP(Table114[[#This Row],[County]], Summary[County], Summary[Total])</f>
        <v>0</v>
      </c>
    </row>
    <row r="60" spans="4:5" x14ac:dyDescent="0.25">
      <c r="D60" s="211" t="s">
        <v>396</v>
      </c>
      <c r="E60" s="212">
        <f>_xlfn.XLOOKUP(Table114[[#This Row],[County]], Summary[County], Summary[Total])</f>
        <v>0</v>
      </c>
    </row>
    <row r="61" spans="4:5" x14ac:dyDescent="0.25">
      <c r="D61" s="211" t="s">
        <v>37</v>
      </c>
      <c r="E61" s="212">
        <f>_xlfn.XLOOKUP(Table114[[#This Row],[County]], Summary[County], Summary[Total])</f>
        <v>0</v>
      </c>
    </row>
    <row r="62" spans="4:5" x14ac:dyDescent="0.25">
      <c r="D62" s="211" t="s">
        <v>397</v>
      </c>
      <c r="E62" s="212">
        <f>_xlfn.XLOOKUP(Table114[[#This Row],[County]], Summary[County], Summary[Total])</f>
        <v>0</v>
      </c>
    </row>
    <row r="63" spans="4:5" x14ac:dyDescent="0.25">
      <c r="D63" s="211" t="s">
        <v>398</v>
      </c>
      <c r="E63" s="212">
        <f>_xlfn.XLOOKUP(Table114[[#This Row],[County]], Summary[County], Summary[Total])</f>
        <v>0</v>
      </c>
    </row>
    <row r="64" spans="4:5" x14ac:dyDescent="0.25">
      <c r="D64" s="211" t="s">
        <v>399</v>
      </c>
      <c r="E64" s="212">
        <f>_xlfn.XLOOKUP(Table114[[#This Row],[County]], Summary[County], Summary[Total])</f>
        <v>0</v>
      </c>
    </row>
    <row r="65" spans="4:5" x14ac:dyDescent="0.25">
      <c r="D65" s="211" t="s">
        <v>400</v>
      </c>
      <c r="E65" s="212">
        <f>_xlfn.XLOOKUP(Table114[[#This Row],[County]], Summary[County], Summary[Total])</f>
        <v>0</v>
      </c>
    </row>
    <row r="66" spans="4:5" x14ac:dyDescent="0.25">
      <c r="D66" s="211" t="s">
        <v>401</v>
      </c>
      <c r="E66" s="212">
        <f>_xlfn.XLOOKUP(Table114[[#This Row],[County]], Summary[County], Summary[Total])</f>
        <v>0</v>
      </c>
    </row>
    <row r="67" spans="4:5" x14ac:dyDescent="0.25">
      <c r="D67" s="211" t="s">
        <v>402</v>
      </c>
      <c r="E67" s="212">
        <f>_xlfn.XLOOKUP(Table114[[#This Row],[County]], Summary[County], Summary[Total])</f>
        <v>0</v>
      </c>
    </row>
    <row r="68" spans="4:5" x14ac:dyDescent="0.25">
      <c r="D68" s="211" t="s">
        <v>403</v>
      </c>
      <c r="E68" s="212">
        <f>_xlfn.XLOOKUP(Table114[[#This Row],[County]], Summary[County], Summary[Total])</f>
        <v>0</v>
      </c>
    </row>
    <row r="69" spans="4:5" x14ac:dyDescent="0.25">
      <c r="D69" s="211" t="s">
        <v>264</v>
      </c>
      <c r="E69" s="212">
        <f>_xlfn.XLOOKUP(Table114[[#This Row],[County]], Summary[County], Summary[Total])</f>
        <v>0</v>
      </c>
    </row>
    <row r="70" spans="4:5" x14ac:dyDescent="0.25">
      <c r="D70" s="211" t="s">
        <v>404</v>
      </c>
      <c r="E70" s="212">
        <f>_xlfn.XLOOKUP(Table114[[#This Row],[County]], Summary[County], Summary[Total])</f>
        <v>0</v>
      </c>
    </row>
    <row r="71" spans="4:5" x14ac:dyDescent="0.25">
      <c r="D71" s="211" t="s">
        <v>405</v>
      </c>
      <c r="E71" s="212">
        <f>_xlfn.XLOOKUP(Table114[[#This Row],[County]], Summary[County], Summary[Total])</f>
        <v>0</v>
      </c>
    </row>
    <row r="72" spans="4:5" x14ac:dyDescent="0.25">
      <c r="D72" s="211" t="s">
        <v>406</v>
      </c>
      <c r="E72" s="212">
        <f>_xlfn.XLOOKUP(Table114[[#This Row],[County]], Summary[County], Summary[Total])</f>
        <v>0</v>
      </c>
    </row>
    <row r="73" spans="4:5" x14ac:dyDescent="0.25">
      <c r="D73" s="211" t="s">
        <v>407</v>
      </c>
      <c r="E73" s="212">
        <f>_xlfn.XLOOKUP(Table114[[#This Row],[County]], Summary[County], Summary[Total])</f>
        <v>0</v>
      </c>
    </row>
    <row r="74" spans="4:5" x14ac:dyDescent="0.25">
      <c r="D74" s="211" t="s">
        <v>408</v>
      </c>
      <c r="E74" s="212">
        <f>_xlfn.XLOOKUP(Table114[[#This Row],[County]], Summary[County], Summary[Total])</f>
        <v>0</v>
      </c>
    </row>
    <row r="75" spans="4:5" x14ac:dyDescent="0.25">
      <c r="D75" s="211" t="s">
        <v>409</v>
      </c>
      <c r="E75" s="212">
        <f>_xlfn.XLOOKUP(Table114[[#This Row],[County]], Summary[County], Summary[Total])</f>
        <v>0</v>
      </c>
    </row>
    <row r="76" spans="4:5" x14ac:dyDescent="0.25">
      <c r="D76" s="211" t="s">
        <v>410</v>
      </c>
      <c r="E76" s="212">
        <f>_xlfn.XLOOKUP(Table114[[#This Row],[County]], Summary[County], Summary[Total])</f>
        <v>0</v>
      </c>
    </row>
    <row r="77" spans="4:5" x14ac:dyDescent="0.25">
      <c r="D77" s="211" t="s">
        <v>411</v>
      </c>
      <c r="E77" s="212">
        <f>_xlfn.XLOOKUP(Table114[[#This Row],[County]], Summary[County], Summary[Total])</f>
        <v>0</v>
      </c>
    </row>
    <row r="78" spans="4:5" x14ac:dyDescent="0.25">
      <c r="D78" s="211" t="s">
        <v>412</v>
      </c>
      <c r="E78" s="212">
        <f>_xlfn.XLOOKUP(Table114[[#This Row],[County]], Summary[County], Summary[Total])</f>
        <v>0</v>
      </c>
    </row>
    <row r="79" spans="4:5" x14ac:dyDescent="0.25">
      <c r="D79" s="211" t="s">
        <v>413</v>
      </c>
      <c r="E79" s="212">
        <f>_xlfn.XLOOKUP(Table114[[#This Row],[County]], Summary[County], Summary[Total])</f>
        <v>0</v>
      </c>
    </row>
    <row r="80" spans="4:5" x14ac:dyDescent="0.25">
      <c r="D80" s="211" t="s">
        <v>414</v>
      </c>
      <c r="E80" s="212">
        <f>_xlfn.XLOOKUP(Table114[[#This Row],[County]], Summary[County], Summary[Total])</f>
        <v>0</v>
      </c>
    </row>
    <row r="81" spans="4:5" x14ac:dyDescent="0.25">
      <c r="D81" s="211" t="s">
        <v>415</v>
      </c>
      <c r="E81" s="212">
        <f>_xlfn.XLOOKUP(Table114[[#This Row],[County]], Summary[County], Summary[Total])</f>
        <v>0</v>
      </c>
    </row>
    <row r="82" spans="4:5" x14ac:dyDescent="0.25">
      <c r="D82" s="211" t="s">
        <v>416</v>
      </c>
      <c r="E82" s="212">
        <f>_xlfn.XLOOKUP(Table114[[#This Row],[County]], Summary[County], Summary[Total])</f>
        <v>0</v>
      </c>
    </row>
    <row r="83" spans="4:5" x14ac:dyDescent="0.25">
      <c r="D83" s="211" t="s">
        <v>417</v>
      </c>
      <c r="E83" s="212">
        <f>_xlfn.XLOOKUP(Table114[[#This Row],[County]], Summary[County], Summary[Total])</f>
        <v>0</v>
      </c>
    </row>
    <row r="84" spans="4:5" x14ac:dyDescent="0.25">
      <c r="D84" s="211" t="s">
        <v>418</v>
      </c>
      <c r="E84" s="212">
        <f>_xlfn.XLOOKUP(Table114[[#This Row],[County]], Summary[County], Summary[Total])</f>
        <v>0</v>
      </c>
    </row>
    <row r="85" spans="4:5" x14ac:dyDescent="0.25">
      <c r="D85" s="211" t="s">
        <v>419</v>
      </c>
      <c r="E85" s="212">
        <f>_xlfn.XLOOKUP(Table114[[#This Row],[County]], Summary[County], Summary[Total])</f>
        <v>0</v>
      </c>
    </row>
    <row r="86" spans="4:5" x14ac:dyDescent="0.25">
      <c r="D86" s="211" t="s">
        <v>420</v>
      </c>
      <c r="E86" s="212">
        <f>_xlfn.XLOOKUP(Table114[[#This Row],[County]], Summary[County], Summary[Total])</f>
        <v>0</v>
      </c>
    </row>
    <row r="87" spans="4:5" x14ac:dyDescent="0.25">
      <c r="D87" s="211" t="s">
        <v>421</v>
      </c>
      <c r="E87" s="212">
        <f>_xlfn.XLOOKUP(Table114[[#This Row],[County]], Summary[County], Summary[Total])</f>
        <v>0</v>
      </c>
    </row>
    <row r="88" spans="4:5" x14ac:dyDescent="0.25">
      <c r="D88" s="211" t="s">
        <v>422</v>
      </c>
      <c r="E88" s="212">
        <f>_xlfn.XLOOKUP(Table114[[#This Row],[County]], Summary[County], Summary[Total])</f>
        <v>0</v>
      </c>
    </row>
    <row r="89" spans="4:5" x14ac:dyDescent="0.25">
      <c r="D89" s="211" t="s">
        <v>423</v>
      </c>
      <c r="E89" s="212">
        <f>_xlfn.XLOOKUP(Table114[[#This Row],[County]], Summary[County], Summary[Total])</f>
        <v>0</v>
      </c>
    </row>
    <row r="90" spans="4:5" x14ac:dyDescent="0.25">
      <c r="D90" s="211" t="s">
        <v>358</v>
      </c>
      <c r="E90" s="212">
        <f>_xlfn.XLOOKUP(Table114[[#This Row],[County]], Summary[County], Summary[Total])</f>
        <v>0</v>
      </c>
    </row>
    <row r="91" spans="4:5" x14ac:dyDescent="0.25">
      <c r="D91" s="211" t="s">
        <v>424</v>
      </c>
      <c r="E91" s="212">
        <f>_xlfn.XLOOKUP(Table114[[#This Row],[County]], Summary[County], Summary[Total])</f>
        <v>0</v>
      </c>
    </row>
    <row r="92" spans="4:5" x14ac:dyDescent="0.25">
      <c r="D92" s="211" t="s">
        <v>425</v>
      </c>
      <c r="E92" s="212">
        <f>_xlfn.XLOOKUP(Table114[[#This Row],[County]], Summary[County], Summary[Total])</f>
        <v>0</v>
      </c>
    </row>
    <row r="93" spans="4:5" x14ac:dyDescent="0.25">
      <c r="D93" s="211" t="s">
        <v>426</v>
      </c>
      <c r="E93" s="212">
        <f>_xlfn.XLOOKUP(Table114[[#This Row],[County]], Summary[County], Summary[Total])</f>
        <v>0</v>
      </c>
    </row>
    <row r="94" spans="4:5" x14ac:dyDescent="0.25">
      <c r="D94" s="211" t="s">
        <v>427</v>
      </c>
      <c r="E94" s="212">
        <f>_xlfn.XLOOKUP(Table114[[#This Row],[County]], Summary[County], Summary[Total])</f>
        <v>0</v>
      </c>
    </row>
    <row r="95" spans="4:5" x14ac:dyDescent="0.25">
      <c r="D95" s="211" t="s">
        <v>428</v>
      </c>
      <c r="E95" s="212">
        <f>_xlfn.XLOOKUP(Table114[[#This Row],[County]], Summary[County], Summary[Total])</f>
        <v>0</v>
      </c>
    </row>
    <row r="96" spans="4:5" x14ac:dyDescent="0.25">
      <c r="D96" s="211" t="s">
        <v>429</v>
      </c>
      <c r="E96" s="212">
        <f>_xlfn.XLOOKUP(Table114[[#This Row],[County]], Summary[County], Summary[Total])</f>
        <v>0</v>
      </c>
    </row>
    <row r="97" spans="4:5" x14ac:dyDescent="0.25">
      <c r="D97" s="211" t="s">
        <v>430</v>
      </c>
      <c r="E97" s="212">
        <f>_xlfn.XLOOKUP(Table114[[#This Row],[County]], Summary[County], Summary[Total])</f>
        <v>0</v>
      </c>
    </row>
    <row r="98" spans="4:5" x14ac:dyDescent="0.25">
      <c r="D98" s="211" t="s">
        <v>431</v>
      </c>
      <c r="E98" s="212">
        <f>_xlfn.XLOOKUP(Table114[[#This Row],[County]], Summary[County], Summary[Total])</f>
        <v>0</v>
      </c>
    </row>
    <row r="99" spans="4:5" x14ac:dyDescent="0.25">
      <c r="D99" s="211" t="s">
        <v>432</v>
      </c>
      <c r="E99" s="212">
        <f>_xlfn.XLOOKUP(Table114[[#This Row],[County]], Summary[County], Summary[Total])</f>
        <v>0</v>
      </c>
    </row>
    <row r="100" spans="4:5" x14ac:dyDescent="0.25">
      <c r="D100" s="211" t="s">
        <v>433</v>
      </c>
      <c r="E100" s="212">
        <f>_xlfn.XLOOKUP(Table114[[#This Row],[County]], Summary[County], Summary[Total])</f>
        <v>0</v>
      </c>
    </row>
    <row r="101" spans="4:5" x14ac:dyDescent="0.25">
      <c r="D101" s="211" t="s">
        <v>434</v>
      </c>
      <c r="E101" s="212">
        <f>_xlfn.XLOOKUP(Table114[[#This Row],[County]], Summary[County], Summary[Total])</f>
        <v>0</v>
      </c>
    </row>
    <row r="102" spans="4:5" x14ac:dyDescent="0.25">
      <c r="D102" s="211" t="s">
        <v>435</v>
      </c>
      <c r="E102" s="212">
        <f>_xlfn.XLOOKUP(Table114[[#This Row],[County]], Summary[County], Summary[Total])</f>
        <v>0</v>
      </c>
    </row>
    <row r="103" spans="4:5" x14ac:dyDescent="0.25">
      <c r="D103" s="211" t="s">
        <v>436</v>
      </c>
      <c r="E103" s="212">
        <f>_xlfn.XLOOKUP(Table114[[#This Row],[County]], Summary[County], Summary[Total])</f>
        <v>0</v>
      </c>
    </row>
    <row r="104" spans="4:5" x14ac:dyDescent="0.25">
      <c r="D104" s="211" t="s">
        <v>262</v>
      </c>
      <c r="E104" s="212">
        <f>_xlfn.XLOOKUP(Table114[[#This Row],[County]], Summary[County], Summary[Total])</f>
        <v>0</v>
      </c>
    </row>
    <row r="105" spans="4:5" x14ac:dyDescent="0.25">
      <c r="D105" s="211" t="s">
        <v>359</v>
      </c>
      <c r="E105" s="212">
        <f>_xlfn.XLOOKUP(Table114[[#This Row],[County]], Summary[County], Summary[Total])</f>
        <v>0</v>
      </c>
    </row>
    <row r="106" spans="4:5" x14ac:dyDescent="0.25">
      <c r="D106" s="211" t="s">
        <v>437</v>
      </c>
      <c r="E106" s="212">
        <f>_xlfn.XLOOKUP(Table114[[#This Row],[County]], Summary[County], Summary[Total])</f>
        <v>0</v>
      </c>
    </row>
    <row r="107" spans="4:5" x14ac:dyDescent="0.25">
      <c r="D107" s="211" t="s">
        <v>438</v>
      </c>
      <c r="E107" s="212">
        <f>_xlfn.XLOOKUP(Table114[[#This Row],[County]], Summary[County], Summary[Total])</f>
        <v>0</v>
      </c>
    </row>
    <row r="108" spans="4:5" x14ac:dyDescent="0.25">
      <c r="D108" s="211" t="s">
        <v>439</v>
      </c>
      <c r="E108" s="212">
        <f>_xlfn.XLOOKUP(Table114[[#This Row],[County]], Summary[County], Summary[Total])</f>
        <v>0</v>
      </c>
    </row>
  </sheetData>
  <protectedRanges>
    <protectedRange sqref="B22:B28" name="Filter"/>
  </protectedRanges>
  <mergeCells count="1">
    <mergeCell ref="A1:E1"/>
  </mergeCells>
  <conditionalFormatting sqref="B22:B28">
    <cfRule type="expression" dxfId="18" priority="777">
      <formula>#REF!="In Progress"</formula>
    </cfRule>
    <cfRule type="expression" dxfId="17" priority="778">
      <formula>#REF!="Complete"</formula>
    </cfRule>
    <cfRule type="expression" dxfId="16" priority="779">
      <formula>#REF!="Not Started"</formula>
    </cfRule>
    <cfRule type="expression" dxfId="15" priority="780">
      <formula>#REF!="Withdrawn"</formula>
    </cfRule>
    <cfRule type="expression" dxfId="14" priority="781">
      <formula>#REF!="Ineligible"</formula>
    </cfRule>
  </conditionalFormatting>
  <pageMargins left="0.7" right="0.7" top="0.75" bottom="0.75" header="0.3" footer="0.3"/>
  <pageSetup orientation="portrait" horizontalDpi="1200" verticalDpi="1200" r:id="rId1"/>
  <drawing r:id="rId2"/>
  <tableParts count="7">
    <tablePart r:id="rId3"/>
    <tablePart r:id="rId4"/>
    <tablePart r:id="rId5"/>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051D-12C8-4119-AC6A-59445114EC24}">
  <sheetPr>
    <tabColor theme="7" tint="0.39997558519241921"/>
  </sheetPr>
  <dimension ref="A1:G56"/>
  <sheetViews>
    <sheetView workbookViewId="0">
      <selection activeCell="B10" sqref="B10:B11"/>
    </sheetView>
  </sheetViews>
  <sheetFormatPr defaultRowHeight="15" x14ac:dyDescent="0.25"/>
  <cols>
    <col min="1" max="1" width="25.7109375" bestFit="1" customWidth="1"/>
    <col min="2" max="2" width="20.28515625" customWidth="1"/>
    <col min="3" max="3" width="21.28515625" customWidth="1"/>
    <col min="4" max="4" width="16.5703125" customWidth="1"/>
    <col min="5" max="5" width="16.42578125" bestFit="1" customWidth="1"/>
    <col min="6" max="6" width="15.42578125" bestFit="1" customWidth="1"/>
    <col min="7" max="7" width="17.28515625" customWidth="1"/>
  </cols>
  <sheetData>
    <row r="1" spans="1:7" ht="55.15" customHeight="1" x14ac:dyDescent="0.25">
      <c r="A1" s="263" t="s">
        <v>233</v>
      </c>
      <c r="B1" s="263"/>
      <c r="C1" s="263"/>
      <c r="D1" s="263"/>
      <c r="E1" s="263"/>
      <c r="F1" s="263"/>
      <c r="G1" s="263"/>
    </row>
    <row r="2" spans="1:7" ht="17.25" hidden="1" thickBot="1" x14ac:dyDescent="0.35">
      <c r="A2" s="149"/>
      <c r="B2" s="149"/>
      <c r="C2" s="149"/>
      <c r="D2" s="149"/>
      <c r="E2" s="149"/>
      <c r="F2" s="149"/>
      <c r="G2" s="149"/>
    </row>
    <row r="3" spans="1:7" ht="37.9" hidden="1" customHeight="1" thickBot="1" x14ac:dyDescent="0.35">
      <c r="A3" s="150" t="s">
        <v>234</v>
      </c>
      <c r="B3" s="82" t="s">
        <v>235</v>
      </c>
      <c r="C3" s="82" t="s">
        <v>236</v>
      </c>
      <c r="D3" s="82" t="s">
        <v>237</v>
      </c>
      <c r="E3" s="151" t="s">
        <v>238</v>
      </c>
      <c r="F3" s="152"/>
      <c r="G3" s="152"/>
    </row>
    <row r="4" spans="1:7" ht="17.25" hidden="1" thickBot="1" x14ac:dyDescent="0.35">
      <c r="A4" s="83" t="s">
        <v>239</v>
      </c>
      <c r="B4" s="84">
        <v>10077330.927835051</v>
      </c>
      <c r="C4" s="85">
        <v>1.94</v>
      </c>
      <c r="D4" s="85">
        <v>4.8600000000000003</v>
      </c>
      <c r="E4" s="86" t="s">
        <v>240</v>
      </c>
      <c r="F4" s="149"/>
      <c r="G4" s="149"/>
    </row>
    <row r="5" spans="1:7" ht="17.25" hidden="1" thickBot="1" x14ac:dyDescent="0.35">
      <c r="A5" s="153"/>
      <c r="B5" s="153"/>
      <c r="C5" s="153"/>
      <c r="D5" s="153"/>
      <c r="E5" s="153"/>
      <c r="F5" s="149"/>
      <c r="G5" s="149"/>
    </row>
    <row r="6" spans="1:7" ht="40.9" hidden="1" customHeight="1" thickBot="1" x14ac:dyDescent="0.35">
      <c r="A6" s="154" t="s">
        <v>241</v>
      </c>
      <c r="B6" s="155" t="s">
        <v>202</v>
      </c>
      <c r="C6" s="155" t="s">
        <v>242</v>
      </c>
      <c r="D6" s="155" t="s">
        <v>243</v>
      </c>
      <c r="E6" s="156" t="s">
        <v>244</v>
      </c>
      <c r="F6" s="152"/>
      <c r="G6" s="152"/>
    </row>
    <row r="7" spans="1:7" ht="17.25" hidden="1" thickBot="1" x14ac:dyDescent="0.35">
      <c r="A7" s="87" t="s">
        <v>240</v>
      </c>
      <c r="B7" s="85" t="s">
        <v>240</v>
      </c>
      <c r="C7" s="88">
        <v>46122</v>
      </c>
      <c r="D7" s="88">
        <f>'Input Sheet'!H2</f>
        <v>0</v>
      </c>
      <c r="E7" s="89">
        <f>'Input Sheet'!F1</f>
        <v>0</v>
      </c>
      <c r="F7" s="60"/>
      <c r="G7" s="149"/>
    </row>
    <row r="8" spans="1:7" ht="17.25" thickBot="1" x14ac:dyDescent="0.35">
      <c r="A8" s="153"/>
      <c r="B8" s="153"/>
      <c r="C8" s="153"/>
      <c r="D8" s="153"/>
      <c r="E8" s="153"/>
      <c r="F8" s="149"/>
      <c r="G8" s="149"/>
    </row>
    <row r="9" spans="1:7" ht="34.9" customHeight="1" thickBot="1" x14ac:dyDescent="0.3">
      <c r="A9" s="91" t="s">
        <v>245</v>
      </c>
      <c r="B9" s="70" t="s">
        <v>246</v>
      </c>
      <c r="C9" s="71" t="s">
        <v>235</v>
      </c>
      <c r="D9" s="71" t="s">
        <v>236</v>
      </c>
      <c r="E9" s="71" t="s">
        <v>247</v>
      </c>
      <c r="F9" s="72" t="s">
        <v>248</v>
      </c>
      <c r="G9" s="69" t="s">
        <v>249</v>
      </c>
    </row>
    <row r="10" spans="1:7" ht="16.5" x14ac:dyDescent="0.3">
      <c r="A10" s="90" t="s">
        <v>250</v>
      </c>
      <c r="B10" s="73">
        <f>SUMIF(F14:F56, "&gt;1", C14:C56)</f>
        <v>0</v>
      </c>
      <c r="C10" s="74">
        <f>B4</f>
        <v>10077330.927835051</v>
      </c>
      <c r="D10" s="75">
        <v>1.94</v>
      </c>
      <c r="E10" s="76">
        <f>D10*C10</f>
        <v>19550022</v>
      </c>
      <c r="F10" s="77" t="s">
        <v>251</v>
      </c>
      <c r="G10" s="100">
        <f>B10/E10</f>
        <v>0</v>
      </c>
    </row>
    <row r="11" spans="1:7" ht="17.25" thickBot="1" x14ac:dyDescent="0.35">
      <c r="A11" s="92" t="s">
        <v>252</v>
      </c>
      <c r="B11" s="78">
        <f>SUMIFS(C14:C56, F14:F56, "&lt;1", F14:F56, "&gt;.4999999999" )</f>
        <v>0</v>
      </c>
      <c r="C11" s="79">
        <f>SUMIFS(B14:B56, F14:F56, "&lt;1", F14:F56, "&gt;.4999999999" )</f>
        <v>0</v>
      </c>
      <c r="D11" s="80">
        <v>1.94</v>
      </c>
      <c r="E11" s="157">
        <f>D11*C11</f>
        <v>0</v>
      </c>
      <c r="F11" s="81" t="s">
        <v>253</v>
      </c>
      <c r="G11" s="158">
        <f>IFERROR(B11/E11, 0)</f>
        <v>0</v>
      </c>
    </row>
    <row r="12" spans="1:7" ht="20.45" customHeight="1" thickBot="1" x14ac:dyDescent="0.35">
      <c r="A12" s="159"/>
      <c r="B12" s="159"/>
      <c r="C12" s="159"/>
      <c r="D12" s="159"/>
      <c r="E12" s="159"/>
      <c r="F12" s="159"/>
      <c r="G12" s="149"/>
    </row>
    <row r="13" spans="1:7" ht="33.75" thickBot="1" x14ac:dyDescent="0.3">
      <c r="A13" s="63" t="s">
        <v>254</v>
      </c>
      <c r="B13" s="64" t="s">
        <v>235</v>
      </c>
      <c r="C13" s="65" t="s">
        <v>255</v>
      </c>
      <c r="D13" s="65" t="s">
        <v>237</v>
      </c>
      <c r="E13" s="66" t="s">
        <v>256</v>
      </c>
      <c r="F13" s="67" t="s">
        <v>257</v>
      </c>
      <c r="G13" s="68" t="s">
        <v>258</v>
      </c>
    </row>
    <row r="14" spans="1:7" ht="16.5" x14ac:dyDescent="0.3">
      <c r="A14" s="107" t="s">
        <v>20</v>
      </c>
      <c r="B14" s="108">
        <v>10167</v>
      </c>
      <c r="C14" s="109">
        <f>SUMIFS(Input[A], Input[County], A14)
+SUMIFS(Input[B], Input[County], A14)
+SUMIFS(Input[C], Input[County], A14)
+SUMIFS(Input[D], Input[County], A14)
+SUMIFS(Input[E], Input[County], A14)
+SUMIFS(Input[F], Input[County], A14)
+SUMIFS(Input[G], Input[County], A14)</f>
        <v>0</v>
      </c>
      <c r="D14" s="110">
        <v>4.8600000000000003</v>
      </c>
      <c r="E14" s="111">
        <f>D14*B14</f>
        <v>49411.62</v>
      </c>
      <c r="F14" s="96">
        <f>IFERROR(C14/E14, "TBC")</f>
        <v>0</v>
      </c>
      <c r="G14" s="97">
        <f>C14/E14</f>
        <v>0</v>
      </c>
    </row>
    <row r="15" spans="1:7" ht="16.5" x14ac:dyDescent="0.3">
      <c r="A15" s="102" t="s">
        <v>21</v>
      </c>
      <c r="B15" s="103">
        <v>120502</v>
      </c>
      <c r="C15" s="104">
        <f>SUMIFS(Input[A], Input[County], A15)
+SUMIFS(Input[B], Input[County], A15)
+SUMIFS(Input[C], Input[County], A15)
+SUMIFS(Input[D], Input[County], A15)
+SUMIFS(Input[E], Input[County], A15)
+SUMIFS(Input[F], Input[County], A15)
+SUMIFS(Input[G], Input[County], A15)</f>
        <v>0</v>
      </c>
      <c r="D15" s="122">
        <v>4.8600000000000003</v>
      </c>
      <c r="E15" s="106">
        <f t="shared" ref="E15:E56" si="0">D15*B15</f>
        <v>585639.72000000009</v>
      </c>
      <c r="F15" s="94">
        <f t="shared" ref="F15:F56" si="1">IFERROR(C15/E15, "TBC")</f>
        <v>0</v>
      </c>
      <c r="G15" s="95">
        <f t="shared" ref="G15:G56" si="2">C15/E15</f>
        <v>0</v>
      </c>
    </row>
    <row r="16" spans="1:7" ht="16.5" x14ac:dyDescent="0.3">
      <c r="A16" s="112" t="s">
        <v>22</v>
      </c>
      <c r="B16" s="113">
        <v>28907</v>
      </c>
      <c r="C16" s="114">
        <f>SUMIFS(Input[A], Input[County], A16)
+SUMIFS(Input[B], Input[County], A16)
+SUMIFS(Input[C], Input[County], A16)
+SUMIFS(Input[D], Input[County], A16)
+SUMIFS(Input[E], Input[County], A16)
+SUMIFS(Input[F], Input[County], A16)
+SUMIFS(Input[G], Input[County], A16)</f>
        <v>0</v>
      </c>
      <c r="D16" s="115">
        <v>4.8600000000000003</v>
      </c>
      <c r="E16" s="116">
        <f t="shared" si="0"/>
        <v>140488.02000000002</v>
      </c>
      <c r="F16" s="94">
        <f t="shared" si="1"/>
        <v>0</v>
      </c>
      <c r="G16" s="95">
        <f t="shared" si="2"/>
        <v>0</v>
      </c>
    </row>
    <row r="17" spans="1:7" ht="16.5" x14ac:dyDescent="0.3">
      <c r="A17" s="102" t="s">
        <v>23</v>
      </c>
      <c r="B17" s="103">
        <v>23431</v>
      </c>
      <c r="C17" s="104">
        <f>SUMIFS(Input[A], Input[County], A17)
+SUMIFS(Input[B], Input[County], A17)
+SUMIFS(Input[C], Input[County], A17)
+SUMIFS(Input[D], Input[County], A17)
+SUMIFS(Input[E], Input[County], A17)
+SUMIFS(Input[F], Input[County], A17)
+SUMIFS(Input[G], Input[County], A17)</f>
        <v>0</v>
      </c>
      <c r="D17" s="105">
        <v>4.8600000000000003</v>
      </c>
      <c r="E17" s="106">
        <f t="shared" si="0"/>
        <v>113874.66</v>
      </c>
      <c r="F17" s="94">
        <f t="shared" si="1"/>
        <v>0</v>
      </c>
      <c r="G17" s="95">
        <f t="shared" si="2"/>
        <v>0</v>
      </c>
    </row>
    <row r="18" spans="1:7" ht="16.5" x14ac:dyDescent="0.3">
      <c r="A18" s="140" t="s">
        <v>218</v>
      </c>
      <c r="B18" s="141">
        <v>15002</v>
      </c>
      <c r="C18" s="142">
        <f>SUMIFS(Input[A], Input[County], A18)
+SUMIFS(Input[B], Input[County], A18)
+SUMIFS(Input[C], Input[County], A18)
+SUMIFS(Input[D], Input[County], A18)
+SUMIFS(Input[E], Input[County], A18)
+SUMIFS(Input[F], Input[County], A18)
+SUMIFS(Input[G], Input[County], A18)</f>
        <v>0</v>
      </c>
      <c r="D18" s="143">
        <v>4.8600000000000003</v>
      </c>
      <c r="E18" s="144">
        <f t="shared" si="0"/>
        <v>72909.72</v>
      </c>
      <c r="F18" s="147">
        <f t="shared" si="1"/>
        <v>0</v>
      </c>
      <c r="G18" s="146">
        <f t="shared" si="2"/>
        <v>0</v>
      </c>
    </row>
    <row r="19" spans="1:7" ht="16.5" x14ac:dyDescent="0.3">
      <c r="A19" s="140" t="s">
        <v>220</v>
      </c>
      <c r="B19" s="141">
        <v>62423</v>
      </c>
      <c r="C19" s="142">
        <f>SUMIFS(Input[A], Input[County], A19)
+SUMIFS(Input[B], Input[County], A19)
+SUMIFS(Input[C], Input[County], A19)
+SUMIFS(Input[D], Input[County], A19)
+SUMIFS(Input[E], Input[County], A19)
+SUMIFS(Input[F], Input[County], A19)
+SUMIFS(Input[G], Input[County], A19)</f>
        <v>0</v>
      </c>
      <c r="D19" s="143">
        <v>4.8600000000000003</v>
      </c>
      <c r="E19" s="144">
        <f t="shared" si="0"/>
        <v>303375.78000000003</v>
      </c>
      <c r="F19" s="145">
        <f t="shared" si="1"/>
        <v>0</v>
      </c>
      <c r="G19" s="146">
        <f t="shared" si="2"/>
        <v>0</v>
      </c>
    </row>
    <row r="20" spans="1:7" ht="16.5" x14ac:dyDescent="0.3">
      <c r="A20" s="112" t="s">
        <v>24</v>
      </c>
      <c r="B20" s="113">
        <v>17970</v>
      </c>
      <c r="C20" s="114">
        <f>SUMIFS(Input[A], Input[County], A20)
+SUMIFS(Input[B], Input[County], A20)
+SUMIFS(Input[C], Input[County], A20)
+SUMIFS(Input[D], Input[County], A20)
+SUMIFS(Input[E], Input[County], A20)
+SUMIFS(Input[F], Input[County], A20)
+SUMIFS(Input[G], Input[County], A20)</f>
        <v>0</v>
      </c>
      <c r="D20" s="115">
        <v>4.8600000000000003</v>
      </c>
      <c r="E20" s="116">
        <f t="shared" si="0"/>
        <v>87334.200000000012</v>
      </c>
      <c r="F20" s="94">
        <f t="shared" si="1"/>
        <v>0</v>
      </c>
      <c r="G20" s="95">
        <f t="shared" si="2"/>
        <v>0</v>
      </c>
    </row>
    <row r="21" spans="1:7" ht="16.5" x14ac:dyDescent="0.3">
      <c r="A21" s="112" t="s">
        <v>25</v>
      </c>
      <c r="B21" s="113">
        <v>26054</v>
      </c>
      <c r="C21" s="114">
        <f>SUMIFS(Input[A], Input[County], A21)
+SUMIFS(Input[B], Input[County], A21)
+SUMIFS(Input[C], Input[County], A21)
+SUMIFS(Input[D], Input[County], A21)
+SUMIFS(Input[E], Input[County], A21)
+SUMIFS(Input[F], Input[County], A21)
+SUMIFS(Input[G], Input[County], A21)</f>
        <v>0</v>
      </c>
      <c r="D21" s="115">
        <v>4.8600000000000003</v>
      </c>
      <c r="E21" s="116">
        <f t="shared" si="0"/>
        <v>126622.44</v>
      </c>
      <c r="F21" s="94">
        <f t="shared" si="1"/>
        <v>0</v>
      </c>
      <c r="G21" s="95">
        <f t="shared" si="2"/>
        <v>0</v>
      </c>
    </row>
    <row r="22" spans="1:7" ht="16.5" x14ac:dyDescent="0.3">
      <c r="A22" s="112" t="s">
        <v>26</v>
      </c>
      <c r="B22" s="113">
        <v>25579</v>
      </c>
      <c r="C22" s="114">
        <f>SUMIFS(Input[A], Input[County], A22)
+SUMIFS(Input[B], Input[County], A22)
+SUMIFS(Input[C], Input[County], A22)
+SUMIFS(Input[D], Input[County], A22)
+SUMIFS(Input[E], Input[County], A22)
+SUMIFS(Input[F], Input[County], A22)
+SUMIFS(Input[G], Input[County], A22)</f>
        <v>0</v>
      </c>
      <c r="D22" s="115">
        <v>4.8600000000000003</v>
      </c>
      <c r="E22" s="116">
        <f t="shared" si="0"/>
        <v>124313.94</v>
      </c>
      <c r="F22" s="94">
        <f t="shared" si="1"/>
        <v>0</v>
      </c>
      <c r="G22" s="95">
        <f t="shared" si="2"/>
        <v>0</v>
      </c>
    </row>
    <row r="23" spans="1:7" ht="16.5" x14ac:dyDescent="0.3">
      <c r="A23" s="102" t="s">
        <v>27</v>
      </c>
      <c r="B23" s="103">
        <v>30856</v>
      </c>
      <c r="C23" s="104">
        <f>SUMIFS(Input[A], Input[County], A23)
+SUMIFS(Input[B], Input[County], A23)
+SUMIFS(Input[C], Input[County], A23)
+SUMIFS(Input[D], Input[County], A23)
+SUMIFS(Input[E], Input[County], A23)
+SUMIFS(Input[F], Input[County], A23)
+SUMIFS(Input[G], Input[County], A23)</f>
        <v>0</v>
      </c>
      <c r="D23" s="105">
        <v>4.8600000000000003</v>
      </c>
      <c r="E23" s="106">
        <f t="shared" si="0"/>
        <v>149960.16</v>
      </c>
      <c r="F23" s="94">
        <f t="shared" si="1"/>
        <v>0</v>
      </c>
      <c r="G23" s="95">
        <f t="shared" si="2"/>
        <v>0</v>
      </c>
    </row>
    <row r="24" spans="1:7" ht="16.5" x14ac:dyDescent="0.3">
      <c r="A24" s="112" t="s">
        <v>28</v>
      </c>
      <c r="B24" s="113">
        <v>12988</v>
      </c>
      <c r="C24" s="114">
        <f>SUMIFS(Input[A], Input[County], A24)
+SUMIFS(Input[B], Input[County], A24)
+SUMIFS(Input[C], Input[County], A24)
+SUMIFS(Input[D], Input[County], A24)
+SUMIFS(Input[E], Input[County], A24)
+SUMIFS(Input[F], Input[County], A24)
+SUMIFS(Input[G], Input[County], A24)</f>
        <v>0</v>
      </c>
      <c r="D24" s="115">
        <v>4.8600000000000003</v>
      </c>
      <c r="E24" s="116">
        <f t="shared" si="0"/>
        <v>63121.680000000008</v>
      </c>
      <c r="F24" s="94">
        <f t="shared" si="1"/>
        <v>0</v>
      </c>
      <c r="G24" s="95">
        <f t="shared" si="2"/>
        <v>0</v>
      </c>
    </row>
    <row r="25" spans="1:7" ht="16.5" x14ac:dyDescent="0.3">
      <c r="A25" s="112" t="s">
        <v>29</v>
      </c>
      <c r="B25" s="113">
        <v>109175</v>
      </c>
      <c r="C25" s="114">
        <f>SUMIFS(Input[A], Input[County], A25)
+SUMIFS(Input[B], Input[County], A25)
+SUMIFS(Input[C], Input[County], A25)
+SUMIFS(Input[D], Input[County], A25)
+SUMIFS(Input[E], Input[County], A25)
+SUMIFS(Input[F], Input[County], A25)
+SUMIFS(Input[G], Input[County], A25)</f>
        <v>0</v>
      </c>
      <c r="D25" s="115">
        <v>4.8600000000000003</v>
      </c>
      <c r="E25" s="116">
        <f t="shared" si="0"/>
        <v>530590.5</v>
      </c>
      <c r="F25" s="94">
        <f t="shared" si="1"/>
        <v>0</v>
      </c>
      <c r="G25" s="95">
        <f t="shared" si="2"/>
        <v>0</v>
      </c>
    </row>
    <row r="26" spans="1:7" ht="16.5" x14ac:dyDescent="0.3">
      <c r="A26" s="112" t="s">
        <v>30</v>
      </c>
      <c r="B26" s="113">
        <v>34112</v>
      </c>
      <c r="C26" s="114">
        <f>SUMIFS(Input[A], Input[County], A26)
+SUMIFS(Input[B], Input[County], A26)
+SUMIFS(Input[C], Input[County], A26)
+SUMIFS(Input[D], Input[County], A26)
+SUMIFS(Input[E], Input[County], A26)
+SUMIFS(Input[F], Input[County], A26)
+SUMIFS(Input[G], Input[County], A26)</f>
        <v>0</v>
      </c>
      <c r="D26" s="115">
        <v>4.8600000000000003</v>
      </c>
      <c r="E26" s="116">
        <f t="shared" si="0"/>
        <v>165784.32000000001</v>
      </c>
      <c r="F26" s="94">
        <f t="shared" si="1"/>
        <v>0</v>
      </c>
      <c r="G26" s="95">
        <f t="shared" si="2"/>
        <v>0</v>
      </c>
    </row>
    <row r="27" spans="1:7" ht="16.5" x14ac:dyDescent="0.3">
      <c r="A27" s="112" t="s">
        <v>31</v>
      </c>
      <c r="B27" s="113">
        <v>95238</v>
      </c>
      <c r="C27" s="114">
        <f>SUMIFS(Input[A], Input[County], A27)
+SUMIFS(Input[B], Input[County], A27)
+SUMIFS(Input[C], Input[County], A27)
+SUMIFS(Input[D], Input[County], A27)
+SUMIFS(Input[E], Input[County], A27)
+SUMIFS(Input[F], Input[County], A27)
+SUMIFS(Input[G], Input[County], A27)</f>
        <v>0</v>
      </c>
      <c r="D27" s="115">
        <v>4.8600000000000003</v>
      </c>
      <c r="E27" s="116">
        <f t="shared" si="0"/>
        <v>462856.68000000005</v>
      </c>
      <c r="F27" s="94">
        <f t="shared" si="1"/>
        <v>0</v>
      </c>
      <c r="G27" s="95">
        <f t="shared" si="2"/>
        <v>0</v>
      </c>
    </row>
    <row r="28" spans="1:7" ht="16.5" x14ac:dyDescent="0.3">
      <c r="A28" s="112" t="s">
        <v>32</v>
      </c>
      <c r="B28" s="113">
        <v>41761</v>
      </c>
      <c r="C28" s="114">
        <f>SUMIFS(Input[A], Input[County], A28)
+SUMIFS(Input[B], Input[County], A28)
+SUMIFS(Input[C], Input[County], A28)
+SUMIFS(Input[D], Input[County], A28)
+SUMIFS(Input[E], Input[County], A28)
+SUMIFS(Input[F], Input[County], A28)
+SUMIFS(Input[G], Input[County], A28)</f>
        <v>0</v>
      </c>
      <c r="D28" s="115">
        <v>4.8600000000000003</v>
      </c>
      <c r="E28" s="116">
        <f t="shared" si="0"/>
        <v>202958.46000000002</v>
      </c>
      <c r="F28" s="94">
        <f t="shared" si="1"/>
        <v>0</v>
      </c>
      <c r="G28" s="95">
        <f t="shared" si="2"/>
        <v>0</v>
      </c>
    </row>
    <row r="29" spans="1:7" ht="16.5" x14ac:dyDescent="0.3">
      <c r="A29" s="140" t="s">
        <v>229</v>
      </c>
      <c r="B29" s="141">
        <v>25237</v>
      </c>
      <c r="C29" s="142">
        <f>SUMIFS(Input[A], Input[County], A29)
+SUMIFS(Input[B], Input[County], A29)
+SUMIFS(Input[C], Input[County], A29)
+SUMIFS(Input[D], Input[County], A29)
+SUMIFS(Input[E], Input[County], A29)
+SUMIFS(Input[F], Input[County], A29)
+SUMIFS(Input[G], Input[County], A29)</f>
        <v>0</v>
      </c>
      <c r="D29" s="143">
        <v>4.8600000000000003</v>
      </c>
      <c r="E29" s="144">
        <f t="shared" si="0"/>
        <v>122651.82</v>
      </c>
      <c r="F29" s="145">
        <f t="shared" si="1"/>
        <v>0</v>
      </c>
      <c r="G29" s="146">
        <f t="shared" si="2"/>
        <v>0</v>
      </c>
    </row>
    <row r="30" spans="1:7" ht="16.5" x14ac:dyDescent="0.3">
      <c r="A30" s="112" t="s">
        <v>33</v>
      </c>
      <c r="B30" s="113">
        <v>11631</v>
      </c>
      <c r="C30" s="114">
        <f>SUMIFS(Input[A], Input[County], A30)
+SUMIFS(Input[B], Input[County], A30)
+SUMIFS(Input[C], Input[County], A30)
+SUMIFS(Input[D], Input[County], A30)
+SUMIFS(Input[E], Input[County], A30)
+SUMIFS(Input[F], Input[County], A30)
+SUMIFS(Input[G], Input[County], A30)</f>
        <v>0</v>
      </c>
      <c r="D30" s="115">
        <v>4.8600000000000003</v>
      </c>
      <c r="E30" s="116">
        <f t="shared" si="0"/>
        <v>56526.66</v>
      </c>
      <c r="F30" s="94">
        <f t="shared" si="1"/>
        <v>0</v>
      </c>
      <c r="G30" s="95">
        <f t="shared" si="2"/>
        <v>0</v>
      </c>
    </row>
    <row r="31" spans="1:7" ht="16.5" x14ac:dyDescent="0.3">
      <c r="A31" s="102" t="s">
        <v>34</v>
      </c>
      <c r="B31" s="103">
        <v>160366</v>
      </c>
      <c r="C31" s="104">
        <f>SUMIFS(Input[A], Input[County], A31)
+SUMIFS(Input[B], Input[County], A31)
+SUMIFS(Input[C], Input[County], A31)
+SUMIFS(Input[D], Input[County], A31)
+SUMIFS(Input[E], Input[County], A31)
+SUMIFS(Input[F], Input[County], A31)
+SUMIFS(Input[G], Input[County], A31)</f>
        <v>0</v>
      </c>
      <c r="D31" s="105">
        <v>4.8600000000000003</v>
      </c>
      <c r="E31" s="106">
        <f t="shared" si="0"/>
        <v>779378.76</v>
      </c>
      <c r="F31" s="94">
        <f t="shared" si="1"/>
        <v>0</v>
      </c>
      <c r="G31" s="95">
        <f t="shared" si="2"/>
        <v>0</v>
      </c>
    </row>
    <row r="32" spans="1:7" ht="16.5" x14ac:dyDescent="0.3">
      <c r="A32" s="102" t="s">
        <v>35</v>
      </c>
      <c r="B32" s="103">
        <v>261670</v>
      </c>
      <c r="C32" s="104">
        <f>SUMIFS(Input[A], Input[County], A32)
+SUMIFS(Input[B], Input[County], A32)
+SUMIFS(Input[C], Input[County], A32)
+SUMIFS(Input[D], Input[County], A32)
+SUMIFS(Input[E], Input[County], A32)
+SUMIFS(Input[F], Input[County], A32)
+SUMIFS(Input[G], Input[County], A32)</f>
        <v>0</v>
      </c>
      <c r="D32" s="105">
        <v>4.8600000000000003</v>
      </c>
      <c r="E32" s="106">
        <f t="shared" si="0"/>
        <v>1271716.2000000002</v>
      </c>
      <c r="F32" s="94">
        <f t="shared" si="1"/>
        <v>0</v>
      </c>
      <c r="G32" s="95">
        <f t="shared" si="2"/>
        <v>0</v>
      </c>
    </row>
    <row r="33" spans="1:7" ht="16.5" x14ac:dyDescent="0.3">
      <c r="A33" s="112" t="s">
        <v>36</v>
      </c>
      <c r="B33" s="113">
        <v>17939</v>
      </c>
      <c r="C33" s="114">
        <f>SUMIFS(Input[A], Input[County], A33)
+SUMIFS(Input[B], Input[County], A33)
+SUMIFS(Input[C], Input[County], A33)
+SUMIFS(Input[D], Input[County], A33)
+SUMIFS(Input[E], Input[County], A33)
+SUMIFS(Input[F], Input[County], A33)
+SUMIFS(Input[G], Input[County], A33)</f>
        <v>0</v>
      </c>
      <c r="D33" s="115">
        <v>4.8600000000000003</v>
      </c>
      <c r="E33" s="116">
        <f t="shared" si="0"/>
        <v>87183.540000000008</v>
      </c>
      <c r="F33" s="94">
        <f t="shared" si="1"/>
        <v>0</v>
      </c>
      <c r="G33" s="95">
        <f t="shared" si="2"/>
        <v>0</v>
      </c>
    </row>
    <row r="34" spans="1:7" ht="16.5" x14ac:dyDescent="0.3">
      <c r="A34" s="112" t="s">
        <v>37</v>
      </c>
      <c r="B34" s="113">
        <v>12096</v>
      </c>
      <c r="C34" s="114">
        <f>SUMIFS(Input[A], Input[County], A34)
+SUMIFS(Input[B], Input[County], A34)
+SUMIFS(Input[C], Input[County], A34)
+SUMIFS(Input[D], Input[County], A34)
+SUMIFS(Input[E], Input[County], A34)
+SUMIFS(Input[F], Input[County], A34)
+SUMIFS(Input[G], Input[County], A34)</f>
        <v>0</v>
      </c>
      <c r="D34" s="115">
        <v>4.8600000000000003</v>
      </c>
      <c r="E34" s="116">
        <f t="shared" si="0"/>
        <v>58786.560000000005</v>
      </c>
      <c r="F34" s="94">
        <f t="shared" si="1"/>
        <v>0</v>
      </c>
      <c r="G34" s="95">
        <f t="shared" si="2"/>
        <v>0</v>
      </c>
    </row>
    <row r="35" spans="1:7" ht="16.5" x14ac:dyDescent="0.3">
      <c r="A35" s="102" t="s">
        <v>38</v>
      </c>
      <c r="B35" s="103">
        <v>22301</v>
      </c>
      <c r="C35" s="104">
        <f>SUMIFS(Input[A], Input[County], A35)
+SUMIFS(Input[B], Input[County], A35)
+SUMIFS(Input[C], Input[County], A35)
+SUMIFS(Input[D], Input[County], A35)
+SUMIFS(Input[E], Input[County], A35)
+SUMIFS(Input[F], Input[County], A35)
+SUMIFS(Input[G], Input[County], A35)</f>
        <v>0</v>
      </c>
      <c r="D35" s="105">
        <v>4.8600000000000003</v>
      </c>
      <c r="E35" s="106">
        <f t="shared" si="0"/>
        <v>108382.86</v>
      </c>
      <c r="F35" s="94">
        <f t="shared" si="1"/>
        <v>0</v>
      </c>
      <c r="G35" s="95">
        <f t="shared" si="2"/>
        <v>0</v>
      </c>
    </row>
    <row r="36" spans="1:7" ht="16.5" x14ac:dyDescent="0.3">
      <c r="A36" s="112" t="s">
        <v>39</v>
      </c>
      <c r="B36" s="113">
        <v>25032</v>
      </c>
      <c r="C36" s="114">
        <f>SUMIFS(Input[A], Input[County], A36)
+SUMIFS(Input[B], Input[County], A36)
+SUMIFS(Input[C], Input[County], A36)
+SUMIFS(Input[D], Input[County], A36)
+SUMIFS(Input[E], Input[County], A36)
+SUMIFS(Input[F], Input[County], A36)
+SUMIFS(Input[G], Input[County], A36)</f>
        <v>0</v>
      </c>
      <c r="D36" s="115">
        <v>4.8600000000000003</v>
      </c>
      <c r="E36" s="116">
        <f t="shared" si="0"/>
        <v>121655.52</v>
      </c>
      <c r="F36" s="94">
        <f t="shared" si="1"/>
        <v>0</v>
      </c>
      <c r="G36" s="95">
        <f t="shared" si="2"/>
        <v>0</v>
      </c>
    </row>
    <row r="37" spans="1:7" ht="16.5" x14ac:dyDescent="0.3">
      <c r="A37" s="112" t="s">
        <v>40</v>
      </c>
      <c r="B37" s="113">
        <v>66017</v>
      </c>
      <c r="C37" s="114">
        <f>SUMIFS(Input[A], Input[County], A37)
+SUMIFS(Input[B], Input[County], A37)
+SUMIFS(Input[C], Input[County], A37)
+SUMIFS(Input[D], Input[County], A37)
+SUMIFS(Input[E], Input[County], A37)
+SUMIFS(Input[F], Input[County], A37)
+SUMIFS(Input[G], Input[County], A37)</f>
        <v>0</v>
      </c>
      <c r="D37" s="115">
        <v>4.8600000000000003</v>
      </c>
      <c r="E37" s="116">
        <f t="shared" si="0"/>
        <v>320842.62</v>
      </c>
      <c r="F37" s="94">
        <f t="shared" si="1"/>
        <v>0</v>
      </c>
      <c r="G37" s="95">
        <f t="shared" si="2"/>
        <v>0</v>
      </c>
    </row>
    <row r="38" spans="1:7" ht="16.5" x14ac:dyDescent="0.3">
      <c r="A38" s="112" t="s">
        <v>41</v>
      </c>
      <c r="B38" s="113">
        <v>39714</v>
      </c>
      <c r="C38" s="114">
        <f>SUMIFS(Input[A], Input[County], A38)
+SUMIFS(Input[B], Input[County], A38)
+SUMIFS(Input[C], Input[County], A38)
+SUMIFS(Input[D], Input[County], A38)
+SUMIFS(Input[E], Input[County], A38)
+SUMIFS(Input[F], Input[County], A38)
+SUMIFS(Input[G], Input[County], A38)</f>
        <v>0</v>
      </c>
      <c r="D38" s="115">
        <v>4.8600000000000003</v>
      </c>
      <c r="E38" s="116">
        <f t="shared" si="0"/>
        <v>193010.04</v>
      </c>
      <c r="F38" s="94">
        <f t="shared" si="1"/>
        <v>0</v>
      </c>
      <c r="G38" s="95">
        <f t="shared" si="2"/>
        <v>0</v>
      </c>
    </row>
    <row r="39" spans="1:7" ht="16.5" x14ac:dyDescent="0.3">
      <c r="A39" s="112" t="s">
        <v>42</v>
      </c>
      <c r="B39" s="113">
        <v>23502</v>
      </c>
      <c r="C39" s="114">
        <f>SUMIFS(Input[A], Input[County], A39)
+SUMIFS(Input[B], Input[County], A39)
+SUMIFS(Input[C], Input[County], A39)
+SUMIFS(Input[D], Input[County], A39)
+SUMIFS(Input[E], Input[County], A39)
+SUMIFS(Input[F], Input[County], A39)
+SUMIFS(Input[G], Input[County], A39)</f>
        <v>0</v>
      </c>
      <c r="D39" s="115">
        <v>4.8600000000000003</v>
      </c>
      <c r="E39" s="116">
        <f t="shared" si="0"/>
        <v>114219.72</v>
      </c>
      <c r="F39" s="94">
        <f t="shared" si="1"/>
        <v>0</v>
      </c>
      <c r="G39" s="95">
        <f t="shared" si="2"/>
        <v>0</v>
      </c>
    </row>
    <row r="40" spans="1:7" ht="16.5" x14ac:dyDescent="0.3">
      <c r="A40" s="112" t="s">
        <v>43</v>
      </c>
      <c r="B40" s="113">
        <v>15052</v>
      </c>
      <c r="C40" s="114">
        <f>SUMIFS(Input[A], Input[County], A40)
+SUMIFS(Input[B], Input[County], A40)
+SUMIFS(Input[C], Input[County], A40)
+SUMIFS(Input[D], Input[County], A40)
+SUMIFS(Input[E], Input[County], A40)
+SUMIFS(Input[F], Input[County], A40)
+SUMIFS(Input[G], Input[County], A40)</f>
        <v>0</v>
      </c>
      <c r="D40" s="115">
        <v>4.8600000000000003</v>
      </c>
      <c r="E40" s="116">
        <f t="shared" si="0"/>
        <v>73152.72</v>
      </c>
      <c r="F40" s="94">
        <f t="shared" si="1"/>
        <v>0</v>
      </c>
      <c r="G40" s="95">
        <f t="shared" si="2"/>
        <v>0</v>
      </c>
    </row>
    <row r="41" spans="1:7" ht="16.5" x14ac:dyDescent="0.3">
      <c r="A41" s="102" t="s">
        <v>44</v>
      </c>
      <c r="B41" s="103">
        <v>66614</v>
      </c>
      <c r="C41" s="104">
        <f>SUMIFS(Input[A], Input[County], A41)
+SUMIFS(Input[B], Input[County], A41)
+SUMIFS(Input[C], Input[County], A41)
+SUMIFS(Input[D], Input[County], A41)
+SUMIFS(Input[E], Input[County], A41)
+SUMIFS(Input[F], Input[County], A41)
+SUMIFS(Input[G], Input[County], A41)</f>
        <v>0</v>
      </c>
      <c r="D41" s="105">
        <v>4.8600000000000003</v>
      </c>
      <c r="E41" s="106">
        <f t="shared" si="0"/>
        <v>323744.04000000004</v>
      </c>
      <c r="F41" s="94">
        <f t="shared" si="1"/>
        <v>0</v>
      </c>
      <c r="G41" s="95">
        <f t="shared" si="2"/>
        <v>0</v>
      </c>
    </row>
    <row r="42" spans="1:7" ht="16.5" x14ac:dyDescent="0.3">
      <c r="A42" s="112" t="s">
        <v>45</v>
      </c>
      <c r="B42" s="113">
        <v>9153</v>
      </c>
      <c r="C42" s="114">
        <f>SUMIFS(Input[A], Input[County], A42)
+SUMIFS(Input[B], Input[County], A42)
+SUMIFS(Input[C], Input[County], A42)
+SUMIFS(Input[D], Input[County], A42)
+SUMIFS(Input[E], Input[County], A42)
+SUMIFS(Input[F], Input[County], A42)
+SUMIFS(Input[G], Input[County], A42)</f>
        <v>0</v>
      </c>
      <c r="D42" s="115">
        <v>4.8600000000000003</v>
      </c>
      <c r="E42" s="116">
        <f t="shared" si="0"/>
        <v>44483.58</v>
      </c>
      <c r="F42" s="94">
        <f t="shared" si="1"/>
        <v>0</v>
      </c>
      <c r="G42" s="95">
        <f t="shared" si="2"/>
        <v>0</v>
      </c>
    </row>
    <row r="43" spans="1:7" ht="16.5" x14ac:dyDescent="0.3">
      <c r="A43" s="102" t="s">
        <v>46</v>
      </c>
      <c r="B43" s="103">
        <v>175824</v>
      </c>
      <c r="C43" s="104">
        <f>SUMIFS(Input[A], Input[County], A43)
+SUMIFS(Input[B], Input[County], A43)
+SUMIFS(Input[C], Input[County], A43)
+SUMIFS(Input[D], Input[County], A43)
+SUMIFS(Input[E], Input[County], A43)
+SUMIFS(Input[F], Input[County], A43)
+SUMIFS(Input[G], Input[County], A43)</f>
        <v>0</v>
      </c>
      <c r="D43" s="105">
        <v>4.8600000000000003</v>
      </c>
      <c r="E43" s="106">
        <f t="shared" si="0"/>
        <v>854504.64</v>
      </c>
      <c r="F43" s="94">
        <f t="shared" si="1"/>
        <v>0</v>
      </c>
      <c r="G43" s="95">
        <f t="shared" si="2"/>
        <v>0</v>
      </c>
    </row>
    <row r="44" spans="1:7" ht="16.5" x14ac:dyDescent="0.3">
      <c r="A44" s="112" t="s">
        <v>47</v>
      </c>
      <c r="B44" s="113">
        <v>49978</v>
      </c>
      <c r="C44" s="114">
        <f>SUMIFS(Input[A], Input[County], A44)
+SUMIFS(Input[B], Input[County], A44)
+SUMIFS(Input[C], Input[County], A44)
+SUMIFS(Input[D], Input[County], A44)
+SUMIFS(Input[E], Input[County], A44)
+SUMIFS(Input[F], Input[County], A44)
+SUMIFS(Input[G], Input[County], A44)</f>
        <v>0</v>
      </c>
      <c r="D44" s="115">
        <v>4.8600000000000003</v>
      </c>
      <c r="E44" s="116">
        <f t="shared" si="0"/>
        <v>242893.08000000002</v>
      </c>
      <c r="F44" s="94">
        <f t="shared" si="1"/>
        <v>0</v>
      </c>
      <c r="G44" s="95">
        <f t="shared" si="2"/>
        <v>0</v>
      </c>
    </row>
    <row r="45" spans="1:7" ht="16.5" x14ac:dyDescent="0.3">
      <c r="A45" s="140" t="s">
        <v>230</v>
      </c>
      <c r="B45" s="141">
        <v>1274395</v>
      </c>
      <c r="C45" s="142">
        <f>SUMIFS(Input[A], Input[County], A45)
+SUMIFS(Input[B], Input[County], A45)
+SUMIFS(Input[C], Input[County], A45)
+SUMIFS(Input[D], Input[County], A45)
+SUMIFS(Input[E], Input[County], A45)
+SUMIFS(Input[F], Input[County], A45)
+SUMIFS(Input[G], Input[County], A45)</f>
        <v>0</v>
      </c>
      <c r="D45" s="143">
        <v>4.8600000000000003</v>
      </c>
      <c r="E45" s="144">
        <f t="shared" si="0"/>
        <v>6193559.7000000002</v>
      </c>
      <c r="F45" s="145">
        <f t="shared" si="1"/>
        <v>0</v>
      </c>
      <c r="G45" s="146">
        <f t="shared" si="2"/>
        <v>0</v>
      </c>
    </row>
    <row r="46" spans="1:7" ht="16.5" x14ac:dyDescent="0.3">
      <c r="A46" s="140" t="s">
        <v>231</v>
      </c>
      <c r="B46" s="141">
        <v>26659</v>
      </c>
      <c r="C46" s="142">
        <f>SUMIFS(Input[A], Input[County], A46)
+SUMIFS(Input[B], Input[County], A46)
+SUMIFS(Input[C], Input[County], A46)
+SUMIFS(Input[D], Input[County], A46)
+SUMIFS(Input[E], Input[County], A46)
+SUMIFS(Input[F], Input[County], A46)
+SUMIFS(Input[G], Input[County], A46)</f>
        <v>0</v>
      </c>
      <c r="D46" s="143">
        <v>4.8600000000000003</v>
      </c>
      <c r="E46" s="144">
        <f t="shared" si="0"/>
        <v>129562.74</v>
      </c>
      <c r="F46" s="145">
        <f t="shared" si="1"/>
        <v>0</v>
      </c>
      <c r="G46" s="146">
        <f t="shared" si="2"/>
        <v>0</v>
      </c>
    </row>
    <row r="47" spans="1:7" ht="16.5" x14ac:dyDescent="0.3">
      <c r="A47" s="112" t="s">
        <v>48</v>
      </c>
      <c r="B47" s="113">
        <v>20770</v>
      </c>
      <c r="C47" s="114">
        <f>SUMIFS(Input[A], Input[County], A47)
+SUMIFS(Input[B], Input[County], A47)
+SUMIFS(Input[C], Input[County], A47)
+SUMIFS(Input[D], Input[County], A47)
+SUMIFS(Input[E], Input[County], A47)
+SUMIFS(Input[F], Input[County], A47)
+SUMIFS(Input[G], Input[County], A47)</f>
        <v>0</v>
      </c>
      <c r="D47" s="115">
        <v>4.8600000000000003</v>
      </c>
      <c r="E47" s="116">
        <f t="shared" si="0"/>
        <v>100942.20000000001</v>
      </c>
      <c r="F47" s="94">
        <f t="shared" si="1"/>
        <v>0</v>
      </c>
      <c r="G47" s="95">
        <f t="shared" si="2"/>
        <v>0</v>
      </c>
    </row>
    <row r="48" spans="1:7" ht="16.5" x14ac:dyDescent="0.3">
      <c r="A48" s="112" t="s">
        <v>49</v>
      </c>
      <c r="B48" s="113">
        <v>22891</v>
      </c>
      <c r="C48" s="114">
        <f>SUMIFS(Input[A], Input[County], A48)
+SUMIFS(Input[B], Input[County], A48)
+SUMIFS(Input[C], Input[County], A48)
+SUMIFS(Input[D], Input[County], A48)
+SUMIFS(Input[E], Input[County], A48)
+SUMIFS(Input[F], Input[County], A48)
+SUMIFS(Input[G], Input[County], A48)</f>
        <v>0</v>
      </c>
      <c r="D48" s="115">
        <v>4.8600000000000003</v>
      </c>
      <c r="E48" s="116">
        <f t="shared" si="0"/>
        <v>111250.26000000001</v>
      </c>
      <c r="F48" s="94">
        <f t="shared" si="1"/>
        <v>0</v>
      </c>
      <c r="G48" s="95">
        <f t="shared" si="2"/>
        <v>0</v>
      </c>
    </row>
    <row r="49" spans="1:7" ht="16.5" x14ac:dyDescent="0.3">
      <c r="A49" s="112" t="s">
        <v>50</v>
      </c>
      <c r="B49" s="113">
        <v>8219</v>
      </c>
      <c r="C49" s="114">
        <f>SUMIFS(Input[A], Input[County], A49)
+SUMIFS(Input[B], Input[County], A49)
+SUMIFS(Input[C], Input[County], A49)
+SUMIFS(Input[D], Input[County], A49)
+SUMIFS(Input[E], Input[County], A49)
+SUMIFS(Input[F], Input[County], A49)
+SUMIFS(Input[G], Input[County], A49)</f>
        <v>0</v>
      </c>
      <c r="D49" s="115">
        <v>4.8600000000000003</v>
      </c>
      <c r="E49" s="116">
        <f t="shared" si="0"/>
        <v>39944.340000000004</v>
      </c>
      <c r="F49" s="94">
        <f t="shared" si="1"/>
        <v>0</v>
      </c>
      <c r="G49" s="95">
        <f t="shared" si="2"/>
        <v>0</v>
      </c>
    </row>
    <row r="50" spans="1:7" ht="16.5" x14ac:dyDescent="0.3">
      <c r="A50" s="112" t="s">
        <v>51</v>
      </c>
      <c r="B50" s="113">
        <v>12982</v>
      </c>
      <c r="C50" s="114">
        <f>SUMIFS(Input[A], Input[County], A50)
+SUMIFS(Input[B], Input[County], A50)
+SUMIFS(Input[C], Input[County], A50)
+SUMIFS(Input[D], Input[County], A50)
+SUMIFS(Input[E], Input[County], A50)
+SUMIFS(Input[F], Input[County], A50)
+SUMIFS(Input[G], Input[County], A50)</f>
        <v>0</v>
      </c>
      <c r="D50" s="115">
        <v>4.8600000000000003</v>
      </c>
      <c r="E50" s="116">
        <f t="shared" si="0"/>
        <v>63092.520000000004</v>
      </c>
      <c r="F50" s="94">
        <f t="shared" si="1"/>
        <v>0</v>
      </c>
      <c r="G50" s="95">
        <f t="shared" si="2"/>
        <v>0</v>
      </c>
    </row>
    <row r="51" spans="1:7" ht="16.5" x14ac:dyDescent="0.3">
      <c r="A51" s="135" t="s">
        <v>52</v>
      </c>
      <c r="B51" s="136">
        <v>23459</v>
      </c>
      <c r="C51" s="137">
        <f>SUMIFS(Input[A], Input[County], A51)
+SUMIFS(Input[B], Input[County], A51)
+SUMIFS(Input[C], Input[County], A51)
+SUMIFS(Input[D], Input[County], A51)
+SUMIFS(Input[E], Input[County], A51)
+SUMIFS(Input[F], Input[County], A51)
+SUMIFS(Input[G], Input[County], A51)</f>
        <v>0</v>
      </c>
      <c r="D51" s="138">
        <v>4.8600000000000003</v>
      </c>
      <c r="E51" s="139">
        <f t="shared" si="0"/>
        <v>114010.74</v>
      </c>
      <c r="F51" s="124">
        <f t="shared" si="1"/>
        <v>0</v>
      </c>
      <c r="G51" s="125">
        <f t="shared" si="2"/>
        <v>0</v>
      </c>
    </row>
    <row r="52" spans="1:7" ht="16.5" x14ac:dyDescent="0.3">
      <c r="A52" s="102" t="s">
        <v>53</v>
      </c>
      <c r="B52" s="103">
        <v>190124</v>
      </c>
      <c r="C52" s="104">
        <f>SUMIFS(Input[A], Input[County], A52)
+SUMIFS(Input[B], Input[County], A52)
+SUMIFS(Input[C], Input[County], A52)
+SUMIFS(Input[D], Input[County], A52)
+SUMIFS(Input[E], Input[County], A52)
+SUMIFS(Input[F], Input[County], A52)
+SUMIFS(Input[G], Input[County], A52)</f>
        <v>0</v>
      </c>
      <c r="D52" s="105">
        <v>4.8600000000000003</v>
      </c>
      <c r="E52" s="106">
        <f t="shared" si="0"/>
        <v>924002.64</v>
      </c>
      <c r="F52" s="117">
        <f t="shared" si="1"/>
        <v>0</v>
      </c>
      <c r="G52" s="118">
        <f t="shared" si="2"/>
        <v>0</v>
      </c>
    </row>
    <row r="53" spans="1:7" ht="16.5" x14ac:dyDescent="0.3">
      <c r="A53" s="102" t="s">
        <v>54</v>
      </c>
      <c r="B53" s="103">
        <v>68094</v>
      </c>
      <c r="C53" s="104">
        <f>SUMIFS(Input[A], Input[County], A53)
+SUMIFS(Input[B], Input[County], A53)
+SUMIFS(Input[C], Input[County], A53)
+SUMIFS(Input[D], Input[County], A53)
+SUMIFS(Input[E], Input[County], A53)
+SUMIFS(Input[F], Input[County], A53)
+SUMIFS(Input[G], Input[County], A53)</f>
        <v>0</v>
      </c>
      <c r="D53" s="105">
        <v>4.8600000000000003</v>
      </c>
      <c r="E53" s="106">
        <f t="shared" si="0"/>
        <v>330936.84000000003</v>
      </c>
      <c r="F53" s="94">
        <f t="shared" si="1"/>
        <v>0</v>
      </c>
      <c r="G53" s="95">
        <f t="shared" si="2"/>
        <v>0</v>
      </c>
    </row>
    <row r="54" spans="1:7" ht="16.5" x14ac:dyDescent="0.3">
      <c r="A54" s="112" t="s">
        <v>55</v>
      </c>
      <c r="B54" s="113">
        <v>53323</v>
      </c>
      <c r="C54" s="114">
        <f>SUMIFS(Input[A], Input[County], A54)
+SUMIFS(Input[B], Input[County], A54)
+SUMIFS(Input[C], Input[County], A54)
+SUMIFS(Input[D], Input[County], A54)
+SUMIFS(Input[E], Input[County], A54)
+SUMIFS(Input[F], Input[County], A54)
+SUMIFS(Input[G], Input[County], A54)</f>
        <v>0</v>
      </c>
      <c r="D54" s="115">
        <v>4.8600000000000003</v>
      </c>
      <c r="E54" s="116">
        <f t="shared" si="0"/>
        <v>259149.78000000003</v>
      </c>
      <c r="F54" s="94">
        <f t="shared" si="1"/>
        <v>0</v>
      </c>
      <c r="G54" s="95">
        <f t="shared" si="2"/>
        <v>0</v>
      </c>
    </row>
    <row r="55" spans="1:7" ht="16.5" x14ac:dyDescent="0.3">
      <c r="A55" s="140" t="s">
        <v>232</v>
      </c>
      <c r="B55" s="141">
        <v>372258</v>
      </c>
      <c r="C55" s="142">
        <f>SUMIFS(Input[A], Input[County], A55)
+SUMIFS(Input[B], Input[County], A55)
+SUMIFS(Input[C], Input[County], A55)
+SUMIFS(Input[D], Input[County], A55)
+SUMIFS(Input[E], Input[County], A55)
+SUMIFS(Input[F], Input[County], A55)
+SUMIFS(Input[G], Input[County], A55)</f>
        <v>0</v>
      </c>
      <c r="D55" s="143">
        <v>4.8600000000000003</v>
      </c>
      <c r="E55" s="144">
        <f t="shared" si="0"/>
        <v>1809173.8800000001</v>
      </c>
      <c r="F55" s="145">
        <f t="shared" si="1"/>
        <v>0</v>
      </c>
      <c r="G55" s="146">
        <f t="shared" si="2"/>
        <v>0</v>
      </c>
    </row>
    <row r="56" spans="1:7" ht="17.25" thickBot="1" x14ac:dyDescent="0.35">
      <c r="A56" s="126" t="s">
        <v>56</v>
      </c>
      <c r="B56" s="127">
        <v>33673</v>
      </c>
      <c r="C56" s="128">
        <f>SUMIFS(Input[A], Input[County], A56)
+SUMIFS(Input[B], Input[County], A56)
+SUMIFS(Input[C], Input[County], A56)
+SUMIFS(Input[D], Input[County], A56)
+SUMIFS(Input[E], Input[County], A56)
+SUMIFS(Input[F], Input[County], A56)
+SUMIFS(Input[G], Input[County], A56)</f>
        <v>0</v>
      </c>
      <c r="D56" s="129">
        <v>4.8600000000000003</v>
      </c>
      <c r="E56" s="130">
        <f t="shared" si="0"/>
        <v>163650.78</v>
      </c>
      <c r="F56" s="98">
        <f t="shared" si="1"/>
        <v>0</v>
      </c>
      <c r="G56" s="99">
        <f t="shared" si="2"/>
        <v>0</v>
      </c>
    </row>
  </sheetData>
  <protectedRanges>
    <protectedRange sqref="A7:F7 A4:B4" name="User Data Entry"/>
    <protectedRange sqref="C14:C56" name="User Data Entry_1"/>
  </protectedRanges>
  <sortState xmlns:xlrd2="http://schemas.microsoft.com/office/spreadsheetml/2017/richdata2" ref="A14:A56">
    <sortCondition ref="A14:A56"/>
  </sortState>
  <mergeCells count="1">
    <mergeCell ref="A1:G1"/>
  </mergeCells>
  <conditionalFormatting sqref="E4">
    <cfRule type="containsText" dxfId="13" priority="20" operator="containsText" text="PCI Not Met">
      <formula>NOT(ISERROR(SEARCH("PCI Not Met",E4)))</formula>
    </cfRule>
    <cfRule type="containsText" dxfId="12" priority="21" operator="containsText" text="PCI Met">
      <formula>NOT(ISERROR(SEARCH("PCI Met",E4)))</formula>
    </cfRule>
  </conditionalFormatting>
  <conditionalFormatting sqref="F14:F17 F20:F28 F30:F44 F47:F54 F56">
    <cfRule type="cellIs" dxfId="11" priority="5" operator="lessThan">
      <formula>1</formula>
    </cfRule>
    <cfRule type="cellIs" dxfId="10" priority="6" operator="equal">
      <formula>1</formula>
    </cfRule>
    <cfRule type="cellIs" dxfId="9" priority="7" operator="greaterThan">
      <formula>1</formula>
    </cfRule>
  </conditionalFormatting>
  <conditionalFormatting sqref="F14:G17 F20:G28 F30:G44 F47:G54 F56:G56">
    <cfRule type="cellIs" dxfId="8" priority="1" operator="equal">
      <formula>0</formula>
    </cfRule>
  </conditionalFormatting>
  <conditionalFormatting sqref="G10">
    <cfRule type="cellIs" dxfId="7" priority="8" operator="between">
      <formula>0.75</formula>
      <formula>0.99</formula>
    </cfRule>
  </conditionalFormatting>
  <conditionalFormatting sqref="G10:G11">
    <cfRule type="cellIs" dxfId="6" priority="10" operator="greaterThan">
      <formula>0.99</formula>
    </cfRule>
    <cfRule type="cellIs" dxfId="5" priority="12" operator="lessThan">
      <formula>75%</formula>
    </cfRule>
  </conditionalFormatting>
  <conditionalFormatting sqref="G11">
    <cfRule type="cellIs" dxfId="4" priority="9" operator="lessThan">
      <formula>1</formula>
    </cfRule>
    <cfRule type="cellIs" dxfId="3" priority="11" operator="greaterThan">
      <formula>1</formula>
    </cfRule>
  </conditionalFormatting>
  <conditionalFormatting sqref="G14:G17 G20:G28 G30:G44 G47:G54 G56">
    <cfRule type="cellIs" dxfId="2" priority="2" operator="lessThan">
      <formula>0.5</formula>
    </cfRule>
    <cfRule type="cellIs" dxfId="1" priority="3" operator="equal">
      <formula>0.5</formula>
    </cfRule>
    <cfRule type="cellIs" dxfId="0" priority="4" operator="greaterThan">
      <formula>0.5</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5"/>
  <sheetViews>
    <sheetView workbookViewId="0">
      <selection activeCell="B82" sqref="B82"/>
    </sheetView>
  </sheetViews>
  <sheetFormatPr defaultRowHeight="15" x14ac:dyDescent="0.25"/>
  <cols>
    <col min="1" max="1" width="32.7109375" bestFit="1" customWidth="1"/>
    <col min="2" max="2" width="12.85546875" customWidth="1"/>
    <col min="4" max="4" width="18.7109375" customWidth="1"/>
  </cols>
  <sheetData>
    <row r="1" spans="1:2" x14ac:dyDescent="0.25">
      <c r="A1" s="1" t="s">
        <v>11</v>
      </c>
      <c r="B1" s="1" t="s">
        <v>259</v>
      </c>
    </row>
    <row r="2" spans="1:2" x14ac:dyDescent="0.25">
      <c r="A2" s="3" t="s">
        <v>271</v>
      </c>
      <c r="B2" s="2">
        <v>20654</v>
      </c>
    </row>
    <row r="3" spans="1:2" x14ac:dyDescent="0.25">
      <c r="A3" s="3" t="s">
        <v>286</v>
      </c>
      <c r="B3" s="2">
        <v>16027</v>
      </c>
    </row>
    <row r="4" spans="1:2" x14ac:dyDescent="0.25">
      <c r="A4" s="3" t="s">
        <v>294</v>
      </c>
      <c r="B4" s="2">
        <v>46711</v>
      </c>
    </row>
    <row r="5" spans="1:2" x14ac:dyDescent="0.25">
      <c r="A5" s="3" t="s">
        <v>295</v>
      </c>
      <c r="B5" s="2">
        <v>16220</v>
      </c>
    </row>
    <row r="6" spans="1:2" x14ac:dyDescent="0.25">
      <c r="A6" s="3" t="s">
        <v>278</v>
      </c>
      <c r="B6" s="2">
        <v>268740</v>
      </c>
    </row>
    <row r="7" spans="1:2" x14ac:dyDescent="0.25">
      <c r="A7" s="3" t="s">
        <v>285</v>
      </c>
      <c r="B7" s="2">
        <v>13317</v>
      </c>
    </row>
    <row r="8" spans="1:2" x14ac:dyDescent="0.25">
      <c r="A8" s="3" t="s">
        <v>296</v>
      </c>
      <c r="B8" s="2">
        <v>16526</v>
      </c>
    </row>
    <row r="9" spans="1:2" x14ac:dyDescent="0.25">
      <c r="A9" s="3" t="s">
        <v>297</v>
      </c>
      <c r="B9" s="2">
        <v>52442</v>
      </c>
    </row>
    <row r="10" spans="1:2" x14ac:dyDescent="0.25">
      <c r="A10" s="3" t="s">
        <v>282</v>
      </c>
      <c r="B10" s="2">
        <v>66297</v>
      </c>
    </row>
    <row r="11" spans="1:2" x14ac:dyDescent="0.25">
      <c r="A11" s="3" t="s">
        <v>265</v>
      </c>
      <c r="B11" s="2">
        <v>34659</v>
      </c>
    </row>
    <row r="12" spans="1:2" x14ac:dyDescent="0.25">
      <c r="A12" s="3" t="s">
        <v>266</v>
      </c>
      <c r="B12" s="2">
        <v>58490</v>
      </c>
    </row>
    <row r="13" spans="1:2" x14ac:dyDescent="0.25">
      <c r="A13" s="3" t="s">
        <v>28</v>
      </c>
      <c r="B13" s="2">
        <v>16113</v>
      </c>
    </row>
    <row r="14" spans="1:2" x14ac:dyDescent="0.25">
      <c r="A14" s="3" t="s">
        <v>298</v>
      </c>
      <c r="B14" s="2">
        <v>561504</v>
      </c>
    </row>
    <row r="15" spans="1:2" x14ac:dyDescent="0.25">
      <c r="A15" s="3" t="s">
        <v>274</v>
      </c>
      <c r="B15" s="2">
        <v>89396</v>
      </c>
    </row>
    <row r="16" spans="1:2" x14ac:dyDescent="0.25">
      <c r="A16" s="3" t="s">
        <v>299</v>
      </c>
      <c r="B16" s="2">
        <v>30066</v>
      </c>
    </row>
    <row r="17" spans="1:2" x14ac:dyDescent="0.25">
      <c r="A17" s="3" t="s">
        <v>272</v>
      </c>
      <c r="B17" s="2">
        <v>44295</v>
      </c>
    </row>
    <row r="18" spans="1:2" x14ac:dyDescent="0.25">
      <c r="A18" s="3" t="s">
        <v>284</v>
      </c>
      <c r="B18" s="2">
        <v>45440</v>
      </c>
    </row>
    <row r="19" spans="1:2" x14ac:dyDescent="0.25">
      <c r="A19" s="3" t="s">
        <v>300</v>
      </c>
      <c r="B19" s="2">
        <v>105710</v>
      </c>
    </row>
    <row r="20" spans="1:2" x14ac:dyDescent="0.25">
      <c r="A20" s="3" t="s">
        <v>290</v>
      </c>
      <c r="B20" s="2">
        <v>4558</v>
      </c>
    </row>
    <row r="21" spans="1:2" x14ac:dyDescent="0.25">
      <c r="A21" s="3" t="s">
        <v>301</v>
      </c>
      <c r="B21" s="2">
        <v>104154</v>
      </c>
    </row>
    <row r="22" spans="1:2" x14ac:dyDescent="0.25">
      <c r="A22" s="3" t="s">
        <v>289</v>
      </c>
      <c r="B22" s="2">
        <v>9179</v>
      </c>
    </row>
    <row r="23" spans="1:2" x14ac:dyDescent="0.25">
      <c r="A23" s="3" t="s">
        <v>267</v>
      </c>
      <c r="B23" s="2">
        <v>51938</v>
      </c>
    </row>
    <row r="24" spans="1:2" x14ac:dyDescent="0.25">
      <c r="A24" s="3" t="s">
        <v>280</v>
      </c>
      <c r="B24" s="2">
        <v>37093</v>
      </c>
    </row>
    <row r="25" spans="1:2" x14ac:dyDescent="0.25">
      <c r="A25" s="3" t="s">
        <v>302</v>
      </c>
      <c r="B25" s="2">
        <v>19018</v>
      </c>
    </row>
    <row r="26" spans="1:2" x14ac:dyDescent="0.25">
      <c r="A26" s="3" t="s">
        <v>261</v>
      </c>
      <c r="B26" s="2">
        <v>23709</v>
      </c>
    </row>
    <row r="27" spans="1:2" x14ac:dyDescent="0.25">
      <c r="A27" s="3" t="s">
        <v>33</v>
      </c>
      <c r="B27" s="2">
        <v>6137</v>
      </c>
    </row>
    <row r="28" spans="1:2" x14ac:dyDescent="0.25">
      <c r="A28" s="3" t="s">
        <v>34</v>
      </c>
      <c r="B28" s="2">
        <v>21145</v>
      </c>
    </row>
    <row r="29" spans="1:2" x14ac:dyDescent="0.25">
      <c r="A29" s="3" t="s">
        <v>263</v>
      </c>
      <c r="B29" s="2">
        <v>84900</v>
      </c>
    </row>
    <row r="30" spans="1:2" x14ac:dyDescent="0.25">
      <c r="A30" s="3" t="s">
        <v>303</v>
      </c>
      <c r="B30" s="2">
        <v>26718</v>
      </c>
    </row>
    <row r="31" spans="1:2" x14ac:dyDescent="0.25">
      <c r="A31" s="3" t="s">
        <v>304</v>
      </c>
      <c r="B31" s="2">
        <v>169151</v>
      </c>
    </row>
    <row r="32" spans="1:2" x14ac:dyDescent="0.25">
      <c r="A32" s="3" t="s">
        <v>305</v>
      </c>
      <c r="B32" s="2">
        <v>20563</v>
      </c>
    </row>
    <row r="33" spans="1:2" x14ac:dyDescent="0.25">
      <c r="A33" s="3" t="s">
        <v>306</v>
      </c>
      <c r="B33" s="2">
        <v>120784</v>
      </c>
    </row>
    <row r="34" spans="1:2" x14ac:dyDescent="0.25">
      <c r="A34" s="3" t="s">
        <v>268</v>
      </c>
      <c r="B34" s="2">
        <v>16611</v>
      </c>
    </row>
    <row r="35" spans="1:2" x14ac:dyDescent="0.25">
      <c r="A35" s="3" t="s">
        <v>307</v>
      </c>
      <c r="B35" s="2">
        <v>19491</v>
      </c>
    </row>
    <row r="36" spans="1:2" x14ac:dyDescent="0.25">
      <c r="A36" s="3" t="s">
        <v>269</v>
      </c>
      <c r="B36" s="2">
        <v>28415</v>
      </c>
    </row>
    <row r="37" spans="1:2" x14ac:dyDescent="0.25">
      <c r="A37" s="3" t="s">
        <v>308</v>
      </c>
      <c r="B37" s="2">
        <v>81359</v>
      </c>
    </row>
    <row r="38" spans="1:2" x14ac:dyDescent="0.25">
      <c r="A38" s="3" t="s">
        <v>309</v>
      </c>
      <c r="B38" s="2">
        <v>138013</v>
      </c>
    </row>
    <row r="39" spans="1:2" x14ac:dyDescent="0.25">
      <c r="A39" s="3" t="s">
        <v>310</v>
      </c>
      <c r="B39" s="2">
        <v>41872</v>
      </c>
    </row>
    <row r="40" spans="1:2" x14ac:dyDescent="0.25">
      <c r="A40" s="3" t="s">
        <v>40</v>
      </c>
      <c r="B40" s="2">
        <v>15592</v>
      </c>
    </row>
    <row r="41" spans="1:2" x14ac:dyDescent="0.25">
      <c r="A41" s="3" t="s">
        <v>42</v>
      </c>
      <c r="B41" s="2">
        <v>4255</v>
      </c>
    </row>
    <row r="42" spans="1:2" x14ac:dyDescent="0.25">
      <c r="A42" s="3" t="s">
        <v>311</v>
      </c>
      <c r="B42" s="2">
        <v>939489</v>
      </c>
    </row>
    <row r="43" spans="1:2" x14ac:dyDescent="0.25">
      <c r="A43" s="3" t="s">
        <v>264</v>
      </c>
      <c r="B43" s="2">
        <v>46274</v>
      </c>
    </row>
    <row r="44" spans="1:2" x14ac:dyDescent="0.25">
      <c r="A44" s="3" t="s">
        <v>312</v>
      </c>
      <c r="B44" s="2">
        <v>38965</v>
      </c>
    </row>
    <row r="45" spans="1:2" x14ac:dyDescent="0.25">
      <c r="A45" s="3" t="s">
        <v>277</v>
      </c>
      <c r="B45" s="2">
        <v>37845</v>
      </c>
    </row>
    <row r="46" spans="1:2" x14ac:dyDescent="0.25">
      <c r="A46" s="3" t="s">
        <v>313</v>
      </c>
      <c r="B46" s="2">
        <v>190705</v>
      </c>
    </row>
    <row r="47" spans="1:2" x14ac:dyDescent="0.25">
      <c r="A47" s="3" t="s">
        <v>314</v>
      </c>
      <c r="B47" s="2">
        <v>91503</v>
      </c>
    </row>
    <row r="48" spans="1:2" x14ac:dyDescent="0.25">
      <c r="A48" s="3" t="s">
        <v>315</v>
      </c>
      <c r="B48" s="2">
        <v>7318</v>
      </c>
    </row>
    <row r="49" spans="1:2" x14ac:dyDescent="0.25">
      <c r="A49" s="3" t="s">
        <v>275</v>
      </c>
      <c r="B49" s="2">
        <v>42212</v>
      </c>
    </row>
    <row r="50" spans="1:2" x14ac:dyDescent="0.25">
      <c r="A50" s="3" t="s">
        <v>270</v>
      </c>
      <c r="B50" s="2">
        <v>44977</v>
      </c>
    </row>
    <row r="51" spans="1:2" x14ac:dyDescent="0.25">
      <c r="A51" s="3" t="s">
        <v>287</v>
      </c>
      <c r="B51" s="2">
        <v>70377</v>
      </c>
    </row>
    <row r="52" spans="1:2" x14ac:dyDescent="0.25">
      <c r="A52" s="3" t="s">
        <v>316</v>
      </c>
      <c r="B52" s="2">
        <v>14054</v>
      </c>
    </row>
    <row r="53" spans="1:2" x14ac:dyDescent="0.25">
      <c r="A53" s="3" t="s">
        <v>317</v>
      </c>
      <c r="B53" s="2">
        <v>197727</v>
      </c>
    </row>
    <row r="54" spans="1:2" x14ac:dyDescent="0.25">
      <c r="A54" s="3" t="s">
        <v>279</v>
      </c>
      <c r="B54" s="2">
        <v>17304</v>
      </c>
    </row>
    <row r="55" spans="1:2" x14ac:dyDescent="0.25">
      <c r="A55" s="3" t="s">
        <v>283</v>
      </c>
      <c r="B55" s="2">
        <v>163687</v>
      </c>
    </row>
    <row r="56" spans="1:2" x14ac:dyDescent="0.25">
      <c r="A56" s="3" t="s">
        <v>292</v>
      </c>
      <c r="B56" s="2">
        <v>14188</v>
      </c>
    </row>
    <row r="57" spans="1:2" x14ac:dyDescent="0.25">
      <c r="A57" s="3" t="s">
        <v>318</v>
      </c>
      <c r="B57" s="2">
        <v>65763</v>
      </c>
    </row>
    <row r="58" spans="1:2" x14ac:dyDescent="0.25">
      <c r="A58" s="3" t="s">
        <v>319</v>
      </c>
      <c r="B58" s="2">
        <v>18074</v>
      </c>
    </row>
    <row r="59" spans="1:2" x14ac:dyDescent="0.25">
      <c r="A59" s="3" t="s">
        <v>320</v>
      </c>
      <c r="B59" s="2">
        <v>40881</v>
      </c>
    </row>
    <row r="60" spans="1:2" x14ac:dyDescent="0.25">
      <c r="A60" s="3" t="s">
        <v>321</v>
      </c>
      <c r="B60" s="2">
        <v>118034</v>
      </c>
    </row>
    <row r="61" spans="1:2" x14ac:dyDescent="0.25">
      <c r="A61" s="3" t="s">
        <v>293</v>
      </c>
      <c r="B61" s="2">
        <v>93536</v>
      </c>
    </row>
    <row r="62" spans="1:2" x14ac:dyDescent="0.25">
      <c r="A62" s="3" t="s">
        <v>273</v>
      </c>
      <c r="B62" s="2">
        <v>19913</v>
      </c>
    </row>
    <row r="63" spans="1:2" x14ac:dyDescent="0.25">
      <c r="A63" s="3" t="s">
        <v>322</v>
      </c>
      <c r="B63" s="2">
        <v>30760</v>
      </c>
    </row>
    <row r="64" spans="1:2" x14ac:dyDescent="0.25">
      <c r="A64" s="3" t="s">
        <v>281</v>
      </c>
      <c r="B64" s="2">
        <v>30714</v>
      </c>
    </row>
    <row r="65" spans="1:2" x14ac:dyDescent="0.25">
      <c r="A65" s="3" t="s">
        <v>323</v>
      </c>
      <c r="B65" s="2">
        <v>23047</v>
      </c>
    </row>
    <row r="66" spans="1:2" x14ac:dyDescent="0.25">
      <c r="A66" s="3" t="s">
        <v>291</v>
      </c>
      <c r="B66" s="2">
        <v>106478</v>
      </c>
    </row>
    <row r="67" spans="1:2" x14ac:dyDescent="0.25">
      <c r="A67" s="3" t="s">
        <v>324</v>
      </c>
      <c r="B67" s="2">
        <v>16623</v>
      </c>
    </row>
    <row r="68" spans="1:2" x14ac:dyDescent="0.25">
      <c r="A68" s="3" t="s">
        <v>262</v>
      </c>
      <c r="B68" s="2">
        <v>136761</v>
      </c>
    </row>
    <row r="69" spans="1:2" x14ac:dyDescent="0.25">
      <c r="A69" s="3" t="s">
        <v>325</v>
      </c>
      <c r="B69" s="2">
        <v>406978</v>
      </c>
    </row>
    <row r="70" spans="1:2" x14ac:dyDescent="0.25">
      <c r="A70" s="3" t="s">
        <v>326</v>
      </c>
      <c r="B70" s="2">
        <v>51812</v>
      </c>
    </row>
    <row r="71" spans="1:2" x14ac:dyDescent="0.25">
      <c r="A71" s="3" t="s">
        <v>327</v>
      </c>
      <c r="B71" s="2">
        <v>24520</v>
      </c>
    </row>
    <row r="72" spans="1:2" x14ac:dyDescent="0.25">
      <c r="A72" s="3" t="s">
        <v>276</v>
      </c>
      <c r="B72" s="2">
        <v>171730</v>
      </c>
    </row>
    <row r="73" spans="1:2" x14ac:dyDescent="0.25">
      <c r="A73" s="3" t="s">
        <v>288</v>
      </c>
      <c r="B73" s="2">
        <v>74207</v>
      </c>
    </row>
    <row r="74" spans="1:2" x14ac:dyDescent="0.25">
      <c r="A74" s="3" t="s">
        <v>260</v>
      </c>
      <c r="B74" s="2"/>
    </row>
    <row r="75" spans="1:2" x14ac:dyDescent="0.25">
      <c r="A75" s="3" t="s">
        <v>57</v>
      </c>
      <c r="B75" s="2">
        <v>5893718</v>
      </c>
    </row>
  </sheetData>
  <sheetProtection selectLockedCells="1" selectUnlockedCells="1"/>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1"/>
  <sheetViews>
    <sheetView workbookViewId="0">
      <selection activeCell="C415" sqref="C415"/>
    </sheetView>
  </sheetViews>
  <sheetFormatPr defaultRowHeight="15" x14ac:dyDescent="0.25"/>
  <cols>
    <col min="1" max="1" width="98.28515625" style="19" customWidth="1"/>
  </cols>
  <sheetData>
    <row r="1" spans="1:1" x14ac:dyDescent="0.25">
      <c r="A1" s="19" t="s">
        <v>328</v>
      </c>
    </row>
    <row r="2" spans="1:1" x14ac:dyDescent="0.25">
      <c r="A2" s="20" t="s">
        <v>329</v>
      </c>
    </row>
    <row r="3" spans="1:1" ht="30" x14ac:dyDescent="0.25">
      <c r="A3" s="19" t="s">
        <v>330</v>
      </c>
    </row>
    <row r="5" spans="1:1" x14ac:dyDescent="0.25">
      <c r="A5" s="20" t="s">
        <v>331</v>
      </c>
    </row>
    <row r="6" spans="1:1" ht="30" x14ac:dyDescent="0.25">
      <c r="A6" s="19" t="s">
        <v>332</v>
      </c>
    </row>
    <row r="8" spans="1:1" ht="45" x14ac:dyDescent="0.25">
      <c r="A8" s="19" t="s">
        <v>333</v>
      </c>
    </row>
    <row r="9" spans="1:1" x14ac:dyDescent="0.25">
      <c r="A9" s="19" t="s">
        <v>334</v>
      </c>
    </row>
    <row r="10" spans="1:1" x14ac:dyDescent="0.25">
      <c r="A10" s="19" t="s">
        <v>335</v>
      </c>
    </row>
    <row r="11" spans="1:1" ht="90" x14ac:dyDescent="0.25">
      <c r="A11" s="19" t="s">
        <v>336</v>
      </c>
    </row>
    <row r="13" spans="1:1" ht="45" x14ac:dyDescent="0.25">
      <c r="A13" s="19" t="s">
        <v>337</v>
      </c>
    </row>
    <row r="14" spans="1:1" x14ac:dyDescent="0.25">
      <c r="A14" s="21" t="s">
        <v>338</v>
      </c>
    </row>
    <row r="15" spans="1:1" x14ac:dyDescent="0.25">
      <c r="A15" s="21" t="s">
        <v>339</v>
      </c>
    </row>
    <row r="16" spans="1:1" x14ac:dyDescent="0.25">
      <c r="A16" s="21" t="s">
        <v>340</v>
      </c>
    </row>
    <row r="19" spans="1:1" x14ac:dyDescent="0.25">
      <c r="A19" s="19" t="s">
        <v>341</v>
      </c>
    </row>
    <row r="20" spans="1:1" ht="30" x14ac:dyDescent="0.25">
      <c r="A20" s="19" t="s">
        <v>342</v>
      </c>
    </row>
    <row r="21" spans="1:1" ht="30" x14ac:dyDescent="0.25">
      <c r="A21" s="19" t="s">
        <v>343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A35234-6B01-401F-B955-C6B912219AB5}">
  <ds:schemaRefs>
    <ds:schemaRef ds:uri="http://purl.org/dc/elements/1.1/"/>
    <ds:schemaRef ds:uri="http://schemas.microsoft.com/office/infopath/2007/PartnerControls"/>
    <ds:schemaRef ds:uri="http://schemas.microsoft.com/office/2006/documentManagement/types"/>
    <ds:schemaRef ds:uri="http://www.w3.org/XML/1998/namespace"/>
    <ds:schemaRef ds:uri="4f1a833c-a938-4a5e-81e3-99cd1b92e526"/>
    <ds:schemaRef ds:uri="538c035d-569c-47ab-a864-fdd8ae3d4516"/>
    <ds:schemaRef ds:uri="http://schemas.openxmlformats.org/package/2006/metadata/core-properties"/>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CC826326-E684-43F8-9A1E-4FFA6871B60C}">
  <ds:schemaRefs>
    <ds:schemaRef ds:uri="http://schemas.microsoft.com/sharepoint/v3/contenttype/forms"/>
  </ds:schemaRefs>
</ds:datastoreItem>
</file>

<file path=customXml/itemProps3.xml><?xml version="1.0" encoding="utf-8"?>
<ds:datastoreItem xmlns:ds="http://schemas.openxmlformats.org/officeDocument/2006/customXml" ds:itemID="{7E57A679-8D21-49C6-B8DC-5E22C1406B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863bcaf-4433-4a95-89dd-302e4b0159a1}" enabled="0" method="" siteId="{2863bcaf-4433-4a95-89dd-302e4b0159a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Input Sheet</vt:lpstr>
      <vt:lpstr>Applicants</vt:lpstr>
      <vt:lpstr>Reductions</vt:lpstr>
      <vt:lpstr>RVAR</vt:lpstr>
      <vt:lpstr>PCI Indicator</vt:lpstr>
      <vt:lpstr>County Populations</vt:lpstr>
      <vt:lpstr>Programming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Saidat</dc:creator>
  <cp:keywords/>
  <dc:description/>
  <cp:lastModifiedBy>Smith, Caleb</cp:lastModifiedBy>
  <cp:revision/>
  <dcterms:created xsi:type="dcterms:W3CDTF">2015-04-14T19:24:53Z</dcterms:created>
  <dcterms:modified xsi:type="dcterms:W3CDTF">2026-07-19T03:44:16Z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