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IN PDA July 2026/Damage Data/Counties/Floyd/"/>
    </mc:Choice>
  </mc:AlternateContent>
  <xr:revisionPtr revIDLastSave="91" documentId="13_ncr:1_{33D70C14-78C9-4F57-B08D-38B3620F4A53}" xr6:coauthVersionLast="47" xr6:coauthVersionMax="47" xr10:uidLastSave="{B60A3AFA-6008-4F64-93FA-024879B7BF0C}"/>
  <bookViews>
    <workbookView xWindow="-28920" yWindow="-2370" windowWidth="29040" windowHeight="15720" xr2:uid="{00000000-000D-0000-FFFF-FFFF00000000}"/>
  </bookViews>
  <sheets>
    <sheet name="County Summary" sheetId="12" r:id="rId1"/>
    <sheet name="Comments" sheetId="10" r:id="rId2"/>
    <sheet name="Notes" sheetId="11" state="hidden" r:id="rId3"/>
    <sheet name="County Population and Threshold" sheetId="9" state="hidden" r:id="rId4"/>
  </sheets>
  <externalReferences>
    <externalReference r:id="rId5"/>
  </externalReferences>
  <definedNames>
    <definedName name="_xlnm._FilterDatabase" localSheetId="3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9"/>
  <c r="A2" i="10"/>
  <c r="A3" i="10"/>
  <c r="I5" i="9" l="1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101" i="12" l="1"/>
  <c r="L100" i="12"/>
  <c r="L99" i="12"/>
  <c r="L98" i="12"/>
  <c r="L97" i="12"/>
  <c r="L96" i="12"/>
  <c r="L95" i="12"/>
  <c r="L94" i="12"/>
  <c r="L93" i="12"/>
  <c r="L92" i="12"/>
  <c r="L91" i="12"/>
  <c r="L90" i="12"/>
  <c r="L89" i="12"/>
  <c r="L88" i="12"/>
  <c r="L87" i="12"/>
  <c r="L86" i="12"/>
  <c r="L85" i="12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G3" i="12"/>
  <c r="E3" i="12"/>
  <c r="L3" i="12" l="1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4" i="9"/>
</calcChain>
</file>

<file path=xl/sharedStrings.xml><?xml version="1.0" encoding="utf-8"?>
<sst xmlns="http://schemas.openxmlformats.org/spreadsheetml/2006/main" count="221" uniqueCount="218">
  <si>
    <t>A</t>
  </si>
  <si>
    <t>B</t>
  </si>
  <si>
    <t>C</t>
  </si>
  <si>
    <t>D</t>
  </si>
  <si>
    <t>E</t>
  </si>
  <si>
    <t>F</t>
  </si>
  <si>
    <t>G</t>
  </si>
  <si>
    <t>FEMA Inspector</t>
  </si>
  <si>
    <t>Comments</t>
  </si>
  <si>
    <t>Emergency Work</t>
  </si>
  <si>
    <t>Status</t>
  </si>
  <si>
    <t>Total</t>
  </si>
  <si>
    <t>Applicant</t>
  </si>
  <si>
    <t>Permanent Work</t>
  </si>
  <si>
    <t>Applicant Total</t>
  </si>
  <si>
    <t>County (Population) - Threshold</t>
  </si>
  <si>
    <t>Team Leads</t>
  </si>
  <si>
    <t>Created by Charles Annerino</t>
  </si>
  <si>
    <t>Charles.Annerino@fema.dhs.gov</t>
  </si>
  <si>
    <t>35,809</t>
  </si>
  <si>
    <t>82,208</t>
  </si>
  <si>
    <t>8,719</t>
  </si>
  <si>
    <t>12,112</t>
  </si>
  <si>
    <t>70,812</t>
  </si>
  <si>
    <t>15,475</t>
  </si>
  <si>
    <t>20,306</t>
  </si>
  <si>
    <t>37,870</t>
  </si>
  <si>
    <t>121,093</t>
  </si>
  <si>
    <t>26,466</t>
  </si>
  <si>
    <t>33,190</t>
  </si>
  <si>
    <t>10,526</t>
  </si>
  <si>
    <t>33,381</t>
  </si>
  <si>
    <t>50,679</t>
  </si>
  <si>
    <t>26,472</t>
  </si>
  <si>
    <t>43,265</t>
  </si>
  <si>
    <t>111,903</t>
  </si>
  <si>
    <t>43,637</t>
  </si>
  <si>
    <t>207,047</t>
  </si>
  <si>
    <t>23,398</t>
  </si>
  <si>
    <t>80,484</t>
  </si>
  <si>
    <t>16,479</t>
  </si>
  <si>
    <t>22,785</t>
  </si>
  <si>
    <t>20,480</t>
  </si>
  <si>
    <t>33,011</t>
  </si>
  <si>
    <t>66,674</t>
  </si>
  <si>
    <t>30,803</t>
  </si>
  <si>
    <t>347,467</t>
  </si>
  <si>
    <t>79,840</t>
  </si>
  <si>
    <t>39,654</t>
  </si>
  <si>
    <t>174,788</t>
  </si>
  <si>
    <t>48,914</t>
  </si>
  <si>
    <t>83,658</t>
  </si>
  <si>
    <t>36,662</t>
  </si>
  <si>
    <t>46,428</t>
  </si>
  <si>
    <t>32,918</t>
  </si>
  <si>
    <t>20,478</t>
  </si>
  <si>
    <t>385,410</t>
  </si>
  <si>
    <t>33,147</t>
  </si>
  <si>
    <t>27,613</t>
  </si>
  <si>
    <t>161,765</t>
  </si>
  <si>
    <t>36,282</t>
  </si>
  <si>
    <t>80,240</t>
  </si>
  <si>
    <t>40,446</t>
  </si>
  <si>
    <t>498,700</t>
  </si>
  <si>
    <t>112,417</t>
  </si>
  <si>
    <t>45,011</t>
  </si>
  <si>
    <t>130,129</t>
  </si>
  <si>
    <t>977,203</t>
  </si>
  <si>
    <t>46,095</t>
  </si>
  <si>
    <t>9,812</t>
  </si>
  <si>
    <t>35,962</t>
  </si>
  <si>
    <t>139,718</t>
  </si>
  <si>
    <t>37,936</t>
  </si>
  <si>
    <t>71,780</t>
  </si>
  <si>
    <t>13,830</t>
  </si>
  <si>
    <t>47,457</t>
  </si>
  <si>
    <t>5,940</t>
  </si>
  <si>
    <t>19,867</t>
  </si>
  <si>
    <t>21,321</t>
  </si>
  <si>
    <t>16,156</t>
  </si>
  <si>
    <t>19,170</t>
  </si>
  <si>
    <t>12,250</t>
  </si>
  <si>
    <t>173,215</t>
  </si>
  <si>
    <t>25,222</t>
  </si>
  <si>
    <t>12,514</t>
  </si>
  <si>
    <t>36,726</t>
  </si>
  <si>
    <t>24,502</t>
  </si>
  <si>
    <t>28,995</t>
  </si>
  <si>
    <t>16,752</t>
  </si>
  <si>
    <t>272,912</t>
  </si>
  <si>
    <t>24,384</t>
  </si>
  <si>
    <t>45,055</t>
  </si>
  <si>
    <t>19,810</t>
  </si>
  <si>
    <t>23,371</t>
  </si>
  <si>
    <t>34,435</t>
  </si>
  <si>
    <t>20,817</t>
  </si>
  <si>
    <t>9,737</t>
  </si>
  <si>
    <t>186,251</t>
  </si>
  <si>
    <t>15,359</t>
  </si>
  <si>
    <t>7,087</t>
  </si>
  <si>
    <t>180,136</t>
  </si>
  <si>
    <t>15,439</t>
  </si>
  <si>
    <t>106,153</t>
  </si>
  <si>
    <t>30,976</t>
  </si>
  <si>
    <t>8,440</t>
  </si>
  <si>
    <t>63,898</t>
  </si>
  <si>
    <t>28,182</t>
  </si>
  <si>
    <t>66,553</t>
  </si>
  <si>
    <t>28,180</t>
  </si>
  <si>
    <t>24,688</t>
  </si>
  <si>
    <t>34,191</t>
  </si>
  <si>
    <t>Adams County</t>
  </si>
  <si>
    <t>Allen County</t>
  </si>
  <si>
    <t>Bartholomew County</t>
  </si>
  <si>
    <t>Benton County</t>
  </si>
  <si>
    <t>Blackford County</t>
  </si>
  <si>
    <t>Boone County</t>
  </si>
  <si>
    <t>Brown County</t>
  </si>
  <si>
    <t>Carroll County</t>
  </si>
  <si>
    <t>Cass County</t>
  </si>
  <si>
    <t>Clark County</t>
  </si>
  <si>
    <t>Clay County</t>
  </si>
  <si>
    <t>Clinton County</t>
  </si>
  <si>
    <t>Crawford County</t>
  </si>
  <si>
    <t>Daviess County</t>
  </si>
  <si>
    <t>Dearborn County</t>
  </si>
  <si>
    <t>Decatur County</t>
  </si>
  <si>
    <t>DeKalb County</t>
  </si>
  <si>
    <t>Delaware County</t>
  </si>
  <si>
    <t>Dubois County</t>
  </si>
  <si>
    <t>Elkhart County</t>
  </si>
  <si>
    <t>Fayette County</t>
  </si>
  <si>
    <t>Floyd County</t>
  </si>
  <si>
    <t>Fountain County</t>
  </si>
  <si>
    <t>Franklin County</t>
  </si>
  <si>
    <t>Fulton County</t>
  </si>
  <si>
    <t>Gibson County</t>
  </si>
  <si>
    <t>Grant County</t>
  </si>
  <si>
    <t>Greene County</t>
  </si>
  <si>
    <t>Hamilton County</t>
  </si>
  <si>
    <t>Hancock County</t>
  </si>
  <si>
    <t>Harrison County</t>
  </si>
  <si>
    <t>Hendricks County</t>
  </si>
  <si>
    <t>Henry County</t>
  </si>
  <si>
    <t>Howard County</t>
  </si>
  <si>
    <t>Huntington County</t>
  </si>
  <si>
    <t>Jackson County</t>
  </si>
  <si>
    <t>Jasper County</t>
  </si>
  <si>
    <t>Jay County</t>
  </si>
  <si>
    <t>Jefferson County</t>
  </si>
  <si>
    <t>Jennings County</t>
  </si>
  <si>
    <t>Johnson County</t>
  </si>
  <si>
    <t>Knox County</t>
  </si>
  <si>
    <t>Kosciusko County</t>
  </si>
  <si>
    <t>LaGrange County</t>
  </si>
  <si>
    <t>Lake County</t>
  </si>
  <si>
    <t>LaPorte County</t>
  </si>
  <si>
    <t>Lawrence County</t>
  </si>
  <si>
    <t>Madison County</t>
  </si>
  <si>
    <t>Marion County</t>
  </si>
  <si>
    <t>Marshall County</t>
  </si>
  <si>
    <t>Martin County</t>
  </si>
  <si>
    <t>Miami County</t>
  </si>
  <si>
    <t>Monroe County</t>
  </si>
  <si>
    <t>Montgomery County</t>
  </si>
  <si>
    <t>Morgan County</t>
  </si>
  <si>
    <t>Newton County</t>
  </si>
  <si>
    <t>Noble County</t>
  </si>
  <si>
    <t>Ohio County</t>
  </si>
  <si>
    <t>Orange County</t>
  </si>
  <si>
    <t>Owen County</t>
  </si>
  <si>
    <t>Parke County</t>
  </si>
  <si>
    <t>Perry County</t>
  </si>
  <si>
    <t>Pike County</t>
  </si>
  <si>
    <t>Porter County</t>
  </si>
  <si>
    <t>Posey County</t>
  </si>
  <si>
    <t>Pulaski County</t>
  </si>
  <si>
    <t>Putnam County</t>
  </si>
  <si>
    <t>Randolph County</t>
  </si>
  <si>
    <t>Ripley County</t>
  </si>
  <si>
    <t>Rush County</t>
  </si>
  <si>
    <t>Scott County</t>
  </si>
  <si>
    <t>Shelby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</si>
  <si>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</si>
  <si>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</si>
  <si>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</si>
  <si>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</si>
  <si>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</si>
  <si>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</si>
  <si>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</si>
  <si>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Union County</t>
  </si>
  <si>
    <t>Vanderburgh County</t>
  </si>
  <si>
    <t>Vermillion County</t>
  </si>
  <si>
    <t>Vigo County</t>
  </si>
  <si>
    <t>Wabash County</t>
  </si>
  <si>
    <t>Warren County</t>
  </si>
  <si>
    <t>Warrick County</t>
  </si>
  <si>
    <t>Washington County</t>
  </si>
  <si>
    <t>Wayne County</t>
  </si>
  <si>
    <t>Wells County</t>
  </si>
  <si>
    <t>White County</t>
  </si>
  <si>
    <t>Whitley County</t>
  </si>
  <si>
    <t>St. Joseph County</t>
  </si>
  <si>
    <t>Type</t>
  </si>
  <si>
    <t>Indiana (6,785,528) - $13,163,924</t>
  </si>
  <si>
    <t>Caleb Smith</t>
  </si>
  <si>
    <t>Stacie Grathen</t>
  </si>
  <si>
    <t>Connor Blevins</t>
  </si>
  <si>
    <t>Angela Williams</t>
  </si>
  <si>
    <t>John Lynn</t>
  </si>
  <si>
    <t>Bria Moncure</t>
  </si>
  <si>
    <t>Bradley Jasmer</t>
  </si>
  <si>
    <t>Catherine Warren</t>
  </si>
  <si>
    <t>Floyd County (80,484) - $391,152.24</t>
  </si>
  <si>
    <t>Floyd County Road Dept</t>
  </si>
  <si>
    <t>County</t>
  </si>
  <si>
    <r>
      <rPr>
        <b/>
        <sz val="10"/>
        <rFont val="Arial"/>
        <family val="2"/>
      </rPr>
      <t>Category A: Applicant claimed $13,110.95</t>
    </r>
    <r>
      <rPr>
        <sz val="10"/>
        <rFont val="Arial"/>
        <family val="2"/>
      </rPr>
      <t xml:space="preserve"> in costs in FAL, FAE, and Material Costs associated with debris removal. </t>
    </r>
    <r>
      <rPr>
        <b/>
        <sz val="10"/>
        <rFont val="Arial"/>
        <family val="2"/>
      </rPr>
      <t>Reduced $0. Validated  $13,110.95</t>
    </r>
    <r>
      <rPr>
        <sz val="10"/>
        <rFont val="Arial"/>
        <family val="2"/>
      </rPr>
      <t xml:space="preserve"> in costs using applicant supplied labor, equipment documentation, and applicant supplied invoices.
</t>
    </r>
    <r>
      <rPr>
        <b/>
        <sz val="10"/>
        <rFont val="Arial"/>
        <family val="2"/>
      </rPr>
      <t>Category C: Applicant claimed $7,591.47</t>
    </r>
    <r>
      <rPr>
        <sz val="10"/>
        <rFont val="Arial"/>
        <family val="2"/>
      </rPr>
      <t xml:space="preserve"> in costs in FAL, FAE, and Material Costs associated with road repairs. </t>
    </r>
    <r>
      <rPr>
        <b/>
        <sz val="10"/>
        <rFont val="Arial"/>
        <family val="2"/>
      </rPr>
      <t>Reduced $0. Validated $7,591.47</t>
    </r>
    <r>
      <rPr>
        <sz val="10"/>
        <rFont val="Arial"/>
        <family val="2"/>
      </rPr>
      <t xml:space="preserve"> in costs using applicant supplied labor, equipment documentation, and material invoices.</t>
    </r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</si>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</sst>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44" fontId="12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 applyAlignment="1">
      <alignment vertical="top"/>
    </xf>
    <xf numFmtId="0" fontId="1" fillId="0" borderId="0" xfId="0" applyFont="1"/>
    <xf numFmtId="0" fontId="1" fillId="0" borderId="0" xfId="0" quotePrefix="1" applyFont="1" applyAlignment="1">
      <alignment horizontal="left"/>
    </xf>
    <xf numFmtId="164" fontId="0" fillId="0" borderId="0" xfId="0" applyNumberFormat="1"/>
    <xf numFmtId="0" fontId="6" fillId="4" borderId="8" xfId="0" quotePrefix="1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1" fillId="0" borderId="1" xfId="0" applyFont="1" applyBorder="1"/>
    <xf numFmtId="0" fontId="3" fillId="4" borderId="0" xfId="0" quotePrefix="1" applyFont="1" applyFill="1" applyAlignment="1">
      <alignment horizontal="left"/>
    </xf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164" fontId="1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9" fillId="5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1"/>
    <xf numFmtId="0" fontId="0" fillId="0" borderId="0" xfId="0" quotePrefix="1"/>
    <xf numFmtId="44" fontId="0" fillId="0" borderId="0" xfId="2" quotePrefix="1" applyFont="1" applyProtection="1">
      <protection locked="0"/>
    </xf>
    <xf numFmtId="0" fontId="0" fillId="0" borderId="0" xfId="0" applyFont="1"/>
    <xf numFmtId="0" fontId="14" fillId="0" borderId="0" xfId="0" applyFont="1" applyBorder="1" applyProtection="1">
      <protection locked="0"/>
    </xf>
    <xf numFmtId="164" fontId="7" fillId="2" borderId="10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5" fontId="3" fillId="7" borderId="4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 applyProtection="1">
      <alignment wrapText="1"/>
      <protection locked="0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6" fillId="4" borderId="8" xfId="0" quotePrefix="1" applyFont="1" applyFill="1" applyBorder="1" applyAlignment="1">
      <alignment horizontal="center" vertical="center"/>
    </xf>
    <xf numFmtId="0" fontId="6" fillId="4" borderId="15" xfId="0" quotePrefix="1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8" borderId="6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164" fontId="6" fillId="2" borderId="6" xfId="0" applyNumberFormat="1" applyFont="1" applyFill="1" applyBorder="1" applyAlignment="1">
      <alignment horizontal="center" vertical="center"/>
    </xf>
    <xf numFmtId="164" fontId="6" fillId="2" borderId="9" xfId="0" applyNumberFormat="1" applyFont="1" applyFill="1" applyBorder="1" applyAlignment="1">
      <alignment horizontal="center" vertical="center"/>
    </xf>
    <xf numFmtId="164" fontId="6" fillId="2" borderId="6" xfId="0" applyNumberFormat="1" applyFont="1" applyFill="1" applyBorder="1" applyAlignment="1">
      <alignment horizontal="center" vertical="center" wrapText="1"/>
    </xf>
    <xf numFmtId="164" fontId="6" fillId="2" borderId="5" xfId="0" applyNumberFormat="1" applyFont="1" applyFill="1" applyBorder="1" applyAlignment="1">
      <alignment horizontal="center" vertical="center" wrapText="1"/>
    </xf>
    <xf numFmtId="164" fontId="6" fillId="2" borderId="9" xfId="0" applyNumberFormat="1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</cellXfs>
  <cellStyles count="3">
    <cellStyle name="Currency" xfId="2" builtinId="4"/>
    <cellStyle name="Hyperlink" xfId="1" builtinId="8"/>
    <cellStyle name="Normal" xfId="0" builtinId="0"/>
  </cellStyles>
  <dxfs count="23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6AF7CF16-FF27-4AA0-BB56-4405384A49A5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3" name="Text Box 19">
          <a:extLst>
            <a:ext uri="{FF2B5EF4-FFF2-40B4-BE49-F238E27FC236}">
              <a16:creationId xmlns:a16="http://schemas.microsoft.com/office/drawing/2014/main" id="{CBAC2B92-6D38-45DA-8959-BF23C5832D3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702946</xdr:colOff>
      <xdr:row>1</xdr:row>
      <xdr:rowOff>150495</xdr:rowOff>
    </xdr:to>
    <xdr:sp macro="" textlink="">
      <xdr:nvSpPr>
        <xdr:cNvPr id="4" name="Text Box 20">
          <a:extLst>
            <a:ext uri="{FF2B5EF4-FFF2-40B4-BE49-F238E27FC236}">
              <a16:creationId xmlns:a16="http://schemas.microsoft.com/office/drawing/2014/main" id="{3B12BEDD-E7A8-4B8D-90EB-81F34D102C97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83821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5" name="Text Box 19">
          <a:extLst>
            <a:ext uri="{FF2B5EF4-FFF2-40B4-BE49-F238E27FC236}">
              <a16:creationId xmlns:a16="http://schemas.microsoft.com/office/drawing/2014/main" id="{BA4AA139-ACDA-414E-B5CC-26B924D949A9}"/>
            </a:ext>
          </a:extLst>
        </xdr:cNvPr>
        <xdr:cNvSpPr txBox="1">
          <a:spLocks noChangeArrowheads="1"/>
        </xdr:cNvSpPr>
      </xdr:nvSpPr>
      <xdr:spPr bwMode="auto">
        <a:xfrm>
          <a:off x="9545955" y="17145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670560</xdr:colOff>
      <xdr:row>1</xdr:row>
      <xdr:rowOff>0</xdr:rowOff>
    </xdr:from>
    <xdr:to>
      <xdr:col>5</xdr:col>
      <xdr:colOff>902228</xdr:colOff>
      <xdr:row>1</xdr:row>
      <xdr:rowOff>239670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BDBCE76-A095-4BF3-A3D1-446D771A6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34100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9</xdr:col>
      <xdr:colOff>83820</xdr:colOff>
      <xdr:row>1</xdr:row>
      <xdr:rowOff>0</xdr:rowOff>
    </xdr:from>
    <xdr:to>
      <xdr:col>9</xdr:col>
      <xdr:colOff>315488</xdr:colOff>
      <xdr:row>1</xdr:row>
      <xdr:rowOff>239670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03ED993-2B9E-4CCC-ABE6-AC9E6D072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317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1150620</xdr:colOff>
      <xdr:row>1</xdr:row>
      <xdr:rowOff>0</xdr:rowOff>
    </xdr:from>
    <xdr:to>
      <xdr:col>11</xdr:col>
      <xdr:colOff>1382288</xdr:colOff>
      <xdr:row>1</xdr:row>
      <xdr:rowOff>239670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DCB8728-559C-4AD7-B806-107793F71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535025" y="171450"/>
          <a:ext cx="231668" cy="239670"/>
        </a:xfrm>
        <a:prstGeom prst="rect">
          <a:avLst/>
        </a:prstGeom>
      </xdr:spPr>
    </xdr:pic>
    <xdr:clientData/>
  </xdr:twoCellAnchor>
  <xdr:twoCellAnchor editAs="oneCell">
    <xdr:from>
      <xdr:col>11</xdr:col>
      <xdr:colOff>1386840</xdr:colOff>
      <xdr:row>3</xdr:row>
      <xdr:rowOff>167641</xdr:rowOff>
    </xdr:from>
    <xdr:to>
      <xdr:col>11</xdr:col>
      <xdr:colOff>1579880</xdr:colOff>
      <xdr:row>5</xdr:row>
      <xdr:rowOff>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E0C183B-21A1-4873-8741-5D14AFE3E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73150" y="990601"/>
          <a:ext cx="19304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797EAD-8B12-47FE-9D2D-A38F91945D8B}" name="Table64" displayName="Table64" ref="B5:L101" totalsRowShown="0" headerRowDxfId="22" headerRowBorderDxfId="21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DC44E5D9-6DE3-45CF-84F9-C21A1F2898CB}" name="Applicant"/>
    <tableColumn id="11" xr3:uid="{353AA457-EF67-4FBB-A19B-27C890FFC332}" name="Type" dataDxfId="20"/>
    <tableColumn id="2" xr3:uid="{8E6C94B2-08E3-49B7-975C-0EE499F00984}" name="Status"/>
    <tableColumn id="3" xr3:uid="{D61E0EED-273B-4128-86C9-1BD2F0467928}" name="A" dataDxfId="19"/>
    <tableColumn id="4" xr3:uid="{1E2D3AFB-F2B4-4131-B009-0A945C66A552}" name="B" dataDxfId="18"/>
    <tableColumn id="5" xr3:uid="{02A7E446-1734-4EFE-A3C0-71B4330340A9}" name="C" dataDxfId="17"/>
    <tableColumn id="6" xr3:uid="{271D5900-252C-496D-8BA5-72C00116047B}" name="D" dataDxfId="16"/>
    <tableColumn id="7" xr3:uid="{7E741C5E-C25A-411E-8B03-DE9938750803}" name="E" dataDxfId="15"/>
    <tableColumn id="8" xr3:uid="{8C499DAC-347E-4972-93D0-01F6144CB54C}" name="F" dataDxfId="14"/>
    <tableColumn id="9" xr3:uid="{BC1653D5-6737-479F-BC3B-AD52DCCC518E}" name="G" dataDxfId="13"/>
    <tableColumn id="10" xr3:uid="{F39479B2-2299-4257-886A-B06064B4AB71}" name="Applicant Total" dataDxfId="12">
      <calculatedColumnFormula>SUM(Table64[[#This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95" totalsRowShown="0" headerRowDxfId="7" headerRowBorderDxfId="6">
  <autoFilter ref="A3:A95" xr:uid="{28702944-4F95-47B2-ADD7-850BD65E83C4}"/>
  <sortState xmlns:xlrd2="http://schemas.microsoft.com/office/spreadsheetml/2017/richdata2" ref="A4:A95">
    <sortCondition ref="A3:A95"/>
  </sortState>
  <tableColumns count="1">
    <tableColumn id="1" xr3:uid="{4CF389FC-CECE-4192-9636-17DAFB0678D2}" name="County (Population) - Threshold" dataDxfId="5">
      <calculatedColumnFormula>E4 &amp; " (" &amp; G4 &amp; ")" &amp; " - " &amp; I4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AF42A-6E66-49C3-8953-BB2111106F3C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15" sqref="H15"/>
    </sheetView>
  </sheetViews>
  <sheetFormatPr defaultColWidth="16.6640625" defaultRowHeight="13.2" x14ac:dyDescent="0.25"/>
  <cols>
    <col min="1" max="1" width="0.6640625" style="37" customWidth="1"/>
    <col min="2" max="2" width="31.6640625" customWidth="1"/>
    <col min="3" max="3" width="13.6640625" customWidth="1"/>
    <col min="4" max="4" width="16.6640625" customWidth="1"/>
    <col min="12" max="12" width="26.33203125" customWidth="1"/>
  </cols>
  <sheetData>
    <row r="1" spans="1:12" ht="13.2" customHeight="1" thickBot="1" x14ac:dyDescent="0.3"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s="1" customFormat="1" ht="20.100000000000001" customHeight="1" thickTop="1" thickBot="1" x14ac:dyDescent="0.3">
      <c r="A2" s="37"/>
      <c r="B2" s="39" t="s">
        <v>15</v>
      </c>
      <c r="C2" s="40"/>
      <c r="D2" s="5" t="s">
        <v>7</v>
      </c>
      <c r="E2" s="41" t="s">
        <v>9</v>
      </c>
      <c r="F2" s="42"/>
      <c r="G2" s="43" t="s">
        <v>13</v>
      </c>
      <c r="H2" s="44"/>
      <c r="I2" s="44"/>
      <c r="J2" s="44"/>
      <c r="K2" s="45"/>
      <c r="L2" s="6" t="s">
        <v>11</v>
      </c>
    </row>
    <row r="3" spans="1:12" s="1" customFormat="1" ht="31.2" customHeight="1" thickTop="1" thickBot="1" x14ac:dyDescent="0.3">
      <c r="A3" s="37"/>
      <c r="B3" s="46" t="s">
        <v>213</v>
      </c>
      <c r="C3" s="47"/>
      <c r="D3" s="13" t="s">
        <v>209</v>
      </c>
      <c r="E3" s="48">
        <f>SUM(Table64[[A]:[B]])</f>
        <v>13110.95</v>
      </c>
      <c r="F3" s="49"/>
      <c r="G3" s="50">
        <f>SUM(Table64[[C]:[G]])</f>
        <v>7591.47</v>
      </c>
      <c r="H3" s="51"/>
      <c r="I3" s="51"/>
      <c r="J3" s="51"/>
      <c r="K3" s="52"/>
      <c r="L3" s="25">
        <f>SUM(Table64[Applicant Total])</f>
        <v>20702.420000000002</v>
      </c>
    </row>
    <row r="4" spans="1:12" ht="14.4" thickTop="1" thickBot="1" x14ac:dyDescent="0.3">
      <c r="B4" s="53"/>
      <c r="C4" s="54"/>
      <c r="D4" s="54"/>
      <c r="E4" s="54"/>
      <c r="F4" s="54"/>
      <c r="G4" s="54"/>
      <c r="H4" s="54"/>
      <c r="I4" s="54"/>
      <c r="J4" s="54"/>
      <c r="K4" s="54"/>
      <c r="L4" s="55"/>
    </row>
    <row r="5" spans="1:12" ht="13.8" thickBot="1" x14ac:dyDescent="0.3">
      <c r="B5" s="26" t="s">
        <v>12</v>
      </c>
      <c r="C5" s="27" t="s">
        <v>203</v>
      </c>
      <c r="D5" s="28" t="s">
        <v>10</v>
      </c>
      <c r="E5" s="29" t="s">
        <v>0</v>
      </c>
      <c r="F5" s="30" t="s">
        <v>1</v>
      </c>
      <c r="G5" s="31" t="s">
        <v>2</v>
      </c>
      <c r="H5" s="32" t="s">
        <v>3</v>
      </c>
      <c r="I5" s="32" t="s">
        <v>4</v>
      </c>
      <c r="J5" s="32" t="s">
        <v>5</v>
      </c>
      <c r="K5" s="33" t="s">
        <v>6</v>
      </c>
      <c r="L5" s="34" t="s">
        <v>14</v>
      </c>
    </row>
    <row r="6" spans="1:12" x14ac:dyDescent="0.25">
      <c r="B6" s="9" t="s">
        <v>214</v>
      </c>
      <c r="C6" s="9" t="s">
        <v>215</v>
      </c>
      <c r="D6" s="10" t="s">
        <v>217</v>
      </c>
      <c r="E6" s="12">
        <v>13110.95</v>
      </c>
      <c r="F6" s="11"/>
      <c r="G6" s="11">
        <v>7591.47</v>
      </c>
      <c r="H6" s="12"/>
      <c r="I6" s="12"/>
      <c r="J6" s="12"/>
      <c r="K6" s="12"/>
      <c r="L6" s="35">
        <f>SUM(Table64[[#This Row],[A]:[G]])</f>
        <v>20702.420000000002</v>
      </c>
    </row>
    <row r="7" spans="1:12" x14ac:dyDescent="0.25">
      <c r="B7" s="9"/>
      <c r="C7" s="9"/>
      <c r="D7" s="10"/>
      <c r="E7" s="12"/>
      <c r="F7" s="12"/>
      <c r="G7" s="11"/>
      <c r="H7" s="11"/>
      <c r="I7" s="12"/>
      <c r="J7" s="12"/>
      <c r="K7" s="12"/>
      <c r="L7" s="35">
        <f>SUM(Table64[[#This Row],[A]:[G]])</f>
        <v>0</v>
      </c>
    </row>
    <row r="8" spans="1:12" x14ac:dyDescent="0.25">
      <c r="B8" s="9"/>
      <c r="C8" s="9"/>
      <c r="D8" s="10"/>
      <c r="E8" s="12"/>
      <c r="F8" s="12"/>
      <c r="G8" s="12"/>
      <c r="H8" s="12"/>
      <c r="I8" s="12"/>
      <c r="J8" s="12"/>
      <c r="K8" s="12"/>
      <c r="L8" s="35">
        <f>SUM(Table64[[#This Row],[A]:[G]])</f>
        <v>0</v>
      </c>
    </row>
    <row r="9" spans="1:12" x14ac:dyDescent="0.25">
      <c r="B9" s="9"/>
      <c r="C9" s="9"/>
      <c r="D9" s="10"/>
      <c r="E9" s="12"/>
      <c r="F9" s="12"/>
      <c r="G9" s="12"/>
      <c r="H9" s="12"/>
      <c r="I9" s="12"/>
      <c r="J9" s="12"/>
      <c r="K9" s="12"/>
      <c r="L9" s="35">
        <f>SUM(Table64[[#This Row],[A]:[G]])</f>
        <v>0</v>
      </c>
    </row>
    <row r="10" spans="1:12" x14ac:dyDescent="0.25">
      <c r="B10" s="9"/>
      <c r="C10" s="9"/>
      <c r="D10" s="10"/>
      <c r="E10" s="12"/>
      <c r="F10" s="12"/>
      <c r="G10" s="12"/>
      <c r="H10" s="12"/>
      <c r="I10" s="12"/>
      <c r="J10" s="12"/>
      <c r="K10" s="12"/>
      <c r="L10" s="35">
        <f>SUM(Table64[[#This Row],[A]:[G]])</f>
        <v>0</v>
      </c>
    </row>
    <row r="11" spans="1:12" x14ac:dyDescent="0.25">
      <c r="B11" s="9"/>
      <c r="C11" s="9"/>
      <c r="D11" s="10"/>
      <c r="E11" s="12"/>
      <c r="F11" s="12"/>
      <c r="G11" s="12"/>
      <c r="H11" s="12"/>
      <c r="I11" s="12"/>
      <c r="J11" s="12"/>
      <c r="K11" s="12"/>
      <c r="L11" s="35">
        <f>SUM(Table64[[#This Row],[A]:[G]])</f>
        <v>0</v>
      </c>
    </row>
    <row r="12" spans="1:12" x14ac:dyDescent="0.25">
      <c r="B12" s="9"/>
      <c r="C12" s="9"/>
      <c r="D12" s="10"/>
      <c r="E12" s="11"/>
      <c r="F12" s="12"/>
      <c r="G12" s="12"/>
      <c r="H12" s="12"/>
      <c r="I12" s="12"/>
      <c r="J12" s="12"/>
      <c r="K12" s="12"/>
      <c r="L12" s="35">
        <f>SUM(Table64[[#This Row],[A]:[G]])</f>
        <v>0</v>
      </c>
    </row>
    <row r="13" spans="1:12" x14ac:dyDescent="0.25">
      <c r="B13" s="9"/>
      <c r="C13" s="9"/>
      <c r="D13" s="10"/>
      <c r="E13" s="12"/>
      <c r="F13" s="12"/>
      <c r="G13" s="12"/>
      <c r="H13" s="12"/>
      <c r="I13" s="12"/>
      <c r="J13" s="12"/>
      <c r="K13" s="12"/>
      <c r="L13" s="35">
        <f>SUM(Table64[[#This Row],[A]:[G]])</f>
        <v>0</v>
      </c>
    </row>
    <row r="14" spans="1:12" x14ac:dyDescent="0.25">
      <c r="B14" s="9"/>
      <c r="C14" s="9"/>
      <c r="D14" s="10"/>
      <c r="E14" s="12"/>
      <c r="F14" s="12"/>
      <c r="G14" s="12"/>
      <c r="H14" s="12"/>
      <c r="I14" s="12"/>
      <c r="J14" s="12"/>
      <c r="K14" s="12"/>
      <c r="L14" s="35">
        <f>SUM(Table64[[#This Row],[A]:[G]])</f>
        <v>0</v>
      </c>
    </row>
    <row r="15" spans="1:12" x14ac:dyDescent="0.25">
      <c r="B15" s="9"/>
      <c r="C15" s="9"/>
      <c r="D15" s="10"/>
      <c r="E15" s="12"/>
      <c r="F15" s="12"/>
      <c r="G15" s="12"/>
      <c r="H15" s="12"/>
      <c r="I15" s="12"/>
      <c r="J15" s="12"/>
      <c r="K15" s="12"/>
      <c r="L15" s="35">
        <f>SUM(Table64[[#This Row],[A]:[G]])</f>
        <v>0</v>
      </c>
    </row>
    <row r="16" spans="1:12" x14ac:dyDescent="0.25">
      <c r="B16" s="9"/>
      <c r="C16" s="9"/>
      <c r="D16" s="10"/>
      <c r="E16" s="12"/>
      <c r="F16" s="12"/>
      <c r="G16" s="12"/>
      <c r="H16" s="12"/>
      <c r="I16" s="12"/>
      <c r="J16" s="12"/>
      <c r="K16" s="12"/>
      <c r="L16" s="35">
        <f>SUM(Table64[[#This Row],[A]:[G]])</f>
        <v>0</v>
      </c>
    </row>
    <row r="17" spans="2:12" x14ac:dyDescent="0.25">
      <c r="B17" s="9"/>
      <c r="C17" s="9"/>
      <c r="D17" s="10"/>
      <c r="E17" s="12"/>
      <c r="F17" s="12"/>
      <c r="G17" s="12"/>
      <c r="H17" s="12"/>
      <c r="I17" s="12"/>
      <c r="J17" s="12"/>
      <c r="K17" s="12"/>
      <c r="L17" s="35">
        <f>SUM(Table64[[#This Row],[A]:[G]])</f>
        <v>0</v>
      </c>
    </row>
    <row r="18" spans="2:12" x14ac:dyDescent="0.25">
      <c r="B18" s="9"/>
      <c r="C18" s="9"/>
      <c r="D18" s="10"/>
      <c r="E18" s="12"/>
      <c r="F18" s="12"/>
      <c r="G18" s="12"/>
      <c r="H18" s="12"/>
      <c r="I18" s="12"/>
      <c r="J18" s="12"/>
      <c r="K18" s="12"/>
      <c r="L18" s="35">
        <f>SUM(Table64[[#This Row],[A]:[G]])</f>
        <v>0</v>
      </c>
    </row>
    <row r="19" spans="2:12" x14ac:dyDescent="0.25">
      <c r="B19" s="9"/>
      <c r="C19" s="9"/>
      <c r="D19" s="10"/>
      <c r="E19" s="12"/>
      <c r="F19" s="12"/>
      <c r="G19" s="12"/>
      <c r="H19" s="12"/>
      <c r="I19" s="12"/>
      <c r="J19" s="12"/>
      <c r="K19" s="12"/>
      <c r="L19" s="35">
        <f>SUM(Table64[[#This Row],[A]:[G]])</f>
        <v>0</v>
      </c>
    </row>
    <row r="20" spans="2:12" x14ac:dyDescent="0.25">
      <c r="B20" s="9"/>
      <c r="C20" s="9"/>
      <c r="D20" s="10"/>
      <c r="E20" s="12"/>
      <c r="F20" s="12"/>
      <c r="G20" s="12"/>
      <c r="H20" s="12"/>
      <c r="I20" s="12"/>
      <c r="J20" s="12"/>
      <c r="K20" s="12"/>
      <c r="L20" s="35">
        <f>SUM(Table64[[#This Row],[A]:[G]])</f>
        <v>0</v>
      </c>
    </row>
    <row r="21" spans="2:12" x14ac:dyDescent="0.25">
      <c r="B21" s="9"/>
      <c r="C21" s="9"/>
      <c r="D21" s="10"/>
      <c r="E21" s="12"/>
      <c r="F21" s="12"/>
      <c r="G21" s="12"/>
      <c r="H21" s="12"/>
      <c r="I21" s="12"/>
      <c r="J21" s="12"/>
      <c r="K21" s="12"/>
      <c r="L21" s="35">
        <f>SUM(Table64[[#This Row],[A]:[G]])</f>
        <v>0</v>
      </c>
    </row>
    <row r="22" spans="2:12" x14ac:dyDescent="0.25">
      <c r="B22" s="9"/>
      <c r="C22" s="9"/>
      <c r="D22" s="10"/>
      <c r="E22" s="12"/>
      <c r="F22" s="12"/>
      <c r="G22" s="12"/>
      <c r="H22" s="12"/>
      <c r="I22" s="12"/>
      <c r="J22" s="12"/>
      <c r="K22" s="12"/>
      <c r="L22" s="35">
        <f>SUM(Table64[[#This Row],[A]:[G]])</f>
        <v>0</v>
      </c>
    </row>
    <row r="23" spans="2:12" x14ac:dyDescent="0.25">
      <c r="B23" s="9"/>
      <c r="C23" s="9"/>
      <c r="D23" s="10"/>
      <c r="E23" s="12"/>
      <c r="F23" s="12"/>
      <c r="G23" s="12"/>
      <c r="H23" s="12"/>
      <c r="I23" s="12"/>
      <c r="J23" s="12"/>
      <c r="K23" s="12"/>
      <c r="L23" s="35">
        <f>SUM(Table64[[#This Row],[A]:[G]])</f>
        <v>0</v>
      </c>
    </row>
    <row r="24" spans="2:12" x14ac:dyDescent="0.25">
      <c r="B24" s="9"/>
      <c r="C24" s="9"/>
      <c r="D24" s="10"/>
      <c r="E24" s="12"/>
      <c r="F24" s="12"/>
      <c r="G24" s="12"/>
      <c r="H24" s="12"/>
      <c r="I24" s="12"/>
      <c r="J24" s="12"/>
      <c r="K24" s="12"/>
      <c r="L24" s="35">
        <f>SUM(Table64[[#This Row],[A]:[G]])</f>
        <v>0</v>
      </c>
    </row>
    <row r="25" spans="2:12" x14ac:dyDescent="0.25">
      <c r="B25" s="9"/>
      <c r="C25" s="9"/>
      <c r="D25" s="10"/>
      <c r="E25" s="12"/>
      <c r="F25" s="12"/>
      <c r="G25" s="12"/>
      <c r="H25" s="12"/>
      <c r="I25" s="12"/>
      <c r="J25" s="12"/>
      <c r="K25" s="12"/>
      <c r="L25" s="35">
        <f>SUM(Table64[[#This Row],[A]:[G]])</f>
        <v>0</v>
      </c>
    </row>
    <row r="26" spans="2:12" x14ac:dyDescent="0.25">
      <c r="B26" s="9"/>
      <c r="C26" s="9"/>
      <c r="D26" s="10"/>
      <c r="E26" s="12"/>
      <c r="F26" s="12"/>
      <c r="G26" s="12"/>
      <c r="H26" s="12"/>
      <c r="I26" s="12"/>
      <c r="J26" s="12"/>
      <c r="K26" s="12"/>
      <c r="L26" s="35">
        <f>SUM(Table64[[#This Row],[A]:[G]])</f>
        <v>0</v>
      </c>
    </row>
    <row r="27" spans="2:12" x14ac:dyDescent="0.25">
      <c r="B27" s="9"/>
      <c r="C27" s="9"/>
      <c r="D27" s="10"/>
      <c r="E27" s="12"/>
      <c r="F27" s="12"/>
      <c r="G27" s="12"/>
      <c r="H27" s="12"/>
      <c r="I27" s="12"/>
      <c r="J27" s="12"/>
      <c r="K27" s="12"/>
      <c r="L27" s="35">
        <f>SUM(Table64[[#This Row],[A]:[G]])</f>
        <v>0</v>
      </c>
    </row>
    <row r="28" spans="2:12" x14ac:dyDescent="0.25">
      <c r="B28" s="9"/>
      <c r="C28" s="9"/>
      <c r="D28" s="10"/>
      <c r="E28" s="12"/>
      <c r="F28" s="12"/>
      <c r="G28" s="12"/>
      <c r="H28" s="12"/>
      <c r="I28" s="12"/>
      <c r="J28" s="12"/>
      <c r="K28" s="12"/>
      <c r="L28" s="35">
        <f>SUM(Table64[[#This Row],[A]:[G]])</f>
        <v>0</v>
      </c>
    </row>
    <row r="29" spans="2:12" x14ac:dyDescent="0.25">
      <c r="B29" s="9"/>
      <c r="C29" s="9"/>
      <c r="D29" s="10"/>
      <c r="E29" s="12"/>
      <c r="F29" s="12"/>
      <c r="G29" s="12"/>
      <c r="H29" s="12"/>
      <c r="I29" s="12"/>
      <c r="J29" s="12"/>
      <c r="K29" s="12"/>
      <c r="L29" s="35">
        <f>SUM(Table64[[#This Row],[A]:[G]])</f>
        <v>0</v>
      </c>
    </row>
    <row r="30" spans="2:12" x14ac:dyDescent="0.25">
      <c r="B30" s="9"/>
      <c r="C30" s="9"/>
      <c r="D30" s="10"/>
      <c r="E30" s="12"/>
      <c r="F30" s="12"/>
      <c r="G30" s="12"/>
      <c r="H30" s="12"/>
      <c r="I30" s="12"/>
      <c r="J30" s="12"/>
      <c r="K30" s="12"/>
      <c r="L30" s="35">
        <f>SUM(Table64[[#This Row],[A]:[G]])</f>
        <v>0</v>
      </c>
    </row>
    <row r="31" spans="2:12" x14ac:dyDescent="0.25">
      <c r="B31" s="9"/>
      <c r="C31" s="9"/>
      <c r="D31" s="10"/>
      <c r="E31" s="12"/>
      <c r="F31" s="12"/>
      <c r="G31" s="12"/>
      <c r="H31" s="12"/>
      <c r="I31" s="12"/>
      <c r="J31" s="12"/>
      <c r="K31" s="12"/>
      <c r="L31" s="35">
        <f>SUM(Table64[[#This Row],[A]:[G]])</f>
        <v>0</v>
      </c>
    </row>
    <row r="32" spans="2:12" x14ac:dyDescent="0.25">
      <c r="B32" s="9"/>
      <c r="C32" s="9"/>
      <c r="D32" s="10"/>
      <c r="E32" s="12"/>
      <c r="F32" s="12"/>
      <c r="G32" s="12"/>
      <c r="H32" s="12"/>
      <c r="I32" s="12"/>
      <c r="J32" s="12"/>
      <c r="K32" s="12"/>
      <c r="L32" s="35">
        <f>SUM(Table64[[#This Row],[A]:[G]])</f>
        <v>0</v>
      </c>
    </row>
    <row r="33" spans="2:12" x14ac:dyDescent="0.25">
      <c r="B33" s="9"/>
      <c r="C33" s="9"/>
      <c r="D33" s="10"/>
      <c r="E33" s="12"/>
      <c r="F33" s="12"/>
      <c r="G33" s="12"/>
      <c r="H33" s="12"/>
      <c r="I33" s="12"/>
      <c r="J33" s="12"/>
      <c r="K33" s="12"/>
      <c r="L33" s="35">
        <f>SUM(Table64[[#This Row],[A]:[G]])</f>
        <v>0</v>
      </c>
    </row>
    <row r="34" spans="2:12" x14ac:dyDescent="0.25">
      <c r="B34" s="9"/>
      <c r="C34" s="9"/>
      <c r="D34" s="10"/>
      <c r="E34" s="12"/>
      <c r="F34" s="12"/>
      <c r="G34" s="12"/>
      <c r="H34" s="12"/>
      <c r="I34" s="12"/>
      <c r="J34" s="12"/>
      <c r="K34" s="12"/>
      <c r="L34" s="35">
        <f>SUM(Table64[[#This Row],[A]:[G]])</f>
        <v>0</v>
      </c>
    </row>
    <row r="35" spans="2:12" x14ac:dyDescent="0.25">
      <c r="B35" s="9"/>
      <c r="C35" s="9"/>
      <c r="D35" s="10"/>
      <c r="E35" s="12"/>
      <c r="F35" s="12"/>
      <c r="G35" s="12"/>
      <c r="H35" s="12"/>
      <c r="I35" s="12"/>
      <c r="J35" s="12"/>
      <c r="K35" s="12"/>
      <c r="L35" s="35">
        <f>SUM(Table64[[#This Row],[A]:[G]])</f>
        <v>0</v>
      </c>
    </row>
    <row r="36" spans="2:12" x14ac:dyDescent="0.25">
      <c r="B36" s="9"/>
      <c r="C36" s="9"/>
      <c r="D36" s="10"/>
      <c r="E36" s="12"/>
      <c r="F36" s="12"/>
      <c r="G36" s="12"/>
      <c r="H36" s="12"/>
      <c r="I36" s="12"/>
      <c r="J36" s="12"/>
      <c r="K36" s="12"/>
      <c r="L36" s="35">
        <f>SUM(Table64[[#This Row],[A]:[G]])</f>
        <v>0</v>
      </c>
    </row>
    <row r="37" spans="2:12" x14ac:dyDescent="0.25">
      <c r="B37" s="9"/>
      <c r="C37" s="9"/>
      <c r="D37" s="10"/>
      <c r="E37" s="12"/>
      <c r="F37" s="12"/>
      <c r="G37" s="12"/>
      <c r="H37" s="12"/>
      <c r="I37" s="12"/>
      <c r="J37" s="12"/>
      <c r="K37" s="12"/>
      <c r="L37" s="35">
        <f>SUM(Table64[[#This Row],[A]:[G]])</f>
        <v>0</v>
      </c>
    </row>
    <row r="38" spans="2:12" x14ac:dyDescent="0.25">
      <c r="B38" s="9"/>
      <c r="C38" s="9"/>
      <c r="D38" s="10"/>
      <c r="E38" s="12"/>
      <c r="F38" s="12"/>
      <c r="G38" s="12"/>
      <c r="H38" s="12"/>
      <c r="I38" s="12"/>
      <c r="J38" s="12"/>
      <c r="K38" s="12"/>
      <c r="L38" s="35">
        <f>SUM(Table64[[#This Row],[A]:[G]])</f>
        <v>0</v>
      </c>
    </row>
    <row r="39" spans="2:12" x14ac:dyDescent="0.25">
      <c r="B39" s="9"/>
      <c r="C39" s="9"/>
      <c r="D39" s="10"/>
      <c r="E39" s="12"/>
      <c r="F39" s="12"/>
      <c r="G39" s="12"/>
      <c r="H39" s="12"/>
      <c r="I39" s="12"/>
      <c r="J39" s="12"/>
      <c r="K39" s="12"/>
      <c r="L39" s="35">
        <f>SUM(Table64[[#This Row],[A]:[G]])</f>
        <v>0</v>
      </c>
    </row>
    <row r="40" spans="2:12" x14ac:dyDescent="0.25">
      <c r="B40" s="9"/>
      <c r="C40" s="9"/>
      <c r="D40" s="10"/>
      <c r="E40" s="12"/>
      <c r="F40" s="12"/>
      <c r="G40" s="12"/>
      <c r="H40" s="12"/>
      <c r="I40" s="12"/>
      <c r="J40" s="12"/>
      <c r="K40" s="12"/>
      <c r="L40" s="35">
        <f>SUM(Table64[[#This Row],[A]:[G]])</f>
        <v>0</v>
      </c>
    </row>
    <row r="41" spans="2:12" x14ac:dyDescent="0.25">
      <c r="B41" s="9"/>
      <c r="C41" s="9"/>
      <c r="D41" s="10"/>
      <c r="E41" s="12"/>
      <c r="F41" s="12"/>
      <c r="G41" s="12"/>
      <c r="H41" s="12"/>
      <c r="I41" s="12"/>
      <c r="J41" s="12"/>
      <c r="K41" s="12"/>
      <c r="L41" s="35">
        <f>SUM(Table64[[#This Row],[A]:[G]])</f>
        <v>0</v>
      </c>
    </row>
    <row r="42" spans="2:12" x14ac:dyDescent="0.25">
      <c r="B42" s="9"/>
      <c r="C42" s="9"/>
      <c r="D42" s="10"/>
      <c r="E42" s="12"/>
      <c r="F42" s="12"/>
      <c r="G42" s="12"/>
      <c r="H42" s="12"/>
      <c r="I42" s="12"/>
      <c r="J42" s="12"/>
      <c r="K42" s="12"/>
      <c r="L42" s="35">
        <f>SUM(Table64[[#This Row],[A]:[G]])</f>
        <v>0</v>
      </c>
    </row>
    <row r="43" spans="2:12" x14ac:dyDescent="0.25">
      <c r="B43" s="9"/>
      <c r="C43" s="9"/>
      <c r="D43" s="10"/>
      <c r="E43" s="12"/>
      <c r="F43" s="12"/>
      <c r="G43" s="12"/>
      <c r="H43" s="12"/>
      <c r="I43" s="12"/>
      <c r="J43" s="12"/>
      <c r="K43" s="12"/>
      <c r="L43" s="35">
        <f>SUM(Table64[[#This Row],[A]:[G]])</f>
        <v>0</v>
      </c>
    </row>
    <row r="44" spans="2:12" x14ac:dyDescent="0.25">
      <c r="B44" s="9"/>
      <c r="C44" s="9"/>
      <c r="D44" s="10"/>
      <c r="E44" s="12"/>
      <c r="F44" s="12"/>
      <c r="G44" s="12"/>
      <c r="H44" s="12"/>
      <c r="I44" s="12"/>
      <c r="J44" s="12"/>
      <c r="K44" s="12"/>
      <c r="L44" s="35">
        <f>SUM(Table64[[#This Row],[A]:[G]])</f>
        <v>0</v>
      </c>
    </row>
    <row r="45" spans="2:12" x14ac:dyDescent="0.25">
      <c r="B45" s="9"/>
      <c r="C45" s="9"/>
      <c r="D45" s="10"/>
      <c r="E45" s="12"/>
      <c r="F45" s="12"/>
      <c r="G45" s="12"/>
      <c r="H45" s="12"/>
      <c r="I45" s="12"/>
      <c r="J45" s="12"/>
      <c r="K45" s="12"/>
      <c r="L45" s="35">
        <f>SUM(Table64[[#This Row],[A]:[G]])</f>
        <v>0</v>
      </c>
    </row>
    <row r="46" spans="2:12" x14ac:dyDescent="0.25">
      <c r="B46" s="9"/>
      <c r="C46" s="9"/>
      <c r="D46" s="10"/>
      <c r="E46" s="12"/>
      <c r="F46" s="12"/>
      <c r="G46" s="12"/>
      <c r="H46" s="12"/>
      <c r="I46" s="12"/>
      <c r="J46" s="12"/>
      <c r="K46" s="12"/>
      <c r="L46" s="35">
        <f>SUM(Table64[[#This Row],[A]:[G]])</f>
        <v>0</v>
      </c>
    </row>
    <row r="47" spans="2:12" x14ac:dyDescent="0.25">
      <c r="B47" s="9"/>
      <c r="C47" s="9"/>
      <c r="D47" s="10"/>
      <c r="E47" s="12"/>
      <c r="F47" s="12"/>
      <c r="G47" s="12"/>
      <c r="H47" s="12"/>
      <c r="I47" s="12"/>
      <c r="J47" s="12"/>
      <c r="K47" s="12"/>
      <c r="L47" s="35">
        <f>SUM(Table64[[#This Row],[A]:[G]])</f>
        <v>0</v>
      </c>
    </row>
    <row r="48" spans="2:12" x14ac:dyDescent="0.25">
      <c r="B48" s="9"/>
      <c r="C48" s="9"/>
      <c r="D48" s="10"/>
      <c r="E48" s="12"/>
      <c r="F48" s="12"/>
      <c r="G48" s="12"/>
      <c r="H48" s="12"/>
      <c r="I48" s="12"/>
      <c r="J48" s="12"/>
      <c r="K48" s="12"/>
      <c r="L48" s="35">
        <f>SUM(Table64[[#This Row],[A]:[G]])</f>
        <v>0</v>
      </c>
    </row>
    <row r="49" spans="2:12" x14ac:dyDescent="0.25">
      <c r="B49" s="9"/>
      <c r="C49" s="9"/>
      <c r="D49" s="10"/>
      <c r="E49" s="12"/>
      <c r="F49" s="12"/>
      <c r="G49" s="12"/>
      <c r="H49" s="12"/>
      <c r="I49" s="12"/>
      <c r="J49" s="12"/>
      <c r="K49" s="12"/>
      <c r="L49" s="35">
        <f>SUM(Table64[[#This Row],[A]:[G]])</f>
        <v>0</v>
      </c>
    </row>
    <row r="50" spans="2:12" x14ac:dyDescent="0.25">
      <c r="B50" s="9"/>
      <c r="C50" s="9"/>
      <c r="D50" s="10"/>
      <c r="E50" s="12"/>
      <c r="F50" s="12"/>
      <c r="G50" s="12"/>
      <c r="H50" s="12"/>
      <c r="I50" s="12"/>
      <c r="J50" s="12"/>
      <c r="K50" s="12"/>
      <c r="L50" s="35">
        <f>SUM(Table64[[#This Row],[A]:[G]])</f>
        <v>0</v>
      </c>
    </row>
    <row r="51" spans="2:12" x14ac:dyDescent="0.25">
      <c r="B51" s="9"/>
      <c r="C51" s="9"/>
      <c r="D51" s="10"/>
      <c r="E51" s="12"/>
      <c r="F51" s="12"/>
      <c r="G51" s="12"/>
      <c r="H51" s="12"/>
      <c r="I51" s="12"/>
      <c r="J51" s="12"/>
      <c r="K51" s="12"/>
      <c r="L51" s="35">
        <f>SUM(Table64[[#This Row],[A]:[G]])</f>
        <v>0</v>
      </c>
    </row>
    <row r="52" spans="2:12" x14ac:dyDescent="0.25">
      <c r="B52" s="9"/>
      <c r="C52" s="9"/>
      <c r="D52" s="10"/>
      <c r="E52" s="12"/>
      <c r="F52" s="12"/>
      <c r="G52" s="12"/>
      <c r="H52" s="12"/>
      <c r="I52" s="12"/>
      <c r="J52" s="12"/>
      <c r="K52" s="12"/>
      <c r="L52" s="35">
        <f>SUM(Table64[[#This Row],[A]:[G]])</f>
        <v>0</v>
      </c>
    </row>
    <row r="53" spans="2:12" x14ac:dyDescent="0.25">
      <c r="B53" s="9"/>
      <c r="C53" s="9"/>
      <c r="D53" s="10"/>
      <c r="E53" s="12"/>
      <c r="F53" s="12"/>
      <c r="G53" s="12"/>
      <c r="H53" s="12"/>
      <c r="I53" s="12"/>
      <c r="J53" s="12"/>
      <c r="K53" s="12"/>
      <c r="L53" s="35">
        <f>SUM(Table64[[#This Row],[A]:[G]])</f>
        <v>0</v>
      </c>
    </row>
    <row r="54" spans="2:12" x14ac:dyDescent="0.25">
      <c r="B54" s="9"/>
      <c r="C54" s="9"/>
      <c r="D54" s="10"/>
      <c r="E54" s="12"/>
      <c r="F54" s="12"/>
      <c r="G54" s="12"/>
      <c r="H54" s="12"/>
      <c r="I54" s="12"/>
      <c r="J54" s="12"/>
      <c r="K54" s="12"/>
      <c r="L54" s="35">
        <f>SUM(Table64[[#This Row],[A]:[G]])</f>
        <v>0</v>
      </c>
    </row>
    <row r="55" spans="2:12" x14ac:dyDescent="0.25">
      <c r="B55" s="9"/>
      <c r="C55" s="9"/>
      <c r="D55" s="10"/>
      <c r="E55" s="12"/>
      <c r="F55" s="12"/>
      <c r="G55" s="12"/>
      <c r="H55" s="12"/>
      <c r="I55" s="12"/>
      <c r="J55" s="12"/>
      <c r="K55" s="12"/>
      <c r="L55" s="35">
        <f>SUM(Table64[[#This Row],[A]:[G]])</f>
        <v>0</v>
      </c>
    </row>
    <row r="56" spans="2:12" x14ac:dyDescent="0.25">
      <c r="B56" s="9"/>
      <c r="C56" s="9"/>
      <c r="D56" s="10"/>
      <c r="E56" s="12"/>
      <c r="F56" s="12"/>
      <c r="G56" s="12"/>
      <c r="H56" s="12"/>
      <c r="I56" s="12"/>
      <c r="J56" s="12"/>
      <c r="K56" s="12"/>
      <c r="L56" s="35">
        <f>SUM(Table64[[#This Row],[A]:[G]])</f>
        <v>0</v>
      </c>
    </row>
    <row r="57" spans="2:12" x14ac:dyDescent="0.25">
      <c r="B57" s="9"/>
      <c r="C57" s="9"/>
      <c r="D57" s="10"/>
      <c r="E57" s="12"/>
      <c r="F57" s="12"/>
      <c r="G57" s="12"/>
      <c r="H57" s="12"/>
      <c r="I57" s="12"/>
      <c r="J57" s="12"/>
      <c r="K57" s="12"/>
      <c r="L57" s="35">
        <f>SUM(Table64[[#This Row],[A]:[G]])</f>
        <v>0</v>
      </c>
    </row>
    <row r="58" spans="2:12" x14ac:dyDescent="0.25">
      <c r="B58" s="9"/>
      <c r="C58" s="9"/>
      <c r="D58" s="10"/>
      <c r="E58" s="12"/>
      <c r="F58" s="12"/>
      <c r="G58" s="12"/>
      <c r="H58" s="12"/>
      <c r="I58" s="12"/>
      <c r="J58" s="12"/>
      <c r="K58" s="12"/>
      <c r="L58" s="35">
        <f>SUM(Table64[[#This Row],[A]:[G]])</f>
        <v>0</v>
      </c>
    </row>
    <row r="59" spans="2:12" x14ac:dyDescent="0.25">
      <c r="B59" s="9"/>
      <c r="C59" s="9"/>
      <c r="D59" s="10"/>
      <c r="E59" s="11"/>
      <c r="F59" s="12"/>
      <c r="G59" s="12"/>
      <c r="H59" s="12"/>
      <c r="I59" s="12"/>
      <c r="J59" s="12"/>
      <c r="K59" s="12"/>
      <c r="L59" s="35">
        <f>SUM(Table64[[#This Row],[A]:[G]])</f>
        <v>0</v>
      </c>
    </row>
    <row r="60" spans="2:12" x14ac:dyDescent="0.25">
      <c r="B60" s="9"/>
      <c r="C60" s="9"/>
      <c r="D60" s="10"/>
      <c r="E60" s="12"/>
      <c r="F60" s="12"/>
      <c r="G60" s="12"/>
      <c r="H60" s="12"/>
      <c r="I60" s="12"/>
      <c r="J60" s="12"/>
      <c r="K60" s="12"/>
      <c r="L60" s="35">
        <f>SUM(Table64[[#This Row],[A]:[G]])</f>
        <v>0</v>
      </c>
    </row>
    <row r="61" spans="2:12" x14ac:dyDescent="0.25">
      <c r="B61" s="9"/>
      <c r="C61" s="9"/>
      <c r="D61" s="10"/>
      <c r="E61" s="12"/>
      <c r="F61" s="12"/>
      <c r="G61" s="12"/>
      <c r="H61" s="12"/>
      <c r="I61" s="11"/>
      <c r="J61" s="11"/>
      <c r="K61" s="12"/>
      <c r="L61" s="35">
        <f>SUM(Table64[[#This Row],[A]:[G]])</f>
        <v>0</v>
      </c>
    </row>
    <row r="62" spans="2:12" x14ac:dyDescent="0.25">
      <c r="B62" s="9"/>
      <c r="C62" s="9"/>
      <c r="D62" s="10"/>
      <c r="E62" s="12"/>
      <c r="F62" s="12"/>
      <c r="G62" s="12"/>
      <c r="H62" s="12"/>
      <c r="I62" s="12"/>
      <c r="J62" s="12"/>
      <c r="K62" s="12"/>
      <c r="L62" s="35">
        <f>SUM(Table64[[#This Row],[A]:[G]])</f>
        <v>0</v>
      </c>
    </row>
    <row r="63" spans="2:12" x14ac:dyDescent="0.25">
      <c r="B63" s="9"/>
      <c r="C63" s="9"/>
      <c r="D63" s="10"/>
      <c r="E63" s="12"/>
      <c r="F63" s="11"/>
      <c r="G63" s="12"/>
      <c r="H63" s="12"/>
      <c r="I63" s="12"/>
      <c r="J63" s="12"/>
      <c r="K63" s="12"/>
      <c r="L63" s="35">
        <f>SUM(Table64[[#This Row],[A]:[G]])</f>
        <v>0</v>
      </c>
    </row>
    <row r="64" spans="2:12" x14ac:dyDescent="0.25">
      <c r="B64" s="9"/>
      <c r="C64" s="9"/>
      <c r="D64" s="10"/>
      <c r="E64" s="12"/>
      <c r="F64" s="12"/>
      <c r="G64" s="12"/>
      <c r="H64" s="12"/>
      <c r="I64" s="12"/>
      <c r="J64" s="12"/>
      <c r="K64" s="12"/>
      <c r="L64" s="35">
        <f>SUM(Table64[[#This Row],[A]:[G]])</f>
        <v>0</v>
      </c>
    </row>
    <row r="65" spans="2:12" x14ac:dyDescent="0.25">
      <c r="B65" s="9"/>
      <c r="C65" s="9"/>
      <c r="D65" s="10"/>
      <c r="E65" s="12"/>
      <c r="F65" s="12"/>
      <c r="G65" s="12"/>
      <c r="H65" s="12"/>
      <c r="I65" s="12"/>
      <c r="J65" s="12"/>
      <c r="K65" s="12"/>
      <c r="L65" s="35">
        <f>SUM(Table64[[#This Row],[A]:[G]])</f>
        <v>0</v>
      </c>
    </row>
    <row r="66" spans="2:12" x14ac:dyDescent="0.25">
      <c r="B66" s="9"/>
      <c r="C66" s="9"/>
      <c r="D66" s="10"/>
      <c r="E66" s="12"/>
      <c r="F66" s="12"/>
      <c r="G66" s="12"/>
      <c r="H66" s="12"/>
      <c r="I66" s="12"/>
      <c r="J66" s="12"/>
      <c r="K66" s="12"/>
      <c r="L66" s="35">
        <f>SUM(Table64[[#This Row],[A]:[G]])</f>
        <v>0</v>
      </c>
    </row>
    <row r="67" spans="2:12" x14ac:dyDescent="0.25">
      <c r="B67" s="9"/>
      <c r="C67" s="9"/>
      <c r="D67" s="10"/>
      <c r="E67" s="12"/>
      <c r="F67" s="12"/>
      <c r="G67" s="12"/>
      <c r="H67" s="12"/>
      <c r="I67" s="12"/>
      <c r="J67" s="12"/>
      <c r="K67" s="12"/>
      <c r="L67" s="35">
        <f>SUM(Table64[[#This Row],[A]:[G]])</f>
        <v>0</v>
      </c>
    </row>
    <row r="68" spans="2:12" x14ac:dyDescent="0.25">
      <c r="B68" s="9"/>
      <c r="C68" s="9"/>
      <c r="D68" s="10"/>
      <c r="E68" s="12"/>
      <c r="F68" s="12"/>
      <c r="G68" s="12"/>
      <c r="H68" s="12"/>
      <c r="I68" s="12"/>
      <c r="J68" s="12"/>
      <c r="K68" s="12"/>
      <c r="L68" s="35">
        <f>SUM(Table64[[#This Row],[A]:[G]])</f>
        <v>0</v>
      </c>
    </row>
    <row r="69" spans="2:12" x14ac:dyDescent="0.25">
      <c r="B69" s="9"/>
      <c r="C69" s="9"/>
      <c r="D69" s="10"/>
      <c r="E69" s="12"/>
      <c r="F69" s="12"/>
      <c r="G69" s="12"/>
      <c r="H69" s="12"/>
      <c r="I69" s="12"/>
      <c r="J69" s="12"/>
      <c r="K69" s="12"/>
      <c r="L69" s="35">
        <f>SUM(Table64[[#This Row],[A]:[G]])</f>
        <v>0</v>
      </c>
    </row>
    <row r="70" spans="2:12" x14ac:dyDescent="0.25">
      <c r="B70" s="9"/>
      <c r="C70" s="9"/>
      <c r="D70" s="10"/>
      <c r="E70" s="12"/>
      <c r="F70" s="12"/>
      <c r="G70" s="12"/>
      <c r="H70" s="12"/>
      <c r="I70" s="12"/>
      <c r="J70" s="12"/>
      <c r="K70" s="12"/>
      <c r="L70" s="35">
        <f>SUM(Table64[[#This Row],[A]:[G]])</f>
        <v>0</v>
      </c>
    </row>
    <row r="71" spans="2:12" x14ac:dyDescent="0.25">
      <c r="B71" s="9"/>
      <c r="C71" s="9"/>
      <c r="D71" s="10"/>
      <c r="E71" s="12"/>
      <c r="F71" s="12"/>
      <c r="G71" s="12"/>
      <c r="H71" s="12"/>
      <c r="I71" s="12"/>
      <c r="J71" s="12"/>
      <c r="K71" s="12"/>
      <c r="L71" s="35">
        <f>SUM(Table64[[#This Row],[A]:[G]])</f>
        <v>0</v>
      </c>
    </row>
    <row r="72" spans="2:12" x14ac:dyDescent="0.25">
      <c r="B72" s="9"/>
      <c r="C72" s="9"/>
      <c r="D72" s="10"/>
      <c r="E72" s="11"/>
      <c r="F72" s="12"/>
      <c r="G72" s="12"/>
      <c r="H72" s="12"/>
      <c r="I72" s="12"/>
      <c r="J72" s="12"/>
      <c r="K72" s="12"/>
      <c r="L72" s="35">
        <f>SUM(Table64[[#This Row],[A]:[G]])</f>
        <v>0</v>
      </c>
    </row>
    <row r="73" spans="2:12" x14ac:dyDescent="0.25">
      <c r="B73" s="9"/>
      <c r="C73" s="9"/>
      <c r="D73" s="10"/>
      <c r="E73" s="12"/>
      <c r="F73" s="12"/>
      <c r="G73" s="12"/>
      <c r="H73" s="12"/>
      <c r="I73" s="12"/>
      <c r="J73" s="12"/>
      <c r="K73" s="12"/>
      <c r="L73" s="35">
        <f>SUM(Table64[[#This Row],[A]:[G]])</f>
        <v>0</v>
      </c>
    </row>
    <row r="74" spans="2:12" x14ac:dyDescent="0.25">
      <c r="B74" s="9"/>
      <c r="C74" s="9"/>
      <c r="D74" s="10"/>
      <c r="E74" s="12"/>
      <c r="F74" s="12"/>
      <c r="G74" s="12"/>
      <c r="H74" s="12"/>
      <c r="I74" s="12"/>
      <c r="J74" s="12"/>
      <c r="K74" s="12"/>
      <c r="L74" s="35">
        <f>SUM(Table64[[#This Row],[A]:[G]])</f>
        <v>0</v>
      </c>
    </row>
    <row r="75" spans="2:12" x14ac:dyDescent="0.25">
      <c r="B75" s="9"/>
      <c r="C75" s="9"/>
      <c r="D75" s="10"/>
      <c r="E75" s="12"/>
      <c r="F75" s="12"/>
      <c r="G75" s="12"/>
      <c r="H75" s="12"/>
      <c r="I75" s="12"/>
      <c r="J75" s="12"/>
      <c r="K75" s="12"/>
      <c r="L75" s="35">
        <f>SUM(Table64[[#This Row],[A]:[G]])</f>
        <v>0</v>
      </c>
    </row>
    <row r="76" spans="2:12" x14ac:dyDescent="0.25">
      <c r="B76" s="9"/>
      <c r="C76" s="9"/>
      <c r="D76" s="10"/>
      <c r="E76" s="12"/>
      <c r="F76" s="12"/>
      <c r="G76" s="12"/>
      <c r="H76" s="12"/>
      <c r="I76" s="12"/>
      <c r="J76" s="12"/>
      <c r="K76" s="12"/>
      <c r="L76" s="35">
        <f>SUM(Table64[[#This Row],[A]:[G]])</f>
        <v>0</v>
      </c>
    </row>
    <row r="77" spans="2:12" x14ac:dyDescent="0.25">
      <c r="B77" s="9"/>
      <c r="C77" s="9"/>
      <c r="D77" s="10"/>
      <c r="E77" s="12"/>
      <c r="F77" s="12"/>
      <c r="G77" s="12"/>
      <c r="H77" s="12"/>
      <c r="I77" s="12"/>
      <c r="J77" s="12"/>
      <c r="K77" s="12"/>
      <c r="L77" s="35">
        <f>SUM(Table64[[#This Row],[A]:[G]])</f>
        <v>0</v>
      </c>
    </row>
    <row r="78" spans="2:12" x14ac:dyDescent="0.25">
      <c r="B78" s="9"/>
      <c r="C78" s="9"/>
      <c r="D78" s="10"/>
      <c r="E78" s="12"/>
      <c r="F78" s="11"/>
      <c r="G78" s="12"/>
      <c r="H78" s="12"/>
      <c r="I78" s="12"/>
      <c r="J78" s="12"/>
      <c r="K78" s="12"/>
      <c r="L78" s="35">
        <f>SUM(Table64[[#This Row],[A]:[G]])</f>
        <v>0</v>
      </c>
    </row>
    <row r="79" spans="2:12" x14ac:dyDescent="0.25">
      <c r="B79" s="9"/>
      <c r="C79" s="9"/>
      <c r="D79" s="10"/>
      <c r="E79" s="12"/>
      <c r="F79" s="12"/>
      <c r="G79" s="12"/>
      <c r="H79" s="12"/>
      <c r="I79" s="12"/>
      <c r="J79" s="12"/>
      <c r="K79" s="12"/>
      <c r="L79" s="35">
        <f>SUM(Table64[[#This Row],[A]:[G]])</f>
        <v>0</v>
      </c>
    </row>
    <row r="80" spans="2:12" x14ac:dyDescent="0.25">
      <c r="B80" s="9"/>
      <c r="C80" s="9"/>
      <c r="D80" s="10"/>
      <c r="E80" s="12"/>
      <c r="F80" s="12"/>
      <c r="G80" s="12"/>
      <c r="H80" s="12"/>
      <c r="I80" s="12"/>
      <c r="J80" s="12"/>
      <c r="K80" s="12"/>
      <c r="L80" s="35">
        <f>SUM(Table64[[#This Row],[A]:[G]])</f>
        <v>0</v>
      </c>
    </row>
    <row r="81" spans="2:12" x14ac:dyDescent="0.25">
      <c r="B81" s="9"/>
      <c r="C81" s="9"/>
      <c r="D81" s="10"/>
      <c r="E81" s="12"/>
      <c r="F81" s="12"/>
      <c r="G81" s="12"/>
      <c r="H81" s="12"/>
      <c r="I81" s="12"/>
      <c r="J81" s="12"/>
      <c r="K81" s="12"/>
      <c r="L81" s="35">
        <f>SUM(Table64[[#This Row],[A]:[G]])</f>
        <v>0</v>
      </c>
    </row>
    <row r="82" spans="2:12" x14ac:dyDescent="0.25">
      <c r="B82" s="9"/>
      <c r="C82" s="9"/>
      <c r="D82" s="10"/>
      <c r="E82" s="12"/>
      <c r="F82" s="12"/>
      <c r="G82" s="12"/>
      <c r="H82" s="12"/>
      <c r="I82" s="12"/>
      <c r="J82" s="12"/>
      <c r="K82" s="12"/>
      <c r="L82" s="35">
        <f>SUM(Table64[[#This Row],[A]:[G]])</f>
        <v>0</v>
      </c>
    </row>
    <row r="83" spans="2:12" x14ac:dyDescent="0.25">
      <c r="B83" s="9"/>
      <c r="C83" s="9"/>
      <c r="D83" s="10"/>
      <c r="E83" s="12"/>
      <c r="F83" s="12"/>
      <c r="G83" s="12"/>
      <c r="H83" s="12"/>
      <c r="I83" s="12"/>
      <c r="J83" s="12"/>
      <c r="K83" s="12"/>
      <c r="L83" s="35">
        <f>SUM(Table64[[#This Row],[A]:[G]])</f>
        <v>0</v>
      </c>
    </row>
    <row r="84" spans="2:12" x14ac:dyDescent="0.25">
      <c r="B84" s="9"/>
      <c r="C84" s="9"/>
      <c r="D84" s="10"/>
      <c r="E84" s="12"/>
      <c r="F84" s="12"/>
      <c r="G84" s="12"/>
      <c r="H84" s="12"/>
      <c r="I84" s="12"/>
      <c r="J84" s="12"/>
      <c r="K84" s="12"/>
      <c r="L84" s="35">
        <f>SUM(Table64[[#This Row],[A]:[G]])</f>
        <v>0</v>
      </c>
    </row>
    <row r="85" spans="2:12" x14ac:dyDescent="0.25">
      <c r="B85" s="9"/>
      <c r="C85" s="9"/>
      <c r="D85" s="10"/>
      <c r="E85" s="12"/>
      <c r="F85" s="12"/>
      <c r="G85" s="12"/>
      <c r="H85" s="12"/>
      <c r="I85" s="12"/>
      <c r="J85" s="12"/>
      <c r="K85" s="12"/>
      <c r="L85" s="35">
        <f>SUM(Table64[[#This Row],[A]:[G]])</f>
        <v>0</v>
      </c>
    </row>
    <row r="86" spans="2:12" x14ac:dyDescent="0.25">
      <c r="B86" s="9"/>
      <c r="C86" s="9"/>
      <c r="D86" s="10"/>
      <c r="E86" s="12"/>
      <c r="F86" s="12"/>
      <c r="G86" s="12"/>
      <c r="H86" s="12"/>
      <c r="I86" s="12"/>
      <c r="J86" s="12"/>
      <c r="K86" s="12"/>
      <c r="L86" s="35">
        <f>SUM(Table64[[#This Row],[A]:[G]])</f>
        <v>0</v>
      </c>
    </row>
    <row r="87" spans="2:12" x14ac:dyDescent="0.25">
      <c r="B87" s="9"/>
      <c r="C87" s="9"/>
      <c r="D87" s="10"/>
      <c r="E87" s="12"/>
      <c r="F87" s="12"/>
      <c r="G87" s="12"/>
      <c r="H87" s="12"/>
      <c r="I87" s="12"/>
      <c r="J87" s="12"/>
      <c r="K87" s="12"/>
      <c r="L87" s="35">
        <f>SUM(Table64[[#This Row],[A]:[G]])</f>
        <v>0</v>
      </c>
    </row>
    <row r="88" spans="2:12" x14ac:dyDescent="0.25">
      <c r="B88" s="9"/>
      <c r="C88" s="9"/>
      <c r="D88" s="10"/>
      <c r="E88" s="12"/>
      <c r="F88" s="12"/>
      <c r="G88" s="12"/>
      <c r="H88" s="12"/>
      <c r="I88" s="12"/>
      <c r="J88" s="12"/>
      <c r="K88" s="12"/>
      <c r="L88" s="35">
        <f>SUM(Table64[[#This Row],[A]:[G]])</f>
        <v>0</v>
      </c>
    </row>
    <row r="89" spans="2:12" x14ac:dyDescent="0.25">
      <c r="B89" s="9"/>
      <c r="C89" s="9"/>
      <c r="D89" s="10"/>
      <c r="E89" s="12"/>
      <c r="F89" s="12"/>
      <c r="G89" s="12"/>
      <c r="H89" s="12"/>
      <c r="I89" s="12"/>
      <c r="J89" s="12"/>
      <c r="K89" s="12"/>
      <c r="L89" s="35">
        <f>SUM(Table64[[#This Row],[A]:[G]])</f>
        <v>0</v>
      </c>
    </row>
    <row r="90" spans="2:12" x14ac:dyDescent="0.25">
      <c r="B90" s="9"/>
      <c r="C90" s="9"/>
      <c r="D90" s="10"/>
      <c r="E90" s="12"/>
      <c r="F90" s="12"/>
      <c r="G90" s="12"/>
      <c r="H90" s="12"/>
      <c r="I90" s="12"/>
      <c r="J90" s="12"/>
      <c r="K90" s="12"/>
      <c r="L90" s="35">
        <f>SUM(Table64[[#This Row],[A]:[G]])</f>
        <v>0</v>
      </c>
    </row>
    <row r="91" spans="2:12" x14ac:dyDescent="0.25">
      <c r="B91" s="9"/>
      <c r="C91" s="9"/>
      <c r="D91" s="10"/>
      <c r="E91" s="12"/>
      <c r="F91" s="12"/>
      <c r="G91" s="12"/>
      <c r="H91" s="12"/>
      <c r="I91" s="12"/>
      <c r="J91" s="12"/>
      <c r="K91" s="12"/>
      <c r="L91" s="35">
        <f>SUM(Table64[[#This Row],[A]:[G]])</f>
        <v>0</v>
      </c>
    </row>
    <row r="92" spans="2:12" x14ac:dyDescent="0.25">
      <c r="B92" s="9"/>
      <c r="C92" s="9"/>
      <c r="D92" s="10"/>
      <c r="E92" s="12"/>
      <c r="F92" s="12"/>
      <c r="G92" s="12"/>
      <c r="H92" s="12"/>
      <c r="I92" s="12"/>
      <c r="J92" s="12"/>
      <c r="K92" s="12"/>
      <c r="L92" s="35">
        <f>SUM(Table64[[#This Row],[A]:[G]])</f>
        <v>0</v>
      </c>
    </row>
    <row r="93" spans="2:12" x14ac:dyDescent="0.25">
      <c r="B93" s="9"/>
      <c r="C93" s="9"/>
      <c r="D93" s="10"/>
      <c r="E93" s="12"/>
      <c r="F93" s="12"/>
      <c r="G93" s="12"/>
      <c r="H93" s="12"/>
      <c r="I93" s="12"/>
      <c r="J93" s="12"/>
      <c r="K93" s="12"/>
      <c r="L93" s="35">
        <f>SUM(Table64[[#This Row],[A]:[G]])</f>
        <v>0</v>
      </c>
    </row>
    <row r="94" spans="2:12" x14ac:dyDescent="0.25">
      <c r="B94" s="9"/>
      <c r="C94" s="9"/>
      <c r="D94" s="10"/>
      <c r="E94" s="12"/>
      <c r="F94" s="12"/>
      <c r="G94" s="12"/>
      <c r="H94" s="12"/>
      <c r="I94" s="12"/>
      <c r="J94" s="12"/>
      <c r="K94" s="12"/>
      <c r="L94" s="35">
        <f>SUM(Table64[[#This Row],[A]:[G]])</f>
        <v>0</v>
      </c>
    </row>
    <row r="95" spans="2:12" x14ac:dyDescent="0.25">
      <c r="B95" s="9"/>
      <c r="C95" s="9"/>
      <c r="D95" s="10"/>
      <c r="E95" s="12"/>
      <c r="F95" s="12"/>
      <c r="G95" s="12"/>
      <c r="H95" s="12"/>
      <c r="I95" s="12"/>
      <c r="J95" s="12"/>
      <c r="K95" s="12"/>
      <c r="L95" s="35">
        <f>SUM(Table64[[#This Row],[A]:[G]])</f>
        <v>0</v>
      </c>
    </row>
    <row r="96" spans="2:12" x14ac:dyDescent="0.25">
      <c r="B96" s="9"/>
      <c r="C96" s="9"/>
      <c r="D96" s="10"/>
      <c r="E96" s="12"/>
      <c r="F96" s="12"/>
      <c r="G96" s="12"/>
      <c r="H96" s="12"/>
      <c r="I96" s="12"/>
      <c r="J96" s="12"/>
      <c r="K96" s="12"/>
      <c r="L96" s="35">
        <f>SUM(Table64[[#This Row],[A]:[G]])</f>
        <v>0</v>
      </c>
    </row>
    <row r="97" spans="2:12" x14ac:dyDescent="0.25">
      <c r="B97" s="9"/>
      <c r="C97" s="9"/>
      <c r="D97" s="10"/>
      <c r="E97" s="12"/>
      <c r="F97" s="12"/>
      <c r="G97" s="12"/>
      <c r="H97" s="12"/>
      <c r="I97" s="12"/>
      <c r="J97" s="12"/>
      <c r="K97" s="12"/>
      <c r="L97" s="35">
        <f>SUM(Table64[[#This Row],[A]:[G]])</f>
        <v>0</v>
      </c>
    </row>
    <row r="98" spans="2:12" x14ac:dyDescent="0.25">
      <c r="B98" s="9"/>
      <c r="C98" s="9"/>
      <c r="D98" s="10"/>
      <c r="E98" s="12"/>
      <c r="F98" s="12"/>
      <c r="G98" s="12"/>
      <c r="H98" s="12"/>
      <c r="I98" s="12"/>
      <c r="J98" s="12"/>
      <c r="K98" s="12"/>
      <c r="L98" s="35">
        <f>SUM(Table64[[#This Row],[A]:[G]])</f>
        <v>0</v>
      </c>
    </row>
    <row r="99" spans="2:12" x14ac:dyDescent="0.25">
      <c r="B99" s="9"/>
      <c r="C99" s="9"/>
      <c r="D99" s="10"/>
      <c r="E99" s="12"/>
      <c r="F99" s="12"/>
      <c r="G99" s="12"/>
      <c r="H99" s="12"/>
      <c r="I99" s="12"/>
      <c r="J99" s="12"/>
      <c r="K99" s="12"/>
      <c r="L99" s="35">
        <f>SUM(Table64[[#This Row],[A]:[G]])</f>
        <v>0</v>
      </c>
    </row>
    <row r="100" spans="2:12" x14ac:dyDescent="0.25">
      <c r="B100" s="9"/>
      <c r="C100" s="9"/>
      <c r="D100" s="10"/>
      <c r="E100" s="12"/>
      <c r="F100" s="12"/>
      <c r="G100" s="12"/>
      <c r="H100" s="12"/>
      <c r="I100" s="12"/>
      <c r="J100" s="12"/>
      <c r="K100" s="12"/>
      <c r="L100" s="35">
        <f>SUM(Table64[[#This Row],[A]:[G]])</f>
        <v>0</v>
      </c>
    </row>
    <row r="101" spans="2:12" x14ac:dyDescent="0.25">
      <c r="B101" s="2"/>
      <c r="C101" s="2"/>
      <c r="E101" s="4"/>
      <c r="F101" s="4"/>
      <c r="G101" s="4"/>
      <c r="H101" s="4"/>
      <c r="I101" s="4"/>
      <c r="J101" s="4"/>
      <c r="K101" s="4"/>
      <c r="L101" s="35">
        <f>SUM(Table64[[#This Row],[A]:[G]])</f>
        <v>0</v>
      </c>
    </row>
    <row r="102" spans="2:12" x14ac:dyDescent="0.25">
      <c r="E102" s="4"/>
      <c r="F102" s="4"/>
      <c r="G102" s="4"/>
      <c r="H102" s="4"/>
      <c r="I102" s="4"/>
      <c r="J102" s="4"/>
    </row>
    <row r="103" spans="2:12" x14ac:dyDescent="0.25">
      <c r="E103" s="4"/>
      <c r="F103" s="4"/>
      <c r="G103" s="4"/>
      <c r="H103" s="4"/>
      <c r="I103" s="4"/>
      <c r="J103" s="4"/>
      <c r="L103" s="4"/>
    </row>
    <row r="104" spans="2:12" x14ac:dyDescent="0.25">
      <c r="E104" s="4"/>
      <c r="F104" s="4"/>
      <c r="G104" s="4"/>
      <c r="H104" s="4"/>
      <c r="I104" s="4"/>
      <c r="J104" s="4"/>
      <c r="L104" s="4"/>
    </row>
    <row r="105" spans="2:12" x14ac:dyDescent="0.25">
      <c r="E105" s="4"/>
      <c r="F105" s="4"/>
      <c r="G105" s="4"/>
      <c r="H105" s="4"/>
      <c r="I105" s="4"/>
      <c r="J105" s="4"/>
      <c r="L105" s="4"/>
    </row>
    <row r="106" spans="2:12" x14ac:dyDescent="0.25">
      <c r="E106" s="4"/>
      <c r="F106" s="4"/>
      <c r="G106" s="4"/>
      <c r="H106" s="4"/>
      <c r="I106" s="4"/>
      <c r="J106" s="4"/>
      <c r="L106" s="4"/>
    </row>
    <row r="107" spans="2:12" x14ac:dyDescent="0.25">
      <c r="E107" s="4"/>
      <c r="F107" s="4"/>
      <c r="G107" s="4"/>
      <c r="H107" s="4"/>
      <c r="I107" s="4"/>
      <c r="J107" s="4"/>
      <c r="L107" s="4"/>
    </row>
    <row r="108" spans="2:12" x14ac:dyDescent="0.25">
      <c r="E108" s="4"/>
      <c r="F108" s="4"/>
      <c r="G108" s="4"/>
      <c r="H108" s="4"/>
      <c r="I108" s="4"/>
      <c r="J108" s="4"/>
      <c r="L108" s="4"/>
    </row>
    <row r="109" spans="2:12" x14ac:dyDescent="0.25">
      <c r="E109" s="4"/>
      <c r="F109" s="4"/>
      <c r="G109" s="4"/>
      <c r="H109" s="4"/>
      <c r="I109" s="4"/>
      <c r="J109" s="4"/>
      <c r="L109" s="4"/>
    </row>
    <row r="110" spans="2:12" x14ac:dyDescent="0.25">
      <c r="E110" s="4"/>
      <c r="F110" s="4"/>
      <c r="G110" s="4"/>
      <c r="H110" s="4"/>
      <c r="I110" s="4"/>
      <c r="J110" s="4"/>
      <c r="L110" s="4"/>
    </row>
    <row r="111" spans="2:12" x14ac:dyDescent="0.25">
      <c r="E111" s="4"/>
      <c r="F111" s="4"/>
      <c r="G111" s="4"/>
      <c r="H111" s="4"/>
      <c r="I111" s="4"/>
      <c r="J111" s="4"/>
      <c r="L111" s="4"/>
    </row>
    <row r="112" spans="2:12" x14ac:dyDescent="0.25">
      <c r="E112" s="4"/>
      <c r="F112" s="4"/>
      <c r="G112" s="4"/>
      <c r="H112" s="4"/>
      <c r="I112" s="4"/>
      <c r="J112" s="4"/>
      <c r="L112" s="4"/>
    </row>
    <row r="113" spans="5:12" x14ac:dyDescent="0.25">
      <c r="E113" s="4"/>
      <c r="F113" s="4"/>
      <c r="G113" s="4"/>
      <c r="H113" s="4"/>
      <c r="I113" s="4"/>
      <c r="J113" s="4"/>
      <c r="L113" s="4"/>
    </row>
    <row r="114" spans="5:12" x14ac:dyDescent="0.25">
      <c r="E114" s="4"/>
      <c r="F114" s="4"/>
      <c r="G114" s="4"/>
      <c r="H114" s="4"/>
      <c r="I114" s="4"/>
      <c r="J114" s="4"/>
      <c r="L114" s="4"/>
    </row>
    <row r="115" spans="5:12" x14ac:dyDescent="0.25">
      <c r="E115" s="4"/>
      <c r="F115" s="4"/>
      <c r="G115" s="4"/>
      <c r="H115" s="4"/>
      <c r="I115" s="4"/>
      <c r="J115" s="4"/>
      <c r="L115" s="4"/>
    </row>
    <row r="116" spans="5:12" x14ac:dyDescent="0.25">
      <c r="E116" s="4"/>
      <c r="F116" s="4"/>
      <c r="G116" s="4"/>
      <c r="H116" s="4"/>
      <c r="I116" s="4"/>
      <c r="J116" s="4"/>
      <c r="L116" s="4"/>
    </row>
    <row r="117" spans="5:12" x14ac:dyDescent="0.25">
      <c r="E117" s="4"/>
      <c r="F117" s="4"/>
      <c r="G117" s="4"/>
      <c r="H117" s="4"/>
      <c r="I117" s="4"/>
      <c r="J117" s="4"/>
      <c r="L117" s="4"/>
    </row>
    <row r="118" spans="5:12" x14ac:dyDescent="0.25">
      <c r="E118" s="4"/>
      <c r="F118" s="4"/>
      <c r="G118" s="4"/>
      <c r="H118" s="4"/>
      <c r="I118" s="4"/>
      <c r="J118" s="4"/>
      <c r="L118" s="4"/>
    </row>
    <row r="119" spans="5:12" x14ac:dyDescent="0.25">
      <c r="E119" s="4"/>
      <c r="F119" s="4"/>
      <c r="G119" s="4"/>
      <c r="H119" s="4"/>
      <c r="I119" s="4"/>
      <c r="J119" s="4"/>
      <c r="L119" s="4"/>
    </row>
    <row r="120" spans="5:12" x14ac:dyDescent="0.25">
      <c r="E120" s="4"/>
      <c r="F120" s="4"/>
      <c r="G120" s="4"/>
      <c r="H120" s="4"/>
      <c r="I120" s="4"/>
      <c r="J120" s="4"/>
      <c r="L120" s="4"/>
    </row>
    <row r="121" spans="5:12" x14ac:dyDescent="0.25">
      <c r="E121" s="4"/>
      <c r="F121" s="4"/>
      <c r="G121" s="4"/>
      <c r="H121" s="4"/>
      <c r="I121" s="4"/>
      <c r="J121" s="4"/>
      <c r="L121" s="4"/>
    </row>
    <row r="122" spans="5:12" x14ac:dyDescent="0.25">
      <c r="E122" s="4"/>
      <c r="F122" s="4"/>
      <c r="G122" s="4"/>
      <c r="H122" s="4"/>
      <c r="I122" s="4"/>
      <c r="J122" s="4"/>
      <c r="L122" s="4"/>
    </row>
    <row r="123" spans="5:12" x14ac:dyDescent="0.25">
      <c r="E123" s="4"/>
      <c r="F123" s="4"/>
      <c r="G123" s="4"/>
      <c r="H123" s="4"/>
      <c r="I123" s="4"/>
      <c r="J123" s="4"/>
      <c r="L123" s="4"/>
    </row>
    <row r="124" spans="5:12" x14ac:dyDescent="0.25">
      <c r="E124" s="4"/>
      <c r="F124" s="4"/>
      <c r="G124" s="4"/>
      <c r="H124" s="4"/>
      <c r="I124" s="4"/>
      <c r="J124" s="4"/>
      <c r="L124" s="4"/>
    </row>
    <row r="125" spans="5:12" x14ac:dyDescent="0.25">
      <c r="E125" s="4"/>
      <c r="F125" s="4"/>
      <c r="G125" s="4"/>
      <c r="H125" s="4"/>
      <c r="I125" s="4"/>
      <c r="J125" s="4"/>
      <c r="L125" s="4"/>
    </row>
    <row r="126" spans="5:12" x14ac:dyDescent="0.25">
      <c r="E126" s="4"/>
      <c r="F126" s="4"/>
      <c r="G126" s="4"/>
      <c r="H126" s="4"/>
      <c r="I126" s="4"/>
      <c r="J126" s="4"/>
      <c r="L126" s="4"/>
    </row>
    <row r="127" spans="5:12" x14ac:dyDescent="0.25">
      <c r="E127" s="4"/>
      <c r="F127" s="4"/>
      <c r="G127" s="4"/>
      <c r="H127" s="4"/>
      <c r="I127" s="4"/>
      <c r="J127" s="4"/>
      <c r="L127" s="4"/>
    </row>
    <row r="128" spans="5:12" x14ac:dyDescent="0.25">
      <c r="E128" s="4"/>
      <c r="F128" s="4"/>
      <c r="G128" s="4"/>
      <c r="H128" s="4"/>
      <c r="I128" s="4"/>
      <c r="J128" s="4"/>
      <c r="L128" s="4"/>
    </row>
    <row r="129" spans="5:12" x14ac:dyDescent="0.25">
      <c r="E129" s="4"/>
      <c r="F129" s="4"/>
      <c r="G129" s="4"/>
      <c r="H129" s="4"/>
      <c r="I129" s="4"/>
      <c r="J129" s="4"/>
      <c r="L129" s="4"/>
    </row>
    <row r="130" spans="5:12" x14ac:dyDescent="0.25">
      <c r="E130" s="4"/>
      <c r="F130" s="4"/>
      <c r="G130" s="4"/>
      <c r="H130" s="4"/>
      <c r="I130" s="4"/>
      <c r="J130" s="4"/>
      <c r="L130" s="4"/>
    </row>
    <row r="131" spans="5:12" x14ac:dyDescent="0.25">
      <c r="E131" s="4"/>
      <c r="F131" s="4"/>
      <c r="G131" s="4"/>
      <c r="H131" s="4"/>
      <c r="I131" s="4"/>
      <c r="J131" s="4"/>
      <c r="L131" s="4"/>
    </row>
    <row r="132" spans="5:12" x14ac:dyDescent="0.25">
      <c r="E132" s="4"/>
      <c r="F132" s="4"/>
      <c r="G132" s="4"/>
      <c r="H132" s="4"/>
      <c r="I132" s="4"/>
      <c r="J132" s="4"/>
      <c r="L132" s="4"/>
    </row>
    <row r="133" spans="5:12" x14ac:dyDescent="0.25">
      <c r="E133" s="4"/>
      <c r="F133" s="4"/>
      <c r="G133" s="4"/>
      <c r="H133" s="4"/>
      <c r="I133" s="4"/>
      <c r="J133" s="4"/>
      <c r="L133" s="4"/>
    </row>
    <row r="134" spans="5:12" x14ac:dyDescent="0.25">
      <c r="E134" s="4"/>
      <c r="F134" s="4"/>
      <c r="G134" s="4"/>
      <c r="H134" s="4"/>
      <c r="I134" s="4"/>
      <c r="J134" s="4"/>
      <c r="L134" s="4"/>
    </row>
    <row r="135" spans="5:12" x14ac:dyDescent="0.25">
      <c r="E135" s="4"/>
      <c r="F135" s="4"/>
      <c r="G135" s="4"/>
      <c r="H135" s="4"/>
      <c r="I135" s="4"/>
      <c r="J135" s="4"/>
      <c r="L135" s="4"/>
    </row>
    <row r="136" spans="5:12" x14ac:dyDescent="0.25">
      <c r="E136" s="4"/>
      <c r="F136" s="4"/>
      <c r="G136" s="4"/>
      <c r="H136" s="4"/>
      <c r="I136" s="4"/>
      <c r="J136" s="4"/>
      <c r="L136" s="4"/>
    </row>
    <row r="137" spans="5:12" x14ac:dyDescent="0.25">
      <c r="E137" s="4"/>
      <c r="F137" s="4"/>
      <c r="G137" s="4"/>
      <c r="H137" s="4"/>
      <c r="I137" s="4"/>
      <c r="J137" s="4"/>
      <c r="L137" s="4"/>
    </row>
    <row r="138" spans="5:12" x14ac:dyDescent="0.25">
      <c r="E138" s="4"/>
      <c r="F138" s="4"/>
      <c r="G138" s="4"/>
      <c r="H138" s="4"/>
      <c r="I138" s="4"/>
      <c r="J138" s="4"/>
      <c r="L138" s="4"/>
    </row>
    <row r="139" spans="5:12" x14ac:dyDescent="0.25">
      <c r="E139" s="4"/>
      <c r="F139" s="4"/>
      <c r="G139" s="4"/>
      <c r="H139" s="4"/>
      <c r="I139" s="4"/>
      <c r="J139" s="4"/>
      <c r="L139" s="4"/>
    </row>
    <row r="140" spans="5:12" x14ac:dyDescent="0.25">
      <c r="E140" s="4"/>
      <c r="F140" s="4"/>
      <c r="G140" s="4"/>
      <c r="H140" s="4"/>
      <c r="I140" s="4"/>
      <c r="J140" s="4"/>
      <c r="L140" s="4"/>
    </row>
    <row r="141" spans="5:12" x14ac:dyDescent="0.25">
      <c r="E141" s="4"/>
      <c r="F141" s="4"/>
      <c r="G141" s="4"/>
      <c r="H141" s="4"/>
      <c r="I141" s="4"/>
      <c r="J141" s="4"/>
      <c r="L141" s="4"/>
    </row>
    <row r="142" spans="5:12" x14ac:dyDescent="0.25">
      <c r="E142" s="4"/>
      <c r="F142" s="4"/>
      <c r="G142" s="4"/>
      <c r="H142" s="4"/>
      <c r="I142" s="4"/>
      <c r="J142" s="4"/>
      <c r="L142" s="4"/>
    </row>
    <row r="143" spans="5:12" x14ac:dyDescent="0.25">
      <c r="E143" s="4"/>
      <c r="F143" s="4"/>
      <c r="G143" s="4"/>
      <c r="H143" s="4"/>
      <c r="I143" s="4"/>
      <c r="J143" s="4"/>
      <c r="L143" s="4"/>
    </row>
    <row r="144" spans="5:12" x14ac:dyDescent="0.25">
      <c r="E144" s="4"/>
      <c r="F144" s="4"/>
      <c r="G144" s="4"/>
      <c r="H144" s="4"/>
      <c r="I144" s="4"/>
      <c r="J144" s="4"/>
      <c r="L144" s="4"/>
    </row>
    <row r="145" spans="5:12" x14ac:dyDescent="0.25">
      <c r="E145" s="4"/>
      <c r="F145" s="4"/>
      <c r="G145" s="4"/>
      <c r="H145" s="4"/>
      <c r="I145" s="4"/>
      <c r="J145" s="4"/>
      <c r="L145" s="4"/>
    </row>
    <row r="146" spans="5:12" x14ac:dyDescent="0.25">
      <c r="E146" s="4"/>
      <c r="F146" s="4"/>
      <c r="G146" s="4"/>
      <c r="H146" s="4"/>
      <c r="I146" s="4"/>
      <c r="J146" s="4"/>
      <c r="L146" s="4"/>
    </row>
    <row r="147" spans="5:12" x14ac:dyDescent="0.25">
      <c r="E147" s="4"/>
      <c r="F147" s="4"/>
      <c r="G147" s="4"/>
      <c r="H147" s="4"/>
      <c r="I147" s="4"/>
      <c r="J147" s="4"/>
      <c r="L147" s="4"/>
    </row>
    <row r="148" spans="5:12" x14ac:dyDescent="0.25">
      <c r="E148" s="4"/>
      <c r="F148" s="4"/>
      <c r="G148" s="4"/>
      <c r="H148" s="4"/>
      <c r="I148" s="4"/>
      <c r="J148" s="4"/>
      <c r="L148" s="4"/>
    </row>
    <row r="149" spans="5:12" x14ac:dyDescent="0.25">
      <c r="E149" s="4"/>
      <c r="F149" s="4"/>
      <c r="G149" s="4"/>
      <c r="H149" s="4"/>
      <c r="I149" s="4"/>
      <c r="J149" s="4"/>
      <c r="L149" s="4"/>
    </row>
    <row r="150" spans="5:12" x14ac:dyDescent="0.25">
      <c r="E150" s="4"/>
      <c r="F150" s="4"/>
      <c r="G150" s="4"/>
      <c r="H150" s="4"/>
      <c r="I150" s="4"/>
      <c r="J150" s="4"/>
      <c r="L150" s="4"/>
    </row>
    <row r="151" spans="5:12" x14ac:dyDescent="0.25">
      <c r="E151" s="4"/>
      <c r="F151" s="4"/>
      <c r="G151" s="4"/>
      <c r="H151" s="4"/>
      <c r="I151" s="4"/>
      <c r="J151" s="4"/>
      <c r="L151" s="4"/>
    </row>
    <row r="152" spans="5:12" x14ac:dyDescent="0.25">
      <c r="E152" s="4"/>
      <c r="F152" s="4"/>
      <c r="G152" s="4"/>
      <c r="H152" s="4"/>
      <c r="I152" s="4"/>
      <c r="J152" s="4"/>
      <c r="L152" s="4"/>
    </row>
    <row r="153" spans="5:12" x14ac:dyDescent="0.25">
      <c r="E153" s="4"/>
      <c r="F153" s="4"/>
      <c r="G153" s="4"/>
      <c r="H153" s="4"/>
      <c r="I153" s="4"/>
      <c r="J153" s="4"/>
      <c r="L153" s="4"/>
    </row>
    <row r="154" spans="5:12" x14ac:dyDescent="0.25">
      <c r="E154" s="4"/>
      <c r="F154" s="4"/>
      <c r="G154" s="4"/>
      <c r="H154" s="4"/>
      <c r="I154" s="4"/>
      <c r="J154" s="4"/>
      <c r="L154" s="4"/>
    </row>
    <row r="155" spans="5:12" x14ac:dyDescent="0.25">
      <c r="E155" s="4"/>
      <c r="F155" s="4"/>
      <c r="G155" s="4"/>
      <c r="H155" s="4"/>
      <c r="I155" s="4"/>
      <c r="J155" s="4"/>
      <c r="L155" s="4"/>
    </row>
    <row r="156" spans="5:12" x14ac:dyDescent="0.25">
      <c r="E156" s="4"/>
      <c r="F156" s="4"/>
      <c r="G156" s="4"/>
      <c r="H156" s="4"/>
      <c r="I156" s="4"/>
      <c r="J156" s="4"/>
      <c r="L156" s="4"/>
    </row>
    <row r="157" spans="5:12" x14ac:dyDescent="0.25">
      <c r="E157" s="4"/>
      <c r="F157" s="4"/>
      <c r="G157" s="4"/>
      <c r="H157" s="4"/>
      <c r="I157" s="4"/>
      <c r="J157" s="4"/>
      <c r="L157" s="4"/>
    </row>
    <row r="158" spans="5:12" x14ac:dyDescent="0.25">
      <c r="E158" s="4"/>
      <c r="F158" s="4"/>
      <c r="G158" s="4"/>
      <c r="H158" s="4"/>
      <c r="I158" s="4"/>
      <c r="J158" s="4"/>
      <c r="L158" s="4"/>
    </row>
    <row r="159" spans="5:12" x14ac:dyDescent="0.25">
      <c r="E159" s="4"/>
      <c r="F159" s="4"/>
      <c r="G159" s="4"/>
      <c r="H159" s="4"/>
      <c r="I159" s="4"/>
      <c r="J159" s="4"/>
      <c r="L159" s="4"/>
    </row>
    <row r="160" spans="5:12" x14ac:dyDescent="0.25">
      <c r="E160" s="4"/>
      <c r="F160" s="4"/>
      <c r="G160" s="4"/>
      <c r="H160" s="4"/>
      <c r="I160" s="4"/>
      <c r="J160" s="4"/>
      <c r="L160" s="4"/>
    </row>
    <row r="161" spans="5:12" x14ac:dyDescent="0.25">
      <c r="E161" s="4"/>
      <c r="F161" s="4"/>
      <c r="G161" s="4"/>
      <c r="H161" s="4"/>
      <c r="I161" s="4"/>
      <c r="J161" s="4"/>
      <c r="L161" s="4"/>
    </row>
    <row r="162" spans="5:12" x14ac:dyDescent="0.25">
      <c r="E162" s="4"/>
      <c r="F162" s="4"/>
      <c r="G162" s="4"/>
      <c r="H162" s="4"/>
      <c r="I162" s="4"/>
      <c r="J162" s="4"/>
      <c r="L162" s="4"/>
    </row>
    <row r="163" spans="5:12" x14ac:dyDescent="0.25">
      <c r="E163" s="4"/>
      <c r="F163" s="4"/>
      <c r="G163" s="4"/>
      <c r="H163" s="4"/>
      <c r="I163" s="4"/>
      <c r="J163" s="4"/>
      <c r="L163" s="4"/>
    </row>
    <row r="164" spans="5:12" x14ac:dyDescent="0.25">
      <c r="E164" s="4"/>
      <c r="F164" s="4"/>
      <c r="G164" s="4"/>
      <c r="H164" s="4"/>
      <c r="I164" s="4"/>
      <c r="J164" s="4"/>
      <c r="L164" s="4"/>
    </row>
    <row r="165" spans="5:12" x14ac:dyDescent="0.25">
      <c r="E165" s="4"/>
      <c r="F165" s="4"/>
      <c r="G165" s="4"/>
      <c r="H165" s="4"/>
      <c r="I165" s="4"/>
      <c r="J165" s="4"/>
      <c r="L165" s="4"/>
    </row>
    <row r="166" spans="5:12" x14ac:dyDescent="0.25">
      <c r="E166" s="4"/>
      <c r="F166" s="4"/>
      <c r="G166" s="4"/>
      <c r="H166" s="4"/>
      <c r="I166" s="4"/>
      <c r="J166" s="4"/>
      <c r="L166" s="4"/>
    </row>
    <row r="167" spans="5:12" x14ac:dyDescent="0.25">
      <c r="E167" s="4"/>
      <c r="F167" s="4"/>
      <c r="G167" s="4"/>
      <c r="H167" s="4"/>
      <c r="I167" s="4"/>
      <c r="J167" s="4"/>
      <c r="L167" s="4"/>
    </row>
    <row r="168" spans="5:12" x14ac:dyDescent="0.25">
      <c r="E168" s="4"/>
      <c r="F168" s="4"/>
      <c r="G168" s="4"/>
      <c r="H168" s="4"/>
      <c r="I168" s="4"/>
      <c r="J168" s="4"/>
      <c r="L168" s="4"/>
    </row>
    <row r="169" spans="5:12" x14ac:dyDescent="0.25">
      <c r="E169" s="4"/>
      <c r="F169" s="4"/>
      <c r="G169" s="4"/>
      <c r="H169" s="4"/>
      <c r="I169" s="4"/>
      <c r="J169" s="4"/>
      <c r="L169" s="4"/>
    </row>
    <row r="170" spans="5:12" x14ac:dyDescent="0.25">
      <c r="E170" s="4"/>
      <c r="F170" s="4"/>
      <c r="G170" s="4"/>
      <c r="H170" s="4"/>
      <c r="I170" s="4"/>
      <c r="J170" s="4"/>
      <c r="L170" s="4"/>
    </row>
    <row r="171" spans="5:12" x14ac:dyDescent="0.25">
      <c r="E171" s="4"/>
      <c r="F171" s="4"/>
      <c r="G171" s="4"/>
      <c r="H171" s="4"/>
      <c r="I171" s="4"/>
      <c r="J171" s="4"/>
      <c r="L171" s="4"/>
    </row>
    <row r="172" spans="5:12" x14ac:dyDescent="0.25">
      <c r="E172" s="4"/>
      <c r="F172" s="4"/>
      <c r="G172" s="4"/>
      <c r="H172" s="4"/>
      <c r="I172" s="4"/>
      <c r="J172" s="4"/>
      <c r="L172" s="4"/>
    </row>
    <row r="173" spans="5:12" x14ac:dyDescent="0.25">
      <c r="E173" s="4"/>
      <c r="F173" s="4"/>
      <c r="G173" s="4"/>
      <c r="H173" s="4"/>
      <c r="I173" s="4"/>
      <c r="J173" s="4"/>
      <c r="L173" s="4"/>
    </row>
    <row r="174" spans="5:12" x14ac:dyDescent="0.25">
      <c r="E174" s="4"/>
      <c r="F174" s="4"/>
      <c r="G174" s="4"/>
      <c r="H174" s="4"/>
      <c r="I174" s="4"/>
      <c r="J174" s="4"/>
      <c r="L174" s="4"/>
    </row>
    <row r="175" spans="5:12" x14ac:dyDescent="0.25">
      <c r="E175" s="4"/>
      <c r="F175" s="4"/>
      <c r="G175" s="4"/>
      <c r="H175" s="4"/>
      <c r="I175" s="4"/>
      <c r="J175" s="4"/>
      <c r="L175" s="4"/>
    </row>
    <row r="176" spans="5:12" x14ac:dyDescent="0.25">
      <c r="E176" s="4"/>
      <c r="F176" s="4"/>
      <c r="G176" s="4"/>
      <c r="H176" s="4"/>
      <c r="I176" s="4"/>
      <c r="J176" s="4"/>
      <c r="L176" s="4"/>
    </row>
    <row r="177" spans="5:12" x14ac:dyDescent="0.25">
      <c r="E177" s="4"/>
      <c r="F177" s="4"/>
      <c r="G177" s="4"/>
      <c r="H177" s="4"/>
      <c r="I177" s="4"/>
      <c r="J177" s="4"/>
      <c r="L177" s="4"/>
    </row>
    <row r="178" spans="5:12" x14ac:dyDescent="0.25">
      <c r="E178" s="4"/>
      <c r="F178" s="4"/>
      <c r="G178" s="4"/>
      <c r="H178" s="4"/>
      <c r="I178" s="4"/>
      <c r="J178" s="4"/>
      <c r="L178" s="4"/>
    </row>
    <row r="179" spans="5:12" x14ac:dyDescent="0.25">
      <c r="E179" s="4"/>
      <c r="F179" s="4"/>
      <c r="G179" s="4"/>
      <c r="H179" s="4"/>
      <c r="I179" s="4"/>
      <c r="J179" s="4"/>
      <c r="L179" s="4"/>
    </row>
    <row r="180" spans="5:12" x14ac:dyDescent="0.25">
      <c r="E180" s="4"/>
      <c r="F180" s="4"/>
      <c r="G180" s="4"/>
      <c r="H180" s="4"/>
      <c r="I180" s="4"/>
      <c r="J180" s="4"/>
      <c r="L180" s="4"/>
    </row>
    <row r="181" spans="5:12" x14ac:dyDescent="0.25">
      <c r="E181" s="4"/>
      <c r="F181" s="4"/>
      <c r="G181" s="4"/>
      <c r="H181" s="4"/>
      <c r="I181" s="4"/>
      <c r="J181" s="4"/>
      <c r="L181" s="4"/>
    </row>
    <row r="182" spans="5:12" x14ac:dyDescent="0.25">
      <c r="E182" s="4"/>
      <c r="F182" s="4"/>
      <c r="G182" s="4"/>
      <c r="H182" s="4"/>
      <c r="I182" s="4"/>
      <c r="J182" s="4"/>
      <c r="L182" s="4"/>
    </row>
    <row r="183" spans="5:12" x14ac:dyDescent="0.25">
      <c r="E183" s="4"/>
      <c r="F183" s="4"/>
      <c r="G183" s="4"/>
      <c r="H183" s="4"/>
      <c r="I183" s="4"/>
      <c r="J183" s="4"/>
      <c r="L183" s="4"/>
    </row>
    <row r="184" spans="5:12" x14ac:dyDescent="0.25">
      <c r="E184" s="4"/>
      <c r="F184" s="4"/>
      <c r="G184" s="4"/>
      <c r="H184" s="4"/>
      <c r="I184" s="4"/>
      <c r="J184" s="4"/>
      <c r="L184" s="4"/>
    </row>
    <row r="185" spans="5:12" x14ac:dyDescent="0.25">
      <c r="E185" s="4"/>
      <c r="F185" s="4"/>
      <c r="G185" s="4"/>
      <c r="H185" s="4"/>
      <c r="I185" s="4"/>
      <c r="J185" s="4"/>
      <c r="L185" s="4"/>
    </row>
    <row r="186" spans="5:12" x14ac:dyDescent="0.25">
      <c r="E186" s="4"/>
      <c r="F186" s="4"/>
      <c r="G186" s="4"/>
      <c r="H186" s="4"/>
      <c r="I186" s="4"/>
      <c r="J186" s="4"/>
      <c r="L186" s="4"/>
    </row>
    <row r="187" spans="5:12" x14ac:dyDescent="0.25">
      <c r="E187" s="4"/>
      <c r="F187" s="4"/>
      <c r="G187" s="4"/>
      <c r="H187" s="4"/>
      <c r="I187" s="4"/>
      <c r="J187" s="4"/>
      <c r="L187" s="4"/>
    </row>
    <row r="188" spans="5:12" x14ac:dyDescent="0.25">
      <c r="E188" s="4"/>
      <c r="F188" s="4"/>
      <c r="G188" s="4"/>
      <c r="H188" s="4"/>
      <c r="I188" s="4"/>
      <c r="J188" s="4"/>
      <c r="L188" s="4"/>
    </row>
    <row r="189" spans="5:12" x14ac:dyDescent="0.25">
      <c r="E189" s="4"/>
      <c r="F189" s="4"/>
      <c r="G189" s="4"/>
      <c r="H189" s="4"/>
      <c r="I189" s="4"/>
      <c r="J189" s="4"/>
      <c r="L189" s="4"/>
    </row>
    <row r="190" spans="5:12" x14ac:dyDescent="0.25">
      <c r="E190" s="4"/>
      <c r="F190" s="4"/>
      <c r="G190" s="4"/>
      <c r="H190" s="4"/>
      <c r="I190" s="4"/>
      <c r="J190" s="4"/>
      <c r="L190" s="4"/>
    </row>
    <row r="191" spans="5:12" x14ac:dyDescent="0.25">
      <c r="E191" s="4"/>
      <c r="F191" s="4"/>
      <c r="G191" s="4"/>
      <c r="H191" s="4"/>
      <c r="I191" s="4"/>
      <c r="J191" s="4"/>
      <c r="L191" s="4"/>
    </row>
    <row r="192" spans="5:12" x14ac:dyDescent="0.25">
      <c r="E192" s="4"/>
      <c r="F192" s="4"/>
      <c r="G192" s="4"/>
      <c r="H192" s="4"/>
      <c r="I192" s="4"/>
      <c r="J192" s="4"/>
      <c r="L192" s="4"/>
    </row>
    <row r="193" spans="5:12" x14ac:dyDescent="0.25">
      <c r="E193" s="4"/>
      <c r="F193" s="4"/>
      <c r="G193" s="4"/>
      <c r="H193" s="4"/>
      <c r="I193" s="4"/>
      <c r="J193" s="4"/>
      <c r="L193" s="4"/>
    </row>
    <row r="194" spans="5:12" x14ac:dyDescent="0.25">
      <c r="E194" s="4"/>
      <c r="F194" s="4"/>
      <c r="G194" s="4"/>
      <c r="H194" s="4"/>
      <c r="I194" s="4"/>
      <c r="J194" s="4"/>
      <c r="L194" s="4"/>
    </row>
    <row r="195" spans="5:12" x14ac:dyDescent="0.25">
      <c r="E195" s="4"/>
      <c r="F195" s="4"/>
      <c r="G195" s="4"/>
      <c r="H195" s="4"/>
      <c r="I195" s="4"/>
      <c r="J195" s="4"/>
      <c r="L195" s="4"/>
    </row>
    <row r="196" spans="5:12" x14ac:dyDescent="0.25">
      <c r="E196" s="4"/>
      <c r="F196" s="4"/>
      <c r="G196" s="4"/>
      <c r="H196" s="4"/>
      <c r="I196" s="4"/>
      <c r="J196" s="4"/>
      <c r="L196" s="4"/>
    </row>
    <row r="197" spans="5:12" x14ac:dyDescent="0.25">
      <c r="E197" s="4"/>
      <c r="F197" s="4"/>
      <c r="G197" s="4"/>
      <c r="H197" s="4"/>
      <c r="I197" s="4"/>
      <c r="J197" s="4"/>
      <c r="L197" s="4"/>
    </row>
    <row r="198" spans="5:12" x14ac:dyDescent="0.25">
      <c r="E198" s="4"/>
      <c r="F198" s="4"/>
      <c r="G198" s="4"/>
      <c r="H198" s="4"/>
      <c r="I198" s="4"/>
      <c r="J198" s="4"/>
      <c r="L198" s="4"/>
    </row>
    <row r="199" spans="5:12" x14ac:dyDescent="0.25">
      <c r="E199" s="4"/>
      <c r="F199" s="4"/>
      <c r="G199" s="4"/>
      <c r="H199" s="4"/>
      <c r="I199" s="4"/>
      <c r="J199" s="4"/>
      <c r="L199" s="4"/>
    </row>
    <row r="200" spans="5:12" x14ac:dyDescent="0.25">
      <c r="E200" s="4"/>
      <c r="F200" s="4"/>
      <c r="G200" s="4"/>
      <c r="H200" s="4"/>
      <c r="I200" s="4"/>
      <c r="J200" s="4"/>
      <c r="L200" s="4"/>
    </row>
    <row r="201" spans="5:12" x14ac:dyDescent="0.25">
      <c r="E201" s="4"/>
      <c r="F201" s="4"/>
      <c r="G201" s="4"/>
      <c r="H201" s="4"/>
      <c r="I201" s="4"/>
      <c r="J201" s="4"/>
      <c r="L201" s="4"/>
    </row>
  </sheetData>
  <sheetProtection algorithmName="SHA-512" hashValue="Kix0yCy80mTHSf3fNZLHx/SPrzSCwejrGPGIhz2sZdeQA43xPLal15pHtOAX8um3EBEyH+M/nYMISv7JJyG44A==" saltValue="InvKMdSgckDhuCZlduahMw==" spinCount="100000" sheet="1" objects="1" scenarios="1" selectLockedCells="1" sort="0" autoFilter="0"/>
  <protectedRanges>
    <protectedRange sqref="B6:L101" name="Filter"/>
  </protectedRanges>
  <mergeCells count="9">
    <mergeCell ref="A1:A1048576"/>
    <mergeCell ref="B1:L1"/>
    <mergeCell ref="B2:C2"/>
    <mergeCell ref="E2:F2"/>
    <mergeCell ref="G2:K2"/>
    <mergeCell ref="B3:C3"/>
    <mergeCell ref="E3:F3"/>
    <mergeCell ref="G3:K3"/>
    <mergeCell ref="B4:L4"/>
  </mergeCells>
  <conditionalFormatting sqref="A6:XFD6 A7:K100 M7:XFD100 L7:L101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C6:C101" xr:uid="{9DAC4FDA-DF9A-454F-8106-239C9AF949FD}">
      <formula1>"City, County, PNP, Government, Municipality, Co Op, Other"</formula1>
    </dataValidation>
    <dataValidation type="list" allowBlank="1" showInputMessage="1" showErrorMessage="1" sqref="D6:D101" xr:uid="{A3A70DFB-D5D5-4648-8DFD-FD173721D54C}">
      <formula1>"Complete, In Progress, Not Started, Withdrawn"</formula1>
    </dataValidation>
    <dataValidation type="list" allowBlank="1" showInputMessage="1" showErrorMessage="1" sqref="D102:D202" xr:uid="{06F03857-0BDF-4338-96E7-243FD8983A54}">
      <formula1>"Complete, In Progress, Not Started"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7C83E9-A9EA-4128-B542-F6222066A641}">
          <x14:formula1>
            <xm:f>'County Population and Threshold'!$A$4:$A$95</xm:f>
          </x14:formula1>
          <xm:sqref>B3:C3</xm:sqref>
        </x14:dataValidation>
        <x14:dataValidation type="list" allowBlank="1" showInputMessage="1" showErrorMessage="1" xr:uid="{B54A8A36-39A9-40E4-B49E-C08E7FAD42E5}">
          <x14:formula1>
            <xm:f>'County Population and Threshold'!$C$4:$C$23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4" tint="0.39997558519241921"/>
  </sheetPr>
  <dimension ref="A1:B100"/>
  <sheetViews>
    <sheetView showZeros="0" workbookViewId="0">
      <pane ySplit="1" topLeftCell="A2" activePane="bottomLeft" state="frozen"/>
      <selection pane="bottomLeft" activeCell="B2" sqref="B2"/>
    </sheetView>
  </sheetViews>
  <sheetFormatPr defaultRowHeight="45" customHeight="1" x14ac:dyDescent="0.25"/>
  <cols>
    <col min="1" max="1" width="55.6640625" style="19" customWidth="1"/>
    <col min="2" max="2" width="151" customWidth="1"/>
  </cols>
  <sheetData>
    <row r="1" spans="1:2" ht="45" customHeight="1" thickBot="1" x14ac:dyDescent="0.3">
      <c r="A1" s="18" t="s">
        <v>12</v>
      </c>
      <c r="B1" s="17" t="s">
        <v>8</v>
      </c>
    </row>
    <row r="2" spans="1:2" ht="57.6" customHeight="1" x14ac:dyDescent="0.25">
      <c r="A2" s="19" t="str">
        <f>'County Summary'!B6</f>
        <v>Floyd County Road Dept</v>
      </c>
      <c r="B2" s="36" t="s">
        <v>216</v>
      </c>
    </row>
    <row r="3" spans="1:2" ht="45" customHeight="1" x14ac:dyDescent="0.25">
      <c r="A3" s="19">
        <f>'County Summary'!B7</f>
        <v>0</v>
      </c>
      <c r="B3" s="10"/>
    </row>
    <row r="4" spans="1:2" ht="45" customHeight="1" x14ac:dyDescent="0.25">
      <c r="A4" s="19">
        <f>'County Summary'!B8</f>
        <v>0</v>
      </c>
      <c r="B4" s="10"/>
    </row>
    <row r="5" spans="1:2" ht="45" customHeight="1" x14ac:dyDescent="0.25">
      <c r="A5" s="19">
        <f>'County Summary'!B9</f>
        <v>0</v>
      </c>
      <c r="B5" s="10"/>
    </row>
    <row r="6" spans="1:2" ht="45" customHeight="1" x14ac:dyDescent="0.25">
      <c r="A6" s="19">
        <f>'County Summary'!B10</f>
        <v>0</v>
      </c>
      <c r="B6" s="10"/>
    </row>
    <row r="7" spans="1:2" ht="45" customHeight="1" x14ac:dyDescent="0.25">
      <c r="A7" s="19">
        <f>'County Summary'!B11</f>
        <v>0</v>
      </c>
      <c r="B7" s="10"/>
    </row>
    <row r="8" spans="1:2" ht="45" customHeight="1" x14ac:dyDescent="0.25">
      <c r="A8" s="19">
        <f>'County Summary'!B12</f>
        <v>0</v>
      </c>
      <c r="B8" s="10"/>
    </row>
    <row r="9" spans="1:2" ht="45" customHeight="1" x14ac:dyDescent="0.25">
      <c r="A9" s="19">
        <f>'County Summary'!B13</f>
        <v>0</v>
      </c>
      <c r="B9" s="10"/>
    </row>
    <row r="10" spans="1:2" ht="45" customHeight="1" x14ac:dyDescent="0.25">
      <c r="A10" s="19">
        <f>'County Summary'!B14</f>
        <v>0</v>
      </c>
      <c r="B10" s="10"/>
    </row>
    <row r="11" spans="1:2" ht="45" customHeight="1" x14ac:dyDescent="0.25">
      <c r="A11" s="19">
        <f>'County Summary'!B15</f>
        <v>0</v>
      </c>
      <c r="B11" s="10"/>
    </row>
    <row r="12" spans="1:2" ht="45" customHeight="1" x14ac:dyDescent="0.25">
      <c r="A12" s="19">
        <f>'County Summary'!B16</f>
        <v>0</v>
      </c>
      <c r="B12" s="10"/>
    </row>
    <row r="13" spans="1:2" ht="45" customHeight="1" x14ac:dyDescent="0.25">
      <c r="A13" s="19">
        <f>'County Summary'!B17</f>
        <v>0</v>
      </c>
      <c r="B13" s="10"/>
    </row>
    <row r="14" spans="1:2" ht="45" customHeight="1" x14ac:dyDescent="0.25">
      <c r="A14" s="19">
        <f>'County Summary'!B18</f>
        <v>0</v>
      </c>
      <c r="B14" s="10"/>
    </row>
    <row r="15" spans="1:2" ht="45" customHeight="1" x14ac:dyDescent="0.25">
      <c r="A15" s="19">
        <f>'County Summary'!B19</f>
        <v>0</v>
      </c>
      <c r="B15" s="10"/>
    </row>
    <row r="16" spans="1:2" ht="45" customHeight="1" x14ac:dyDescent="0.25">
      <c r="A16" s="19">
        <f>'County Summary'!B20</f>
        <v>0</v>
      </c>
      <c r="B16" s="10"/>
    </row>
    <row r="17" spans="1:2" ht="45" customHeight="1" x14ac:dyDescent="0.25">
      <c r="A17" s="19">
        <f>'County Summary'!B21</f>
        <v>0</v>
      </c>
      <c r="B17" s="10"/>
    </row>
    <row r="18" spans="1:2" ht="45" customHeight="1" x14ac:dyDescent="0.25">
      <c r="A18" s="19">
        <f>'County Summary'!B22</f>
        <v>0</v>
      </c>
      <c r="B18" s="10"/>
    </row>
    <row r="19" spans="1:2" ht="45" customHeight="1" x14ac:dyDescent="0.25">
      <c r="A19" s="19">
        <f>'County Summary'!B23</f>
        <v>0</v>
      </c>
      <c r="B19" s="10"/>
    </row>
    <row r="20" spans="1:2" ht="45" customHeight="1" x14ac:dyDescent="0.25">
      <c r="A20" s="19">
        <f>'County Summary'!B24</f>
        <v>0</v>
      </c>
      <c r="B20" s="10"/>
    </row>
    <row r="21" spans="1:2" ht="45" customHeight="1" x14ac:dyDescent="0.25">
      <c r="A21" s="19">
        <f>'County Summary'!B25</f>
        <v>0</v>
      </c>
      <c r="B21" s="10"/>
    </row>
    <row r="22" spans="1:2" ht="45" customHeight="1" x14ac:dyDescent="0.25">
      <c r="A22" s="19">
        <f>'County Summary'!B26</f>
        <v>0</v>
      </c>
      <c r="B22" s="10"/>
    </row>
    <row r="23" spans="1:2" ht="45" customHeight="1" x14ac:dyDescent="0.25">
      <c r="A23" s="19">
        <f>'County Summary'!B27</f>
        <v>0</v>
      </c>
      <c r="B23" s="10"/>
    </row>
    <row r="24" spans="1:2" ht="45" customHeight="1" x14ac:dyDescent="0.25">
      <c r="A24" s="19">
        <f>'County Summary'!B28</f>
        <v>0</v>
      </c>
      <c r="B24" s="10"/>
    </row>
    <row r="25" spans="1:2" ht="45" customHeight="1" x14ac:dyDescent="0.25">
      <c r="A25" s="19">
        <f>'County Summary'!B29</f>
        <v>0</v>
      </c>
      <c r="B25" s="10"/>
    </row>
    <row r="26" spans="1:2" ht="45" customHeight="1" x14ac:dyDescent="0.25">
      <c r="A26" s="19">
        <f>'County Summary'!B30</f>
        <v>0</v>
      </c>
      <c r="B26" s="10"/>
    </row>
    <row r="27" spans="1:2" ht="45" customHeight="1" x14ac:dyDescent="0.25">
      <c r="A27" s="19">
        <f>'County Summary'!B31</f>
        <v>0</v>
      </c>
      <c r="B27" s="10"/>
    </row>
    <row r="28" spans="1:2" ht="45" customHeight="1" x14ac:dyDescent="0.25">
      <c r="A28" s="19">
        <f>'County Summary'!B32</f>
        <v>0</v>
      </c>
      <c r="B28" s="10"/>
    </row>
    <row r="29" spans="1:2" ht="45" customHeight="1" x14ac:dyDescent="0.25">
      <c r="A29" s="19">
        <f>'County Summary'!B33</f>
        <v>0</v>
      </c>
      <c r="B29" s="10"/>
    </row>
    <row r="30" spans="1:2" ht="45" customHeight="1" x14ac:dyDescent="0.25">
      <c r="A30" s="19">
        <f>'County Summary'!B34</f>
        <v>0</v>
      </c>
      <c r="B30" s="10"/>
    </row>
    <row r="31" spans="1:2" ht="45" customHeight="1" x14ac:dyDescent="0.25">
      <c r="A31" s="19">
        <f>'County Summary'!B35</f>
        <v>0</v>
      </c>
      <c r="B31" s="10"/>
    </row>
    <row r="32" spans="1:2" ht="45" customHeight="1" x14ac:dyDescent="0.25">
      <c r="A32" s="19">
        <f>'County Summary'!B36</f>
        <v>0</v>
      </c>
      <c r="B32" s="10"/>
    </row>
    <row r="33" spans="1:2" ht="45" customHeight="1" x14ac:dyDescent="0.25">
      <c r="A33" s="19">
        <f>'County Summary'!B37</f>
        <v>0</v>
      </c>
      <c r="B33" s="10"/>
    </row>
    <row r="34" spans="1:2" ht="45" customHeight="1" x14ac:dyDescent="0.25">
      <c r="A34" s="19">
        <f>'County Summary'!B38</f>
        <v>0</v>
      </c>
      <c r="B34" s="10"/>
    </row>
    <row r="35" spans="1:2" ht="45" customHeight="1" x14ac:dyDescent="0.25">
      <c r="A35" s="19">
        <f>'County Summary'!B39</f>
        <v>0</v>
      </c>
      <c r="B35" s="10"/>
    </row>
    <row r="36" spans="1:2" ht="45" customHeight="1" x14ac:dyDescent="0.25">
      <c r="A36" s="19">
        <f>'County Summary'!B40</f>
        <v>0</v>
      </c>
      <c r="B36" s="10"/>
    </row>
    <row r="37" spans="1:2" ht="45" customHeight="1" x14ac:dyDescent="0.25">
      <c r="A37" s="19">
        <f>'County Summary'!B41</f>
        <v>0</v>
      </c>
      <c r="B37" s="10"/>
    </row>
    <row r="38" spans="1:2" ht="45" customHeight="1" x14ac:dyDescent="0.25">
      <c r="A38" s="19">
        <f>'County Summary'!B42</f>
        <v>0</v>
      </c>
      <c r="B38" s="10"/>
    </row>
    <row r="39" spans="1:2" ht="45" customHeight="1" x14ac:dyDescent="0.25">
      <c r="A39" s="19">
        <f>'County Summary'!B43</f>
        <v>0</v>
      </c>
      <c r="B39" s="10"/>
    </row>
    <row r="40" spans="1:2" ht="45" customHeight="1" x14ac:dyDescent="0.25">
      <c r="A40" s="19">
        <f>'County Summary'!B44</f>
        <v>0</v>
      </c>
      <c r="B40" s="10"/>
    </row>
    <row r="41" spans="1:2" ht="45" customHeight="1" x14ac:dyDescent="0.25">
      <c r="A41" s="19">
        <f>'County Summary'!B45</f>
        <v>0</v>
      </c>
      <c r="B41" s="10"/>
    </row>
    <row r="42" spans="1:2" ht="45" customHeight="1" x14ac:dyDescent="0.25">
      <c r="A42" s="19">
        <f>'County Summary'!B46</f>
        <v>0</v>
      </c>
      <c r="B42" s="10"/>
    </row>
    <row r="43" spans="1:2" ht="45" customHeight="1" x14ac:dyDescent="0.25">
      <c r="A43" s="19">
        <f>'County Summary'!B47</f>
        <v>0</v>
      </c>
      <c r="B43" s="10"/>
    </row>
    <row r="44" spans="1:2" ht="45" customHeight="1" x14ac:dyDescent="0.25">
      <c r="A44" s="19">
        <f>'County Summary'!B48</f>
        <v>0</v>
      </c>
      <c r="B44" s="10"/>
    </row>
    <row r="45" spans="1:2" ht="45" customHeight="1" x14ac:dyDescent="0.25">
      <c r="A45" s="19">
        <f>'County Summary'!B49</f>
        <v>0</v>
      </c>
      <c r="B45" s="10"/>
    </row>
    <row r="46" spans="1:2" ht="45" customHeight="1" x14ac:dyDescent="0.25">
      <c r="A46" s="19">
        <f>'County Summary'!B50</f>
        <v>0</v>
      </c>
      <c r="B46" s="10"/>
    </row>
    <row r="47" spans="1:2" ht="45" customHeight="1" x14ac:dyDescent="0.25">
      <c r="A47" s="19">
        <f>'County Summary'!B51</f>
        <v>0</v>
      </c>
      <c r="B47" s="10"/>
    </row>
    <row r="48" spans="1:2" ht="45" customHeight="1" x14ac:dyDescent="0.25">
      <c r="A48" s="19">
        <f>'County Summary'!B52</f>
        <v>0</v>
      </c>
      <c r="B48" s="10"/>
    </row>
    <row r="49" spans="1:2" ht="45" customHeight="1" x14ac:dyDescent="0.25">
      <c r="A49" s="19">
        <f>'County Summary'!B53</f>
        <v>0</v>
      </c>
      <c r="B49" s="10"/>
    </row>
    <row r="50" spans="1:2" ht="45" customHeight="1" x14ac:dyDescent="0.25">
      <c r="A50" s="19">
        <f>'County Summary'!B54</f>
        <v>0</v>
      </c>
      <c r="B50" s="10"/>
    </row>
    <row r="51" spans="1:2" ht="45" customHeight="1" x14ac:dyDescent="0.25">
      <c r="A51" s="19">
        <f>'County Summary'!B55</f>
        <v>0</v>
      </c>
      <c r="B51" s="10"/>
    </row>
    <row r="52" spans="1:2" ht="45" customHeight="1" x14ac:dyDescent="0.25">
      <c r="A52" s="19">
        <f>'County Summary'!B56</f>
        <v>0</v>
      </c>
      <c r="B52" s="10"/>
    </row>
    <row r="53" spans="1:2" ht="45" customHeight="1" x14ac:dyDescent="0.25">
      <c r="A53" s="19">
        <f>'County Summary'!B57</f>
        <v>0</v>
      </c>
      <c r="B53" s="10"/>
    </row>
    <row r="54" spans="1:2" ht="45" customHeight="1" x14ac:dyDescent="0.25">
      <c r="A54" s="19">
        <f>'County Summary'!B58</f>
        <v>0</v>
      </c>
      <c r="B54" s="10"/>
    </row>
    <row r="55" spans="1:2" ht="45" customHeight="1" x14ac:dyDescent="0.25">
      <c r="A55" s="19">
        <f>'County Summary'!B59</f>
        <v>0</v>
      </c>
      <c r="B55" s="10"/>
    </row>
    <row r="56" spans="1:2" ht="45" customHeight="1" x14ac:dyDescent="0.25">
      <c r="A56" s="19">
        <f>'County Summary'!B60</f>
        <v>0</v>
      </c>
      <c r="B56" s="10"/>
    </row>
    <row r="57" spans="1:2" ht="45" customHeight="1" x14ac:dyDescent="0.25">
      <c r="A57" s="19">
        <f>'County Summary'!B61</f>
        <v>0</v>
      </c>
      <c r="B57" s="10"/>
    </row>
    <row r="58" spans="1:2" ht="45" customHeight="1" x14ac:dyDescent="0.25">
      <c r="A58" s="19">
        <f>'County Summary'!B62</f>
        <v>0</v>
      </c>
      <c r="B58" s="10"/>
    </row>
    <row r="59" spans="1:2" ht="45" customHeight="1" x14ac:dyDescent="0.25">
      <c r="A59" s="19">
        <f>'County Summary'!B63</f>
        <v>0</v>
      </c>
      <c r="B59" s="10"/>
    </row>
    <row r="60" spans="1:2" ht="45" customHeight="1" x14ac:dyDescent="0.25">
      <c r="A60" s="19">
        <f>'County Summary'!B64</f>
        <v>0</v>
      </c>
      <c r="B60" s="10"/>
    </row>
    <row r="61" spans="1:2" ht="45" customHeight="1" x14ac:dyDescent="0.25">
      <c r="A61" s="19">
        <f>'County Summary'!B65</f>
        <v>0</v>
      </c>
      <c r="B61" s="10"/>
    </row>
    <row r="62" spans="1:2" ht="45" customHeight="1" x14ac:dyDescent="0.25">
      <c r="A62" s="19">
        <f>'County Summary'!B66</f>
        <v>0</v>
      </c>
      <c r="B62" s="10"/>
    </row>
    <row r="63" spans="1:2" ht="45" customHeight="1" x14ac:dyDescent="0.25">
      <c r="A63" s="19">
        <f>'County Summary'!B67</f>
        <v>0</v>
      </c>
      <c r="B63" s="10"/>
    </row>
    <row r="64" spans="1:2" ht="45" customHeight="1" x14ac:dyDescent="0.25">
      <c r="A64" s="19">
        <f>'County Summary'!B68</f>
        <v>0</v>
      </c>
      <c r="B64" s="10"/>
    </row>
    <row r="65" spans="1:2" ht="45" customHeight="1" x14ac:dyDescent="0.25">
      <c r="A65" s="19">
        <f>'County Summary'!B69</f>
        <v>0</v>
      </c>
      <c r="B65" s="10"/>
    </row>
    <row r="66" spans="1:2" ht="45" customHeight="1" x14ac:dyDescent="0.25">
      <c r="A66" s="19">
        <f>'County Summary'!B70</f>
        <v>0</v>
      </c>
      <c r="B66" s="10"/>
    </row>
    <row r="67" spans="1:2" ht="45" customHeight="1" x14ac:dyDescent="0.25">
      <c r="A67" s="19">
        <f>'County Summary'!B71</f>
        <v>0</v>
      </c>
      <c r="B67" s="10"/>
    </row>
    <row r="68" spans="1:2" ht="45" customHeight="1" x14ac:dyDescent="0.25">
      <c r="A68" s="19">
        <f>'County Summary'!B72</f>
        <v>0</v>
      </c>
      <c r="B68" s="10"/>
    </row>
    <row r="69" spans="1:2" ht="45" customHeight="1" x14ac:dyDescent="0.25">
      <c r="A69" s="19">
        <f>'County Summary'!B73</f>
        <v>0</v>
      </c>
      <c r="B69" s="10"/>
    </row>
    <row r="70" spans="1:2" ht="45" customHeight="1" x14ac:dyDescent="0.25">
      <c r="A70" s="19">
        <f>'County Summary'!B74</f>
        <v>0</v>
      </c>
      <c r="B70" s="10"/>
    </row>
    <row r="71" spans="1:2" ht="45" customHeight="1" x14ac:dyDescent="0.25">
      <c r="A71" s="19">
        <f>'County Summary'!B75</f>
        <v>0</v>
      </c>
      <c r="B71" s="10"/>
    </row>
    <row r="72" spans="1:2" ht="45" customHeight="1" x14ac:dyDescent="0.25">
      <c r="A72" s="19">
        <f>'County Summary'!B76</f>
        <v>0</v>
      </c>
      <c r="B72" s="10"/>
    </row>
    <row r="73" spans="1:2" ht="45" customHeight="1" x14ac:dyDescent="0.25">
      <c r="A73" s="19">
        <f>'County Summary'!B77</f>
        <v>0</v>
      </c>
      <c r="B73" s="10"/>
    </row>
    <row r="74" spans="1:2" ht="45" customHeight="1" x14ac:dyDescent="0.25">
      <c r="A74" s="19">
        <f>'County Summary'!B78</f>
        <v>0</v>
      </c>
      <c r="B74" s="10"/>
    </row>
    <row r="75" spans="1:2" ht="45" customHeight="1" x14ac:dyDescent="0.25">
      <c r="A75" s="19">
        <f>'County Summary'!B79</f>
        <v>0</v>
      </c>
      <c r="B75" s="10"/>
    </row>
    <row r="76" spans="1:2" ht="45" customHeight="1" x14ac:dyDescent="0.25">
      <c r="A76" s="19">
        <f>'County Summary'!B80</f>
        <v>0</v>
      </c>
      <c r="B76" s="10"/>
    </row>
    <row r="77" spans="1:2" ht="45" customHeight="1" x14ac:dyDescent="0.25">
      <c r="A77" s="19">
        <f>'County Summary'!B81</f>
        <v>0</v>
      </c>
      <c r="B77" s="10"/>
    </row>
    <row r="78" spans="1:2" ht="45" customHeight="1" x14ac:dyDescent="0.25">
      <c r="A78" s="19">
        <f>'County Summary'!B82</f>
        <v>0</v>
      </c>
      <c r="B78" s="10"/>
    </row>
    <row r="79" spans="1:2" ht="45" customHeight="1" x14ac:dyDescent="0.25">
      <c r="A79" s="19">
        <f>'County Summary'!B83</f>
        <v>0</v>
      </c>
      <c r="B79" s="10"/>
    </row>
    <row r="80" spans="1:2" ht="45" customHeight="1" x14ac:dyDescent="0.25">
      <c r="A80" s="19">
        <f>'County Summary'!B84</f>
        <v>0</v>
      </c>
      <c r="B80" s="10"/>
    </row>
    <row r="81" spans="1:2" ht="45" customHeight="1" x14ac:dyDescent="0.25">
      <c r="A81" s="19">
        <f>'County Summary'!B85</f>
        <v>0</v>
      </c>
      <c r="B81" s="10"/>
    </row>
    <row r="82" spans="1:2" ht="45" customHeight="1" x14ac:dyDescent="0.25">
      <c r="A82" s="19">
        <f>'County Summary'!B86</f>
        <v>0</v>
      </c>
      <c r="B82" s="10"/>
    </row>
    <row r="83" spans="1:2" ht="45" customHeight="1" x14ac:dyDescent="0.25">
      <c r="A83" s="19">
        <f>'County Summary'!B87</f>
        <v>0</v>
      </c>
      <c r="B83" s="10"/>
    </row>
    <row r="84" spans="1:2" ht="45" customHeight="1" x14ac:dyDescent="0.25">
      <c r="A84" s="19">
        <f>'County Summary'!B88</f>
        <v>0</v>
      </c>
      <c r="B84" s="10"/>
    </row>
    <row r="85" spans="1:2" ht="45" customHeight="1" x14ac:dyDescent="0.25">
      <c r="A85" s="19">
        <f>'County Summary'!B89</f>
        <v>0</v>
      </c>
      <c r="B85" s="10"/>
    </row>
    <row r="86" spans="1:2" ht="45" customHeight="1" x14ac:dyDescent="0.25">
      <c r="A86" s="19">
        <f>'County Summary'!B90</f>
        <v>0</v>
      </c>
      <c r="B86" s="10"/>
    </row>
    <row r="87" spans="1:2" ht="45" customHeight="1" x14ac:dyDescent="0.25">
      <c r="A87" s="19">
        <f>'County Summary'!B91</f>
        <v>0</v>
      </c>
      <c r="B87" s="10"/>
    </row>
    <row r="88" spans="1:2" ht="45" customHeight="1" x14ac:dyDescent="0.25">
      <c r="A88" s="19">
        <f>'County Summary'!B92</f>
        <v>0</v>
      </c>
      <c r="B88" s="10"/>
    </row>
    <row r="89" spans="1:2" ht="45" customHeight="1" x14ac:dyDescent="0.25">
      <c r="A89" s="19">
        <f>'County Summary'!B93</f>
        <v>0</v>
      </c>
      <c r="B89" s="10"/>
    </row>
    <row r="90" spans="1:2" ht="45" customHeight="1" x14ac:dyDescent="0.25">
      <c r="A90" s="19">
        <f>'County Summary'!B94</f>
        <v>0</v>
      </c>
      <c r="B90" s="10"/>
    </row>
    <row r="91" spans="1:2" ht="45" customHeight="1" x14ac:dyDescent="0.25">
      <c r="A91" s="19">
        <f>'County Summary'!B95</f>
        <v>0</v>
      </c>
      <c r="B91" s="10"/>
    </row>
    <row r="92" spans="1:2" ht="45" customHeight="1" x14ac:dyDescent="0.25">
      <c r="A92" s="19">
        <f>'County Summary'!B96</f>
        <v>0</v>
      </c>
      <c r="B92" s="10"/>
    </row>
    <row r="93" spans="1:2" ht="45" customHeight="1" x14ac:dyDescent="0.25">
      <c r="A93" s="19">
        <f>'County Summary'!B97</f>
        <v>0</v>
      </c>
      <c r="B93" s="10"/>
    </row>
    <row r="94" spans="1:2" ht="45" customHeight="1" x14ac:dyDescent="0.25">
      <c r="A94" s="19">
        <f>'County Summary'!B98</f>
        <v>0</v>
      </c>
      <c r="B94" s="10"/>
    </row>
    <row r="95" spans="1:2" ht="45" customHeight="1" x14ac:dyDescent="0.25">
      <c r="A95" s="19">
        <f>'County Summary'!B99</f>
        <v>0</v>
      </c>
      <c r="B95" s="10"/>
    </row>
    <row r="96" spans="1:2" ht="45" customHeight="1" x14ac:dyDescent="0.25">
      <c r="A96" s="19">
        <f>'County Summary'!B100</f>
        <v>0</v>
      </c>
      <c r="B96" s="10"/>
    </row>
    <row r="97" spans="1:2" ht="45" customHeight="1" x14ac:dyDescent="0.25">
      <c r="A97" s="19">
        <f>'County Summary'!B101</f>
        <v>0</v>
      </c>
      <c r="B97" s="10"/>
    </row>
    <row r="98" spans="1:2" ht="45" customHeight="1" x14ac:dyDescent="0.25">
      <c r="A98" s="19">
        <f>'County Summary'!B102</f>
        <v>0</v>
      </c>
      <c r="B98" s="10"/>
    </row>
    <row r="99" spans="1:2" ht="45" customHeight="1" x14ac:dyDescent="0.25">
      <c r="A99" s="19">
        <f>'County Summary'!B103</f>
        <v>0</v>
      </c>
      <c r="B99" s="10"/>
    </row>
    <row r="100" spans="1:2" ht="45" customHeight="1" x14ac:dyDescent="0.25">
      <c r="A100" s="19">
        <f>'County Summary'!B104</f>
        <v>0</v>
      </c>
      <c r="B100" s="10"/>
    </row>
  </sheetData>
  <sheetProtection algorithmName="SHA-512" hashValue="1GCFeYvwiG48pyt+R+cjCXVyeA4j9Ue6794oLrQr1yqfHNtoDnjyzUR+IMwtF1wRKdf3ivkpovZDRPjE2NsXiw==" saltValue="g5Mrq6qrENXWaI/y8mVXOQ==" spinCount="100000"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F4" sqref="F4"/>
    </sheetView>
  </sheetViews>
  <sheetFormatPr defaultRowHeight="13.2" x14ac:dyDescent="0.25"/>
  <cols>
    <col min="1" max="1" width="28.88671875" customWidth="1"/>
  </cols>
  <sheetData>
    <row r="1" spans="1:1" x14ac:dyDescent="0.25">
      <c r="A1" t="s">
        <v>17</v>
      </c>
    </row>
    <row r="2" spans="1:1" x14ac:dyDescent="0.25">
      <c r="A2" s="20" t="s">
        <v>18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I95"/>
  <sheetViews>
    <sheetView workbookViewId="0">
      <selection activeCell="C19" sqref="C19"/>
    </sheetView>
  </sheetViews>
  <sheetFormatPr defaultRowHeight="13.2" x14ac:dyDescent="0.25"/>
  <cols>
    <col min="1" max="1" width="42.44140625" customWidth="1"/>
    <col min="3" max="3" width="27" customWidth="1"/>
    <col min="4" max="4" width="8.88671875" customWidth="1"/>
    <col min="5" max="6" width="19.44140625" style="23" customWidth="1"/>
    <col min="7" max="7" width="8.88671875" customWidth="1"/>
    <col min="8" max="8" width="14.109375" customWidth="1"/>
    <col min="9" max="9" width="12.6640625" customWidth="1"/>
  </cols>
  <sheetData>
    <row r="1" spans="1:9" x14ac:dyDescent="0.25">
      <c r="A1" s="8" t="s">
        <v>204</v>
      </c>
    </row>
    <row r="2" spans="1:9" ht="15" customHeight="1" thickBot="1" x14ac:dyDescent="0.3">
      <c r="A2" s="14"/>
    </row>
    <row r="3" spans="1:9" ht="13.8" thickBot="1" x14ac:dyDescent="0.3">
      <c r="A3" s="7" t="s">
        <v>15</v>
      </c>
      <c r="C3" s="15" t="s">
        <v>16</v>
      </c>
    </row>
    <row r="4" spans="1:9" ht="14.4" x14ac:dyDescent="0.3">
      <c r="A4" s="3" t="str">
        <f t="shared" ref="A4:A35" si="0">E4 &amp; " (" &amp; G4 &amp; ")" &amp; " - " &amp; I4</f>
        <v>Adams County (35,809) - $174,031.74</v>
      </c>
      <c r="C4" t="s">
        <v>205</v>
      </c>
      <c r="E4" s="24" t="s">
        <v>111</v>
      </c>
      <c r="F4" s="24">
        <v>35809</v>
      </c>
      <c r="G4" s="22" t="s">
        <v>19</v>
      </c>
      <c r="H4" s="22">
        <f>G4*4.86</f>
        <v>174031.74000000002</v>
      </c>
      <c r="I4" s="21" t="str">
        <f>TEXT(H4,"$#,##0.00")</f>
        <v>$174,031.74</v>
      </c>
    </row>
    <row r="5" spans="1:9" ht="14.4" x14ac:dyDescent="0.3">
      <c r="A5" s="3" t="str">
        <f t="shared" si="0"/>
        <v>Allen County (385,410) - $1,873,092.60</v>
      </c>
      <c r="C5" t="s">
        <v>206</v>
      </c>
      <c r="E5" s="24" t="s">
        <v>112</v>
      </c>
      <c r="F5" s="24">
        <v>385410</v>
      </c>
      <c r="G5" s="22" t="s">
        <v>56</v>
      </c>
      <c r="H5" s="22">
        <f t="shared" ref="H5:H68" si="1">G5*4.86</f>
        <v>1873092.6</v>
      </c>
      <c r="I5" s="21" t="str">
        <f t="shared" ref="I5:I68" si="2">TEXT(H5,"$#,##0.00")</f>
        <v>$1,873,092.60</v>
      </c>
    </row>
    <row r="6" spans="1:9" ht="14.4" x14ac:dyDescent="0.3">
      <c r="A6" s="3" t="str">
        <f t="shared" si="0"/>
        <v>Bartholomew County (82,208) - $399,530.88</v>
      </c>
      <c r="C6" t="s">
        <v>207</v>
      </c>
      <c r="E6" s="24" t="s">
        <v>113</v>
      </c>
      <c r="F6" s="24">
        <v>82208</v>
      </c>
      <c r="G6" s="22" t="s">
        <v>20</v>
      </c>
      <c r="H6" s="22">
        <f t="shared" si="1"/>
        <v>399530.88</v>
      </c>
      <c r="I6" s="21" t="str">
        <f t="shared" si="2"/>
        <v>$399,530.88</v>
      </c>
    </row>
    <row r="7" spans="1:9" ht="14.4" x14ac:dyDescent="0.3">
      <c r="A7" s="3" t="str">
        <f t="shared" si="0"/>
        <v>Benton County (8,719) - $42,374.34</v>
      </c>
      <c r="C7" s="16" t="s">
        <v>208</v>
      </c>
      <c r="E7" s="24" t="s">
        <v>114</v>
      </c>
      <c r="F7" s="24">
        <v>8719</v>
      </c>
      <c r="G7" s="22" t="s">
        <v>21</v>
      </c>
      <c r="H7" s="22">
        <f t="shared" si="1"/>
        <v>42374.340000000004</v>
      </c>
      <c r="I7" s="21" t="str">
        <f t="shared" si="2"/>
        <v>$42,374.34</v>
      </c>
    </row>
    <row r="8" spans="1:9" ht="14.4" x14ac:dyDescent="0.3">
      <c r="A8" s="3" t="str">
        <f t="shared" si="0"/>
        <v>Blackford County (12,112) - $58,864.32</v>
      </c>
      <c r="C8" t="s">
        <v>209</v>
      </c>
      <c r="E8" s="24" t="s">
        <v>115</v>
      </c>
      <c r="F8" s="24">
        <v>12112</v>
      </c>
      <c r="G8" s="22" t="s">
        <v>22</v>
      </c>
      <c r="H8" s="22">
        <f t="shared" si="1"/>
        <v>58864.320000000007</v>
      </c>
      <c r="I8" s="21" t="str">
        <f t="shared" si="2"/>
        <v>$58,864.32</v>
      </c>
    </row>
    <row r="9" spans="1:9" ht="14.4" x14ac:dyDescent="0.3">
      <c r="A9" s="3" t="str">
        <f t="shared" si="0"/>
        <v>Boone County (70,812) - $344,146.32</v>
      </c>
      <c r="C9" t="s">
        <v>210</v>
      </c>
      <c r="E9" s="24" t="s">
        <v>116</v>
      </c>
      <c r="F9" s="24">
        <v>70812</v>
      </c>
      <c r="G9" s="22" t="s">
        <v>23</v>
      </c>
      <c r="H9" s="22">
        <f t="shared" si="1"/>
        <v>344146.32</v>
      </c>
      <c r="I9" s="21" t="str">
        <f t="shared" si="2"/>
        <v>$344,146.32</v>
      </c>
    </row>
    <row r="10" spans="1:9" ht="14.4" x14ac:dyDescent="0.3">
      <c r="A10" s="3" t="str">
        <f t="shared" si="0"/>
        <v>Brown County (15,475) - $75,208.50</v>
      </c>
      <c r="C10" t="s">
        <v>211</v>
      </c>
      <c r="E10" s="24" t="s">
        <v>117</v>
      </c>
      <c r="F10" s="24">
        <v>15475</v>
      </c>
      <c r="G10" s="22" t="s">
        <v>24</v>
      </c>
      <c r="H10" s="22">
        <f t="shared" si="1"/>
        <v>75208.5</v>
      </c>
      <c r="I10" s="21" t="str">
        <f t="shared" si="2"/>
        <v>$75,208.50</v>
      </c>
    </row>
    <row r="11" spans="1:9" ht="14.4" x14ac:dyDescent="0.3">
      <c r="A11" s="3" t="str">
        <f t="shared" si="0"/>
        <v>Carroll County (20,306) - $98,687.16</v>
      </c>
      <c r="C11" t="s">
        <v>212</v>
      </c>
      <c r="E11" s="24" t="s">
        <v>118</v>
      </c>
      <c r="F11" s="24">
        <v>20306</v>
      </c>
      <c r="G11" s="22" t="s">
        <v>25</v>
      </c>
      <c r="H11" s="22">
        <f t="shared" si="1"/>
        <v>98687.16</v>
      </c>
      <c r="I11" s="21" t="str">
        <f t="shared" si="2"/>
        <v>$98,687.16</v>
      </c>
    </row>
    <row r="12" spans="1:9" ht="14.4" x14ac:dyDescent="0.3">
      <c r="A12" s="3" t="str">
        <f t="shared" si="0"/>
        <v>Cass County (37,870) - $184,048.20</v>
      </c>
      <c r="E12" s="24" t="s">
        <v>119</v>
      </c>
      <c r="F12" s="24">
        <v>37870</v>
      </c>
      <c r="G12" s="22" t="s">
        <v>26</v>
      </c>
      <c r="H12" s="22">
        <f t="shared" si="1"/>
        <v>184048.2</v>
      </c>
      <c r="I12" s="21" t="str">
        <f t="shared" si="2"/>
        <v>$184,048.20</v>
      </c>
    </row>
    <row r="13" spans="1:9" ht="14.4" x14ac:dyDescent="0.3">
      <c r="A13" s="3" t="str">
        <f t="shared" si="0"/>
        <v>Clark County (121,093) - $588,511.98</v>
      </c>
      <c r="E13" s="24" t="s">
        <v>120</v>
      </c>
      <c r="F13" s="24">
        <v>121093</v>
      </c>
      <c r="G13" s="22" t="s">
        <v>27</v>
      </c>
      <c r="H13" s="22">
        <f t="shared" si="1"/>
        <v>588511.98</v>
      </c>
      <c r="I13" s="21" t="str">
        <f t="shared" si="2"/>
        <v>$588,511.98</v>
      </c>
    </row>
    <row r="14" spans="1:9" ht="14.4" x14ac:dyDescent="0.3">
      <c r="A14" s="3" t="str">
        <f t="shared" si="0"/>
        <v>Clay County (26,466) - $128,624.76</v>
      </c>
      <c r="E14" s="24" t="s">
        <v>121</v>
      </c>
      <c r="F14" s="24">
        <v>26466</v>
      </c>
      <c r="G14" s="22" t="s">
        <v>28</v>
      </c>
      <c r="H14" s="22">
        <f t="shared" si="1"/>
        <v>128624.76000000001</v>
      </c>
      <c r="I14" s="21" t="str">
        <f t="shared" si="2"/>
        <v>$128,624.76</v>
      </c>
    </row>
    <row r="15" spans="1:9" ht="14.4" x14ac:dyDescent="0.3">
      <c r="A15" s="3" t="str">
        <f t="shared" si="0"/>
        <v>Clinton County (33,190) - $161,303.40</v>
      </c>
      <c r="E15" s="24" t="s">
        <v>122</v>
      </c>
      <c r="F15" s="24">
        <v>33190</v>
      </c>
      <c r="G15" s="22" t="s">
        <v>29</v>
      </c>
      <c r="H15" s="22">
        <f t="shared" si="1"/>
        <v>161303.40000000002</v>
      </c>
      <c r="I15" s="21" t="str">
        <f t="shared" si="2"/>
        <v>$161,303.40</v>
      </c>
    </row>
    <row r="16" spans="1:9" ht="14.4" x14ac:dyDescent="0.3">
      <c r="A16" s="3" t="str">
        <f t="shared" si="0"/>
        <v>Crawford County (10,526) - $51,156.36</v>
      </c>
      <c r="E16" s="24" t="s">
        <v>123</v>
      </c>
      <c r="F16" s="24">
        <v>10526</v>
      </c>
      <c r="G16" s="22" t="s">
        <v>30</v>
      </c>
      <c r="H16" s="22">
        <f t="shared" si="1"/>
        <v>51156.36</v>
      </c>
      <c r="I16" s="21" t="str">
        <f t="shared" si="2"/>
        <v>$51,156.36</v>
      </c>
    </row>
    <row r="17" spans="1:9" ht="14.4" x14ac:dyDescent="0.3">
      <c r="A17" s="3" t="str">
        <f t="shared" si="0"/>
        <v>Daviess County (33,381) - $162,231.66</v>
      </c>
      <c r="E17" s="24" t="s">
        <v>124</v>
      </c>
      <c r="F17" s="24">
        <v>33381</v>
      </c>
      <c r="G17" s="22" t="s">
        <v>31</v>
      </c>
      <c r="H17" s="22">
        <f t="shared" si="1"/>
        <v>162231.66</v>
      </c>
      <c r="I17" s="21" t="str">
        <f t="shared" si="2"/>
        <v>$162,231.66</v>
      </c>
    </row>
    <row r="18" spans="1:9" ht="14.4" x14ac:dyDescent="0.3">
      <c r="A18" s="3" t="str">
        <f t="shared" si="0"/>
        <v>Dearborn County (50,679) - $246,299.94</v>
      </c>
      <c r="E18" s="24" t="s">
        <v>125</v>
      </c>
      <c r="F18" s="24">
        <v>50679</v>
      </c>
      <c r="G18" s="22" t="s">
        <v>32</v>
      </c>
      <c r="H18" s="22">
        <f t="shared" si="1"/>
        <v>246299.94</v>
      </c>
      <c r="I18" s="21" t="str">
        <f t="shared" si="2"/>
        <v>$246,299.94</v>
      </c>
    </row>
    <row r="19" spans="1:9" ht="14.4" x14ac:dyDescent="0.3">
      <c r="A19" s="3" t="str">
        <f t="shared" si="0"/>
        <v>Decatur County (26,472) - $128,653.92</v>
      </c>
      <c r="E19" s="24" t="s">
        <v>126</v>
      </c>
      <c r="F19" s="24">
        <v>26472</v>
      </c>
      <c r="G19" s="22" t="s">
        <v>33</v>
      </c>
      <c r="H19" s="22">
        <f t="shared" si="1"/>
        <v>128653.92000000001</v>
      </c>
      <c r="I19" s="21" t="str">
        <f t="shared" si="2"/>
        <v>$128,653.92</v>
      </c>
    </row>
    <row r="20" spans="1:9" ht="14.4" x14ac:dyDescent="0.3">
      <c r="A20" s="3" t="str">
        <f t="shared" si="0"/>
        <v>DeKalb County (43,265) - $210,267.90</v>
      </c>
      <c r="E20" s="24" t="s">
        <v>127</v>
      </c>
      <c r="F20" s="24">
        <v>43265</v>
      </c>
      <c r="G20" s="22" t="s">
        <v>34</v>
      </c>
      <c r="H20" s="22">
        <f t="shared" si="1"/>
        <v>210267.90000000002</v>
      </c>
      <c r="I20" s="21" t="str">
        <f t="shared" si="2"/>
        <v>$210,267.90</v>
      </c>
    </row>
    <row r="21" spans="1:9" ht="14.4" x14ac:dyDescent="0.3">
      <c r="A21" s="3" t="str">
        <f t="shared" si="0"/>
        <v>Delaware County (111,903) - $543,848.58</v>
      </c>
      <c r="C21" s="2"/>
      <c r="E21" s="24" t="s">
        <v>128</v>
      </c>
      <c r="F21" s="24">
        <v>111903</v>
      </c>
      <c r="G21" s="22" t="s">
        <v>35</v>
      </c>
      <c r="H21" s="22">
        <f t="shared" si="1"/>
        <v>543848.58000000007</v>
      </c>
      <c r="I21" s="21" t="str">
        <f t="shared" si="2"/>
        <v>$543,848.58</v>
      </c>
    </row>
    <row r="22" spans="1:9" ht="14.4" x14ac:dyDescent="0.3">
      <c r="A22" s="3" t="str">
        <f t="shared" si="0"/>
        <v>Dubois County (43,637) - $212,075.82</v>
      </c>
      <c r="C22" s="16"/>
      <c r="E22" s="24" t="s">
        <v>129</v>
      </c>
      <c r="F22" s="24">
        <v>43637</v>
      </c>
      <c r="G22" s="22" t="s">
        <v>36</v>
      </c>
      <c r="H22" s="22">
        <f t="shared" si="1"/>
        <v>212075.82</v>
      </c>
      <c r="I22" s="21" t="str">
        <f t="shared" si="2"/>
        <v>$212,075.82</v>
      </c>
    </row>
    <row r="23" spans="1:9" ht="14.4" x14ac:dyDescent="0.3">
      <c r="A23" s="3" t="str">
        <f t="shared" si="0"/>
        <v>Elkhart County (207,047) - $1,006,248.42</v>
      </c>
      <c r="E23" s="24" t="s">
        <v>130</v>
      </c>
      <c r="F23" s="24">
        <v>207047</v>
      </c>
      <c r="G23" s="22" t="s">
        <v>37</v>
      </c>
      <c r="H23" s="22">
        <f t="shared" si="1"/>
        <v>1006248.42</v>
      </c>
      <c r="I23" s="21" t="str">
        <f t="shared" si="2"/>
        <v>$1,006,248.42</v>
      </c>
    </row>
    <row r="24" spans="1:9" ht="14.4" x14ac:dyDescent="0.3">
      <c r="A24" s="3" t="str">
        <f t="shared" si="0"/>
        <v>Fayette County (23,398) - $113,714.28</v>
      </c>
      <c r="E24" s="24" t="s">
        <v>131</v>
      </c>
      <c r="F24" s="24">
        <v>23398</v>
      </c>
      <c r="G24" s="22" t="s">
        <v>38</v>
      </c>
      <c r="H24" s="22">
        <f t="shared" si="1"/>
        <v>113714.28000000001</v>
      </c>
      <c r="I24" s="21" t="str">
        <f t="shared" si="2"/>
        <v>$113,714.28</v>
      </c>
    </row>
    <row r="25" spans="1:9" ht="14.4" x14ac:dyDescent="0.3">
      <c r="A25" s="3" t="str">
        <f t="shared" si="0"/>
        <v>Floyd County (80,484) - $391,152.24</v>
      </c>
      <c r="E25" s="24" t="s">
        <v>132</v>
      </c>
      <c r="F25" s="24">
        <v>80484</v>
      </c>
      <c r="G25" s="22" t="s">
        <v>39</v>
      </c>
      <c r="H25" s="22">
        <f t="shared" si="1"/>
        <v>391152.24000000005</v>
      </c>
      <c r="I25" s="21" t="str">
        <f t="shared" si="2"/>
        <v>$391,152.24</v>
      </c>
    </row>
    <row r="26" spans="1:9" ht="14.4" x14ac:dyDescent="0.3">
      <c r="A26" s="3" t="str">
        <f t="shared" si="0"/>
        <v>Fountain County (16,479) - $80,087.94</v>
      </c>
      <c r="E26" s="24" t="s">
        <v>133</v>
      </c>
      <c r="F26" s="24">
        <v>16479</v>
      </c>
      <c r="G26" s="22" t="s">
        <v>40</v>
      </c>
      <c r="H26" s="22">
        <f t="shared" si="1"/>
        <v>80087.94</v>
      </c>
      <c r="I26" s="21" t="str">
        <f t="shared" si="2"/>
        <v>$80,087.94</v>
      </c>
    </row>
    <row r="27" spans="1:9" ht="14.4" x14ac:dyDescent="0.3">
      <c r="A27" s="3" t="str">
        <f t="shared" si="0"/>
        <v>Franklin County (22,785) - $110,735.10</v>
      </c>
      <c r="E27" s="24" t="s">
        <v>134</v>
      </c>
      <c r="F27" s="24">
        <v>22785</v>
      </c>
      <c r="G27" s="22" t="s">
        <v>41</v>
      </c>
      <c r="H27" s="22">
        <f t="shared" si="1"/>
        <v>110735.1</v>
      </c>
      <c r="I27" s="21" t="str">
        <f t="shared" si="2"/>
        <v>$110,735.10</v>
      </c>
    </row>
    <row r="28" spans="1:9" ht="14.4" x14ac:dyDescent="0.3">
      <c r="A28" s="3" t="str">
        <f t="shared" si="0"/>
        <v>Fulton County (20,480) - $99,532.80</v>
      </c>
      <c r="E28" s="24" t="s">
        <v>135</v>
      </c>
      <c r="F28" s="24">
        <v>20480</v>
      </c>
      <c r="G28" s="22" t="s">
        <v>42</v>
      </c>
      <c r="H28" s="22">
        <f t="shared" si="1"/>
        <v>99532.800000000003</v>
      </c>
      <c r="I28" s="21" t="str">
        <f t="shared" si="2"/>
        <v>$99,532.80</v>
      </c>
    </row>
    <row r="29" spans="1:9" ht="14.4" x14ac:dyDescent="0.3">
      <c r="A29" s="3" t="str">
        <f t="shared" si="0"/>
        <v>Gibson County (33,011) - $160,433.46</v>
      </c>
      <c r="E29" s="24" t="s">
        <v>136</v>
      </c>
      <c r="F29" s="24">
        <v>33011</v>
      </c>
      <c r="G29" s="22" t="s">
        <v>43</v>
      </c>
      <c r="H29" s="22">
        <f t="shared" si="1"/>
        <v>160433.46000000002</v>
      </c>
      <c r="I29" s="21" t="str">
        <f t="shared" si="2"/>
        <v>$160,433.46</v>
      </c>
    </row>
    <row r="30" spans="1:9" ht="14.4" x14ac:dyDescent="0.3">
      <c r="A30" s="3" t="str">
        <f t="shared" si="0"/>
        <v>Grant County (66,674) - $324,035.64</v>
      </c>
      <c r="E30" s="24" t="s">
        <v>137</v>
      </c>
      <c r="F30" s="24">
        <v>66674</v>
      </c>
      <c r="G30" s="22" t="s">
        <v>44</v>
      </c>
      <c r="H30" s="22">
        <f t="shared" si="1"/>
        <v>324035.64</v>
      </c>
      <c r="I30" s="21" t="str">
        <f t="shared" si="2"/>
        <v>$324,035.64</v>
      </c>
    </row>
    <row r="31" spans="1:9" ht="14.4" x14ac:dyDescent="0.3">
      <c r="A31" s="3" t="str">
        <f t="shared" si="0"/>
        <v>Greene County (30,803) - $149,702.58</v>
      </c>
      <c r="E31" s="24" t="s">
        <v>138</v>
      </c>
      <c r="F31" s="24">
        <v>30803</v>
      </c>
      <c r="G31" s="22" t="s">
        <v>45</v>
      </c>
      <c r="H31" s="22">
        <f t="shared" si="1"/>
        <v>149702.58000000002</v>
      </c>
      <c r="I31" s="21" t="str">
        <f t="shared" si="2"/>
        <v>$149,702.58</v>
      </c>
    </row>
    <row r="32" spans="1:9" ht="14.4" x14ac:dyDescent="0.3">
      <c r="A32" s="3" t="str">
        <f t="shared" si="0"/>
        <v>Hamilton County (347,467) - $1,688,689.62</v>
      </c>
      <c r="E32" s="24" t="s">
        <v>139</v>
      </c>
      <c r="F32" s="24">
        <v>347467</v>
      </c>
      <c r="G32" s="22" t="s">
        <v>46</v>
      </c>
      <c r="H32" s="22">
        <f t="shared" si="1"/>
        <v>1688689.62</v>
      </c>
      <c r="I32" s="21" t="str">
        <f t="shared" si="2"/>
        <v>$1,688,689.62</v>
      </c>
    </row>
    <row r="33" spans="1:9" ht="14.4" x14ac:dyDescent="0.3">
      <c r="A33" s="3" t="str">
        <f t="shared" si="0"/>
        <v>Hancock County (79,840) - $388,022.40</v>
      </c>
      <c r="E33" s="24" t="s">
        <v>140</v>
      </c>
      <c r="F33" s="24">
        <v>79840</v>
      </c>
      <c r="G33" s="22" t="s">
        <v>47</v>
      </c>
      <c r="H33" s="22">
        <f t="shared" si="1"/>
        <v>388022.4</v>
      </c>
      <c r="I33" s="21" t="str">
        <f t="shared" si="2"/>
        <v>$388,022.40</v>
      </c>
    </row>
    <row r="34" spans="1:9" ht="14.4" x14ac:dyDescent="0.3">
      <c r="A34" s="3" t="str">
        <f t="shared" si="0"/>
        <v>Harrison County (39,654) - $192,718.44</v>
      </c>
      <c r="E34" s="24" t="s">
        <v>141</v>
      </c>
      <c r="F34" s="24">
        <v>39654</v>
      </c>
      <c r="G34" s="22" t="s">
        <v>48</v>
      </c>
      <c r="H34" s="22">
        <f t="shared" si="1"/>
        <v>192718.44</v>
      </c>
      <c r="I34" s="21" t="str">
        <f t="shared" si="2"/>
        <v>$192,718.44</v>
      </c>
    </row>
    <row r="35" spans="1:9" ht="14.4" x14ac:dyDescent="0.3">
      <c r="A35" s="3" t="str">
        <f t="shared" si="0"/>
        <v>Hendricks County (174,788) - $849,469.68</v>
      </c>
      <c r="E35" s="24" t="s">
        <v>142</v>
      </c>
      <c r="F35" s="24">
        <v>174788</v>
      </c>
      <c r="G35" s="22" t="s">
        <v>49</v>
      </c>
      <c r="H35" s="22">
        <f t="shared" si="1"/>
        <v>849469.68</v>
      </c>
      <c r="I35" s="21" t="str">
        <f t="shared" si="2"/>
        <v>$849,469.68</v>
      </c>
    </row>
    <row r="36" spans="1:9" ht="14.4" x14ac:dyDescent="0.3">
      <c r="A36" s="3" t="str">
        <f t="shared" ref="A36:A67" si="3">E36 &amp; " (" &amp; G36 &amp; ")" &amp; " - " &amp; I36</f>
        <v>Henry County (48,914) - $237,722.04</v>
      </c>
      <c r="E36" s="24" t="s">
        <v>143</v>
      </c>
      <c r="F36" s="24">
        <v>48914</v>
      </c>
      <c r="G36" s="22" t="s">
        <v>50</v>
      </c>
      <c r="H36" s="22">
        <f t="shared" si="1"/>
        <v>237722.04</v>
      </c>
      <c r="I36" s="21" t="str">
        <f t="shared" si="2"/>
        <v>$237,722.04</v>
      </c>
    </row>
    <row r="37" spans="1:9" ht="14.4" x14ac:dyDescent="0.3">
      <c r="A37" s="3" t="str">
        <f t="shared" si="3"/>
        <v>Howard County (83,658) - $406,577.88</v>
      </c>
      <c r="E37" s="24" t="s">
        <v>144</v>
      </c>
      <c r="F37" s="24">
        <v>83658</v>
      </c>
      <c r="G37" s="22" t="s">
        <v>51</v>
      </c>
      <c r="H37" s="22">
        <f t="shared" si="1"/>
        <v>406577.88</v>
      </c>
      <c r="I37" s="21" t="str">
        <f t="shared" si="2"/>
        <v>$406,577.88</v>
      </c>
    </row>
    <row r="38" spans="1:9" ht="14.4" x14ac:dyDescent="0.3">
      <c r="A38" s="3" t="str">
        <f t="shared" si="3"/>
        <v>Huntington County (36,662) - $178,177.32</v>
      </c>
      <c r="E38" s="24" t="s">
        <v>145</v>
      </c>
      <c r="F38" s="24">
        <v>36662</v>
      </c>
      <c r="G38" s="22" t="s">
        <v>52</v>
      </c>
      <c r="H38" s="22">
        <f t="shared" si="1"/>
        <v>178177.32</v>
      </c>
      <c r="I38" s="21" t="str">
        <f t="shared" si="2"/>
        <v>$178,177.32</v>
      </c>
    </row>
    <row r="39" spans="1:9" ht="14.4" x14ac:dyDescent="0.3">
      <c r="A39" s="3" t="str">
        <f t="shared" si="3"/>
        <v>Jackson County (46,428) - $225,640.08</v>
      </c>
      <c r="E39" s="24" t="s">
        <v>146</v>
      </c>
      <c r="F39" s="24">
        <v>46428</v>
      </c>
      <c r="G39" s="22" t="s">
        <v>53</v>
      </c>
      <c r="H39" s="22">
        <f t="shared" si="1"/>
        <v>225640.08000000002</v>
      </c>
      <c r="I39" s="21" t="str">
        <f t="shared" si="2"/>
        <v>$225,640.08</v>
      </c>
    </row>
    <row r="40" spans="1:9" ht="14.4" x14ac:dyDescent="0.3">
      <c r="A40" s="3" t="str">
        <f t="shared" si="3"/>
        <v>Jasper County (32,918) - $159,981.48</v>
      </c>
      <c r="E40" s="24" t="s">
        <v>147</v>
      </c>
      <c r="F40" s="24">
        <v>32918</v>
      </c>
      <c r="G40" s="22" t="s">
        <v>54</v>
      </c>
      <c r="H40" s="22">
        <f t="shared" si="1"/>
        <v>159981.48000000001</v>
      </c>
      <c r="I40" s="21" t="str">
        <f t="shared" si="2"/>
        <v>$159,981.48</v>
      </c>
    </row>
    <row r="41" spans="1:9" ht="14.4" x14ac:dyDescent="0.3">
      <c r="A41" s="3" t="str">
        <f t="shared" si="3"/>
        <v>Jay County (20,478) - $99,523.08</v>
      </c>
      <c r="E41" s="24" t="s">
        <v>148</v>
      </c>
      <c r="F41" s="24">
        <v>20478</v>
      </c>
      <c r="G41" s="22" t="s">
        <v>55</v>
      </c>
      <c r="H41" s="22">
        <f t="shared" si="1"/>
        <v>99523.08</v>
      </c>
      <c r="I41" s="21" t="str">
        <f t="shared" si="2"/>
        <v>$99,523.08</v>
      </c>
    </row>
    <row r="42" spans="1:9" ht="14.4" x14ac:dyDescent="0.3">
      <c r="A42" s="3" t="str">
        <f t="shared" si="3"/>
        <v>Jefferson County (33,147) - $161,094.42</v>
      </c>
      <c r="E42" s="24" t="s">
        <v>149</v>
      </c>
      <c r="F42" s="24">
        <v>33147</v>
      </c>
      <c r="G42" s="22" t="s">
        <v>57</v>
      </c>
      <c r="H42" s="22">
        <f t="shared" si="1"/>
        <v>161094.42000000001</v>
      </c>
      <c r="I42" s="21" t="str">
        <f t="shared" si="2"/>
        <v>$161,094.42</v>
      </c>
    </row>
    <row r="43" spans="1:9" ht="14.4" x14ac:dyDescent="0.3">
      <c r="A43" s="3" t="str">
        <f t="shared" si="3"/>
        <v>Jennings County (27,613) - $134,199.18</v>
      </c>
      <c r="E43" s="24" t="s">
        <v>150</v>
      </c>
      <c r="F43" s="24">
        <v>27613</v>
      </c>
      <c r="G43" s="22" t="s">
        <v>58</v>
      </c>
      <c r="H43" s="22">
        <f t="shared" si="1"/>
        <v>134199.18000000002</v>
      </c>
      <c r="I43" s="21" t="str">
        <f t="shared" si="2"/>
        <v>$134,199.18</v>
      </c>
    </row>
    <row r="44" spans="1:9" ht="14.4" x14ac:dyDescent="0.3">
      <c r="A44" s="3" t="str">
        <f t="shared" si="3"/>
        <v>Johnson County (161,765) - $786,177.90</v>
      </c>
      <c r="E44" s="24" t="s">
        <v>151</v>
      </c>
      <c r="F44" s="24">
        <v>161765</v>
      </c>
      <c r="G44" s="22" t="s">
        <v>59</v>
      </c>
      <c r="H44" s="22">
        <f t="shared" si="1"/>
        <v>786177.9</v>
      </c>
      <c r="I44" s="21" t="str">
        <f t="shared" si="2"/>
        <v>$786,177.90</v>
      </c>
    </row>
    <row r="45" spans="1:9" ht="14.4" x14ac:dyDescent="0.3">
      <c r="A45" s="3" t="str">
        <f t="shared" si="3"/>
        <v>Knox County (36,282) - $176,330.52</v>
      </c>
      <c r="E45" s="24" t="s">
        <v>152</v>
      </c>
      <c r="F45" s="24">
        <v>36282</v>
      </c>
      <c r="G45" s="22" t="s">
        <v>60</v>
      </c>
      <c r="H45" s="22">
        <f t="shared" si="1"/>
        <v>176330.52000000002</v>
      </c>
      <c r="I45" s="21" t="str">
        <f t="shared" si="2"/>
        <v>$176,330.52</v>
      </c>
    </row>
    <row r="46" spans="1:9" ht="14.4" x14ac:dyDescent="0.3">
      <c r="A46" s="3" t="str">
        <f t="shared" si="3"/>
        <v>Kosciusko County (80,240) - $389,966.40</v>
      </c>
      <c r="E46" s="24" t="s">
        <v>153</v>
      </c>
      <c r="F46" s="24">
        <v>80240</v>
      </c>
      <c r="G46" s="22" t="s">
        <v>61</v>
      </c>
      <c r="H46" s="22">
        <f t="shared" si="1"/>
        <v>389966.4</v>
      </c>
      <c r="I46" s="21" t="str">
        <f t="shared" si="2"/>
        <v>$389,966.40</v>
      </c>
    </row>
    <row r="47" spans="1:9" ht="14.4" x14ac:dyDescent="0.3">
      <c r="A47" s="3" t="str">
        <f t="shared" si="3"/>
        <v>LaGrange County (40,446) - $196,567.56</v>
      </c>
      <c r="E47" s="24" t="s">
        <v>154</v>
      </c>
      <c r="F47" s="24">
        <v>40446</v>
      </c>
      <c r="G47" s="22" t="s">
        <v>62</v>
      </c>
      <c r="H47" s="22">
        <f t="shared" si="1"/>
        <v>196567.56000000003</v>
      </c>
      <c r="I47" s="21" t="str">
        <f t="shared" si="2"/>
        <v>$196,567.56</v>
      </c>
    </row>
    <row r="48" spans="1:9" ht="14.4" x14ac:dyDescent="0.3">
      <c r="A48" s="3" t="str">
        <f t="shared" si="3"/>
        <v>Lake County (498,700) - $2,423,682.00</v>
      </c>
      <c r="E48" s="24" t="s">
        <v>155</v>
      </c>
      <c r="F48" s="24">
        <v>498700</v>
      </c>
      <c r="G48" s="22" t="s">
        <v>63</v>
      </c>
      <c r="H48" s="22">
        <f t="shared" si="1"/>
        <v>2423682</v>
      </c>
      <c r="I48" s="21" t="str">
        <f t="shared" si="2"/>
        <v>$2,423,682.00</v>
      </c>
    </row>
    <row r="49" spans="1:9" ht="14.4" x14ac:dyDescent="0.3">
      <c r="A49" s="3" t="str">
        <f t="shared" si="3"/>
        <v>LaPorte County (112,417) - $546,346.62</v>
      </c>
      <c r="E49" s="24" t="s">
        <v>156</v>
      </c>
      <c r="F49" s="24">
        <v>112417</v>
      </c>
      <c r="G49" s="22" t="s">
        <v>64</v>
      </c>
      <c r="H49" s="22">
        <f t="shared" si="1"/>
        <v>546346.62</v>
      </c>
      <c r="I49" s="21" t="str">
        <f t="shared" si="2"/>
        <v>$546,346.62</v>
      </c>
    </row>
    <row r="50" spans="1:9" ht="14.4" x14ac:dyDescent="0.3">
      <c r="A50" s="3" t="str">
        <f t="shared" si="3"/>
        <v>Lawrence County (45,011) - $218,753.46</v>
      </c>
      <c r="E50" s="24" t="s">
        <v>157</v>
      </c>
      <c r="F50" s="24">
        <v>45011</v>
      </c>
      <c r="G50" s="22" t="s">
        <v>65</v>
      </c>
      <c r="H50" s="22">
        <f t="shared" si="1"/>
        <v>218753.46000000002</v>
      </c>
      <c r="I50" s="21" t="str">
        <f t="shared" si="2"/>
        <v>$218,753.46</v>
      </c>
    </row>
    <row r="51" spans="1:9" ht="14.4" x14ac:dyDescent="0.3">
      <c r="A51" s="3" t="str">
        <f t="shared" si="3"/>
        <v>Madison County (130,129) - $632,426.94</v>
      </c>
      <c r="E51" s="24" t="s">
        <v>158</v>
      </c>
      <c r="F51" s="24">
        <v>130129</v>
      </c>
      <c r="G51" s="22" t="s">
        <v>66</v>
      </c>
      <c r="H51" s="22">
        <f t="shared" si="1"/>
        <v>632426.94000000006</v>
      </c>
      <c r="I51" s="21" t="str">
        <f t="shared" si="2"/>
        <v>$632,426.94</v>
      </c>
    </row>
    <row r="52" spans="1:9" ht="14.4" x14ac:dyDescent="0.3">
      <c r="A52" s="3" t="str">
        <f t="shared" si="3"/>
        <v>Marion County (977,203) - $4,749,206.58</v>
      </c>
      <c r="E52" s="24" t="s">
        <v>159</v>
      </c>
      <c r="F52" s="24">
        <v>977203</v>
      </c>
      <c r="G52" s="22" t="s">
        <v>67</v>
      </c>
      <c r="H52" s="22">
        <f t="shared" si="1"/>
        <v>4749206.58</v>
      </c>
      <c r="I52" s="21" t="str">
        <f t="shared" si="2"/>
        <v>$4,749,206.58</v>
      </c>
    </row>
    <row r="53" spans="1:9" ht="14.4" x14ac:dyDescent="0.3">
      <c r="A53" s="3" t="str">
        <f t="shared" si="3"/>
        <v>Marshall County (46,095) - $224,021.70</v>
      </c>
      <c r="E53" s="24" t="s">
        <v>160</v>
      </c>
      <c r="F53" s="24">
        <v>46095</v>
      </c>
      <c r="G53" s="22" t="s">
        <v>68</v>
      </c>
      <c r="H53" s="22">
        <f t="shared" si="1"/>
        <v>224021.7</v>
      </c>
      <c r="I53" s="21" t="str">
        <f t="shared" si="2"/>
        <v>$224,021.70</v>
      </c>
    </row>
    <row r="54" spans="1:9" ht="14.4" x14ac:dyDescent="0.3">
      <c r="A54" s="3" t="str">
        <f t="shared" si="3"/>
        <v>Martin County (9,812) - $47,686.32</v>
      </c>
      <c r="E54" s="24" t="s">
        <v>161</v>
      </c>
      <c r="F54" s="24">
        <v>9812</v>
      </c>
      <c r="G54" s="22" t="s">
        <v>69</v>
      </c>
      <c r="H54" s="22">
        <f t="shared" si="1"/>
        <v>47686.32</v>
      </c>
      <c r="I54" s="21" t="str">
        <f t="shared" si="2"/>
        <v>$47,686.32</v>
      </c>
    </row>
    <row r="55" spans="1:9" ht="14.4" x14ac:dyDescent="0.3">
      <c r="A55" s="3" t="str">
        <f t="shared" si="3"/>
        <v>Miami County (35,962) - $174,775.32</v>
      </c>
      <c r="E55" s="24" t="s">
        <v>162</v>
      </c>
      <c r="F55" s="24">
        <v>35962</v>
      </c>
      <c r="G55" s="22" t="s">
        <v>70</v>
      </c>
      <c r="H55" s="22">
        <f t="shared" si="1"/>
        <v>174775.32</v>
      </c>
      <c r="I55" s="21" t="str">
        <f t="shared" si="2"/>
        <v>$174,775.32</v>
      </c>
    </row>
    <row r="56" spans="1:9" ht="14.4" x14ac:dyDescent="0.3">
      <c r="A56" s="3" t="str">
        <f t="shared" si="3"/>
        <v>Monroe County (139,718) - $679,029.48</v>
      </c>
      <c r="E56" s="24" t="s">
        <v>163</v>
      </c>
      <c r="F56" s="24">
        <v>139718</v>
      </c>
      <c r="G56" s="22" t="s">
        <v>71</v>
      </c>
      <c r="H56" s="22">
        <f t="shared" si="1"/>
        <v>679029.4800000001</v>
      </c>
      <c r="I56" s="21" t="str">
        <f t="shared" si="2"/>
        <v>$679,029.48</v>
      </c>
    </row>
    <row r="57" spans="1:9" ht="14.4" x14ac:dyDescent="0.3">
      <c r="A57" s="3" t="str">
        <f t="shared" si="3"/>
        <v>Montgomery County (37,936) - $184,368.96</v>
      </c>
      <c r="E57" s="24" t="s">
        <v>164</v>
      </c>
      <c r="F57" s="24">
        <v>37936</v>
      </c>
      <c r="G57" s="22" t="s">
        <v>72</v>
      </c>
      <c r="H57" s="22">
        <f t="shared" si="1"/>
        <v>184368.96000000002</v>
      </c>
      <c r="I57" s="21" t="str">
        <f t="shared" si="2"/>
        <v>$184,368.96</v>
      </c>
    </row>
    <row r="58" spans="1:9" ht="14.4" x14ac:dyDescent="0.3">
      <c r="A58" s="3" t="str">
        <f t="shared" si="3"/>
        <v>Morgan County (71,780) - $348,850.80</v>
      </c>
      <c r="E58" s="24" t="s">
        <v>165</v>
      </c>
      <c r="F58" s="24">
        <v>71780</v>
      </c>
      <c r="G58" s="22" t="s">
        <v>73</v>
      </c>
      <c r="H58" s="22">
        <f t="shared" si="1"/>
        <v>348850.80000000005</v>
      </c>
      <c r="I58" s="21" t="str">
        <f t="shared" si="2"/>
        <v>$348,850.80</v>
      </c>
    </row>
    <row r="59" spans="1:9" ht="14.4" x14ac:dyDescent="0.3">
      <c r="A59" s="3" t="str">
        <f t="shared" si="3"/>
        <v>Newton County (13,830) - $67,213.80</v>
      </c>
      <c r="E59" s="24" t="s">
        <v>166</v>
      </c>
      <c r="F59" s="24">
        <v>13830</v>
      </c>
      <c r="G59" s="22" t="s">
        <v>74</v>
      </c>
      <c r="H59" s="22">
        <f t="shared" si="1"/>
        <v>67213.8</v>
      </c>
      <c r="I59" s="21" t="str">
        <f t="shared" si="2"/>
        <v>$67,213.80</v>
      </c>
    </row>
    <row r="60" spans="1:9" ht="14.4" x14ac:dyDescent="0.3">
      <c r="A60" s="3" t="str">
        <f t="shared" si="3"/>
        <v>Noble County (47,457) - $230,641.02</v>
      </c>
      <c r="E60" s="24" t="s">
        <v>167</v>
      </c>
      <c r="F60" s="24">
        <v>47457</v>
      </c>
      <c r="G60" s="22" t="s">
        <v>75</v>
      </c>
      <c r="H60" s="22">
        <f t="shared" si="1"/>
        <v>230641.02000000002</v>
      </c>
      <c r="I60" s="21" t="str">
        <f t="shared" si="2"/>
        <v>$230,641.02</v>
      </c>
    </row>
    <row r="61" spans="1:9" ht="14.4" x14ac:dyDescent="0.3">
      <c r="A61" s="3" t="str">
        <f t="shared" si="3"/>
        <v>Ohio County (5,940) - $28,868.40</v>
      </c>
      <c r="E61" s="24" t="s">
        <v>168</v>
      </c>
      <c r="F61" s="24">
        <v>5940</v>
      </c>
      <c r="G61" s="22" t="s">
        <v>76</v>
      </c>
      <c r="H61" s="22">
        <f t="shared" si="1"/>
        <v>28868.400000000001</v>
      </c>
      <c r="I61" s="21" t="str">
        <f t="shared" si="2"/>
        <v>$28,868.40</v>
      </c>
    </row>
    <row r="62" spans="1:9" ht="14.4" x14ac:dyDescent="0.3">
      <c r="A62" s="3" t="str">
        <f t="shared" si="3"/>
        <v>Orange County (19,867) - $96,553.62</v>
      </c>
      <c r="E62" s="24" t="s">
        <v>169</v>
      </c>
      <c r="F62" s="24">
        <v>19867</v>
      </c>
      <c r="G62" s="22" t="s">
        <v>77</v>
      </c>
      <c r="H62" s="22">
        <f t="shared" si="1"/>
        <v>96553.62000000001</v>
      </c>
      <c r="I62" s="21" t="str">
        <f t="shared" si="2"/>
        <v>$96,553.62</v>
      </c>
    </row>
    <row r="63" spans="1:9" ht="14.4" x14ac:dyDescent="0.3">
      <c r="A63" s="3" t="str">
        <f t="shared" si="3"/>
        <v>Owen County (21,321) - $103,620.06</v>
      </c>
      <c r="E63" s="24" t="s">
        <v>170</v>
      </c>
      <c r="F63" s="24">
        <v>21321</v>
      </c>
      <c r="G63" s="22" t="s">
        <v>78</v>
      </c>
      <c r="H63" s="22">
        <f t="shared" si="1"/>
        <v>103620.06000000001</v>
      </c>
      <c r="I63" s="21" t="str">
        <f t="shared" si="2"/>
        <v>$103,620.06</v>
      </c>
    </row>
    <row r="64" spans="1:9" ht="14.4" x14ac:dyDescent="0.3">
      <c r="A64" s="3" t="str">
        <f t="shared" si="3"/>
        <v>Parke County (16,156) - $78,518.16</v>
      </c>
      <c r="E64" s="24" t="s">
        <v>171</v>
      </c>
      <c r="F64" s="24">
        <v>16156</v>
      </c>
      <c r="G64" s="22" t="s">
        <v>79</v>
      </c>
      <c r="H64" s="22">
        <f t="shared" si="1"/>
        <v>78518.16</v>
      </c>
      <c r="I64" s="21" t="str">
        <f t="shared" si="2"/>
        <v>$78,518.16</v>
      </c>
    </row>
    <row r="65" spans="1:9" ht="14.4" x14ac:dyDescent="0.3">
      <c r="A65" s="3" t="str">
        <f t="shared" si="3"/>
        <v>Perry County (19,170) - $93,166.20</v>
      </c>
      <c r="E65" s="24" t="s">
        <v>172</v>
      </c>
      <c r="F65" s="24">
        <v>19170</v>
      </c>
      <c r="G65" s="22" t="s">
        <v>80</v>
      </c>
      <c r="H65" s="22">
        <f t="shared" si="1"/>
        <v>93166.200000000012</v>
      </c>
      <c r="I65" s="21" t="str">
        <f t="shared" si="2"/>
        <v>$93,166.20</v>
      </c>
    </row>
    <row r="66" spans="1:9" ht="14.4" x14ac:dyDescent="0.3">
      <c r="A66" s="3" t="str">
        <f t="shared" si="3"/>
        <v>Pike County (12,250) - $59,535.00</v>
      </c>
      <c r="E66" s="24" t="s">
        <v>173</v>
      </c>
      <c r="F66" s="24">
        <v>12250</v>
      </c>
      <c r="G66" s="22" t="s">
        <v>81</v>
      </c>
      <c r="H66" s="22">
        <f t="shared" si="1"/>
        <v>59535.000000000007</v>
      </c>
      <c r="I66" s="21" t="str">
        <f t="shared" si="2"/>
        <v>$59,535.00</v>
      </c>
    </row>
    <row r="67" spans="1:9" ht="14.4" x14ac:dyDescent="0.3">
      <c r="A67" s="3" t="str">
        <f t="shared" si="3"/>
        <v>Porter County (173,215) - $841,824.90</v>
      </c>
      <c r="E67" s="24" t="s">
        <v>174</v>
      </c>
      <c r="F67" s="24">
        <v>173215</v>
      </c>
      <c r="G67" s="22" t="s">
        <v>82</v>
      </c>
      <c r="H67" s="22">
        <f t="shared" si="1"/>
        <v>841824.9</v>
      </c>
      <c r="I67" s="21" t="str">
        <f t="shared" si="2"/>
        <v>$841,824.90</v>
      </c>
    </row>
    <row r="68" spans="1:9" ht="14.4" x14ac:dyDescent="0.3">
      <c r="A68" s="3" t="str">
        <f t="shared" ref="A68:A95" si="4">E68 &amp; " (" &amp; G68 &amp; ")" &amp; " - " &amp; I68</f>
        <v>Posey County (25,222) - $122,578.92</v>
      </c>
      <c r="E68" s="24" t="s">
        <v>175</v>
      </c>
      <c r="F68" s="24">
        <v>25222</v>
      </c>
      <c r="G68" s="22" t="s">
        <v>83</v>
      </c>
      <c r="H68" s="22">
        <f t="shared" si="1"/>
        <v>122578.92000000001</v>
      </c>
      <c r="I68" s="21" t="str">
        <f t="shared" si="2"/>
        <v>$122,578.92</v>
      </c>
    </row>
    <row r="69" spans="1:9" ht="14.4" x14ac:dyDescent="0.3">
      <c r="A69" s="3" t="str">
        <f t="shared" si="4"/>
        <v>Pulaski County (12,514) - $60,818.04</v>
      </c>
      <c r="E69" s="24" t="s">
        <v>176</v>
      </c>
      <c r="F69" s="24">
        <v>12514</v>
      </c>
      <c r="G69" s="22" t="s">
        <v>84</v>
      </c>
      <c r="H69" s="22">
        <f t="shared" ref="H69:H95" si="5">G69*4.86</f>
        <v>60818.04</v>
      </c>
      <c r="I69" s="21" t="str">
        <f t="shared" ref="I69:I95" si="6">TEXT(H69,"$#,##0.00")</f>
        <v>$60,818.04</v>
      </c>
    </row>
    <row r="70" spans="1:9" ht="14.4" x14ac:dyDescent="0.3">
      <c r="A70" s="3" t="str">
        <f t="shared" si="4"/>
        <v>Putnam County (36,726) - $178,488.36</v>
      </c>
      <c r="E70" s="24" t="s">
        <v>177</v>
      </c>
      <c r="F70" s="24">
        <v>36726</v>
      </c>
      <c r="G70" s="22" t="s">
        <v>85</v>
      </c>
      <c r="H70" s="22">
        <f t="shared" si="5"/>
        <v>178488.36000000002</v>
      </c>
      <c r="I70" s="21" t="str">
        <f t="shared" si="6"/>
        <v>$178,488.36</v>
      </c>
    </row>
    <row r="71" spans="1:9" ht="14.4" x14ac:dyDescent="0.3">
      <c r="A71" s="3" t="str">
        <f t="shared" si="4"/>
        <v>Randolph County (24,502) - $119,079.72</v>
      </c>
      <c r="E71" s="24" t="s">
        <v>178</v>
      </c>
      <c r="F71" s="24">
        <v>24502</v>
      </c>
      <c r="G71" s="22" t="s">
        <v>86</v>
      </c>
      <c r="H71" s="22">
        <f t="shared" si="5"/>
        <v>119079.72</v>
      </c>
      <c r="I71" s="21" t="str">
        <f t="shared" si="6"/>
        <v>$119,079.72</v>
      </c>
    </row>
    <row r="72" spans="1:9" ht="14.4" x14ac:dyDescent="0.3">
      <c r="A72" s="3" t="str">
        <f t="shared" si="4"/>
        <v>Ripley County (28,995) - $140,915.70</v>
      </c>
      <c r="E72" s="24" t="s">
        <v>179</v>
      </c>
      <c r="F72" s="24">
        <v>28995</v>
      </c>
      <c r="G72" s="22" t="s">
        <v>87</v>
      </c>
      <c r="H72" s="22">
        <f t="shared" si="5"/>
        <v>140915.70000000001</v>
      </c>
      <c r="I72" s="21" t="str">
        <f t="shared" si="6"/>
        <v>$140,915.70</v>
      </c>
    </row>
    <row r="73" spans="1:9" ht="14.4" x14ac:dyDescent="0.3">
      <c r="A73" s="3" t="str">
        <f t="shared" si="4"/>
        <v>Rush County (16,752) - $81,414.72</v>
      </c>
      <c r="E73" s="24" t="s">
        <v>180</v>
      </c>
      <c r="F73" s="24">
        <v>16752</v>
      </c>
      <c r="G73" s="22" t="s">
        <v>88</v>
      </c>
      <c r="H73" s="22">
        <f t="shared" si="5"/>
        <v>81414.720000000001</v>
      </c>
      <c r="I73" s="21" t="str">
        <f t="shared" si="6"/>
        <v>$81,414.72</v>
      </c>
    </row>
    <row r="74" spans="1:9" ht="14.4" x14ac:dyDescent="0.3">
      <c r="A74" s="3" t="str">
        <f t="shared" si="4"/>
        <v>St. Joseph County (272,912) - $1,326,352.32</v>
      </c>
      <c r="E74" s="24" t="s">
        <v>202</v>
      </c>
      <c r="F74" s="24">
        <v>272912</v>
      </c>
      <c r="G74" s="22" t="s">
        <v>89</v>
      </c>
      <c r="H74" s="22">
        <f t="shared" si="5"/>
        <v>1326352.32</v>
      </c>
      <c r="I74" s="21" t="str">
        <f t="shared" si="6"/>
        <v>$1,326,352.32</v>
      </c>
    </row>
    <row r="75" spans="1:9" ht="14.4" x14ac:dyDescent="0.3">
      <c r="A75" s="3" t="str">
        <f t="shared" si="4"/>
        <v>Scott County (24,384) - $118,506.24</v>
      </c>
      <c r="E75" s="24" t="s">
        <v>181</v>
      </c>
      <c r="F75" s="24">
        <v>24384</v>
      </c>
      <c r="G75" s="22" t="s">
        <v>90</v>
      </c>
      <c r="H75" s="22">
        <f t="shared" si="5"/>
        <v>118506.24000000001</v>
      </c>
      <c r="I75" s="21" t="str">
        <f t="shared" si="6"/>
        <v>$118,506.24</v>
      </c>
    </row>
    <row r="76" spans="1:9" ht="14.4" x14ac:dyDescent="0.3">
      <c r="A76" s="3" t="str">
        <f t="shared" si="4"/>
        <v>Shelby County (45,055) - $218,967.30</v>
      </c>
      <c r="E76" s="24" t="s">
        <v>182</v>
      </c>
      <c r="F76" s="24">
        <v>45055</v>
      </c>
      <c r="G76" s="22" t="s">
        <v>91</v>
      </c>
      <c r="H76" s="22">
        <f t="shared" si="5"/>
        <v>218967.30000000002</v>
      </c>
      <c r="I76" s="21" t="str">
        <f t="shared" si="6"/>
        <v>$218,967.30</v>
      </c>
    </row>
    <row r="77" spans="1:9" ht="14.4" x14ac:dyDescent="0.3">
      <c r="A77" s="3" t="str">
        <f t="shared" si="4"/>
        <v>Spencer County (19,810) - $96,276.60</v>
      </c>
      <c r="E77" s="24" t="s">
        <v>183</v>
      </c>
      <c r="F77" s="24">
        <v>19810</v>
      </c>
      <c r="G77" s="22" t="s">
        <v>92</v>
      </c>
      <c r="H77" s="22">
        <f t="shared" si="5"/>
        <v>96276.6</v>
      </c>
      <c r="I77" s="21" t="str">
        <f t="shared" si="6"/>
        <v>$96,276.60</v>
      </c>
    </row>
    <row r="78" spans="1:9" ht="14.4" x14ac:dyDescent="0.3">
      <c r="A78" s="3" t="str">
        <f t="shared" si="4"/>
        <v>Starke County (23,371) - $113,583.06</v>
      </c>
      <c r="E78" s="24" t="s">
        <v>184</v>
      </c>
      <c r="F78" s="24">
        <v>23371</v>
      </c>
      <c r="G78" s="22" t="s">
        <v>93</v>
      </c>
      <c r="H78" s="22">
        <f t="shared" si="5"/>
        <v>113583.06000000001</v>
      </c>
      <c r="I78" s="21" t="str">
        <f t="shared" si="6"/>
        <v>$113,583.06</v>
      </c>
    </row>
    <row r="79" spans="1:9" ht="14.4" x14ac:dyDescent="0.3">
      <c r="A79" s="3" t="str">
        <f t="shared" si="4"/>
        <v>Steuben County (34,435) - $167,354.10</v>
      </c>
      <c r="E79" s="24" t="s">
        <v>185</v>
      </c>
      <c r="F79" s="24">
        <v>34435</v>
      </c>
      <c r="G79" s="22" t="s">
        <v>94</v>
      </c>
      <c r="H79" s="22">
        <f t="shared" si="5"/>
        <v>167354.1</v>
      </c>
      <c r="I79" s="21" t="str">
        <f t="shared" si="6"/>
        <v>$167,354.10</v>
      </c>
    </row>
    <row r="80" spans="1:9" ht="14.4" x14ac:dyDescent="0.3">
      <c r="A80" s="3" t="str">
        <f t="shared" si="4"/>
        <v>Sullivan County (20,817) - $101,170.62</v>
      </c>
      <c r="E80" s="24" t="s">
        <v>186</v>
      </c>
      <c r="F80" s="24">
        <v>20817</v>
      </c>
      <c r="G80" s="22" t="s">
        <v>95</v>
      </c>
      <c r="H80" s="22">
        <f t="shared" si="5"/>
        <v>101170.62000000001</v>
      </c>
      <c r="I80" s="21" t="str">
        <f t="shared" si="6"/>
        <v>$101,170.62</v>
      </c>
    </row>
    <row r="81" spans="1:9" ht="14.4" x14ac:dyDescent="0.3">
      <c r="A81" s="3" t="str">
        <f t="shared" si="4"/>
        <v>Switzerland County (9,737) - $47,321.82</v>
      </c>
      <c r="E81" s="24" t="s">
        <v>187</v>
      </c>
      <c r="F81" s="24">
        <v>9737</v>
      </c>
      <c r="G81" s="22" t="s">
        <v>96</v>
      </c>
      <c r="H81" s="22">
        <f t="shared" si="5"/>
        <v>47321.82</v>
      </c>
      <c r="I81" s="21" t="str">
        <f t="shared" si="6"/>
        <v>$47,321.82</v>
      </c>
    </row>
    <row r="82" spans="1:9" ht="14.4" x14ac:dyDescent="0.3">
      <c r="A82" s="3" t="str">
        <f t="shared" si="4"/>
        <v>Tippecanoe County (186,251) - $905,179.86</v>
      </c>
      <c r="E82" s="24" t="s">
        <v>188</v>
      </c>
      <c r="F82" s="24">
        <v>186251</v>
      </c>
      <c r="G82" s="22" t="s">
        <v>97</v>
      </c>
      <c r="H82" s="22">
        <f t="shared" si="5"/>
        <v>905179.8600000001</v>
      </c>
      <c r="I82" s="21" t="str">
        <f t="shared" si="6"/>
        <v>$905,179.86</v>
      </c>
    </row>
    <row r="83" spans="1:9" ht="14.4" x14ac:dyDescent="0.3">
      <c r="A83" s="3" t="str">
        <f t="shared" si="4"/>
        <v>Tipton County (15,359) - $74,644.74</v>
      </c>
      <c r="E83" s="24" t="s">
        <v>189</v>
      </c>
      <c r="F83" s="24">
        <v>15359</v>
      </c>
      <c r="G83" s="22" t="s">
        <v>98</v>
      </c>
      <c r="H83" s="22">
        <f t="shared" si="5"/>
        <v>74644.740000000005</v>
      </c>
      <c r="I83" s="21" t="str">
        <f t="shared" si="6"/>
        <v>$74,644.74</v>
      </c>
    </row>
    <row r="84" spans="1:9" ht="14.4" x14ac:dyDescent="0.3">
      <c r="A84" s="3" t="str">
        <f t="shared" si="4"/>
        <v>Union County (7,087) - $34,442.82</v>
      </c>
      <c r="E84" s="24" t="s">
        <v>190</v>
      </c>
      <c r="F84" s="24">
        <v>7087</v>
      </c>
      <c r="G84" s="22" t="s">
        <v>99</v>
      </c>
      <c r="H84" s="22">
        <f t="shared" si="5"/>
        <v>34442.82</v>
      </c>
      <c r="I84" s="21" t="str">
        <f t="shared" si="6"/>
        <v>$34,442.82</v>
      </c>
    </row>
    <row r="85" spans="1:9" ht="14.4" x14ac:dyDescent="0.3">
      <c r="A85" s="3" t="str">
        <f t="shared" si="4"/>
        <v>Vanderburgh County (180,136) - $875,460.96</v>
      </c>
      <c r="E85" s="24" t="s">
        <v>191</v>
      </c>
      <c r="F85" s="24">
        <v>180136</v>
      </c>
      <c r="G85" s="22" t="s">
        <v>100</v>
      </c>
      <c r="H85" s="22">
        <f t="shared" si="5"/>
        <v>875460.96000000008</v>
      </c>
      <c r="I85" s="21" t="str">
        <f t="shared" si="6"/>
        <v>$875,460.96</v>
      </c>
    </row>
    <row r="86" spans="1:9" ht="14.4" x14ac:dyDescent="0.3">
      <c r="A86" s="3" t="str">
        <f t="shared" si="4"/>
        <v>Vermillion County (15,439) - $75,033.54</v>
      </c>
      <c r="E86" s="24" t="s">
        <v>192</v>
      </c>
      <c r="F86" s="24">
        <v>15439</v>
      </c>
      <c r="G86" s="22" t="s">
        <v>101</v>
      </c>
      <c r="H86" s="22">
        <f t="shared" si="5"/>
        <v>75033.540000000008</v>
      </c>
      <c r="I86" s="21" t="str">
        <f t="shared" si="6"/>
        <v>$75,033.54</v>
      </c>
    </row>
    <row r="87" spans="1:9" ht="14.4" x14ac:dyDescent="0.3">
      <c r="A87" s="3" t="str">
        <f t="shared" si="4"/>
        <v>Vigo County (106,153) - $515,903.58</v>
      </c>
      <c r="E87" s="24" t="s">
        <v>193</v>
      </c>
      <c r="F87" s="24">
        <v>106153</v>
      </c>
      <c r="G87" s="22" t="s">
        <v>102</v>
      </c>
      <c r="H87" s="22">
        <f t="shared" si="5"/>
        <v>515903.58</v>
      </c>
      <c r="I87" s="21" t="str">
        <f t="shared" si="6"/>
        <v>$515,903.58</v>
      </c>
    </row>
    <row r="88" spans="1:9" ht="14.4" x14ac:dyDescent="0.3">
      <c r="A88" s="3" t="str">
        <f t="shared" si="4"/>
        <v>Wabash County (30,976) - $150,543.36</v>
      </c>
      <c r="E88" s="24" t="s">
        <v>194</v>
      </c>
      <c r="F88" s="24">
        <v>30976</v>
      </c>
      <c r="G88" s="22" t="s">
        <v>103</v>
      </c>
      <c r="H88" s="22">
        <f t="shared" si="5"/>
        <v>150543.36000000002</v>
      </c>
      <c r="I88" s="21" t="str">
        <f t="shared" si="6"/>
        <v>$150,543.36</v>
      </c>
    </row>
    <row r="89" spans="1:9" ht="14.4" x14ac:dyDescent="0.3">
      <c r="A89" s="3" t="str">
        <f t="shared" si="4"/>
        <v>Warren County (8,440) - $41,018.40</v>
      </c>
      <c r="E89" s="24" t="s">
        <v>195</v>
      </c>
      <c r="F89" s="24">
        <v>8440</v>
      </c>
      <c r="G89" s="22" t="s">
        <v>104</v>
      </c>
      <c r="H89" s="22">
        <f t="shared" si="5"/>
        <v>41018.400000000001</v>
      </c>
      <c r="I89" s="21" t="str">
        <f t="shared" si="6"/>
        <v>$41,018.40</v>
      </c>
    </row>
    <row r="90" spans="1:9" ht="14.4" x14ac:dyDescent="0.3">
      <c r="A90" s="3" t="str">
        <f t="shared" si="4"/>
        <v>Warrick County (63,898) - $310,544.28</v>
      </c>
      <c r="E90" s="24" t="s">
        <v>196</v>
      </c>
      <c r="F90" s="24">
        <v>63898</v>
      </c>
      <c r="G90" s="22" t="s">
        <v>105</v>
      </c>
      <c r="H90" s="22">
        <f t="shared" si="5"/>
        <v>310544.28000000003</v>
      </c>
      <c r="I90" s="21" t="str">
        <f t="shared" si="6"/>
        <v>$310,544.28</v>
      </c>
    </row>
    <row r="91" spans="1:9" ht="14.4" x14ac:dyDescent="0.3">
      <c r="A91" s="3" t="str">
        <f t="shared" si="4"/>
        <v>Washington County (28,182) - $136,964.52</v>
      </c>
      <c r="E91" s="24" t="s">
        <v>197</v>
      </c>
      <c r="F91" s="24">
        <v>28182</v>
      </c>
      <c r="G91" s="22" t="s">
        <v>106</v>
      </c>
      <c r="H91" s="22">
        <f t="shared" si="5"/>
        <v>136964.52000000002</v>
      </c>
      <c r="I91" s="21" t="str">
        <f t="shared" si="6"/>
        <v>$136,964.52</v>
      </c>
    </row>
    <row r="92" spans="1:9" ht="14.4" x14ac:dyDescent="0.3">
      <c r="A92" s="3" t="str">
        <f t="shared" si="4"/>
        <v>Wayne County (66,553) - $323,447.58</v>
      </c>
      <c r="E92" s="24" t="s">
        <v>198</v>
      </c>
      <c r="F92" s="24">
        <v>66553</v>
      </c>
      <c r="G92" s="22" t="s">
        <v>107</v>
      </c>
      <c r="H92" s="22">
        <f t="shared" si="5"/>
        <v>323447.58</v>
      </c>
      <c r="I92" s="21" t="str">
        <f t="shared" si="6"/>
        <v>$323,447.58</v>
      </c>
    </row>
    <row r="93" spans="1:9" ht="14.4" x14ac:dyDescent="0.3">
      <c r="A93" s="3" t="str">
        <f t="shared" si="4"/>
        <v>Wells County (28,180) - $136,954.80</v>
      </c>
      <c r="E93" s="24" t="s">
        <v>199</v>
      </c>
      <c r="F93" s="24">
        <v>28180</v>
      </c>
      <c r="G93" s="22" t="s">
        <v>108</v>
      </c>
      <c r="H93" s="22">
        <f t="shared" si="5"/>
        <v>136954.80000000002</v>
      </c>
      <c r="I93" s="21" t="str">
        <f t="shared" si="6"/>
        <v>$136,954.80</v>
      </c>
    </row>
    <row r="94" spans="1:9" ht="14.4" x14ac:dyDescent="0.3">
      <c r="A94" s="3" t="str">
        <f t="shared" si="4"/>
        <v>White County (24,688) - $119,983.68</v>
      </c>
      <c r="E94" s="24" t="s">
        <v>200</v>
      </c>
      <c r="F94" s="24">
        <v>24688</v>
      </c>
      <c r="G94" s="22" t="s">
        <v>109</v>
      </c>
      <c r="H94" s="22">
        <f t="shared" si="5"/>
        <v>119983.68000000001</v>
      </c>
      <c r="I94" s="21" t="str">
        <f t="shared" si="6"/>
        <v>$119,983.68</v>
      </c>
    </row>
    <row r="95" spans="1:9" ht="14.4" x14ac:dyDescent="0.3">
      <c r="A95" s="3" t="str">
        <f t="shared" si="4"/>
        <v>Whitley County (34,191) - $166,168.26</v>
      </c>
      <c r="E95" s="24" t="s">
        <v>201</v>
      </c>
      <c r="F95" s="24">
        <v>34191</v>
      </c>
      <c r="G95" s="22" t="s">
        <v>110</v>
      </c>
      <c r="H95" s="22">
        <f t="shared" si="5"/>
        <v>166168.26</v>
      </c>
      <c r="I95" s="21" t="str">
        <f t="shared" si="6"/>
        <v>$166,168.26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honeticPr fontId="1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7" ma:contentTypeDescription="Create a new document." ma:contentTypeScope="" ma:versionID="d9375f57b5fac38115eae6006807f70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Props1.xml><?xml version="1.0" encoding="utf-8"?>
<ds:datastoreItem xmlns:ds="http://schemas.openxmlformats.org/officeDocument/2006/customXml" ds:itemID="{611AC74C-FF88-4A70-85D3-4996EB0362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1C5905-A65A-402E-B574-5A6E1D841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447273C-C595-4293-AA74-B174F6076271}">
  <ds:schemaRefs>
    <ds:schemaRef ds:uri="4f1a833c-a938-4a5e-81e3-99cd1b92e526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538c035d-569c-47ab-a864-fdd8ae3d4516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County Summary</vt:lpstr>
      <vt:lpstr>Comments</vt:lpstr>
      <vt:lpstr>Notes</vt:lpstr>
      <vt:lpstr>County Population and Threshold</vt:lpstr>
    </vt:vector>
  </TitlesOfParts>
  <Company>FEMA Region VII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FEMA</dc:creator>
  <cp:lastModifiedBy>Richards, Michael</cp:lastModifiedBy>
  <cp:lastPrinted>2021-08-11T17:13:15Z</cp:lastPrinted>
  <dcterms:created xsi:type="dcterms:W3CDTF">2000-06-27T13:20:49Z</dcterms:created>
  <dcterms:modified xsi:type="dcterms:W3CDTF">2026-07-16T20:26:27Z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