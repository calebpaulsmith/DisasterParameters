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IN PDA July 2026/Damage Data/Chart A's/2. Ready for Table A/"/>
    </mc:Choice>
  </mc:AlternateContent>
  <xr:revisionPtr revIDLastSave="70" documentId="13_ncr:1_{33D70C14-78C9-4F57-B08D-38B3620F4A53}" xr6:coauthVersionLast="47" xr6:coauthVersionMax="47" xr10:uidLastSave="{345CFE40-68C1-4892-8039-6BE2495B31B8}"/>
  <bookViews>
    <workbookView xWindow="-108" yWindow="-108" windowWidth="23256" windowHeight="12456" xr2:uid="{00000000-000D-0000-FFFF-FFFF00000000}"/>
  </bookViews>
  <sheets>
    <sheet name="County Summary" sheetId="12" r:id="rId1"/>
    <sheet name="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9"/>
  <c r="A2" i="10"/>
  <c r="A3" i="10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101" i="12" l="1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G3" i="12"/>
  <c r="E3" i="12"/>
  <c r="L3" i="12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4" i="9"/>
</calcChain>
</file>

<file path=xl/sharedStrings.xml><?xml version="1.0" encoding="utf-8"?>
<sst xmlns="http://schemas.openxmlformats.org/spreadsheetml/2006/main" count="221" uniqueCount="218">
  <si>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</si>
  <si>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</si>
  <si>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</si>
  <si>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</si>
  <si>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</si>
  <si>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</si>
  <si>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</si>
  <si>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</si>
  <si>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</si>
  <si>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</si>
  <si>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</si>
  <si>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</si>
  <si>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</si>
  <si>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</si>
  <si>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</si>
  <si>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</si>
  <si>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</si>
  <si>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</si>
  <si>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</si>
  <si>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35,809</t>
  </si>
  <si>
    <t>82,208</t>
  </si>
  <si>
    <t>8,719</t>
  </si>
  <si>
    <t>12,112</t>
  </si>
  <si>
    <t>70,812</t>
  </si>
  <si>
    <t>15,475</t>
  </si>
  <si>
    <t>20,306</t>
  </si>
  <si>
    <t>37,870</t>
  </si>
  <si>
    <t>121,093</t>
  </si>
  <si>
    <t>26,466</t>
  </si>
  <si>
    <t>33,190</t>
  </si>
  <si>
    <t>10,526</t>
  </si>
  <si>
    <t>33,381</t>
  </si>
  <si>
    <t>50,679</t>
  </si>
  <si>
    <t>26,472</t>
  </si>
  <si>
    <t>43,265</t>
  </si>
  <si>
    <t>111,903</t>
  </si>
  <si>
    <t>43,637</t>
  </si>
  <si>
    <t>207,047</t>
  </si>
  <si>
    <t>23,398</t>
  </si>
  <si>
    <t>80,484</t>
  </si>
  <si>
    <t>16,479</t>
  </si>
  <si>
    <t>22,785</t>
  </si>
  <si>
    <t>20,480</t>
  </si>
  <si>
    <t>33,011</t>
  </si>
  <si>
    <t>66,674</t>
  </si>
  <si>
    <t>30,803</t>
  </si>
  <si>
    <t>347,467</t>
  </si>
  <si>
    <t>79,840</t>
  </si>
  <si>
    <t>39,654</t>
  </si>
  <si>
    <t>174,788</t>
  </si>
  <si>
    <t>48,914</t>
  </si>
  <si>
    <t>83,658</t>
  </si>
  <si>
    <t>36,662</t>
  </si>
  <si>
    <t>46,428</t>
  </si>
  <si>
    <t>32,918</t>
  </si>
  <si>
    <t>20,478</t>
  </si>
  <si>
    <t>385,410</t>
  </si>
  <si>
    <t>33,147</t>
  </si>
  <si>
    <t>27,613</t>
  </si>
  <si>
    <t>161,765</t>
  </si>
  <si>
    <t>36,282</t>
  </si>
  <si>
    <t>80,240</t>
  </si>
  <si>
    <t>40,446</t>
  </si>
  <si>
    <t>498,700</t>
  </si>
  <si>
    <t>112,417</t>
  </si>
  <si>
    <t>45,011</t>
  </si>
  <si>
    <t>130,129</t>
  </si>
  <si>
    <t>977,203</t>
  </si>
  <si>
    <t>46,095</t>
  </si>
  <si>
    <t>9,812</t>
  </si>
  <si>
    <t>35,962</t>
  </si>
  <si>
    <t>139,718</t>
  </si>
  <si>
    <t>37,936</t>
  </si>
  <si>
    <t>71,780</t>
  </si>
  <si>
    <t>13,830</t>
  </si>
  <si>
    <t>47,457</t>
  </si>
  <si>
    <t>5,940</t>
  </si>
  <si>
    <t>19,867</t>
  </si>
  <si>
    <t>21,321</t>
  </si>
  <si>
    <t>16,156</t>
  </si>
  <si>
    <t>19,170</t>
  </si>
  <si>
    <t>12,250</t>
  </si>
  <si>
    <t>173,215</t>
  </si>
  <si>
    <t>25,222</t>
  </si>
  <si>
    <t>12,514</t>
  </si>
  <si>
    <t>36,726</t>
  </si>
  <si>
    <t>24,502</t>
  </si>
  <si>
    <t>28,995</t>
  </si>
  <si>
    <t>16,752</t>
  </si>
  <si>
    <t>272,912</t>
  </si>
  <si>
    <t>24,384</t>
  </si>
  <si>
    <t>45,055</t>
  </si>
  <si>
    <t>19,810</t>
  </si>
  <si>
    <t>23,371</t>
  </si>
  <si>
    <t>34,435</t>
  </si>
  <si>
    <t>20,817</t>
  </si>
  <si>
    <t>9,737</t>
  </si>
  <si>
    <t>186,251</t>
  </si>
  <si>
    <t>15,359</t>
  </si>
  <si>
    <t>7,087</t>
  </si>
  <si>
    <t>180,136</t>
  </si>
  <si>
    <t>15,439</t>
  </si>
  <si>
    <t>106,153</t>
  </si>
  <si>
    <t>30,976</t>
  </si>
  <si>
    <t>8,440</t>
  </si>
  <si>
    <t>63,898</t>
  </si>
  <si>
    <t>28,182</t>
  </si>
  <si>
    <t>66,553</t>
  </si>
  <si>
    <t>28,180</t>
  </si>
  <si>
    <t>24,688</t>
  </si>
  <si>
    <t>34,191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</si>
  <si>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</si>
  <si>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</si>
  <si>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</si>
  <si>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</si>
  <si>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</si>
  <si>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</si>
  <si>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</si>
  <si>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</si>
  <si>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</si>
  <si>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</si>
  <si>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</si>
  <si>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</si>
  <si>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</si>
  <si>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</si>
  <si>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</si>
  <si>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</si>
  <si>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</si>
  <si>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</si>
  <si>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</si>
  <si>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</si>
  <si>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</si>
  <si>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</si>
  <si>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</si>
  <si>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</si>
  <si>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</si>
  <si>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</si>
  <si>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</si>
  <si>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</si>
  <si>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</si>
  <si>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</si>
  <si>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</si>
  <si>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</si>
  <si>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</si>
  <si>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</si>
  <si>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</si>
  <si>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</si>
  <si>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</si>
  <si>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</si>
  <si>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</si>
  <si>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</si>
  <si>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</si>
  <si>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</si>
  <si>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</si>
  <si>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</si>
  <si>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</si>
  <si>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</si>
  <si>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</si>
  <si>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</si>
  <si>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</si>
  <si>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</si>
  <si>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</si>
  <si>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</si>
  <si>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</si>
  <si>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</si>
  <si>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</si>
  <si>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</si>
  <si>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</si>
  <si>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</si>
  <si>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</si>
  <si>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</si>
  <si>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</si>
  <si>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</si>
  <si>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</si>
  <si>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</si>
  <si>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</si>
  <si>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</si>
  <si>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</si>
  <si>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</si>
  <si>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</si>
  <si>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</si>
  <si>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</si>
  <si>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</si>
  <si>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</si>
  <si>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</si>
  <si>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</si>
  <si>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</si>
  <si>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</si>
  <si>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</si>
  <si>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</si>
  <si>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</si>
  <si>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</si>
  <si>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</si>
  <si>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</si>
  <si>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</si>
  <si>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</si>
  <si>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</si>
  <si>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</si>
  <si>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</si>
  <si>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</si>
  <si>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</si>
  <si>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</si>
  <si>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St. Joseph County</t>
  </si>
  <si>
    <t>Type</t>
  </si>
  <si>
    <t>Indiana (6,785,528) - $13,163,924</t>
  </si>
  <si>
    <t>Caleb Smith</t>
  </si>
  <si>
    <t>Stacie Grathen</t>
  </si>
  <si>
    <t>Connor Blevins</t>
  </si>
  <si>
    <t>Angela Williams</t>
  </si>
  <si>
    <t>John Lynn</t>
  </si>
  <si>
    <t>Bria Moncure</t>
  </si>
  <si>
    <t>Bradley Jasmer</t>
  </si>
  <si>
    <t>Catherine Warren</t>
  </si>
  <si>
    <t>Floyd County (80,484) - $391,152.24</t>
  </si>
  <si>
    <t>County</t>
  </si>
  <si>
    <t>Floyd County Road Dept</t>
  </si>
  <si>
    <r>
      <t>Category A: Applicant claimed $6,262.04</t>
    </r>
    <r>
      <rPr>
        <sz val="10"/>
        <rFont val="Arial"/>
        <family val="2"/>
      </rPr>
      <t xml:space="preserve"> in costs in FAL, FAE, and Disposal Costs associated with debris removal. </t>
    </r>
    <r>
      <rPr>
        <b/>
        <sz val="10"/>
        <rFont val="Arial"/>
        <family val="2"/>
      </rPr>
      <t xml:space="preserve">Reduced $0. Validated  $6,262.04 </t>
    </r>
    <r>
      <rPr>
        <sz val="10"/>
        <rFont val="Arial"/>
        <family val="2"/>
      </rPr>
      <t>in costs using applicant supplied labor, equipment documentation, and applicant supplied invoices.</t>
    </r>
    <r>
      <rPr>
        <b/>
        <sz val="10"/>
        <rFont val="Arial"/>
        <family val="2"/>
      </rPr>
      <t xml:space="preserve">
Category C: Applicant claimed $19,427.10</t>
    </r>
    <r>
      <rPr>
        <sz val="10"/>
        <rFont val="Arial"/>
        <family val="2"/>
      </rPr>
      <t xml:space="preserve"> in costs in FAL, FAE, and Material Costs associated with road repairs.</t>
    </r>
    <r>
      <rPr>
        <b/>
        <sz val="10"/>
        <rFont val="Arial"/>
        <family val="2"/>
      </rPr>
      <t xml:space="preserve"> Reduced $0. Validated $19,427.10</t>
    </r>
    <r>
      <rPr>
        <sz val="10"/>
        <rFont val="Arial"/>
        <family val="2"/>
      </rPr>
      <t xml:space="preserve"> in costs using applicant supplied labor, equipment documentation, and material invoices.</t>
    </r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</si>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</sst>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1" fillId="0" borderId="0" xfId="0" quotePrefix="1" applyFont="1" applyAlignment="1">
      <alignment horizontal="left"/>
    </xf>
    <xf numFmtId="164" fontId="0" fillId="0" borderId="0" xfId="0" applyNumberFormat="1"/>
    <xf numFmtId="0" fontId="6" fillId="4" borderId="8" xfId="0" quotePrefix="1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0" borderId="1" xfId="0" applyFont="1" applyBorder="1"/>
    <xf numFmtId="0" fontId="3" fillId="4" borderId="0" xfId="0" quotePrefix="1" applyFont="1" applyFill="1" applyAlignment="1">
      <alignment horizontal="left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4" fontId="1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/>
    <xf numFmtId="0" fontId="0" fillId="0" borderId="0" xfId="0" quotePrefix="1"/>
    <xf numFmtId="44" fontId="0" fillId="0" borderId="0" xfId="2" quotePrefix="1" applyFont="1" applyProtection="1">
      <protection locked="0"/>
    </xf>
    <xf numFmtId="0" fontId="0" fillId="0" borderId="0" xfId="0" applyFont="1"/>
    <xf numFmtId="0" fontId="14" fillId="0" borderId="0" xfId="0" applyFont="1" applyBorder="1" applyProtection="1">
      <protection locked="0"/>
    </xf>
    <xf numFmtId="164" fontId="7" fillId="2" borderId="1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5" fontId="3" fillId="7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 applyProtection="1">
      <alignment wrapText="1"/>
      <protection locked="0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AF7CF16-FF27-4AA0-BB56-4405384A49A5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CBAC2B92-6D38-45DA-8959-BF23C5832D3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3B12BEDD-E7A8-4B8D-90EB-81F34D102C97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5" name="Text Box 19">
          <a:extLst>
            <a:ext uri="{FF2B5EF4-FFF2-40B4-BE49-F238E27FC236}">
              <a16:creationId xmlns:a16="http://schemas.microsoft.com/office/drawing/2014/main" id="{BA4AA139-ACDA-414E-B5CC-26B924D949A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239670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DBCE76-A095-4BF3-A3D1-446D771A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239670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ED993-2B9E-4CCC-ABE6-AC9E6D07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239670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CB8728-559C-4AD7-B806-107793F7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0C183B-21A1-4873-8741-5D14AFE3E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3150" y="990601"/>
          <a:ext cx="19304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97EAD-8B12-47FE-9D2D-A38F91945D8B}" name="Table64" displayName="Table64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DC44E5D9-6DE3-45CF-84F9-C21A1F2898CB}" name="Applicant"/>
    <tableColumn id="11" xr3:uid="{353AA457-EF67-4FBB-A19B-27C890FFC332}" name="Type" dataDxfId="20"/>
    <tableColumn id="2" xr3:uid="{8E6C94B2-08E3-49B7-975C-0EE499F00984}" name="Status"/>
    <tableColumn id="3" xr3:uid="{D61E0EED-273B-4128-86C9-1BD2F0467928}" name="A" dataDxfId="19"/>
    <tableColumn id="4" xr3:uid="{1E2D3AFB-F2B4-4131-B009-0A945C66A552}" name="B" dataDxfId="18"/>
    <tableColumn id="5" xr3:uid="{02A7E446-1734-4EFE-A3C0-71B4330340A9}" name="C" dataDxfId="17"/>
    <tableColumn id="6" xr3:uid="{271D5900-252C-496D-8BA5-72C00116047B}" name="D" dataDxfId="16"/>
    <tableColumn id="7" xr3:uid="{7E741C5E-C25A-411E-8B03-DE9938750803}" name="E" dataDxfId="15"/>
    <tableColumn id="8" xr3:uid="{8C499DAC-347E-4972-93D0-01F6144CB54C}" name="F" dataDxfId="14"/>
    <tableColumn id="9" xr3:uid="{BC1653D5-6737-479F-BC3B-AD52DCCC518E}" name="G" dataDxfId="13"/>
    <tableColumn id="10" xr3:uid="{F39479B2-2299-4257-886A-B06064B4AB71}" name="Applicant Total" dataDxfId="12">
      <calculatedColumnFormula>SUM(Table64[[#This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95" totalsRowShown="0" headerRowDxfId="7" headerRowBorderDxfId="6">
  <autoFilter ref="A3:A95" xr:uid="{28702944-4F95-47B2-ADD7-850BD65E83C4}"/>
  <sortState xmlns:xlrd2="http://schemas.microsoft.com/office/spreadsheetml/2017/richdata2" ref="A4:A95">
    <sortCondition ref="A3:A95"/>
  </sortState>
  <tableColumns count="1">
    <tableColumn id="1" xr3:uid="{4CF389FC-CECE-4192-9636-17DAFB0678D2}" name="County (Population) - Threshold" dataDxfId="5">
      <calculatedColumnFormula>E4 &amp; " (" &amp; G4 &amp; ")" &amp; " - " &amp; 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F42A-6E66-49C3-8953-BB2111106F3C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3" sqref="B3:C3"/>
    </sheetView>
  </sheetViews>
  <sheetFormatPr defaultColWidth="16.77734375" defaultRowHeight="13.2" x14ac:dyDescent="0.25"/>
  <cols>
    <col min="1" max="1" width="0.77734375" style="37" customWidth="1"/>
    <col min="2" max="2" width="31.6640625" customWidth="1"/>
    <col min="3" max="3" width="13.7773437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s="1" customFormat="1" ht="20.100000000000001" customHeight="1" thickTop="1" thickBot="1" x14ac:dyDescent="0.3">
      <c r="A2" s="37"/>
      <c r="B2" s="39" t="s">
        <v>15</v>
      </c>
      <c r="C2" s="40"/>
      <c r="D2" s="5" t="s">
        <v>7</v>
      </c>
      <c r="E2" s="41" t="s">
        <v>9</v>
      </c>
      <c r="F2" s="42"/>
      <c r="G2" s="43" t="s">
        <v>13</v>
      </c>
      <c r="H2" s="44"/>
      <c r="I2" s="44"/>
      <c r="J2" s="44"/>
      <c r="K2" s="45"/>
      <c r="L2" s="6" t="s">
        <v>11</v>
      </c>
    </row>
    <row r="3" spans="1:12" s="1" customFormat="1" ht="31.2" customHeight="1" thickTop="1" thickBot="1" x14ac:dyDescent="0.3">
      <c r="A3" s="37"/>
      <c r="B3" s="46" t="s">
        <v>213</v>
      </c>
      <c r="C3" s="47"/>
      <c r="D3" s="13" t="s">
        <v>209</v>
      </c>
      <c r="E3" s="48">
        <f>SUM(Table64[[A]:[B]])</f>
        <v>6262.04</v>
      </c>
      <c r="F3" s="49"/>
      <c r="G3" s="50">
        <f>SUM(Table64[[C]:[G]])</f>
        <v>19427.099999999999</v>
      </c>
      <c r="H3" s="51"/>
      <c r="I3" s="51"/>
      <c r="J3" s="51"/>
      <c r="K3" s="52"/>
      <c r="L3" s="25">
        <f>SUM(Table64[Applicant Total])</f>
        <v>25689.14</v>
      </c>
    </row>
    <row r="4" spans="1:12" ht="14.4" thickTop="1" thickBot="1" x14ac:dyDescent="0.3">
      <c r="B4" s="53"/>
      <c r="C4" s="54"/>
      <c r="D4" s="54"/>
      <c r="E4" s="54"/>
      <c r="F4" s="54"/>
      <c r="G4" s="54"/>
      <c r="H4" s="54"/>
      <c r="I4" s="54"/>
      <c r="J4" s="54"/>
      <c r="K4" s="54"/>
      <c r="L4" s="55"/>
    </row>
    <row r="5" spans="1:12" ht="13.8" thickBot="1" x14ac:dyDescent="0.3">
      <c r="B5" s="26" t="s">
        <v>12</v>
      </c>
      <c r="C5" s="27" t="s">
        <v>203</v>
      </c>
      <c r="D5" s="28" t="s">
        <v>10</v>
      </c>
      <c r="E5" s="29" t="s">
        <v>0</v>
      </c>
      <c r="F5" s="30" t="s">
        <v>1</v>
      </c>
      <c r="G5" s="31" t="s">
        <v>2</v>
      </c>
      <c r="H5" s="32" t="s">
        <v>3</v>
      </c>
      <c r="I5" s="32" t="s">
        <v>4</v>
      </c>
      <c r="J5" s="32" t="s">
        <v>5</v>
      </c>
      <c r="K5" s="33" t="s">
        <v>6</v>
      </c>
      <c r="L5" s="34" t="s">
        <v>14</v>
      </c>
    </row>
    <row r="6" spans="1:12" x14ac:dyDescent="0.25">
      <c r="B6" s="9" t="s">
        <v>215</v>
      </c>
      <c r="C6" s="9" t="s">
        <v>214</v>
      </c>
      <c r="D6" s="10" t="s">
        <v>217</v>
      </c>
      <c r="E6" s="12">
        <v>6262.04</v>
      </c>
      <c r="F6" s="11"/>
      <c r="G6" s="11">
        <v>19427.099999999999</v>
      </c>
      <c r="H6" s="12"/>
      <c r="I6" s="12"/>
      <c r="J6" s="12"/>
      <c r="K6" s="12"/>
      <c r="L6" s="35">
        <f>SUM(Table64[[#This Row],[A]:[G]])</f>
        <v>25689.14</v>
      </c>
    </row>
    <row r="7" spans="1:12" x14ac:dyDescent="0.25">
      <c r="B7" s="9"/>
      <c r="C7" s="9"/>
      <c r="D7" s="10"/>
      <c r="E7" s="12"/>
      <c r="F7" s="12"/>
      <c r="G7" s="11"/>
      <c r="H7" s="11"/>
      <c r="I7" s="12"/>
      <c r="J7" s="12"/>
      <c r="K7" s="12"/>
      <c r="L7" s="35">
        <f>SUM(Table64[[#This Row],[A]:[G]])</f>
        <v>0</v>
      </c>
    </row>
    <row r="8" spans="1:12" x14ac:dyDescent="0.25">
      <c r="B8" s="9"/>
      <c r="C8" s="9"/>
      <c r="D8" s="10"/>
      <c r="E8" s="12"/>
      <c r="F8" s="12"/>
      <c r="G8" s="12"/>
      <c r="H8" s="12"/>
      <c r="I8" s="12"/>
      <c r="J8" s="12"/>
      <c r="K8" s="12"/>
      <c r="L8" s="35">
        <f>SUM(Table64[[#This Row],[A]:[G]])</f>
        <v>0</v>
      </c>
    </row>
    <row r="9" spans="1:12" x14ac:dyDescent="0.25">
      <c r="B9" s="9"/>
      <c r="C9" s="9"/>
      <c r="D9" s="10"/>
      <c r="E9" s="12"/>
      <c r="F9" s="12"/>
      <c r="G9" s="12"/>
      <c r="H9" s="12"/>
      <c r="I9" s="12"/>
      <c r="J9" s="12"/>
      <c r="K9" s="12"/>
      <c r="L9" s="35">
        <f>SUM(Table64[[#This Row],[A]:[G]])</f>
        <v>0</v>
      </c>
    </row>
    <row r="10" spans="1:12" x14ac:dyDescent="0.25">
      <c r="B10" s="9"/>
      <c r="C10" s="9"/>
      <c r="D10" s="10"/>
      <c r="E10" s="12"/>
      <c r="F10" s="12"/>
      <c r="G10" s="12"/>
      <c r="H10" s="12"/>
      <c r="I10" s="12"/>
      <c r="J10" s="12"/>
      <c r="K10" s="12"/>
      <c r="L10" s="35">
        <f>SUM(Table64[[#This Row],[A]:[G]])</f>
        <v>0</v>
      </c>
    </row>
    <row r="11" spans="1:12" x14ac:dyDescent="0.25"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35">
        <f>SUM(Table64[[#This Row],[A]:[G]])</f>
        <v>0</v>
      </c>
    </row>
    <row r="12" spans="1:12" x14ac:dyDescent="0.25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35">
        <f>SUM(Table64[[#This Row],[A]:[G]])</f>
        <v>0</v>
      </c>
    </row>
    <row r="13" spans="1:12" x14ac:dyDescent="0.25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35">
        <f>SUM(Table64[[#This Row],[A]:[G]])</f>
        <v>0</v>
      </c>
    </row>
    <row r="14" spans="1:12" x14ac:dyDescent="0.25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35">
        <f>SUM(Table64[[#This Row],[A]:[G]])</f>
        <v>0</v>
      </c>
    </row>
    <row r="15" spans="1:12" x14ac:dyDescent="0.25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35">
        <f>SUM(Table64[[#This Row],[A]:[G]])</f>
        <v>0</v>
      </c>
    </row>
    <row r="16" spans="1:12" x14ac:dyDescent="0.25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35">
        <f>SUM(Table64[[#This Row],[A]:[G]])</f>
        <v>0</v>
      </c>
    </row>
    <row r="17" spans="2:12" x14ac:dyDescent="0.25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35">
        <f>SUM(Table64[[#This Row],[A]:[G]])</f>
        <v>0</v>
      </c>
    </row>
    <row r="18" spans="2:12" x14ac:dyDescent="0.25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35">
        <f>SUM(Table64[[#This Row],[A]:[G]])</f>
        <v>0</v>
      </c>
    </row>
    <row r="19" spans="2:12" x14ac:dyDescent="0.25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35">
        <f>SUM(Table64[[#This Row],[A]:[G]])</f>
        <v>0</v>
      </c>
    </row>
    <row r="20" spans="2:12" x14ac:dyDescent="0.25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35">
        <f>SUM(Table64[[#This Row],[A]:[G]])</f>
        <v>0</v>
      </c>
    </row>
    <row r="21" spans="2:12" x14ac:dyDescent="0.25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35">
        <f>SUM(Table64[[#This Row],[A]:[G]])</f>
        <v>0</v>
      </c>
    </row>
    <row r="22" spans="2:12" x14ac:dyDescent="0.25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35">
        <f>SUM(Table64[[#This Row],[A]:[G]])</f>
        <v>0</v>
      </c>
    </row>
    <row r="23" spans="2:12" x14ac:dyDescent="0.25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35">
        <f>SUM(Table64[[#This Row],[A]:[G]])</f>
        <v>0</v>
      </c>
    </row>
    <row r="24" spans="2:12" x14ac:dyDescent="0.25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35">
        <f>SUM(Table64[[#This Row],[A]:[G]])</f>
        <v>0</v>
      </c>
    </row>
    <row r="25" spans="2:12" x14ac:dyDescent="0.25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35">
        <f>SUM(Table64[[#This Row],[A]:[G]])</f>
        <v>0</v>
      </c>
    </row>
    <row r="26" spans="2:12" x14ac:dyDescent="0.25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35">
        <f>SUM(Table64[[#This Row],[A]:[G]])</f>
        <v>0</v>
      </c>
    </row>
    <row r="27" spans="2:12" x14ac:dyDescent="0.25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35">
        <f>SUM(Table64[[#This Row],[A]:[G]])</f>
        <v>0</v>
      </c>
    </row>
    <row r="28" spans="2:12" x14ac:dyDescent="0.25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35">
        <f>SUM(Table64[[#This Row],[A]:[G]])</f>
        <v>0</v>
      </c>
    </row>
    <row r="29" spans="2:12" x14ac:dyDescent="0.25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35">
        <f>SUM(Table64[[#This Row],[A]:[G]])</f>
        <v>0</v>
      </c>
    </row>
    <row r="30" spans="2:12" x14ac:dyDescent="0.25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35">
        <f>SUM(Table64[[#This Row],[A]:[G]])</f>
        <v>0</v>
      </c>
    </row>
    <row r="31" spans="2:12" x14ac:dyDescent="0.25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35">
        <f>SUM(Table64[[#This Row],[A]:[G]])</f>
        <v>0</v>
      </c>
    </row>
    <row r="32" spans="2:12" x14ac:dyDescent="0.25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35">
        <f>SUM(Table64[[#This Row],[A]:[G]])</f>
        <v>0</v>
      </c>
    </row>
    <row r="33" spans="2:12" x14ac:dyDescent="0.25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35">
        <f>SUM(Table64[[#This Row],[A]:[G]])</f>
        <v>0</v>
      </c>
    </row>
    <row r="34" spans="2:12" x14ac:dyDescent="0.25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35">
        <f>SUM(Table64[[#This Row],[A]:[G]])</f>
        <v>0</v>
      </c>
    </row>
    <row r="35" spans="2:12" x14ac:dyDescent="0.25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35">
        <f>SUM(Table64[[#This Row],[A]:[G]])</f>
        <v>0</v>
      </c>
    </row>
    <row r="36" spans="2:12" x14ac:dyDescent="0.25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35">
        <f>SUM(Table64[[#This Row],[A]:[G]])</f>
        <v>0</v>
      </c>
    </row>
    <row r="37" spans="2:12" x14ac:dyDescent="0.25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35">
        <f>SUM(Table64[[#This Row],[A]:[G]])</f>
        <v>0</v>
      </c>
    </row>
    <row r="38" spans="2:12" x14ac:dyDescent="0.25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35">
        <f>SUM(Table64[[#This Row],[A]:[G]])</f>
        <v>0</v>
      </c>
    </row>
    <row r="39" spans="2:12" x14ac:dyDescent="0.25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35">
        <f>SUM(Table64[[#This Row],[A]:[G]])</f>
        <v>0</v>
      </c>
    </row>
    <row r="40" spans="2:12" x14ac:dyDescent="0.25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35">
        <f>SUM(Table64[[#This Row],[A]:[G]])</f>
        <v>0</v>
      </c>
    </row>
    <row r="41" spans="2:12" x14ac:dyDescent="0.25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35">
        <f>SUM(Table64[[#This Row],[A]:[G]])</f>
        <v>0</v>
      </c>
    </row>
    <row r="42" spans="2:12" x14ac:dyDescent="0.25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35">
        <f>SUM(Table64[[#This Row],[A]:[G]])</f>
        <v>0</v>
      </c>
    </row>
    <row r="43" spans="2:12" x14ac:dyDescent="0.25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35">
        <f>SUM(Table64[[#This Row],[A]:[G]])</f>
        <v>0</v>
      </c>
    </row>
    <row r="44" spans="2:12" x14ac:dyDescent="0.25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35">
        <f>SUM(Table64[[#This Row],[A]:[G]])</f>
        <v>0</v>
      </c>
    </row>
    <row r="45" spans="2:12" x14ac:dyDescent="0.25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35">
        <f>SUM(Table64[[#This Row],[A]:[G]])</f>
        <v>0</v>
      </c>
    </row>
    <row r="46" spans="2:12" x14ac:dyDescent="0.25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35">
        <f>SUM(Table64[[#This Row],[A]:[G]])</f>
        <v>0</v>
      </c>
    </row>
    <row r="47" spans="2:12" x14ac:dyDescent="0.25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35">
        <f>SUM(Table64[[#This Row],[A]:[G]])</f>
        <v>0</v>
      </c>
    </row>
    <row r="48" spans="2:12" x14ac:dyDescent="0.25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35">
        <f>SUM(Table64[[#This Row],[A]:[G]])</f>
        <v>0</v>
      </c>
    </row>
    <row r="49" spans="2:12" x14ac:dyDescent="0.25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35">
        <f>SUM(Table64[[#This Row],[A]:[G]])</f>
        <v>0</v>
      </c>
    </row>
    <row r="50" spans="2:12" x14ac:dyDescent="0.25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35">
        <f>SUM(Table64[[#This Row],[A]:[G]])</f>
        <v>0</v>
      </c>
    </row>
    <row r="51" spans="2:12" x14ac:dyDescent="0.25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35">
        <f>SUM(Table64[[#This Row],[A]:[G]])</f>
        <v>0</v>
      </c>
    </row>
    <row r="52" spans="2:12" x14ac:dyDescent="0.25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35">
        <f>SUM(Table64[[#This Row],[A]:[G]])</f>
        <v>0</v>
      </c>
    </row>
    <row r="53" spans="2:12" x14ac:dyDescent="0.25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35">
        <f>SUM(Table64[[#This Row],[A]:[G]])</f>
        <v>0</v>
      </c>
    </row>
    <row r="54" spans="2:12" x14ac:dyDescent="0.25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35">
        <f>SUM(Table64[[#This Row],[A]:[G]])</f>
        <v>0</v>
      </c>
    </row>
    <row r="55" spans="2:12" x14ac:dyDescent="0.25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35">
        <f>SUM(Table64[[#This Row],[A]:[G]])</f>
        <v>0</v>
      </c>
    </row>
    <row r="56" spans="2:12" x14ac:dyDescent="0.25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35">
        <f>SUM(Table64[[#This Row],[A]:[G]])</f>
        <v>0</v>
      </c>
    </row>
    <row r="57" spans="2:12" x14ac:dyDescent="0.25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35">
        <f>SUM(Table64[[#This Row],[A]:[G]])</f>
        <v>0</v>
      </c>
    </row>
    <row r="58" spans="2:12" x14ac:dyDescent="0.25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35">
        <f>SUM(Table64[[#This Row],[A]:[G]])</f>
        <v>0</v>
      </c>
    </row>
    <row r="59" spans="2:12" x14ac:dyDescent="0.25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35">
        <f>SUM(Table64[[#This Row],[A]:[G]])</f>
        <v>0</v>
      </c>
    </row>
    <row r="60" spans="2:12" x14ac:dyDescent="0.25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35">
        <f>SUM(Table64[[#This Row],[A]:[G]])</f>
        <v>0</v>
      </c>
    </row>
    <row r="61" spans="2:12" x14ac:dyDescent="0.25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35">
        <f>SUM(Table64[[#This Row],[A]:[G]])</f>
        <v>0</v>
      </c>
    </row>
    <row r="62" spans="2:12" x14ac:dyDescent="0.25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35">
        <f>SUM(Table64[[#This Row],[A]:[G]])</f>
        <v>0</v>
      </c>
    </row>
    <row r="63" spans="2:12" x14ac:dyDescent="0.25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35">
        <f>SUM(Table64[[#This Row],[A]:[G]])</f>
        <v>0</v>
      </c>
    </row>
    <row r="64" spans="2:12" x14ac:dyDescent="0.25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35">
        <f>SUM(Table64[[#This Row],[A]:[G]])</f>
        <v>0</v>
      </c>
    </row>
    <row r="65" spans="2:12" x14ac:dyDescent="0.25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35">
        <f>SUM(Table64[[#This Row],[A]:[G]])</f>
        <v>0</v>
      </c>
    </row>
    <row r="66" spans="2:12" x14ac:dyDescent="0.25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35">
        <f>SUM(Table64[[#This Row],[A]:[G]])</f>
        <v>0</v>
      </c>
    </row>
    <row r="67" spans="2:12" x14ac:dyDescent="0.25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35">
        <f>SUM(Table64[[#This Row],[A]:[G]])</f>
        <v>0</v>
      </c>
    </row>
    <row r="68" spans="2:12" x14ac:dyDescent="0.25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35">
        <f>SUM(Table64[[#This Row],[A]:[G]])</f>
        <v>0</v>
      </c>
    </row>
    <row r="69" spans="2:12" x14ac:dyDescent="0.25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35">
        <f>SUM(Table64[[#This Row],[A]:[G]])</f>
        <v>0</v>
      </c>
    </row>
    <row r="70" spans="2:12" x14ac:dyDescent="0.25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35">
        <f>SUM(Table64[[#This Row],[A]:[G]])</f>
        <v>0</v>
      </c>
    </row>
    <row r="71" spans="2:12" x14ac:dyDescent="0.25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35">
        <f>SUM(Table64[[#This Row],[A]:[G]])</f>
        <v>0</v>
      </c>
    </row>
    <row r="72" spans="2:12" x14ac:dyDescent="0.25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35">
        <f>SUM(Table64[[#This Row],[A]:[G]])</f>
        <v>0</v>
      </c>
    </row>
    <row r="73" spans="2:12" x14ac:dyDescent="0.25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35">
        <f>SUM(Table64[[#This Row],[A]:[G]])</f>
        <v>0</v>
      </c>
    </row>
    <row r="74" spans="2:12" x14ac:dyDescent="0.25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35">
        <f>SUM(Table64[[#This Row],[A]:[G]])</f>
        <v>0</v>
      </c>
    </row>
    <row r="75" spans="2:12" x14ac:dyDescent="0.25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35">
        <f>SUM(Table64[[#This Row],[A]:[G]])</f>
        <v>0</v>
      </c>
    </row>
    <row r="76" spans="2:12" x14ac:dyDescent="0.25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35">
        <f>SUM(Table64[[#This Row],[A]:[G]])</f>
        <v>0</v>
      </c>
    </row>
    <row r="77" spans="2:12" x14ac:dyDescent="0.25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35">
        <f>SUM(Table64[[#This Row],[A]:[G]])</f>
        <v>0</v>
      </c>
    </row>
    <row r="78" spans="2:12" x14ac:dyDescent="0.25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35">
        <f>SUM(Table64[[#This Row],[A]:[G]])</f>
        <v>0</v>
      </c>
    </row>
    <row r="79" spans="2:12" x14ac:dyDescent="0.25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35">
        <f>SUM(Table64[[#This Row],[A]:[G]])</f>
        <v>0</v>
      </c>
    </row>
    <row r="80" spans="2:12" x14ac:dyDescent="0.25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35">
        <f>SUM(Table64[[#This Row],[A]:[G]])</f>
        <v>0</v>
      </c>
    </row>
    <row r="81" spans="2:12" x14ac:dyDescent="0.25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35">
        <f>SUM(Table64[[#This Row],[A]:[G]])</f>
        <v>0</v>
      </c>
    </row>
    <row r="82" spans="2:12" x14ac:dyDescent="0.25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35">
        <f>SUM(Table64[[#This Row],[A]:[G]])</f>
        <v>0</v>
      </c>
    </row>
    <row r="83" spans="2:12" x14ac:dyDescent="0.25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35">
        <f>SUM(Table64[[#This Row],[A]:[G]])</f>
        <v>0</v>
      </c>
    </row>
    <row r="84" spans="2:12" x14ac:dyDescent="0.25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35">
        <f>SUM(Table64[[#This Row],[A]:[G]])</f>
        <v>0</v>
      </c>
    </row>
    <row r="85" spans="2:12" x14ac:dyDescent="0.25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35">
        <f>SUM(Table64[[#This Row],[A]:[G]])</f>
        <v>0</v>
      </c>
    </row>
    <row r="86" spans="2:12" x14ac:dyDescent="0.25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35">
        <f>SUM(Table64[[#This Row],[A]:[G]])</f>
        <v>0</v>
      </c>
    </row>
    <row r="87" spans="2:12" x14ac:dyDescent="0.25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35">
        <f>SUM(Table64[[#This Row],[A]:[G]])</f>
        <v>0</v>
      </c>
    </row>
    <row r="88" spans="2:12" x14ac:dyDescent="0.25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35">
        <f>SUM(Table64[[#This Row],[A]:[G]])</f>
        <v>0</v>
      </c>
    </row>
    <row r="89" spans="2:12" x14ac:dyDescent="0.25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35">
        <f>SUM(Table64[[#This Row],[A]:[G]])</f>
        <v>0</v>
      </c>
    </row>
    <row r="90" spans="2:12" x14ac:dyDescent="0.25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35">
        <f>SUM(Table64[[#This Row],[A]:[G]])</f>
        <v>0</v>
      </c>
    </row>
    <row r="91" spans="2:12" x14ac:dyDescent="0.25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35">
        <f>SUM(Table64[[#This Row],[A]:[G]])</f>
        <v>0</v>
      </c>
    </row>
    <row r="92" spans="2:12" x14ac:dyDescent="0.25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35">
        <f>SUM(Table64[[#This Row],[A]:[G]])</f>
        <v>0</v>
      </c>
    </row>
    <row r="93" spans="2:12" x14ac:dyDescent="0.25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35">
        <f>SUM(Table64[[#This Row],[A]:[G]])</f>
        <v>0</v>
      </c>
    </row>
    <row r="94" spans="2:12" x14ac:dyDescent="0.25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35">
        <f>SUM(Table64[[#This Row],[A]:[G]])</f>
        <v>0</v>
      </c>
    </row>
    <row r="95" spans="2:12" x14ac:dyDescent="0.25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35">
        <f>SUM(Table64[[#This Row],[A]:[G]])</f>
        <v>0</v>
      </c>
    </row>
    <row r="96" spans="2:12" x14ac:dyDescent="0.25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35">
        <f>SUM(Table64[[#This Row],[A]:[G]])</f>
        <v>0</v>
      </c>
    </row>
    <row r="97" spans="2:12" x14ac:dyDescent="0.25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35">
        <f>SUM(Table64[[#This Row],[A]:[G]])</f>
        <v>0</v>
      </c>
    </row>
    <row r="98" spans="2:12" x14ac:dyDescent="0.25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35">
        <f>SUM(Table64[[#This Row],[A]:[G]])</f>
        <v>0</v>
      </c>
    </row>
    <row r="99" spans="2:12" x14ac:dyDescent="0.25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35">
        <f>SUM(Table64[[#This Row],[A]:[G]])</f>
        <v>0</v>
      </c>
    </row>
    <row r="100" spans="2:12" x14ac:dyDescent="0.25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35">
        <f>SUM(Table64[[#This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35">
        <f>SUM(Table64[[#This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Kix0yCy80mTHSf3fNZLHx/SPrzSCwejrGPGIhz2sZdeQA43xPLal15pHtOAX8um3EBEyH+M/nYMISv7JJyG44A==" saltValue="InvKMdSgckDhuCZlduahMw==" spinCount="100000" sheet="1" objects="1" scenarios="1" selectLockedCells="1" sort="0" autoFilter="0"/>
  <protectedRanges>
    <protectedRange sqref="B6:L101" name="Filter"/>
  </protectedRanges>
  <mergeCells count="9">
    <mergeCell ref="A1:A1048576"/>
    <mergeCell ref="B1:L1"/>
    <mergeCell ref="B2:C2"/>
    <mergeCell ref="E2:F2"/>
    <mergeCell ref="G2:K2"/>
    <mergeCell ref="B3:C3"/>
    <mergeCell ref="E3:F3"/>
    <mergeCell ref="G3:K3"/>
    <mergeCell ref="B4:L4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C6:C101" xr:uid="{9DAC4FDA-DF9A-454F-8106-239C9AF949FD}">
      <formula1>"City, County, PNP, Government, Municipality, Co Op, Other"</formula1>
    </dataValidation>
    <dataValidation type="list" allowBlank="1" showInputMessage="1" showErrorMessage="1" sqref="D6:D101" xr:uid="{A3A70DFB-D5D5-4648-8DFD-FD173721D54C}">
      <formula1>"Complete, In Progress, Not Started, Withdrawn"</formula1>
    </dataValidation>
    <dataValidation type="list" allowBlank="1" showInputMessage="1" showErrorMessage="1" sqref="D102:D202" xr:uid="{06F03857-0BDF-4338-96E7-243FD8983A54}">
      <formula1>"Complete, In Progress, Not Started"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7C83E9-A9EA-4128-B542-F6222066A641}">
          <x14:formula1>
            <xm:f>'County Population and Threshold'!$A$4:$A$95</xm:f>
          </x14:formula1>
          <xm:sqref>B3:C3</xm:sqref>
        </x14:dataValidation>
        <x14:dataValidation type="list" allowBlank="1" showInputMessage="1" showErrorMessage="1" xr:uid="{B54A8A36-39A9-40E4-B49E-C08E7FAD42E5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4" tint="0.39997558519241921"/>
  </sheetPr>
  <dimension ref="A1:B100"/>
  <sheetViews>
    <sheetView showZeros="0" workbookViewId="0">
      <pane ySplit="1" topLeftCell="A2" activePane="bottomLeft" state="frozen"/>
      <selection pane="bottomLeft" activeCell="B4" sqref="B4"/>
    </sheetView>
  </sheetViews>
  <sheetFormatPr defaultRowHeight="45" customHeight="1" x14ac:dyDescent="0.25"/>
  <cols>
    <col min="1" max="1" width="55.6640625" style="19" customWidth="1"/>
    <col min="2" max="2" width="151" customWidth="1"/>
  </cols>
  <sheetData>
    <row r="1" spans="1:2" ht="45" customHeight="1" thickBot="1" x14ac:dyDescent="0.3">
      <c r="A1" s="18" t="s">
        <v>12</v>
      </c>
      <c r="B1" s="17" t="s">
        <v>8</v>
      </c>
    </row>
    <row r="2" spans="1:2" ht="64.8" customHeight="1" x14ac:dyDescent="0.25">
      <c r="A2" s="19" t="str">
        <f>'County Summary'!B6</f>
        <v>Floyd County Road Dept</v>
      </c>
      <c r="B2" s="36" t="s">
        <v>216</v>
      </c>
    </row>
    <row r="3" spans="1:2" ht="45" customHeight="1" x14ac:dyDescent="0.25">
      <c r="A3" s="19">
        <f>'County Summary'!B7</f>
        <v>0</v>
      </c>
      <c r="B3" s="10"/>
    </row>
    <row r="4" spans="1:2" ht="45" customHeight="1" x14ac:dyDescent="0.25">
      <c r="A4" s="19">
        <f>'County Summary'!B8</f>
        <v>0</v>
      </c>
      <c r="B4" s="10"/>
    </row>
    <row r="5" spans="1:2" ht="45" customHeight="1" x14ac:dyDescent="0.25">
      <c r="A5" s="19">
        <f>'County Summary'!B9</f>
        <v>0</v>
      </c>
      <c r="B5" s="10"/>
    </row>
    <row r="6" spans="1:2" ht="45" customHeight="1" x14ac:dyDescent="0.25">
      <c r="A6" s="19">
        <f>'County Summary'!B10</f>
        <v>0</v>
      </c>
      <c r="B6" s="10"/>
    </row>
    <row r="7" spans="1:2" ht="45" customHeight="1" x14ac:dyDescent="0.25">
      <c r="A7" s="19">
        <f>'County Summary'!B11</f>
        <v>0</v>
      </c>
      <c r="B7" s="10"/>
    </row>
    <row r="8" spans="1:2" ht="45" customHeight="1" x14ac:dyDescent="0.25">
      <c r="A8" s="19">
        <f>'County Summary'!B12</f>
        <v>0</v>
      </c>
      <c r="B8" s="10"/>
    </row>
    <row r="9" spans="1:2" ht="45" customHeight="1" x14ac:dyDescent="0.25">
      <c r="A9" s="19">
        <f>'County Summary'!B13</f>
        <v>0</v>
      </c>
      <c r="B9" s="10"/>
    </row>
    <row r="10" spans="1:2" ht="45" customHeight="1" x14ac:dyDescent="0.25">
      <c r="A10" s="19">
        <f>'County Summary'!B14</f>
        <v>0</v>
      </c>
      <c r="B10" s="10"/>
    </row>
    <row r="11" spans="1:2" ht="45" customHeight="1" x14ac:dyDescent="0.25">
      <c r="A11" s="19">
        <f>'County Summary'!B15</f>
        <v>0</v>
      </c>
      <c r="B11" s="10"/>
    </row>
    <row r="12" spans="1:2" ht="45" customHeight="1" x14ac:dyDescent="0.25">
      <c r="A12" s="19">
        <f>'County Summary'!B16</f>
        <v>0</v>
      </c>
      <c r="B12" s="10"/>
    </row>
    <row r="13" spans="1:2" ht="45" customHeight="1" x14ac:dyDescent="0.25">
      <c r="A13" s="19">
        <f>'County Summary'!B17</f>
        <v>0</v>
      </c>
      <c r="B13" s="10"/>
    </row>
    <row r="14" spans="1:2" ht="45" customHeight="1" x14ac:dyDescent="0.25">
      <c r="A14" s="19">
        <f>'County Summary'!B18</f>
        <v>0</v>
      </c>
      <c r="B14" s="10"/>
    </row>
    <row r="15" spans="1:2" ht="45" customHeight="1" x14ac:dyDescent="0.25">
      <c r="A15" s="19">
        <f>'County Summary'!B19</f>
        <v>0</v>
      </c>
      <c r="B15" s="10"/>
    </row>
    <row r="16" spans="1:2" ht="45" customHeight="1" x14ac:dyDescent="0.25">
      <c r="A16" s="19">
        <f>'County Summary'!B20</f>
        <v>0</v>
      </c>
      <c r="B16" s="10"/>
    </row>
    <row r="17" spans="1:2" ht="45" customHeight="1" x14ac:dyDescent="0.25">
      <c r="A17" s="19">
        <f>'County Summary'!B21</f>
        <v>0</v>
      </c>
      <c r="B17" s="10"/>
    </row>
    <row r="18" spans="1:2" ht="45" customHeight="1" x14ac:dyDescent="0.25">
      <c r="A18" s="19">
        <f>'County Summary'!B22</f>
        <v>0</v>
      </c>
      <c r="B18" s="10"/>
    </row>
    <row r="19" spans="1:2" ht="45" customHeight="1" x14ac:dyDescent="0.25">
      <c r="A19" s="19">
        <f>'County Summary'!B23</f>
        <v>0</v>
      </c>
      <c r="B19" s="10"/>
    </row>
    <row r="20" spans="1:2" ht="45" customHeight="1" x14ac:dyDescent="0.25">
      <c r="A20" s="19">
        <f>'County Summary'!B24</f>
        <v>0</v>
      </c>
      <c r="B20" s="10"/>
    </row>
    <row r="21" spans="1:2" ht="45" customHeight="1" x14ac:dyDescent="0.25">
      <c r="A21" s="19">
        <f>'County Summary'!B25</f>
        <v>0</v>
      </c>
      <c r="B21" s="10"/>
    </row>
    <row r="22" spans="1:2" ht="45" customHeight="1" x14ac:dyDescent="0.25">
      <c r="A22" s="19">
        <f>'County Summary'!B26</f>
        <v>0</v>
      </c>
      <c r="B22" s="10"/>
    </row>
    <row r="23" spans="1:2" ht="45" customHeight="1" x14ac:dyDescent="0.25">
      <c r="A23" s="19">
        <f>'County Summary'!B27</f>
        <v>0</v>
      </c>
      <c r="B23" s="10"/>
    </row>
    <row r="24" spans="1:2" ht="45" customHeight="1" x14ac:dyDescent="0.25">
      <c r="A24" s="19">
        <f>'County Summary'!B28</f>
        <v>0</v>
      </c>
      <c r="B24" s="10"/>
    </row>
    <row r="25" spans="1:2" ht="45" customHeight="1" x14ac:dyDescent="0.25">
      <c r="A25" s="19">
        <f>'County Summary'!B29</f>
        <v>0</v>
      </c>
      <c r="B25" s="10"/>
    </row>
    <row r="26" spans="1:2" ht="45" customHeight="1" x14ac:dyDescent="0.25">
      <c r="A26" s="19">
        <f>'County Summary'!B30</f>
        <v>0</v>
      </c>
      <c r="B26" s="10"/>
    </row>
    <row r="27" spans="1:2" ht="45" customHeight="1" x14ac:dyDescent="0.25">
      <c r="A27" s="19">
        <f>'County Summary'!B31</f>
        <v>0</v>
      </c>
      <c r="B27" s="10"/>
    </row>
    <row r="28" spans="1:2" ht="45" customHeight="1" x14ac:dyDescent="0.25">
      <c r="A28" s="19">
        <f>'County Summary'!B32</f>
        <v>0</v>
      </c>
      <c r="B28" s="10"/>
    </row>
    <row r="29" spans="1:2" ht="45" customHeight="1" x14ac:dyDescent="0.25">
      <c r="A29" s="19">
        <f>'County Summary'!B33</f>
        <v>0</v>
      </c>
      <c r="B29" s="10"/>
    </row>
    <row r="30" spans="1:2" ht="45" customHeight="1" x14ac:dyDescent="0.25">
      <c r="A30" s="19">
        <f>'County Summary'!B34</f>
        <v>0</v>
      </c>
      <c r="B30" s="10"/>
    </row>
    <row r="31" spans="1:2" ht="45" customHeight="1" x14ac:dyDescent="0.25">
      <c r="A31" s="19">
        <f>'County Summary'!B35</f>
        <v>0</v>
      </c>
      <c r="B31" s="10"/>
    </row>
    <row r="32" spans="1:2" ht="45" customHeight="1" x14ac:dyDescent="0.25">
      <c r="A32" s="19">
        <f>'County Summary'!B36</f>
        <v>0</v>
      </c>
      <c r="B32" s="10"/>
    </row>
    <row r="33" spans="1:2" ht="45" customHeight="1" x14ac:dyDescent="0.25">
      <c r="A33" s="19">
        <f>'County Summary'!B37</f>
        <v>0</v>
      </c>
      <c r="B33" s="10"/>
    </row>
    <row r="34" spans="1:2" ht="45" customHeight="1" x14ac:dyDescent="0.25">
      <c r="A34" s="19">
        <f>'County Summary'!B38</f>
        <v>0</v>
      </c>
      <c r="B34" s="10"/>
    </row>
    <row r="35" spans="1:2" ht="45" customHeight="1" x14ac:dyDescent="0.25">
      <c r="A35" s="19">
        <f>'County Summary'!B39</f>
        <v>0</v>
      </c>
      <c r="B35" s="10"/>
    </row>
    <row r="36" spans="1:2" ht="45" customHeight="1" x14ac:dyDescent="0.25">
      <c r="A36" s="19">
        <f>'County Summary'!B40</f>
        <v>0</v>
      </c>
      <c r="B36" s="10"/>
    </row>
    <row r="37" spans="1:2" ht="45" customHeight="1" x14ac:dyDescent="0.25">
      <c r="A37" s="19">
        <f>'County Summary'!B41</f>
        <v>0</v>
      </c>
      <c r="B37" s="10"/>
    </row>
    <row r="38" spans="1:2" ht="45" customHeight="1" x14ac:dyDescent="0.25">
      <c r="A38" s="19">
        <f>'County Summary'!B42</f>
        <v>0</v>
      </c>
      <c r="B38" s="10"/>
    </row>
    <row r="39" spans="1:2" ht="45" customHeight="1" x14ac:dyDescent="0.25">
      <c r="A39" s="19">
        <f>'County Summary'!B43</f>
        <v>0</v>
      </c>
      <c r="B39" s="10"/>
    </row>
    <row r="40" spans="1:2" ht="45" customHeight="1" x14ac:dyDescent="0.25">
      <c r="A40" s="19">
        <f>'County Summary'!B44</f>
        <v>0</v>
      </c>
      <c r="B40" s="10"/>
    </row>
    <row r="41" spans="1:2" ht="45" customHeight="1" x14ac:dyDescent="0.25">
      <c r="A41" s="19">
        <f>'County Summary'!B45</f>
        <v>0</v>
      </c>
      <c r="B41" s="10"/>
    </row>
    <row r="42" spans="1:2" ht="45" customHeight="1" x14ac:dyDescent="0.25">
      <c r="A42" s="19">
        <f>'County Summary'!B46</f>
        <v>0</v>
      </c>
      <c r="B42" s="10"/>
    </row>
    <row r="43" spans="1:2" ht="45" customHeight="1" x14ac:dyDescent="0.25">
      <c r="A43" s="19">
        <f>'County Summary'!B47</f>
        <v>0</v>
      </c>
      <c r="B43" s="10"/>
    </row>
    <row r="44" spans="1:2" ht="45" customHeight="1" x14ac:dyDescent="0.25">
      <c r="A44" s="19">
        <f>'County Summary'!B48</f>
        <v>0</v>
      </c>
      <c r="B44" s="10"/>
    </row>
    <row r="45" spans="1:2" ht="45" customHeight="1" x14ac:dyDescent="0.25">
      <c r="A45" s="19">
        <f>'County Summary'!B49</f>
        <v>0</v>
      </c>
      <c r="B45" s="10"/>
    </row>
    <row r="46" spans="1:2" ht="45" customHeight="1" x14ac:dyDescent="0.25">
      <c r="A46" s="19">
        <f>'County Summary'!B50</f>
        <v>0</v>
      </c>
      <c r="B46" s="10"/>
    </row>
    <row r="47" spans="1:2" ht="45" customHeight="1" x14ac:dyDescent="0.25">
      <c r="A47" s="19">
        <f>'County Summary'!B51</f>
        <v>0</v>
      </c>
      <c r="B47" s="10"/>
    </row>
    <row r="48" spans="1:2" ht="45" customHeight="1" x14ac:dyDescent="0.25">
      <c r="A48" s="19">
        <f>'County Summary'!B52</f>
        <v>0</v>
      </c>
      <c r="B48" s="10"/>
    </row>
    <row r="49" spans="1:2" ht="45" customHeight="1" x14ac:dyDescent="0.25">
      <c r="A49" s="19">
        <f>'County Summary'!B53</f>
        <v>0</v>
      </c>
      <c r="B49" s="10"/>
    </row>
    <row r="50" spans="1:2" ht="45" customHeight="1" x14ac:dyDescent="0.25">
      <c r="A50" s="19">
        <f>'County Summary'!B54</f>
        <v>0</v>
      </c>
      <c r="B50" s="10"/>
    </row>
    <row r="51" spans="1:2" ht="45" customHeight="1" x14ac:dyDescent="0.25">
      <c r="A51" s="19">
        <f>'County Summary'!B55</f>
        <v>0</v>
      </c>
      <c r="B51" s="10"/>
    </row>
    <row r="52" spans="1:2" ht="45" customHeight="1" x14ac:dyDescent="0.25">
      <c r="A52" s="19">
        <f>'County Summary'!B56</f>
        <v>0</v>
      </c>
      <c r="B52" s="10"/>
    </row>
    <row r="53" spans="1:2" ht="45" customHeight="1" x14ac:dyDescent="0.25">
      <c r="A53" s="19">
        <f>'County Summary'!B57</f>
        <v>0</v>
      </c>
      <c r="B53" s="10"/>
    </row>
    <row r="54" spans="1:2" ht="45" customHeight="1" x14ac:dyDescent="0.25">
      <c r="A54" s="19">
        <f>'County Summary'!B58</f>
        <v>0</v>
      </c>
      <c r="B54" s="10"/>
    </row>
    <row r="55" spans="1:2" ht="45" customHeight="1" x14ac:dyDescent="0.25">
      <c r="A55" s="19">
        <f>'County Summary'!B59</f>
        <v>0</v>
      </c>
      <c r="B55" s="10"/>
    </row>
    <row r="56" spans="1:2" ht="45" customHeight="1" x14ac:dyDescent="0.25">
      <c r="A56" s="19">
        <f>'County Summary'!B60</f>
        <v>0</v>
      </c>
      <c r="B56" s="10"/>
    </row>
    <row r="57" spans="1:2" ht="45" customHeight="1" x14ac:dyDescent="0.25">
      <c r="A57" s="19">
        <f>'County Summary'!B61</f>
        <v>0</v>
      </c>
      <c r="B57" s="10"/>
    </row>
    <row r="58" spans="1:2" ht="45" customHeight="1" x14ac:dyDescent="0.25">
      <c r="A58" s="19">
        <f>'County Summary'!B62</f>
        <v>0</v>
      </c>
      <c r="B58" s="10"/>
    </row>
    <row r="59" spans="1:2" ht="45" customHeight="1" x14ac:dyDescent="0.25">
      <c r="A59" s="19">
        <f>'County Summary'!B63</f>
        <v>0</v>
      </c>
      <c r="B59" s="10"/>
    </row>
    <row r="60" spans="1:2" ht="45" customHeight="1" x14ac:dyDescent="0.25">
      <c r="A60" s="19">
        <f>'County Summary'!B64</f>
        <v>0</v>
      </c>
      <c r="B60" s="10"/>
    </row>
    <row r="61" spans="1:2" ht="45" customHeight="1" x14ac:dyDescent="0.25">
      <c r="A61" s="19">
        <f>'County Summary'!B65</f>
        <v>0</v>
      </c>
      <c r="B61" s="10"/>
    </row>
    <row r="62" spans="1:2" ht="45" customHeight="1" x14ac:dyDescent="0.25">
      <c r="A62" s="19">
        <f>'County Summary'!B66</f>
        <v>0</v>
      </c>
      <c r="B62" s="10"/>
    </row>
    <row r="63" spans="1:2" ht="45" customHeight="1" x14ac:dyDescent="0.25">
      <c r="A63" s="19">
        <f>'County Summary'!B67</f>
        <v>0</v>
      </c>
      <c r="B63" s="10"/>
    </row>
    <row r="64" spans="1:2" ht="45" customHeight="1" x14ac:dyDescent="0.25">
      <c r="A64" s="19">
        <f>'County Summary'!B68</f>
        <v>0</v>
      </c>
      <c r="B64" s="10"/>
    </row>
    <row r="65" spans="1:2" ht="45" customHeight="1" x14ac:dyDescent="0.25">
      <c r="A65" s="19">
        <f>'County Summary'!B69</f>
        <v>0</v>
      </c>
      <c r="B65" s="10"/>
    </row>
    <row r="66" spans="1:2" ht="45" customHeight="1" x14ac:dyDescent="0.25">
      <c r="A66" s="19">
        <f>'County Summary'!B70</f>
        <v>0</v>
      </c>
      <c r="B66" s="10"/>
    </row>
    <row r="67" spans="1:2" ht="45" customHeight="1" x14ac:dyDescent="0.25">
      <c r="A67" s="19">
        <f>'County Summary'!B71</f>
        <v>0</v>
      </c>
      <c r="B67" s="10"/>
    </row>
    <row r="68" spans="1:2" ht="45" customHeight="1" x14ac:dyDescent="0.25">
      <c r="A68" s="19">
        <f>'County Summary'!B72</f>
        <v>0</v>
      </c>
      <c r="B68" s="10"/>
    </row>
    <row r="69" spans="1:2" ht="45" customHeight="1" x14ac:dyDescent="0.25">
      <c r="A69" s="19">
        <f>'County Summary'!B73</f>
        <v>0</v>
      </c>
      <c r="B69" s="10"/>
    </row>
    <row r="70" spans="1:2" ht="45" customHeight="1" x14ac:dyDescent="0.25">
      <c r="A70" s="19">
        <f>'County Summary'!B74</f>
        <v>0</v>
      </c>
      <c r="B70" s="10"/>
    </row>
    <row r="71" spans="1:2" ht="45" customHeight="1" x14ac:dyDescent="0.25">
      <c r="A71" s="19">
        <f>'County Summary'!B75</f>
        <v>0</v>
      </c>
      <c r="B71" s="10"/>
    </row>
    <row r="72" spans="1:2" ht="45" customHeight="1" x14ac:dyDescent="0.25">
      <c r="A72" s="19">
        <f>'County Summary'!B76</f>
        <v>0</v>
      </c>
      <c r="B72" s="10"/>
    </row>
    <row r="73" spans="1:2" ht="45" customHeight="1" x14ac:dyDescent="0.25">
      <c r="A73" s="19">
        <f>'County Summary'!B77</f>
        <v>0</v>
      </c>
      <c r="B73" s="10"/>
    </row>
    <row r="74" spans="1:2" ht="45" customHeight="1" x14ac:dyDescent="0.25">
      <c r="A74" s="19">
        <f>'County Summary'!B78</f>
        <v>0</v>
      </c>
      <c r="B74" s="10"/>
    </row>
    <row r="75" spans="1:2" ht="45" customHeight="1" x14ac:dyDescent="0.25">
      <c r="A75" s="19">
        <f>'County Summary'!B79</f>
        <v>0</v>
      </c>
      <c r="B75" s="10"/>
    </row>
    <row r="76" spans="1:2" ht="45" customHeight="1" x14ac:dyDescent="0.25">
      <c r="A76" s="19">
        <f>'County Summary'!B80</f>
        <v>0</v>
      </c>
      <c r="B76" s="10"/>
    </row>
    <row r="77" spans="1:2" ht="45" customHeight="1" x14ac:dyDescent="0.25">
      <c r="A77" s="19">
        <f>'County Summary'!B81</f>
        <v>0</v>
      </c>
      <c r="B77" s="10"/>
    </row>
    <row r="78" spans="1:2" ht="45" customHeight="1" x14ac:dyDescent="0.25">
      <c r="A78" s="19">
        <f>'County Summary'!B82</f>
        <v>0</v>
      </c>
      <c r="B78" s="10"/>
    </row>
    <row r="79" spans="1:2" ht="45" customHeight="1" x14ac:dyDescent="0.25">
      <c r="A79" s="19">
        <f>'County Summary'!B83</f>
        <v>0</v>
      </c>
      <c r="B79" s="10"/>
    </row>
    <row r="80" spans="1:2" ht="45" customHeight="1" x14ac:dyDescent="0.25">
      <c r="A80" s="19">
        <f>'County Summary'!B84</f>
        <v>0</v>
      </c>
      <c r="B80" s="10"/>
    </row>
    <row r="81" spans="1:2" ht="45" customHeight="1" x14ac:dyDescent="0.25">
      <c r="A81" s="19">
        <f>'County Summary'!B85</f>
        <v>0</v>
      </c>
      <c r="B81" s="10"/>
    </row>
    <row r="82" spans="1:2" ht="45" customHeight="1" x14ac:dyDescent="0.25">
      <c r="A82" s="19">
        <f>'County Summary'!B86</f>
        <v>0</v>
      </c>
      <c r="B82" s="10"/>
    </row>
    <row r="83" spans="1:2" ht="45" customHeight="1" x14ac:dyDescent="0.25">
      <c r="A83" s="19">
        <f>'County Summary'!B87</f>
        <v>0</v>
      </c>
      <c r="B83" s="10"/>
    </row>
    <row r="84" spans="1:2" ht="45" customHeight="1" x14ac:dyDescent="0.25">
      <c r="A84" s="19">
        <f>'County Summary'!B88</f>
        <v>0</v>
      </c>
      <c r="B84" s="10"/>
    </row>
    <row r="85" spans="1:2" ht="45" customHeight="1" x14ac:dyDescent="0.25">
      <c r="A85" s="19">
        <f>'County Summary'!B89</f>
        <v>0</v>
      </c>
      <c r="B85" s="10"/>
    </row>
    <row r="86" spans="1:2" ht="45" customHeight="1" x14ac:dyDescent="0.25">
      <c r="A86" s="19">
        <f>'County Summary'!B90</f>
        <v>0</v>
      </c>
      <c r="B86" s="10"/>
    </row>
    <row r="87" spans="1:2" ht="45" customHeight="1" x14ac:dyDescent="0.25">
      <c r="A87" s="19">
        <f>'County Summary'!B91</f>
        <v>0</v>
      </c>
      <c r="B87" s="10"/>
    </row>
    <row r="88" spans="1:2" ht="45" customHeight="1" x14ac:dyDescent="0.25">
      <c r="A88" s="19">
        <f>'County Summary'!B92</f>
        <v>0</v>
      </c>
      <c r="B88" s="10"/>
    </row>
    <row r="89" spans="1:2" ht="45" customHeight="1" x14ac:dyDescent="0.25">
      <c r="A89" s="19">
        <f>'County Summary'!B93</f>
        <v>0</v>
      </c>
      <c r="B89" s="10"/>
    </row>
    <row r="90" spans="1:2" ht="45" customHeight="1" x14ac:dyDescent="0.25">
      <c r="A90" s="19">
        <f>'County Summary'!B94</f>
        <v>0</v>
      </c>
      <c r="B90" s="10"/>
    </row>
    <row r="91" spans="1:2" ht="45" customHeight="1" x14ac:dyDescent="0.25">
      <c r="A91" s="19">
        <f>'County Summary'!B95</f>
        <v>0</v>
      </c>
      <c r="B91" s="10"/>
    </row>
    <row r="92" spans="1:2" ht="45" customHeight="1" x14ac:dyDescent="0.25">
      <c r="A92" s="19">
        <f>'County Summary'!B96</f>
        <v>0</v>
      </c>
      <c r="B92" s="10"/>
    </row>
    <row r="93" spans="1:2" ht="45" customHeight="1" x14ac:dyDescent="0.25">
      <c r="A93" s="19">
        <f>'County Summary'!B97</f>
        <v>0</v>
      </c>
      <c r="B93" s="10"/>
    </row>
    <row r="94" spans="1:2" ht="45" customHeight="1" x14ac:dyDescent="0.25">
      <c r="A94" s="19">
        <f>'County Summary'!B98</f>
        <v>0</v>
      </c>
      <c r="B94" s="10"/>
    </row>
    <row r="95" spans="1:2" ht="45" customHeight="1" x14ac:dyDescent="0.25">
      <c r="A95" s="19">
        <f>'County Summary'!B99</f>
        <v>0</v>
      </c>
      <c r="B95" s="10"/>
    </row>
    <row r="96" spans="1:2" ht="45" customHeight="1" x14ac:dyDescent="0.25">
      <c r="A96" s="19">
        <f>'County Summary'!B100</f>
        <v>0</v>
      </c>
      <c r="B96" s="10"/>
    </row>
    <row r="97" spans="1:2" ht="45" customHeight="1" x14ac:dyDescent="0.25">
      <c r="A97" s="19">
        <f>'County Summary'!B101</f>
        <v>0</v>
      </c>
      <c r="B97" s="10"/>
    </row>
    <row r="98" spans="1:2" ht="45" customHeight="1" x14ac:dyDescent="0.25">
      <c r="A98" s="19">
        <f>'County Summary'!B102</f>
        <v>0</v>
      </c>
      <c r="B98" s="10"/>
    </row>
    <row r="99" spans="1:2" ht="45" customHeight="1" x14ac:dyDescent="0.25">
      <c r="A99" s="19">
        <f>'County Summary'!B103</f>
        <v>0</v>
      </c>
      <c r="B99" s="10"/>
    </row>
    <row r="100" spans="1:2" ht="45" customHeight="1" x14ac:dyDescent="0.25">
      <c r="A100" s="19">
        <f>'County Summary'!B104</f>
        <v>0</v>
      </c>
      <c r="B100" s="10"/>
    </row>
  </sheetData>
  <sheetProtection algorithmName="SHA-512" hashValue="1GCFeYvwiG48pyt+R+cjCXVyeA4j9Ue6794oLrQr1yqfHNtoDnjyzUR+IMwtF1wRKdf3ivkpovZDRPjE2NsXiw==" saltValue="g5Mrq6qrENXWaI/y8mVXOQ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F4" sqref="F4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2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I95"/>
  <sheetViews>
    <sheetView workbookViewId="0">
      <selection activeCell="C19" sqref="C19"/>
    </sheetView>
  </sheetViews>
  <sheetFormatPr defaultRowHeight="13.2" x14ac:dyDescent="0.25"/>
  <cols>
    <col min="1" max="1" width="42.44140625" customWidth="1"/>
    <col min="3" max="3" width="27" customWidth="1"/>
    <col min="4" max="4" width="8.88671875" customWidth="1"/>
    <col min="5" max="6" width="19.44140625" style="23" customWidth="1"/>
    <col min="7" max="7" width="8.88671875" customWidth="1"/>
    <col min="8" max="8" width="14.109375" customWidth="1"/>
    <col min="9" max="9" width="12.6640625" customWidth="1"/>
  </cols>
  <sheetData>
    <row r="1" spans="1:9" x14ac:dyDescent="0.25">
      <c r="A1" s="8" t="s">
        <v>204</v>
      </c>
    </row>
    <row r="2" spans="1:9" ht="15" customHeight="1" thickBot="1" x14ac:dyDescent="0.3">
      <c r="A2" s="14"/>
    </row>
    <row r="3" spans="1:9" ht="13.8" thickBot="1" x14ac:dyDescent="0.3">
      <c r="A3" s="7" t="s">
        <v>15</v>
      </c>
      <c r="C3" s="15" t="s">
        <v>16</v>
      </c>
    </row>
    <row r="4" spans="1:9" ht="14.4" x14ac:dyDescent="0.3">
      <c r="A4" s="3" t="str">
        <f t="shared" ref="A4:A35" si="0">E4 &amp; " (" &amp; G4 &amp; ")" &amp; " - " &amp; I4</f>
        <v>Adams County (35,809) - $174,031.74</v>
      </c>
      <c r="C4" t="s">
        <v>205</v>
      </c>
      <c r="E4" s="24" t="s">
        <v>111</v>
      </c>
      <c r="F4" s="24">
        <v>35809</v>
      </c>
      <c r="G4" s="22" t="s">
        <v>19</v>
      </c>
      <c r="H4" s="22">
        <f>G4*4.86</f>
        <v>174031.74000000002</v>
      </c>
      <c r="I4" s="21" t="str">
        <f>TEXT(H4,"$#,##0.00")</f>
        <v>$174,031.74</v>
      </c>
    </row>
    <row r="5" spans="1:9" ht="14.4" x14ac:dyDescent="0.3">
      <c r="A5" s="3" t="str">
        <f t="shared" si="0"/>
        <v>Allen County (385,410) - $1,873,092.60</v>
      </c>
      <c r="C5" t="s">
        <v>206</v>
      </c>
      <c r="E5" s="24" t="s">
        <v>112</v>
      </c>
      <c r="F5" s="24">
        <v>385410</v>
      </c>
      <c r="G5" s="22" t="s">
        <v>56</v>
      </c>
      <c r="H5" s="22">
        <f t="shared" ref="H5:H68" si="1">G5*4.86</f>
        <v>1873092.6</v>
      </c>
      <c r="I5" s="21" t="str">
        <f t="shared" ref="I5:I68" si="2">TEXT(H5,"$#,##0.00")</f>
        <v>$1,873,092.60</v>
      </c>
    </row>
    <row r="6" spans="1:9" ht="14.4" x14ac:dyDescent="0.3">
      <c r="A6" s="3" t="str">
        <f t="shared" si="0"/>
        <v>Bartholomew County (82,208) - $399,530.88</v>
      </c>
      <c r="C6" t="s">
        <v>207</v>
      </c>
      <c r="E6" s="24" t="s">
        <v>113</v>
      </c>
      <c r="F6" s="24">
        <v>82208</v>
      </c>
      <c r="G6" s="22" t="s">
        <v>20</v>
      </c>
      <c r="H6" s="22">
        <f t="shared" si="1"/>
        <v>399530.88</v>
      </c>
      <c r="I6" s="21" t="str">
        <f t="shared" si="2"/>
        <v>$399,530.88</v>
      </c>
    </row>
    <row r="7" spans="1:9" ht="14.4" x14ac:dyDescent="0.3">
      <c r="A7" s="3" t="str">
        <f t="shared" si="0"/>
        <v>Benton County (8,719) - $42,374.34</v>
      </c>
      <c r="C7" s="16" t="s">
        <v>208</v>
      </c>
      <c r="E7" s="24" t="s">
        <v>114</v>
      </c>
      <c r="F7" s="24">
        <v>8719</v>
      </c>
      <c r="G7" s="22" t="s">
        <v>21</v>
      </c>
      <c r="H7" s="22">
        <f t="shared" si="1"/>
        <v>42374.340000000004</v>
      </c>
      <c r="I7" s="21" t="str">
        <f t="shared" si="2"/>
        <v>$42,374.34</v>
      </c>
    </row>
    <row r="8" spans="1:9" ht="14.4" x14ac:dyDescent="0.3">
      <c r="A8" s="3" t="str">
        <f t="shared" si="0"/>
        <v>Blackford County (12,112) - $58,864.32</v>
      </c>
      <c r="C8" t="s">
        <v>209</v>
      </c>
      <c r="E8" s="24" t="s">
        <v>115</v>
      </c>
      <c r="F8" s="24">
        <v>12112</v>
      </c>
      <c r="G8" s="22" t="s">
        <v>22</v>
      </c>
      <c r="H8" s="22">
        <f t="shared" si="1"/>
        <v>58864.320000000007</v>
      </c>
      <c r="I8" s="21" t="str">
        <f t="shared" si="2"/>
        <v>$58,864.32</v>
      </c>
    </row>
    <row r="9" spans="1:9" ht="14.4" x14ac:dyDescent="0.3">
      <c r="A9" s="3" t="str">
        <f t="shared" si="0"/>
        <v>Boone County (70,812) - $344,146.32</v>
      </c>
      <c r="C9" t="s">
        <v>210</v>
      </c>
      <c r="E9" s="24" t="s">
        <v>116</v>
      </c>
      <c r="F9" s="24">
        <v>70812</v>
      </c>
      <c r="G9" s="22" t="s">
        <v>23</v>
      </c>
      <c r="H9" s="22">
        <f t="shared" si="1"/>
        <v>344146.32</v>
      </c>
      <c r="I9" s="21" t="str">
        <f t="shared" si="2"/>
        <v>$344,146.32</v>
      </c>
    </row>
    <row r="10" spans="1:9" ht="14.4" x14ac:dyDescent="0.3">
      <c r="A10" s="3" t="str">
        <f t="shared" si="0"/>
        <v>Brown County (15,475) - $75,208.50</v>
      </c>
      <c r="C10" t="s">
        <v>211</v>
      </c>
      <c r="E10" s="24" t="s">
        <v>117</v>
      </c>
      <c r="F10" s="24">
        <v>15475</v>
      </c>
      <c r="G10" s="22" t="s">
        <v>24</v>
      </c>
      <c r="H10" s="22">
        <f t="shared" si="1"/>
        <v>75208.5</v>
      </c>
      <c r="I10" s="21" t="str">
        <f t="shared" si="2"/>
        <v>$75,208.50</v>
      </c>
    </row>
    <row r="11" spans="1:9" ht="14.4" x14ac:dyDescent="0.3">
      <c r="A11" s="3" t="str">
        <f t="shared" si="0"/>
        <v>Carroll County (20,306) - $98,687.16</v>
      </c>
      <c r="C11" t="s">
        <v>212</v>
      </c>
      <c r="E11" s="24" t="s">
        <v>118</v>
      </c>
      <c r="F11" s="24">
        <v>20306</v>
      </c>
      <c r="G11" s="22" t="s">
        <v>25</v>
      </c>
      <c r="H11" s="22">
        <f t="shared" si="1"/>
        <v>98687.16</v>
      </c>
      <c r="I11" s="21" t="str">
        <f t="shared" si="2"/>
        <v>$98,687.16</v>
      </c>
    </row>
    <row r="12" spans="1:9" ht="14.4" x14ac:dyDescent="0.3">
      <c r="A12" s="3" t="str">
        <f t="shared" si="0"/>
        <v>Cass County (37,870) - $184,048.20</v>
      </c>
      <c r="E12" s="24" t="s">
        <v>119</v>
      </c>
      <c r="F12" s="24">
        <v>37870</v>
      </c>
      <c r="G12" s="22" t="s">
        <v>26</v>
      </c>
      <c r="H12" s="22">
        <f t="shared" si="1"/>
        <v>184048.2</v>
      </c>
      <c r="I12" s="21" t="str">
        <f t="shared" si="2"/>
        <v>$184,048.20</v>
      </c>
    </row>
    <row r="13" spans="1:9" ht="14.4" x14ac:dyDescent="0.3">
      <c r="A13" s="3" t="str">
        <f t="shared" si="0"/>
        <v>Clark County (121,093) - $588,511.98</v>
      </c>
      <c r="E13" s="24" t="s">
        <v>120</v>
      </c>
      <c r="F13" s="24">
        <v>121093</v>
      </c>
      <c r="G13" s="22" t="s">
        <v>27</v>
      </c>
      <c r="H13" s="22">
        <f t="shared" si="1"/>
        <v>588511.98</v>
      </c>
      <c r="I13" s="21" t="str">
        <f t="shared" si="2"/>
        <v>$588,511.98</v>
      </c>
    </row>
    <row r="14" spans="1:9" ht="14.4" x14ac:dyDescent="0.3">
      <c r="A14" s="3" t="str">
        <f t="shared" si="0"/>
        <v>Clay County (26,466) - $128,624.76</v>
      </c>
      <c r="E14" s="24" t="s">
        <v>121</v>
      </c>
      <c r="F14" s="24">
        <v>26466</v>
      </c>
      <c r="G14" s="22" t="s">
        <v>28</v>
      </c>
      <c r="H14" s="22">
        <f t="shared" si="1"/>
        <v>128624.76000000001</v>
      </c>
      <c r="I14" s="21" t="str">
        <f t="shared" si="2"/>
        <v>$128,624.76</v>
      </c>
    </row>
    <row r="15" spans="1:9" ht="14.4" x14ac:dyDescent="0.3">
      <c r="A15" s="3" t="str">
        <f t="shared" si="0"/>
        <v>Clinton County (33,190) - $161,303.40</v>
      </c>
      <c r="E15" s="24" t="s">
        <v>122</v>
      </c>
      <c r="F15" s="24">
        <v>33190</v>
      </c>
      <c r="G15" s="22" t="s">
        <v>29</v>
      </c>
      <c r="H15" s="22">
        <f t="shared" si="1"/>
        <v>161303.40000000002</v>
      </c>
      <c r="I15" s="21" t="str">
        <f t="shared" si="2"/>
        <v>$161,303.40</v>
      </c>
    </row>
    <row r="16" spans="1:9" ht="14.4" x14ac:dyDescent="0.3">
      <c r="A16" s="3" t="str">
        <f t="shared" si="0"/>
        <v>Crawford County (10,526) - $51,156.36</v>
      </c>
      <c r="E16" s="24" t="s">
        <v>123</v>
      </c>
      <c r="F16" s="24">
        <v>10526</v>
      </c>
      <c r="G16" s="22" t="s">
        <v>30</v>
      </c>
      <c r="H16" s="22">
        <f t="shared" si="1"/>
        <v>51156.36</v>
      </c>
      <c r="I16" s="21" t="str">
        <f t="shared" si="2"/>
        <v>$51,156.36</v>
      </c>
    </row>
    <row r="17" spans="1:9" ht="14.4" x14ac:dyDescent="0.3">
      <c r="A17" s="3" t="str">
        <f t="shared" si="0"/>
        <v>Daviess County (33,381) - $162,231.66</v>
      </c>
      <c r="E17" s="24" t="s">
        <v>124</v>
      </c>
      <c r="F17" s="24">
        <v>33381</v>
      </c>
      <c r="G17" s="22" t="s">
        <v>31</v>
      </c>
      <c r="H17" s="22">
        <f t="shared" si="1"/>
        <v>162231.66</v>
      </c>
      <c r="I17" s="21" t="str">
        <f t="shared" si="2"/>
        <v>$162,231.66</v>
      </c>
    </row>
    <row r="18" spans="1:9" ht="14.4" x14ac:dyDescent="0.3">
      <c r="A18" s="3" t="str">
        <f t="shared" si="0"/>
        <v>Dearborn County (50,679) - $246,299.94</v>
      </c>
      <c r="E18" s="24" t="s">
        <v>125</v>
      </c>
      <c r="F18" s="24">
        <v>50679</v>
      </c>
      <c r="G18" s="22" t="s">
        <v>32</v>
      </c>
      <c r="H18" s="22">
        <f t="shared" si="1"/>
        <v>246299.94</v>
      </c>
      <c r="I18" s="21" t="str">
        <f t="shared" si="2"/>
        <v>$246,299.94</v>
      </c>
    </row>
    <row r="19" spans="1:9" ht="14.4" x14ac:dyDescent="0.3">
      <c r="A19" s="3" t="str">
        <f t="shared" si="0"/>
        <v>Decatur County (26,472) - $128,653.92</v>
      </c>
      <c r="E19" s="24" t="s">
        <v>126</v>
      </c>
      <c r="F19" s="24">
        <v>26472</v>
      </c>
      <c r="G19" s="22" t="s">
        <v>33</v>
      </c>
      <c r="H19" s="22">
        <f t="shared" si="1"/>
        <v>128653.92000000001</v>
      </c>
      <c r="I19" s="21" t="str">
        <f t="shared" si="2"/>
        <v>$128,653.92</v>
      </c>
    </row>
    <row r="20" spans="1:9" ht="14.4" x14ac:dyDescent="0.3">
      <c r="A20" s="3" t="str">
        <f t="shared" si="0"/>
        <v>DeKalb County (43,265) - $210,267.90</v>
      </c>
      <c r="E20" s="24" t="s">
        <v>127</v>
      </c>
      <c r="F20" s="24">
        <v>43265</v>
      </c>
      <c r="G20" s="22" t="s">
        <v>34</v>
      </c>
      <c r="H20" s="22">
        <f t="shared" si="1"/>
        <v>210267.90000000002</v>
      </c>
      <c r="I20" s="21" t="str">
        <f t="shared" si="2"/>
        <v>$210,267.90</v>
      </c>
    </row>
    <row r="21" spans="1:9" ht="14.4" x14ac:dyDescent="0.3">
      <c r="A21" s="3" t="str">
        <f t="shared" si="0"/>
        <v>Delaware County (111,903) - $543,848.58</v>
      </c>
      <c r="C21" s="2"/>
      <c r="E21" s="24" t="s">
        <v>128</v>
      </c>
      <c r="F21" s="24">
        <v>111903</v>
      </c>
      <c r="G21" s="22" t="s">
        <v>35</v>
      </c>
      <c r="H21" s="22">
        <f t="shared" si="1"/>
        <v>543848.58000000007</v>
      </c>
      <c r="I21" s="21" t="str">
        <f t="shared" si="2"/>
        <v>$543,848.58</v>
      </c>
    </row>
    <row r="22" spans="1:9" ht="14.4" x14ac:dyDescent="0.3">
      <c r="A22" s="3" t="str">
        <f t="shared" si="0"/>
        <v>Dubois County (43,637) - $212,075.82</v>
      </c>
      <c r="C22" s="16"/>
      <c r="E22" s="24" t="s">
        <v>129</v>
      </c>
      <c r="F22" s="24">
        <v>43637</v>
      </c>
      <c r="G22" s="22" t="s">
        <v>36</v>
      </c>
      <c r="H22" s="22">
        <f t="shared" si="1"/>
        <v>212075.82</v>
      </c>
      <c r="I22" s="21" t="str">
        <f t="shared" si="2"/>
        <v>$212,075.82</v>
      </c>
    </row>
    <row r="23" spans="1:9" ht="14.4" x14ac:dyDescent="0.3">
      <c r="A23" s="3" t="str">
        <f t="shared" si="0"/>
        <v>Elkhart County (207,047) - $1,006,248.42</v>
      </c>
      <c r="E23" s="24" t="s">
        <v>130</v>
      </c>
      <c r="F23" s="24">
        <v>207047</v>
      </c>
      <c r="G23" s="22" t="s">
        <v>37</v>
      </c>
      <c r="H23" s="22">
        <f t="shared" si="1"/>
        <v>1006248.42</v>
      </c>
      <c r="I23" s="21" t="str">
        <f t="shared" si="2"/>
        <v>$1,006,248.42</v>
      </c>
    </row>
    <row r="24" spans="1:9" ht="14.4" x14ac:dyDescent="0.3">
      <c r="A24" s="3" t="str">
        <f t="shared" si="0"/>
        <v>Fayette County (23,398) - $113,714.28</v>
      </c>
      <c r="E24" s="24" t="s">
        <v>131</v>
      </c>
      <c r="F24" s="24">
        <v>23398</v>
      </c>
      <c r="G24" s="22" t="s">
        <v>38</v>
      </c>
      <c r="H24" s="22">
        <f t="shared" si="1"/>
        <v>113714.28000000001</v>
      </c>
      <c r="I24" s="21" t="str">
        <f t="shared" si="2"/>
        <v>$113,714.28</v>
      </c>
    </row>
    <row r="25" spans="1:9" ht="14.4" x14ac:dyDescent="0.3">
      <c r="A25" s="3" t="str">
        <f t="shared" si="0"/>
        <v>Floyd County (80,484) - $391,152.24</v>
      </c>
      <c r="E25" s="24" t="s">
        <v>132</v>
      </c>
      <c r="F25" s="24">
        <v>80484</v>
      </c>
      <c r="G25" s="22" t="s">
        <v>39</v>
      </c>
      <c r="H25" s="22">
        <f t="shared" si="1"/>
        <v>391152.24000000005</v>
      </c>
      <c r="I25" s="21" t="str">
        <f t="shared" si="2"/>
        <v>$391,152.24</v>
      </c>
    </row>
    <row r="26" spans="1:9" ht="14.4" x14ac:dyDescent="0.3">
      <c r="A26" s="3" t="str">
        <f t="shared" si="0"/>
        <v>Fountain County (16,479) - $80,087.94</v>
      </c>
      <c r="E26" s="24" t="s">
        <v>133</v>
      </c>
      <c r="F26" s="24">
        <v>16479</v>
      </c>
      <c r="G26" s="22" t="s">
        <v>40</v>
      </c>
      <c r="H26" s="22">
        <f t="shared" si="1"/>
        <v>80087.94</v>
      </c>
      <c r="I26" s="21" t="str">
        <f t="shared" si="2"/>
        <v>$80,087.94</v>
      </c>
    </row>
    <row r="27" spans="1:9" ht="14.4" x14ac:dyDescent="0.3">
      <c r="A27" s="3" t="str">
        <f t="shared" si="0"/>
        <v>Franklin County (22,785) - $110,735.10</v>
      </c>
      <c r="E27" s="24" t="s">
        <v>134</v>
      </c>
      <c r="F27" s="24">
        <v>22785</v>
      </c>
      <c r="G27" s="22" t="s">
        <v>41</v>
      </c>
      <c r="H27" s="22">
        <f t="shared" si="1"/>
        <v>110735.1</v>
      </c>
      <c r="I27" s="21" t="str">
        <f t="shared" si="2"/>
        <v>$110,735.10</v>
      </c>
    </row>
    <row r="28" spans="1:9" ht="14.4" x14ac:dyDescent="0.3">
      <c r="A28" s="3" t="str">
        <f t="shared" si="0"/>
        <v>Fulton County (20,480) - $99,532.80</v>
      </c>
      <c r="E28" s="24" t="s">
        <v>135</v>
      </c>
      <c r="F28" s="24">
        <v>20480</v>
      </c>
      <c r="G28" s="22" t="s">
        <v>42</v>
      </c>
      <c r="H28" s="22">
        <f t="shared" si="1"/>
        <v>99532.800000000003</v>
      </c>
      <c r="I28" s="21" t="str">
        <f t="shared" si="2"/>
        <v>$99,532.80</v>
      </c>
    </row>
    <row r="29" spans="1:9" ht="14.4" x14ac:dyDescent="0.3">
      <c r="A29" s="3" t="str">
        <f t="shared" si="0"/>
        <v>Gibson County (33,011) - $160,433.46</v>
      </c>
      <c r="E29" s="24" t="s">
        <v>136</v>
      </c>
      <c r="F29" s="24">
        <v>33011</v>
      </c>
      <c r="G29" s="22" t="s">
        <v>43</v>
      </c>
      <c r="H29" s="22">
        <f t="shared" si="1"/>
        <v>160433.46000000002</v>
      </c>
      <c r="I29" s="21" t="str">
        <f t="shared" si="2"/>
        <v>$160,433.46</v>
      </c>
    </row>
    <row r="30" spans="1:9" ht="14.4" x14ac:dyDescent="0.3">
      <c r="A30" s="3" t="str">
        <f t="shared" si="0"/>
        <v>Grant County (66,674) - $324,035.64</v>
      </c>
      <c r="E30" s="24" t="s">
        <v>137</v>
      </c>
      <c r="F30" s="24">
        <v>66674</v>
      </c>
      <c r="G30" s="22" t="s">
        <v>44</v>
      </c>
      <c r="H30" s="22">
        <f t="shared" si="1"/>
        <v>324035.64</v>
      </c>
      <c r="I30" s="21" t="str">
        <f t="shared" si="2"/>
        <v>$324,035.64</v>
      </c>
    </row>
    <row r="31" spans="1:9" ht="14.4" x14ac:dyDescent="0.3">
      <c r="A31" s="3" t="str">
        <f t="shared" si="0"/>
        <v>Greene County (30,803) - $149,702.58</v>
      </c>
      <c r="E31" s="24" t="s">
        <v>138</v>
      </c>
      <c r="F31" s="24">
        <v>30803</v>
      </c>
      <c r="G31" s="22" t="s">
        <v>45</v>
      </c>
      <c r="H31" s="22">
        <f t="shared" si="1"/>
        <v>149702.58000000002</v>
      </c>
      <c r="I31" s="21" t="str">
        <f t="shared" si="2"/>
        <v>$149,702.58</v>
      </c>
    </row>
    <row r="32" spans="1:9" ht="14.4" x14ac:dyDescent="0.3">
      <c r="A32" s="3" t="str">
        <f t="shared" si="0"/>
        <v>Hamilton County (347,467) - $1,688,689.62</v>
      </c>
      <c r="E32" s="24" t="s">
        <v>139</v>
      </c>
      <c r="F32" s="24">
        <v>347467</v>
      </c>
      <c r="G32" s="22" t="s">
        <v>46</v>
      </c>
      <c r="H32" s="22">
        <f t="shared" si="1"/>
        <v>1688689.62</v>
      </c>
      <c r="I32" s="21" t="str">
        <f t="shared" si="2"/>
        <v>$1,688,689.62</v>
      </c>
    </row>
    <row r="33" spans="1:9" ht="14.4" x14ac:dyDescent="0.3">
      <c r="A33" s="3" t="str">
        <f t="shared" si="0"/>
        <v>Hancock County (79,840) - $388,022.40</v>
      </c>
      <c r="E33" s="24" t="s">
        <v>140</v>
      </c>
      <c r="F33" s="24">
        <v>79840</v>
      </c>
      <c r="G33" s="22" t="s">
        <v>47</v>
      </c>
      <c r="H33" s="22">
        <f t="shared" si="1"/>
        <v>388022.4</v>
      </c>
      <c r="I33" s="21" t="str">
        <f t="shared" si="2"/>
        <v>$388,022.40</v>
      </c>
    </row>
    <row r="34" spans="1:9" ht="14.4" x14ac:dyDescent="0.3">
      <c r="A34" s="3" t="str">
        <f t="shared" si="0"/>
        <v>Harrison County (39,654) - $192,718.44</v>
      </c>
      <c r="E34" s="24" t="s">
        <v>141</v>
      </c>
      <c r="F34" s="24">
        <v>39654</v>
      </c>
      <c r="G34" s="22" t="s">
        <v>48</v>
      </c>
      <c r="H34" s="22">
        <f t="shared" si="1"/>
        <v>192718.44</v>
      </c>
      <c r="I34" s="21" t="str">
        <f t="shared" si="2"/>
        <v>$192,718.44</v>
      </c>
    </row>
    <row r="35" spans="1:9" ht="14.4" x14ac:dyDescent="0.3">
      <c r="A35" s="3" t="str">
        <f t="shared" si="0"/>
        <v>Hendricks County (174,788) - $849,469.68</v>
      </c>
      <c r="E35" s="24" t="s">
        <v>142</v>
      </c>
      <c r="F35" s="24">
        <v>174788</v>
      </c>
      <c r="G35" s="22" t="s">
        <v>49</v>
      </c>
      <c r="H35" s="22">
        <f t="shared" si="1"/>
        <v>849469.68</v>
      </c>
      <c r="I35" s="21" t="str">
        <f t="shared" si="2"/>
        <v>$849,469.68</v>
      </c>
    </row>
    <row r="36" spans="1:9" ht="14.4" x14ac:dyDescent="0.3">
      <c r="A36" s="3" t="str">
        <f t="shared" ref="A36:A67" si="3">E36 &amp; " (" &amp; G36 &amp; ")" &amp; " - " &amp; I36</f>
        <v>Henry County (48,914) - $237,722.04</v>
      </c>
      <c r="E36" s="24" t="s">
        <v>143</v>
      </c>
      <c r="F36" s="24">
        <v>48914</v>
      </c>
      <c r="G36" s="22" t="s">
        <v>50</v>
      </c>
      <c r="H36" s="22">
        <f t="shared" si="1"/>
        <v>237722.04</v>
      </c>
      <c r="I36" s="21" t="str">
        <f t="shared" si="2"/>
        <v>$237,722.04</v>
      </c>
    </row>
    <row r="37" spans="1:9" ht="14.4" x14ac:dyDescent="0.3">
      <c r="A37" s="3" t="str">
        <f t="shared" si="3"/>
        <v>Howard County (83,658) - $406,577.88</v>
      </c>
      <c r="E37" s="24" t="s">
        <v>144</v>
      </c>
      <c r="F37" s="24">
        <v>83658</v>
      </c>
      <c r="G37" s="22" t="s">
        <v>51</v>
      </c>
      <c r="H37" s="22">
        <f t="shared" si="1"/>
        <v>406577.88</v>
      </c>
      <c r="I37" s="21" t="str">
        <f t="shared" si="2"/>
        <v>$406,577.88</v>
      </c>
    </row>
    <row r="38" spans="1:9" ht="14.4" x14ac:dyDescent="0.3">
      <c r="A38" s="3" t="str">
        <f t="shared" si="3"/>
        <v>Huntington County (36,662) - $178,177.32</v>
      </c>
      <c r="E38" s="24" t="s">
        <v>145</v>
      </c>
      <c r="F38" s="24">
        <v>36662</v>
      </c>
      <c r="G38" s="22" t="s">
        <v>52</v>
      </c>
      <c r="H38" s="22">
        <f t="shared" si="1"/>
        <v>178177.32</v>
      </c>
      <c r="I38" s="21" t="str">
        <f t="shared" si="2"/>
        <v>$178,177.32</v>
      </c>
    </row>
    <row r="39" spans="1:9" ht="14.4" x14ac:dyDescent="0.3">
      <c r="A39" s="3" t="str">
        <f t="shared" si="3"/>
        <v>Jackson County (46,428) - $225,640.08</v>
      </c>
      <c r="E39" s="24" t="s">
        <v>146</v>
      </c>
      <c r="F39" s="24">
        <v>46428</v>
      </c>
      <c r="G39" s="22" t="s">
        <v>53</v>
      </c>
      <c r="H39" s="22">
        <f t="shared" si="1"/>
        <v>225640.08000000002</v>
      </c>
      <c r="I39" s="21" t="str">
        <f t="shared" si="2"/>
        <v>$225,640.08</v>
      </c>
    </row>
    <row r="40" spans="1:9" ht="14.4" x14ac:dyDescent="0.3">
      <c r="A40" s="3" t="str">
        <f t="shared" si="3"/>
        <v>Jasper County (32,918) - $159,981.48</v>
      </c>
      <c r="E40" s="24" t="s">
        <v>147</v>
      </c>
      <c r="F40" s="24">
        <v>32918</v>
      </c>
      <c r="G40" s="22" t="s">
        <v>54</v>
      </c>
      <c r="H40" s="22">
        <f t="shared" si="1"/>
        <v>159981.48000000001</v>
      </c>
      <c r="I40" s="21" t="str">
        <f t="shared" si="2"/>
        <v>$159,981.48</v>
      </c>
    </row>
    <row r="41" spans="1:9" ht="14.4" x14ac:dyDescent="0.3">
      <c r="A41" s="3" t="str">
        <f t="shared" si="3"/>
        <v>Jay County (20,478) - $99,523.08</v>
      </c>
      <c r="E41" s="24" t="s">
        <v>148</v>
      </c>
      <c r="F41" s="24">
        <v>20478</v>
      </c>
      <c r="G41" s="22" t="s">
        <v>55</v>
      </c>
      <c r="H41" s="22">
        <f t="shared" si="1"/>
        <v>99523.08</v>
      </c>
      <c r="I41" s="21" t="str">
        <f t="shared" si="2"/>
        <v>$99,523.08</v>
      </c>
    </row>
    <row r="42" spans="1:9" ht="14.4" x14ac:dyDescent="0.3">
      <c r="A42" s="3" t="str">
        <f t="shared" si="3"/>
        <v>Jefferson County (33,147) - $161,094.42</v>
      </c>
      <c r="E42" s="24" t="s">
        <v>149</v>
      </c>
      <c r="F42" s="24">
        <v>33147</v>
      </c>
      <c r="G42" s="22" t="s">
        <v>57</v>
      </c>
      <c r="H42" s="22">
        <f t="shared" si="1"/>
        <v>161094.42000000001</v>
      </c>
      <c r="I42" s="21" t="str">
        <f t="shared" si="2"/>
        <v>$161,094.42</v>
      </c>
    </row>
    <row r="43" spans="1:9" ht="14.4" x14ac:dyDescent="0.3">
      <c r="A43" s="3" t="str">
        <f t="shared" si="3"/>
        <v>Jennings County (27,613) - $134,199.18</v>
      </c>
      <c r="E43" s="24" t="s">
        <v>150</v>
      </c>
      <c r="F43" s="24">
        <v>27613</v>
      </c>
      <c r="G43" s="22" t="s">
        <v>58</v>
      </c>
      <c r="H43" s="22">
        <f t="shared" si="1"/>
        <v>134199.18000000002</v>
      </c>
      <c r="I43" s="21" t="str">
        <f t="shared" si="2"/>
        <v>$134,199.18</v>
      </c>
    </row>
    <row r="44" spans="1:9" ht="14.4" x14ac:dyDescent="0.3">
      <c r="A44" s="3" t="str">
        <f t="shared" si="3"/>
        <v>Johnson County (161,765) - $786,177.90</v>
      </c>
      <c r="E44" s="24" t="s">
        <v>151</v>
      </c>
      <c r="F44" s="24">
        <v>161765</v>
      </c>
      <c r="G44" s="22" t="s">
        <v>59</v>
      </c>
      <c r="H44" s="22">
        <f t="shared" si="1"/>
        <v>786177.9</v>
      </c>
      <c r="I44" s="21" t="str">
        <f t="shared" si="2"/>
        <v>$786,177.90</v>
      </c>
    </row>
    <row r="45" spans="1:9" ht="14.4" x14ac:dyDescent="0.3">
      <c r="A45" s="3" t="str">
        <f t="shared" si="3"/>
        <v>Knox County (36,282) - $176,330.52</v>
      </c>
      <c r="E45" s="24" t="s">
        <v>152</v>
      </c>
      <c r="F45" s="24">
        <v>36282</v>
      </c>
      <c r="G45" s="22" t="s">
        <v>60</v>
      </c>
      <c r="H45" s="22">
        <f t="shared" si="1"/>
        <v>176330.52000000002</v>
      </c>
      <c r="I45" s="21" t="str">
        <f t="shared" si="2"/>
        <v>$176,330.52</v>
      </c>
    </row>
    <row r="46" spans="1:9" ht="14.4" x14ac:dyDescent="0.3">
      <c r="A46" s="3" t="str">
        <f t="shared" si="3"/>
        <v>Kosciusko County (80,240) - $389,966.40</v>
      </c>
      <c r="E46" s="24" t="s">
        <v>153</v>
      </c>
      <c r="F46" s="24">
        <v>80240</v>
      </c>
      <c r="G46" s="22" t="s">
        <v>61</v>
      </c>
      <c r="H46" s="22">
        <f t="shared" si="1"/>
        <v>389966.4</v>
      </c>
      <c r="I46" s="21" t="str">
        <f t="shared" si="2"/>
        <v>$389,966.40</v>
      </c>
    </row>
    <row r="47" spans="1:9" ht="14.4" x14ac:dyDescent="0.3">
      <c r="A47" s="3" t="str">
        <f t="shared" si="3"/>
        <v>LaGrange County (40,446) - $196,567.56</v>
      </c>
      <c r="E47" s="24" t="s">
        <v>154</v>
      </c>
      <c r="F47" s="24">
        <v>40446</v>
      </c>
      <c r="G47" s="22" t="s">
        <v>62</v>
      </c>
      <c r="H47" s="22">
        <f t="shared" si="1"/>
        <v>196567.56000000003</v>
      </c>
      <c r="I47" s="21" t="str">
        <f t="shared" si="2"/>
        <v>$196,567.56</v>
      </c>
    </row>
    <row r="48" spans="1:9" ht="14.4" x14ac:dyDescent="0.3">
      <c r="A48" s="3" t="str">
        <f t="shared" si="3"/>
        <v>Lake County (498,700) - $2,423,682.00</v>
      </c>
      <c r="E48" s="24" t="s">
        <v>155</v>
      </c>
      <c r="F48" s="24">
        <v>498700</v>
      </c>
      <c r="G48" s="22" t="s">
        <v>63</v>
      </c>
      <c r="H48" s="22">
        <f t="shared" si="1"/>
        <v>2423682</v>
      </c>
      <c r="I48" s="21" t="str">
        <f t="shared" si="2"/>
        <v>$2,423,682.00</v>
      </c>
    </row>
    <row r="49" spans="1:9" ht="14.4" x14ac:dyDescent="0.3">
      <c r="A49" s="3" t="str">
        <f t="shared" si="3"/>
        <v>LaPorte County (112,417) - $546,346.62</v>
      </c>
      <c r="E49" s="24" t="s">
        <v>156</v>
      </c>
      <c r="F49" s="24">
        <v>112417</v>
      </c>
      <c r="G49" s="22" t="s">
        <v>64</v>
      </c>
      <c r="H49" s="22">
        <f t="shared" si="1"/>
        <v>546346.62</v>
      </c>
      <c r="I49" s="21" t="str">
        <f t="shared" si="2"/>
        <v>$546,346.62</v>
      </c>
    </row>
    <row r="50" spans="1:9" ht="14.4" x14ac:dyDescent="0.3">
      <c r="A50" s="3" t="str">
        <f t="shared" si="3"/>
        <v>Lawrence County (45,011) - $218,753.46</v>
      </c>
      <c r="E50" s="24" t="s">
        <v>157</v>
      </c>
      <c r="F50" s="24">
        <v>45011</v>
      </c>
      <c r="G50" s="22" t="s">
        <v>65</v>
      </c>
      <c r="H50" s="22">
        <f t="shared" si="1"/>
        <v>218753.46000000002</v>
      </c>
      <c r="I50" s="21" t="str">
        <f t="shared" si="2"/>
        <v>$218,753.46</v>
      </c>
    </row>
    <row r="51" spans="1:9" ht="14.4" x14ac:dyDescent="0.3">
      <c r="A51" s="3" t="str">
        <f t="shared" si="3"/>
        <v>Madison County (130,129) - $632,426.94</v>
      </c>
      <c r="E51" s="24" t="s">
        <v>158</v>
      </c>
      <c r="F51" s="24">
        <v>130129</v>
      </c>
      <c r="G51" s="22" t="s">
        <v>66</v>
      </c>
      <c r="H51" s="22">
        <f t="shared" si="1"/>
        <v>632426.94000000006</v>
      </c>
      <c r="I51" s="21" t="str">
        <f t="shared" si="2"/>
        <v>$632,426.94</v>
      </c>
    </row>
    <row r="52" spans="1:9" ht="14.4" x14ac:dyDescent="0.3">
      <c r="A52" s="3" t="str">
        <f t="shared" si="3"/>
        <v>Marion County (977,203) - $4,749,206.58</v>
      </c>
      <c r="E52" s="24" t="s">
        <v>159</v>
      </c>
      <c r="F52" s="24">
        <v>977203</v>
      </c>
      <c r="G52" s="22" t="s">
        <v>67</v>
      </c>
      <c r="H52" s="22">
        <f t="shared" si="1"/>
        <v>4749206.58</v>
      </c>
      <c r="I52" s="21" t="str">
        <f t="shared" si="2"/>
        <v>$4,749,206.58</v>
      </c>
    </row>
    <row r="53" spans="1:9" ht="14.4" x14ac:dyDescent="0.3">
      <c r="A53" s="3" t="str">
        <f t="shared" si="3"/>
        <v>Marshall County (46,095) - $224,021.70</v>
      </c>
      <c r="E53" s="24" t="s">
        <v>160</v>
      </c>
      <c r="F53" s="24">
        <v>46095</v>
      </c>
      <c r="G53" s="22" t="s">
        <v>68</v>
      </c>
      <c r="H53" s="22">
        <f t="shared" si="1"/>
        <v>224021.7</v>
      </c>
      <c r="I53" s="21" t="str">
        <f t="shared" si="2"/>
        <v>$224,021.70</v>
      </c>
    </row>
    <row r="54" spans="1:9" ht="14.4" x14ac:dyDescent="0.3">
      <c r="A54" s="3" t="str">
        <f t="shared" si="3"/>
        <v>Martin County (9,812) - $47,686.32</v>
      </c>
      <c r="E54" s="24" t="s">
        <v>161</v>
      </c>
      <c r="F54" s="24">
        <v>9812</v>
      </c>
      <c r="G54" s="22" t="s">
        <v>69</v>
      </c>
      <c r="H54" s="22">
        <f t="shared" si="1"/>
        <v>47686.32</v>
      </c>
      <c r="I54" s="21" t="str">
        <f t="shared" si="2"/>
        <v>$47,686.32</v>
      </c>
    </row>
    <row r="55" spans="1:9" ht="14.4" x14ac:dyDescent="0.3">
      <c r="A55" s="3" t="str">
        <f t="shared" si="3"/>
        <v>Miami County (35,962) - $174,775.32</v>
      </c>
      <c r="E55" s="24" t="s">
        <v>162</v>
      </c>
      <c r="F55" s="24">
        <v>35962</v>
      </c>
      <c r="G55" s="22" t="s">
        <v>70</v>
      </c>
      <c r="H55" s="22">
        <f t="shared" si="1"/>
        <v>174775.32</v>
      </c>
      <c r="I55" s="21" t="str">
        <f t="shared" si="2"/>
        <v>$174,775.32</v>
      </c>
    </row>
    <row r="56" spans="1:9" ht="14.4" x14ac:dyDescent="0.3">
      <c r="A56" s="3" t="str">
        <f t="shared" si="3"/>
        <v>Monroe County (139,718) - $679,029.48</v>
      </c>
      <c r="E56" s="24" t="s">
        <v>163</v>
      </c>
      <c r="F56" s="24">
        <v>139718</v>
      </c>
      <c r="G56" s="22" t="s">
        <v>71</v>
      </c>
      <c r="H56" s="22">
        <f t="shared" si="1"/>
        <v>679029.4800000001</v>
      </c>
      <c r="I56" s="21" t="str">
        <f t="shared" si="2"/>
        <v>$679,029.48</v>
      </c>
    </row>
    <row r="57" spans="1:9" ht="14.4" x14ac:dyDescent="0.3">
      <c r="A57" s="3" t="str">
        <f t="shared" si="3"/>
        <v>Montgomery County (37,936) - $184,368.96</v>
      </c>
      <c r="E57" s="24" t="s">
        <v>164</v>
      </c>
      <c r="F57" s="24">
        <v>37936</v>
      </c>
      <c r="G57" s="22" t="s">
        <v>72</v>
      </c>
      <c r="H57" s="22">
        <f t="shared" si="1"/>
        <v>184368.96000000002</v>
      </c>
      <c r="I57" s="21" t="str">
        <f t="shared" si="2"/>
        <v>$184,368.96</v>
      </c>
    </row>
    <row r="58" spans="1:9" ht="14.4" x14ac:dyDescent="0.3">
      <c r="A58" s="3" t="str">
        <f t="shared" si="3"/>
        <v>Morgan County (71,780) - $348,850.80</v>
      </c>
      <c r="E58" s="24" t="s">
        <v>165</v>
      </c>
      <c r="F58" s="24">
        <v>71780</v>
      </c>
      <c r="G58" s="22" t="s">
        <v>73</v>
      </c>
      <c r="H58" s="22">
        <f t="shared" si="1"/>
        <v>348850.80000000005</v>
      </c>
      <c r="I58" s="21" t="str">
        <f t="shared" si="2"/>
        <v>$348,850.80</v>
      </c>
    </row>
    <row r="59" spans="1:9" ht="14.4" x14ac:dyDescent="0.3">
      <c r="A59" s="3" t="str">
        <f t="shared" si="3"/>
        <v>Newton County (13,830) - $67,213.80</v>
      </c>
      <c r="E59" s="24" t="s">
        <v>166</v>
      </c>
      <c r="F59" s="24">
        <v>13830</v>
      </c>
      <c r="G59" s="22" t="s">
        <v>74</v>
      </c>
      <c r="H59" s="22">
        <f t="shared" si="1"/>
        <v>67213.8</v>
      </c>
      <c r="I59" s="21" t="str">
        <f t="shared" si="2"/>
        <v>$67,213.80</v>
      </c>
    </row>
    <row r="60" spans="1:9" ht="14.4" x14ac:dyDescent="0.3">
      <c r="A60" s="3" t="str">
        <f t="shared" si="3"/>
        <v>Noble County (47,457) - $230,641.02</v>
      </c>
      <c r="E60" s="24" t="s">
        <v>167</v>
      </c>
      <c r="F60" s="24">
        <v>47457</v>
      </c>
      <c r="G60" s="22" t="s">
        <v>75</v>
      </c>
      <c r="H60" s="22">
        <f t="shared" si="1"/>
        <v>230641.02000000002</v>
      </c>
      <c r="I60" s="21" t="str">
        <f t="shared" si="2"/>
        <v>$230,641.02</v>
      </c>
    </row>
    <row r="61" spans="1:9" ht="14.4" x14ac:dyDescent="0.3">
      <c r="A61" s="3" t="str">
        <f t="shared" si="3"/>
        <v>Ohio County (5,940) - $28,868.40</v>
      </c>
      <c r="E61" s="24" t="s">
        <v>168</v>
      </c>
      <c r="F61" s="24">
        <v>5940</v>
      </c>
      <c r="G61" s="22" t="s">
        <v>76</v>
      </c>
      <c r="H61" s="22">
        <f t="shared" si="1"/>
        <v>28868.400000000001</v>
      </c>
      <c r="I61" s="21" t="str">
        <f t="shared" si="2"/>
        <v>$28,868.40</v>
      </c>
    </row>
    <row r="62" spans="1:9" ht="14.4" x14ac:dyDescent="0.3">
      <c r="A62" s="3" t="str">
        <f t="shared" si="3"/>
        <v>Orange County (19,867) - $96,553.62</v>
      </c>
      <c r="E62" s="24" t="s">
        <v>169</v>
      </c>
      <c r="F62" s="24">
        <v>19867</v>
      </c>
      <c r="G62" s="22" t="s">
        <v>77</v>
      </c>
      <c r="H62" s="22">
        <f t="shared" si="1"/>
        <v>96553.62000000001</v>
      </c>
      <c r="I62" s="21" t="str">
        <f t="shared" si="2"/>
        <v>$96,553.62</v>
      </c>
    </row>
    <row r="63" spans="1:9" ht="14.4" x14ac:dyDescent="0.3">
      <c r="A63" s="3" t="str">
        <f t="shared" si="3"/>
        <v>Owen County (21,321) - $103,620.06</v>
      </c>
      <c r="E63" s="24" t="s">
        <v>170</v>
      </c>
      <c r="F63" s="24">
        <v>21321</v>
      </c>
      <c r="G63" s="22" t="s">
        <v>78</v>
      </c>
      <c r="H63" s="22">
        <f t="shared" si="1"/>
        <v>103620.06000000001</v>
      </c>
      <c r="I63" s="21" t="str">
        <f t="shared" si="2"/>
        <v>$103,620.06</v>
      </c>
    </row>
    <row r="64" spans="1:9" ht="14.4" x14ac:dyDescent="0.3">
      <c r="A64" s="3" t="str">
        <f t="shared" si="3"/>
        <v>Parke County (16,156) - $78,518.16</v>
      </c>
      <c r="E64" s="24" t="s">
        <v>171</v>
      </c>
      <c r="F64" s="24">
        <v>16156</v>
      </c>
      <c r="G64" s="22" t="s">
        <v>79</v>
      </c>
      <c r="H64" s="22">
        <f t="shared" si="1"/>
        <v>78518.16</v>
      </c>
      <c r="I64" s="21" t="str">
        <f t="shared" si="2"/>
        <v>$78,518.16</v>
      </c>
    </row>
    <row r="65" spans="1:9" ht="14.4" x14ac:dyDescent="0.3">
      <c r="A65" s="3" t="str">
        <f t="shared" si="3"/>
        <v>Perry County (19,170) - $93,166.20</v>
      </c>
      <c r="E65" s="24" t="s">
        <v>172</v>
      </c>
      <c r="F65" s="24">
        <v>19170</v>
      </c>
      <c r="G65" s="22" t="s">
        <v>80</v>
      </c>
      <c r="H65" s="22">
        <f t="shared" si="1"/>
        <v>93166.200000000012</v>
      </c>
      <c r="I65" s="21" t="str">
        <f t="shared" si="2"/>
        <v>$93,166.20</v>
      </c>
    </row>
    <row r="66" spans="1:9" ht="14.4" x14ac:dyDescent="0.3">
      <c r="A66" s="3" t="str">
        <f t="shared" si="3"/>
        <v>Pike County (12,250) - $59,535.00</v>
      </c>
      <c r="E66" s="24" t="s">
        <v>173</v>
      </c>
      <c r="F66" s="24">
        <v>12250</v>
      </c>
      <c r="G66" s="22" t="s">
        <v>81</v>
      </c>
      <c r="H66" s="22">
        <f t="shared" si="1"/>
        <v>59535.000000000007</v>
      </c>
      <c r="I66" s="21" t="str">
        <f t="shared" si="2"/>
        <v>$59,535.00</v>
      </c>
    </row>
    <row r="67" spans="1:9" ht="14.4" x14ac:dyDescent="0.3">
      <c r="A67" s="3" t="str">
        <f t="shared" si="3"/>
        <v>Porter County (173,215) - $841,824.90</v>
      </c>
      <c r="E67" s="24" t="s">
        <v>174</v>
      </c>
      <c r="F67" s="24">
        <v>173215</v>
      </c>
      <c r="G67" s="22" t="s">
        <v>82</v>
      </c>
      <c r="H67" s="22">
        <f t="shared" si="1"/>
        <v>841824.9</v>
      </c>
      <c r="I67" s="21" t="str">
        <f t="shared" si="2"/>
        <v>$841,824.90</v>
      </c>
    </row>
    <row r="68" spans="1:9" ht="14.4" x14ac:dyDescent="0.3">
      <c r="A68" s="3" t="str">
        <f t="shared" ref="A68:A95" si="4">E68 &amp; " (" &amp; G68 &amp; ")" &amp; " - " &amp; I68</f>
        <v>Posey County (25,222) - $122,578.92</v>
      </c>
      <c r="E68" s="24" t="s">
        <v>175</v>
      </c>
      <c r="F68" s="24">
        <v>25222</v>
      </c>
      <c r="G68" s="22" t="s">
        <v>83</v>
      </c>
      <c r="H68" s="22">
        <f t="shared" si="1"/>
        <v>122578.92000000001</v>
      </c>
      <c r="I68" s="21" t="str">
        <f t="shared" si="2"/>
        <v>$122,578.92</v>
      </c>
    </row>
    <row r="69" spans="1:9" ht="14.4" x14ac:dyDescent="0.3">
      <c r="A69" s="3" t="str">
        <f t="shared" si="4"/>
        <v>Pulaski County (12,514) - $60,818.04</v>
      </c>
      <c r="E69" s="24" t="s">
        <v>176</v>
      </c>
      <c r="F69" s="24">
        <v>12514</v>
      </c>
      <c r="G69" s="22" t="s">
        <v>84</v>
      </c>
      <c r="H69" s="22">
        <f t="shared" ref="H69:H95" si="5">G69*4.86</f>
        <v>60818.04</v>
      </c>
      <c r="I69" s="21" t="str">
        <f t="shared" ref="I69:I95" si="6">TEXT(H69,"$#,##0.00")</f>
        <v>$60,818.04</v>
      </c>
    </row>
    <row r="70" spans="1:9" ht="14.4" x14ac:dyDescent="0.3">
      <c r="A70" s="3" t="str">
        <f t="shared" si="4"/>
        <v>Putnam County (36,726) - $178,488.36</v>
      </c>
      <c r="E70" s="24" t="s">
        <v>177</v>
      </c>
      <c r="F70" s="24">
        <v>36726</v>
      </c>
      <c r="G70" s="22" t="s">
        <v>85</v>
      </c>
      <c r="H70" s="22">
        <f t="shared" si="5"/>
        <v>178488.36000000002</v>
      </c>
      <c r="I70" s="21" t="str">
        <f t="shared" si="6"/>
        <v>$178,488.36</v>
      </c>
    </row>
    <row r="71" spans="1:9" ht="14.4" x14ac:dyDescent="0.3">
      <c r="A71" s="3" t="str">
        <f t="shared" si="4"/>
        <v>Randolph County (24,502) - $119,079.72</v>
      </c>
      <c r="E71" s="24" t="s">
        <v>178</v>
      </c>
      <c r="F71" s="24">
        <v>24502</v>
      </c>
      <c r="G71" s="22" t="s">
        <v>86</v>
      </c>
      <c r="H71" s="22">
        <f t="shared" si="5"/>
        <v>119079.72</v>
      </c>
      <c r="I71" s="21" t="str">
        <f t="shared" si="6"/>
        <v>$119,079.72</v>
      </c>
    </row>
    <row r="72" spans="1:9" ht="14.4" x14ac:dyDescent="0.3">
      <c r="A72" s="3" t="str">
        <f t="shared" si="4"/>
        <v>Ripley County (28,995) - $140,915.70</v>
      </c>
      <c r="E72" s="24" t="s">
        <v>179</v>
      </c>
      <c r="F72" s="24">
        <v>28995</v>
      </c>
      <c r="G72" s="22" t="s">
        <v>87</v>
      </c>
      <c r="H72" s="22">
        <f t="shared" si="5"/>
        <v>140915.70000000001</v>
      </c>
      <c r="I72" s="21" t="str">
        <f t="shared" si="6"/>
        <v>$140,915.70</v>
      </c>
    </row>
    <row r="73" spans="1:9" ht="14.4" x14ac:dyDescent="0.3">
      <c r="A73" s="3" t="str">
        <f t="shared" si="4"/>
        <v>Rush County (16,752) - $81,414.72</v>
      </c>
      <c r="E73" s="24" t="s">
        <v>180</v>
      </c>
      <c r="F73" s="24">
        <v>16752</v>
      </c>
      <c r="G73" s="22" t="s">
        <v>88</v>
      </c>
      <c r="H73" s="22">
        <f t="shared" si="5"/>
        <v>81414.720000000001</v>
      </c>
      <c r="I73" s="21" t="str">
        <f t="shared" si="6"/>
        <v>$81,414.72</v>
      </c>
    </row>
    <row r="74" spans="1:9" ht="14.4" x14ac:dyDescent="0.3">
      <c r="A74" s="3" t="str">
        <f t="shared" si="4"/>
        <v>St. Joseph County (272,912) - $1,326,352.32</v>
      </c>
      <c r="E74" s="24" t="s">
        <v>202</v>
      </c>
      <c r="F74" s="24">
        <v>272912</v>
      </c>
      <c r="G74" s="22" t="s">
        <v>89</v>
      </c>
      <c r="H74" s="22">
        <f t="shared" si="5"/>
        <v>1326352.32</v>
      </c>
      <c r="I74" s="21" t="str">
        <f t="shared" si="6"/>
        <v>$1,326,352.32</v>
      </c>
    </row>
    <row r="75" spans="1:9" ht="14.4" x14ac:dyDescent="0.3">
      <c r="A75" s="3" t="str">
        <f t="shared" si="4"/>
        <v>Scott County (24,384) - $118,506.24</v>
      </c>
      <c r="E75" s="24" t="s">
        <v>181</v>
      </c>
      <c r="F75" s="24">
        <v>24384</v>
      </c>
      <c r="G75" s="22" t="s">
        <v>90</v>
      </c>
      <c r="H75" s="22">
        <f t="shared" si="5"/>
        <v>118506.24000000001</v>
      </c>
      <c r="I75" s="21" t="str">
        <f t="shared" si="6"/>
        <v>$118,506.24</v>
      </c>
    </row>
    <row r="76" spans="1:9" ht="14.4" x14ac:dyDescent="0.3">
      <c r="A76" s="3" t="str">
        <f t="shared" si="4"/>
        <v>Shelby County (45,055) - $218,967.30</v>
      </c>
      <c r="E76" s="24" t="s">
        <v>182</v>
      </c>
      <c r="F76" s="24">
        <v>45055</v>
      </c>
      <c r="G76" s="22" t="s">
        <v>91</v>
      </c>
      <c r="H76" s="22">
        <f t="shared" si="5"/>
        <v>218967.30000000002</v>
      </c>
      <c r="I76" s="21" t="str">
        <f t="shared" si="6"/>
        <v>$218,967.30</v>
      </c>
    </row>
    <row r="77" spans="1:9" ht="14.4" x14ac:dyDescent="0.3">
      <c r="A77" s="3" t="str">
        <f t="shared" si="4"/>
        <v>Spencer County (19,810) - $96,276.60</v>
      </c>
      <c r="E77" s="24" t="s">
        <v>183</v>
      </c>
      <c r="F77" s="24">
        <v>19810</v>
      </c>
      <c r="G77" s="22" t="s">
        <v>92</v>
      </c>
      <c r="H77" s="22">
        <f t="shared" si="5"/>
        <v>96276.6</v>
      </c>
      <c r="I77" s="21" t="str">
        <f t="shared" si="6"/>
        <v>$96,276.60</v>
      </c>
    </row>
    <row r="78" spans="1:9" ht="14.4" x14ac:dyDescent="0.3">
      <c r="A78" s="3" t="str">
        <f t="shared" si="4"/>
        <v>Starke County (23,371) - $113,583.06</v>
      </c>
      <c r="E78" s="24" t="s">
        <v>184</v>
      </c>
      <c r="F78" s="24">
        <v>23371</v>
      </c>
      <c r="G78" s="22" t="s">
        <v>93</v>
      </c>
      <c r="H78" s="22">
        <f t="shared" si="5"/>
        <v>113583.06000000001</v>
      </c>
      <c r="I78" s="21" t="str">
        <f t="shared" si="6"/>
        <v>$113,583.06</v>
      </c>
    </row>
    <row r="79" spans="1:9" ht="14.4" x14ac:dyDescent="0.3">
      <c r="A79" s="3" t="str">
        <f t="shared" si="4"/>
        <v>Steuben County (34,435) - $167,354.10</v>
      </c>
      <c r="E79" s="24" t="s">
        <v>185</v>
      </c>
      <c r="F79" s="24">
        <v>34435</v>
      </c>
      <c r="G79" s="22" t="s">
        <v>94</v>
      </c>
      <c r="H79" s="22">
        <f t="shared" si="5"/>
        <v>167354.1</v>
      </c>
      <c r="I79" s="21" t="str">
        <f t="shared" si="6"/>
        <v>$167,354.10</v>
      </c>
    </row>
    <row r="80" spans="1:9" ht="14.4" x14ac:dyDescent="0.3">
      <c r="A80" s="3" t="str">
        <f t="shared" si="4"/>
        <v>Sullivan County (20,817) - $101,170.62</v>
      </c>
      <c r="E80" s="24" t="s">
        <v>186</v>
      </c>
      <c r="F80" s="24">
        <v>20817</v>
      </c>
      <c r="G80" s="22" t="s">
        <v>95</v>
      </c>
      <c r="H80" s="22">
        <f t="shared" si="5"/>
        <v>101170.62000000001</v>
      </c>
      <c r="I80" s="21" t="str">
        <f t="shared" si="6"/>
        <v>$101,170.62</v>
      </c>
    </row>
    <row r="81" spans="1:9" ht="14.4" x14ac:dyDescent="0.3">
      <c r="A81" s="3" t="str">
        <f t="shared" si="4"/>
        <v>Switzerland County (9,737) - $47,321.82</v>
      </c>
      <c r="E81" s="24" t="s">
        <v>187</v>
      </c>
      <c r="F81" s="24">
        <v>9737</v>
      </c>
      <c r="G81" s="22" t="s">
        <v>96</v>
      </c>
      <c r="H81" s="22">
        <f t="shared" si="5"/>
        <v>47321.82</v>
      </c>
      <c r="I81" s="21" t="str">
        <f t="shared" si="6"/>
        <v>$47,321.82</v>
      </c>
    </row>
    <row r="82" spans="1:9" ht="14.4" x14ac:dyDescent="0.3">
      <c r="A82" s="3" t="str">
        <f t="shared" si="4"/>
        <v>Tippecanoe County (186,251) - $905,179.86</v>
      </c>
      <c r="E82" s="24" t="s">
        <v>188</v>
      </c>
      <c r="F82" s="24">
        <v>186251</v>
      </c>
      <c r="G82" s="22" t="s">
        <v>97</v>
      </c>
      <c r="H82" s="22">
        <f t="shared" si="5"/>
        <v>905179.8600000001</v>
      </c>
      <c r="I82" s="21" t="str">
        <f t="shared" si="6"/>
        <v>$905,179.86</v>
      </c>
    </row>
    <row r="83" spans="1:9" ht="14.4" x14ac:dyDescent="0.3">
      <c r="A83" s="3" t="str">
        <f t="shared" si="4"/>
        <v>Tipton County (15,359) - $74,644.74</v>
      </c>
      <c r="E83" s="24" t="s">
        <v>189</v>
      </c>
      <c r="F83" s="24">
        <v>15359</v>
      </c>
      <c r="G83" s="22" t="s">
        <v>98</v>
      </c>
      <c r="H83" s="22">
        <f t="shared" si="5"/>
        <v>74644.740000000005</v>
      </c>
      <c r="I83" s="21" t="str">
        <f t="shared" si="6"/>
        <v>$74,644.74</v>
      </c>
    </row>
    <row r="84" spans="1:9" ht="14.4" x14ac:dyDescent="0.3">
      <c r="A84" s="3" t="str">
        <f t="shared" si="4"/>
        <v>Union County (7,087) - $34,442.82</v>
      </c>
      <c r="E84" s="24" t="s">
        <v>190</v>
      </c>
      <c r="F84" s="24">
        <v>7087</v>
      </c>
      <c r="G84" s="22" t="s">
        <v>99</v>
      </c>
      <c r="H84" s="22">
        <f t="shared" si="5"/>
        <v>34442.82</v>
      </c>
      <c r="I84" s="21" t="str">
        <f t="shared" si="6"/>
        <v>$34,442.82</v>
      </c>
    </row>
    <row r="85" spans="1:9" ht="14.4" x14ac:dyDescent="0.3">
      <c r="A85" s="3" t="str">
        <f t="shared" si="4"/>
        <v>Vanderburgh County (180,136) - $875,460.96</v>
      </c>
      <c r="E85" s="24" t="s">
        <v>191</v>
      </c>
      <c r="F85" s="24">
        <v>180136</v>
      </c>
      <c r="G85" s="22" t="s">
        <v>100</v>
      </c>
      <c r="H85" s="22">
        <f t="shared" si="5"/>
        <v>875460.96000000008</v>
      </c>
      <c r="I85" s="21" t="str">
        <f t="shared" si="6"/>
        <v>$875,460.96</v>
      </c>
    </row>
    <row r="86" spans="1:9" ht="14.4" x14ac:dyDescent="0.3">
      <c r="A86" s="3" t="str">
        <f t="shared" si="4"/>
        <v>Vermillion County (15,439) - $75,033.54</v>
      </c>
      <c r="E86" s="24" t="s">
        <v>192</v>
      </c>
      <c r="F86" s="24">
        <v>15439</v>
      </c>
      <c r="G86" s="22" t="s">
        <v>101</v>
      </c>
      <c r="H86" s="22">
        <f t="shared" si="5"/>
        <v>75033.540000000008</v>
      </c>
      <c r="I86" s="21" t="str">
        <f t="shared" si="6"/>
        <v>$75,033.54</v>
      </c>
    </row>
    <row r="87" spans="1:9" ht="14.4" x14ac:dyDescent="0.3">
      <c r="A87" s="3" t="str">
        <f t="shared" si="4"/>
        <v>Vigo County (106,153) - $515,903.58</v>
      </c>
      <c r="E87" s="24" t="s">
        <v>193</v>
      </c>
      <c r="F87" s="24">
        <v>106153</v>
      </c>
      <c r="G87" s="22" t="s">
        <v>102</v>
      </c>
      <c r="H87" s="22">
        <f t="shared" si="5"/>
        <v>515903.58</v>
      </c>
      <c r="I87" s="21" t="str">
        <f t="shared" si="6"/>
        <v>$515,903.58</v>
      </c>
    </row>
    <row r="88" spans="1:9" ht="14.4" x14ac:dyDescent="0.3">
      <c r="A88" s="3" t="str">
        <f t="shared" si="4"/>
        <v>Wabash County (30,976) - $150,543.36</v>
      </c>
      <c r="E88" s="24" t="s">
        <v>194</v>
      </c>
      <c r="F88" s="24">
        <v>30976</v>
      </c>
      <c r="G88" s="22" t="s">
        <v>103</v>
      </c>
      <c r="H88" s="22">
        <f t="shared" si="5"/>
        <v>150543.36000000002</v>
      </c>
      <c r="I88" s="21" t="str">
        <f t="shared" si="6"/>
        <v>$150,543.36</v>
      </c>
    </row>
    <row r="89" spans="1:9" ht="14.4" x14ac:dyDescent="0.3">
      <c r="A89" s="3" t="str">
        <f t="shared" si="4"/>
        <v>Warren County (8,440) - $41,018.40</v>
      </c>
      <c r="E89" s="24" t="s">
        <v>195</v>
      </c>
      <c r="F89" s="24">
        <v>8440</v>
      </c>
      <c r="G89" s="22" t="s">
        <v>104</v>
      </c>
      <c r="H89" s="22">
        <f t="shared" si="5"/>
        <v>41018.400000000001</v>
      </c>
      <c r="I89" s="21" t="str">
        <f t="shared" si="6"/>
        <v>$41,018.40</v>
      </c>
    </row>
    <row r="90" spans="1:9" ht="14.4" x14ac:dyDescent="0.3">
      <c r="A90" s="3" t="str">
        <f t="shared" si="4"/>
        <v>Warrick County (63,898) - $310,544.28</v>
      </c>
      <c r="E90" s="24" t="s">
        <v>196</v>
      </c>
      <c r="F90" s="24">
        <v>63898</v>
      </c>
      <c r="G90" s="22" t="s">
        <v>105</v>
      </c>
      <c r="H90" s="22">
        <f t="shared" si="5"/>
        <v>310544.28000000003</v>
      </c>
      <c r="I90" s="21" t="str">
        <f t="shared" si="6"/>
        <v>$310,544.28</v>
      </c>
    </row>
    <row r="91" spans="1:9" ht="14.4" x14ac:dyDescent="0.3">
      <c r="A91" s="3" t="str">
        <f t="shared" si="4"/>
        <v>Washington County (28,182) - $136,964.52</v>
      </c>
      <c r="E91" s="24" t="s">
        <v>197</v>
      </c>
      <c r="F91" s="24">
        <v>28182</v>
      </c>
      <c r="G91" s="22" t="s">
        <v>106</v>
      </c>
      <c r="H91" s="22">
        <f t="shared" si="5"/>
        <v>136964.52000000002</v>
      </c>
      <c r="I91" s="21" t="str">
        <f t="shared" si="6"/>
        <v>$136,964.52</v>
      </c>
    </row>
    <row r="92" spans="1:9" ht="14.4" x14ac:dyDescent="0.3">
      <c r="A92" s="3" t="str">
        <f t="shared" si="4"/>
        <v>Wayne County (66,553) - $323,447.58</v>
      </c>
      <c r="E92" s="24" t="s">
        <v>198</v>
      </c>
      <c r="F92" s="24">
        <v>66553</v>
      </c>
      <c r="G92" s="22" t="s">
        <v>107</v>
      </c>
      <c r="H92" s="22">
        <f t="shared" si="5"/>
        <v>323447.58</v>
      </c>
      <c r="I92" s="21" t="str">
        <f t="shared" si="6"/>
        <v>$323,447.58</v>
      </c>
    </row>
    <row r="93" spans="1:9" ht="14.4" x14ac:dyDescent="0.3">
      <c r="A93" s="3" t="str">
        <f t="shared" si="4"/>
        <v>Wells County (28,180) - $136,954.80</v>
      </c>
      <c r="E93" s="24" t="s">
        <v>199</v>
      </c>
      <c r="F93" s="24">
        <v>28180</v>
      </c>
      <c r="G93" s="22" t="s">
        <v>108</v>
      </c>
      <c r="H93" s="22">
        <f t="shared" si="5"/>
        <v>136954.80000000002</v>
      </c>
      <c r="I93" s="21" t="str">
        <f t="shared" si="6"/>
        <v>$136,954.80</v>
      </c>
    </row>
    <row r="94" spans="1:9" ht="14.4" x14ac:dyDescent="0.3">
      <c r="A94" s="3" t="str">
        <f t="shared" si="4"/>
        <v>White County (24,688) - $119,983.68</v>
      </c>
      <c r="E94" s="24" t="s">
        <v>200</v>
      </c>
      <c r="F94" s="24">
        <v>24688</v>
      </c>
      <c r="G94" s="22" t="s">
        <v>109</v>
      </c>
      <c r="H94" s="22">
        <f t="shared" si="5"/>
        <v>119983.68000000001</v>
      </c>
      <c r="I94" s="21" t="str">
        <f t="shared" si="6"/>
        <v>$119,983.68</v>
      </c>
    </row>
    <row r="95" spans="1:9" ht="14.4" x14ac:dyDescent="0.3">
      <c r="A95" s="3" t="str">
        <f t="shared" si="4"/>
        <v>Whitley County (34,191) - $166,168.26</v>
      </c>
      <c r="E95" s="24" t="s">
        <v>201</v>
      </c>
      <c r="F95" s="24">
        <v>34191</v>
      </c>
      <c r="G95" s="22" t="s">
        <v>110</v>
      </c>
      <c r="H95" s="22">
        <f t="shared" si="5"/>
        <v>166168.26</v>
      </c>
      <c r="I95" s="21" t="str">
        <f t="shared" si="6"/>
        <v>$166,168.26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1C5905-A65A-402E-B574-5A6E1D841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47273C-C595-4293-AA74-B174F6076271}">
  <ds:schemaRefs>
    <ds:schemaRef ds:uri="4f1a833c-a938-4a5e-81e3-99cd1b92e526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538c035d-569c-47ab-a864-fdd8ae3d4516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11AC74C-FF88-4A70-85D3-4996EB0362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Grobe, Jennifer</cp:lastModifiedBy>
  <cp:lastPrinted>2021-08-11T17:13:15Z</cp:lastPrinted>
  <dcterms:created xsi:type="dcterms:W3CDTF">2000-06-27T13:20:49Z</dcterms:created>
  <dcterms:modified xsi:type="dcterms:W3CDTF">2026-07-17T16:41:36Z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