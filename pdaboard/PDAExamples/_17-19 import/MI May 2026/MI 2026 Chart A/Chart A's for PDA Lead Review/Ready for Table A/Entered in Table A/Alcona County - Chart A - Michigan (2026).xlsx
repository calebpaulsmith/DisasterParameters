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ounties/Alcona/"/>
    </mc:Choice>
  </mc:AlternateContent>
  <xr:revisionPtr revIDLastSave="114" documentId="13_ncr:1_{4B26DC56-3104-4C3E-A816-A5885244DC2D}" xr6:coauthVersionLast="47" xr6:coauthVersionMax="47" xr10:uidLastSave="{74D75A96-211A-4FAC-986C-36F7DF5627F4}"/>
  <bookViews>
    <workbookView xWindow="-28920" yWindow="-7245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<sst xmlns="http://schemas.openxmlformats.org/spreadsheetml/2006/main" count="219" uniqueCount="214">
  <si>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</si>
  <si>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</si>
  <si>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</si>
  <si>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</si>
  <si>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</si>
  <si>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</si>
  <si>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</si>
  <si>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</si>
  <si>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</si>
  <si>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</si>
  <si>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</si>
  <si>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</si>
  <si>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</si>
  <si>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</si>
  <si>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</si>
  <si>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</si>
  <si>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</si>
  <si>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</si>
  <si>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</si>
  <si>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</si>
  <si>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</si>
  <si>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</si>
  <si>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</si>
  <si>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</si>
  <si>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</si>
  <si>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</si>
  <si>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</si>
  <si>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</si>
  <si>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</si>
  <si>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</si>
  <si>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</si>
  <si>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</si>
  <si>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</si>
  <si>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</si>
  <si>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</si>
  <si>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</si>
  <si>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</si>
  <si>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</si>
  <si>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</si>
  <si>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</si>
  <si>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</si>
  <si>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</si>
  <si>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</si>
  <si>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</si>
  <si>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</si>
  <si>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</si>
  <si>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</si>
  <si>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</si>
  <si>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</si>
  <si>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</si>
  <si>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</si>
  <si>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</si>
  <si>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</si>
  <si>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</si>
  <si>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</si>
  <si>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</si>
  <si>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</si>
  <si>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</si>
  <si>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</si>
  <si>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</si>
  <si>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</si>
  <si>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</si>
  <si>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</si>
  <si>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</si>
  <si>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</si>
  <si>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</si>
  <si>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</si>
  <si>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</si>
  <si>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</si>
  <si>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</si>
  <si>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</si>
  <si>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</si>
  <si>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</si>
  <si>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</si>
  <si>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</si>
  <si>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</si>
  <si>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</si>
  <si>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</si>
  <si>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</si>
  <si>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</si>
  <si>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</si>
  <si>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</si>
  <si>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</si>
  <si>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</si>
  <si>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</si>
  <si>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</si>
  <si>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</si>
  <si>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</si>
  <si>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</si>
  <si>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</si>
  <si>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</si>
  <si>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</si>
  <si>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</si>
  <si>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</si>
  <si>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</si>
  <si>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</si>
  <si>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</si>
  <si>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</si>
  <si>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</si>
  <si>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</si>
  <si>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</si>
  <si>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</si>
  <si>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</si>
  <si>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</si>
  <si>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</si>
  <si>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</si>
  <si>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</si>
  <si>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</si>
  <si>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</si>
  <si>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</si>
  <si>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</si>
  <si>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</si>
  <si>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</si>
  <si>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</si>
  <si>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</si>
  <si>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</si>
  <si>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</si>
  <si>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</si>
  <si>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</si>
  <si>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</si>
  <si>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</si>
  <si>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</si>
  <si>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</si>
  <si>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</si>
  <si>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</si>
  <si>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</si>
  <si>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</si>
  <si>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</si>
  <si>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</si>
  <si>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</si>
  <si>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</si>
  <si>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</si>
  <si>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</si>
  <si>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</si>
  <si>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</si>
  <si>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</si>
  <si>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</si>
  <si>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</si>
  <si>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</si>
  <si>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</si>
  <si>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</si>
  <si>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</si>
  <si>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</si>
  <si>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</si>
  <si>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</si>
  <si>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</si>
  <si>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</si>
  <si>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</si>
  <si>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</si>
  <si>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</si>
  <si>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</si>
  <si>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</si>
  <si>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</si>
  <si>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</si>
  <si>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</si>
  <si>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</si>
  <si>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</si>
  <si>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</si>
  <si>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</si>
  <si>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</si>
  <si>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</si>
  <si>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</si>
  <si>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</si>
  <si>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</si>
  <si>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</si>
  <si>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</si>
  <si>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</si>
  <si>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</si>
  <si>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</si>
  <si>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</si>
  <si>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</si>
  <si>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</si>
  <si>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</si>
  <si>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</si>
  <si>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</si>
  <si>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</si>
  <si>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</si>
  <si>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</si>
  <si>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</si>
  <si>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</si>
  <si>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</si>
  <si>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</si>
  <si>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</si>
  <si>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</si>
  <si>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</si>
  <si>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</si>
  <si>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</si>
  <si>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</si>
  <si>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</si>
  <si>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</si>
  <si>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</si>
  <si>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</si>
  <si>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</si>
  <si>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</si>
  <si>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</si>
  <si>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</si>
  <si>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</si>
  <si>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</si>
  <si>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</si>
  <si>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</si>
  <si>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</si>
  <si>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</si>
  <si>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</si>
  <si>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</si>
  <si>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</si>
  <si>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</si>
  <si>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Alcona County Road Commission</t>
  </si>
  <si>
    <t>County</t>
  </si>
  <si>
    <t>Complete</t>
  </si>
  <si>
    <t>Alcona County (10,167) - $49,411.62</t>
  </si>
  <si>
    <r>
      <rPr>
        <b/>
        <sz val="10"/>
        <rFont val="Arial"/>
        <family val="2"/>
      </rPr>
      <t>Cat B - Estimated $78,740.63</t>
    </r>
    <r>
      <rPr>
        <sz val="10"/>
        <rFont val="Arial"/>
        <family val="2"/>
      </rPr>
      <t xml:space="preserve"> for emergency work to primary and local roads in response to the flooding. </t>
    </r>
    <r>
      <rPr>
        <b/>
        <sz val="10"/>
        <rFont val="Arial"/>
        <family val="2"/>
      </rPr>
      <t>Validated $78,740.63</t>
    </r>
    <r>
      <rPr>
        <sz val="10"/>
        <rFont val="Arial"/>
        <family val="2"/>
      </rPr>
      <t xml:space="preserve"> based on applicant-supplied costs. 
</t>
    </r>
    <r>
      <rPr>
        <b/>
        <sz val="10"/>
        <rFont val="Arial"/>
        <family val="2"/>
      </rPr>
      <t>Cat C - Estimated $630,894.93</t>
    </r>
    <r>
      <rPr>
        <sz val="10"/>
        <rFont val="Arial"/>
        <family val="2"/>
      </rPr>
      <t xml:space="preserve"> for road washouts and culvert repairs. </t>
    </r>
    <r>
      <rPr>
        <b/>
        <sz val="10"/>
        <rFont val="Arial"/>
        <family val="2"/>
      </rPr>
      <t>Reduced $260,572.15</t>
    </r>
    <r>
      <rPr>
        <sz val="10"/>
        <rFont val="Arial"/>
        <family val="2"/>
      </rPr>
      <t xml:space="preserve"> due to ineligible costs for roads that are covered by the FHWA. </t>
    </r>
    <r>
      <rPr>
        <b/>
        <sz val="10"/>
        <rFont val="Arial"/>
        <family val="2"/>
      </rPr>
      <t>Validated $370,322.78</t>
    </r>
    <r>
      <rPr>
        <sz val="10"/>
        <rFont val="Arial"/>
        <family val="2"/>
      </rPr>
      <t xml:space="preserve"> based on applicant-supplied costs. </t>
    </r>
  </si>
  <si>
    <t>PIE&amp;G</t>
  </si>
  <si>
    <t>Co Op</t>
  </si>
  <si>
    <r>
      <rPr>
        <b/>
        <sz val="10"/>
        <rFont val="Arial"/>
        <family val="2"/>
      </rPr>
      <t xml:space="preserve">CAT B Estimated: $836 </t>
    </r>
    <r>
      <rPr>
        <sz val="10"/>
        <rFont val="Arial"/>
        <family val="2"/>
      </rPr>
      <t xml:space="preserve">for EOC operations to monitor high risk areas. </t>
    </r>
    <r>
      <rPr>
        <b/>
        <sz val="10"/>
        <rFont val="Arial"/>
        <family val="2"/>
      </rPr>
      <t>Validated  $836</t>
    </r>
    <r>
      <rPr>
        <sz val="10"/>
        <rFont val="Arial"/>
        <family val="2"/>
      </rPr>
      <t xml:space="preserve"> utilizing Applicant activity description and cost summary.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</si>
</sst>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710566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710566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710566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1396365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1624965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3" sqref="F23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209</v>
      </c>
      <c r="C3" s="68"/>
      <c r="D3" s="14" t="s">
        <v>201</v>
      </c>
      <c r="E3" s="63">
        <f>SUM(Table6[[A]:[B]])</f>
        <v>79576.63</v>
      </c>
      <c r="F3" s="64"/>
      <c r="G3" s="55">
        <f>SUM(Table6[[C]:[G]])</f>
        <v>370322.78</v>
      </c>
      <c r="H3" s="56"/>
      <c r="I3" s="56"/>
      <c r="J3" s="56"/>
      <c r="K3" s="57"/>
      <c r="L3" s="9">
        <f>SUM(Table6[Applicant Total])</f>
        <v>449899.41000000003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206</v>
      </c>
      <c r="C6" s="10" t="s">
        <v>207</v>
      </c>
      <c r="D6" s="11" t="s">
        <v>208</v>
      </c>
      <c r="E6" s="13"/>
      <c r="F6" s="12">
        <v>78740.63</v>
      </c>
      <c r="G6" s="12">
        <v>370322.78</v>
      </c>
      <c r="H6" s="13"/>
      <c r="I6" s="13"/>
      <c r="J6" s="13"/>
      <c r="K6" s="13"/>
      <c r="L6" s="15">
        <f>SUM(Table6[[#This Row],[A]:[G]])</f>
        <v>449063.41000000003</v>
      </c>
    </row>
    <row r="7" spans="1:12" x14ac:dyDescent="0.25">
      <c r="B7" s="10" t="s">
        <v>211</v>
      </c>
      <c r="C7" s="10" t="s">
        <v>212</v>
      </c>
      <c r="D7" s="11" t="s">
        <v>208</v>
      </c>
      <c r="E7" s="13"/>
      <c r="F7" s="13">
        <v>836</v>
      </c>
      <c r="G7" s="12"/>
      <c r="H7" s="12"/>
      <c r="I7" s="13"/>
      <c r="J7" s="13"/>
      <c r="K7" s="13"/>
      <c r="L7" s="15">
        <f>SUM(Table6[[#This Row],[A]:[G]])</f>
        <v>836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39.6" x14ac:dyDescent="0.25">
      <c r="A2" s="28" t="str">
        <f>'County Summary'!B6</f>
        <v>Alcona County Road Commission</v>
      </c>
      <c r="B2" s="49" t="s">
        <v>210</v>
      </c>
    </row>
    <row r="3" spans="1:2" ht="45" customHeight="1" x14ac:dyDescent="0.25">
      <c r="A3" s="28" t="str">
        <f>'County Summary'!B7</f>
        <v>PIE&amp;G</v>
      </c>
      <c r="B3" s="10" t="s">
        <v>213</v>
      </c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B6618A-A1B9-4FC9-925A-722407B3AAF8}">
  <ds:schemaRefs>
    <ds:schemaRef ds:uri="538c035d-569c-47ab-a864-fdd8ae3d4516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4f1a833c-a938-4a5e-81e3-99cd1b92e52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0CC969-CC44-41C6-B2DE-F484FD3D2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2026-05-21T15:24:48Z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