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"/>
    </mc:Choice>
  </mc:AlternateContent>
  <xr:revisionPtr revIDLastSave="137" documentId="13_ncr:1_{4B26DC56-3104-4C3E-A816-A5885244DC2D}" xr6:coauthVersionLast="47" xr6:coauthVersionMax="47" xr10:uidLastSave="{CDAF78A0-04DB-4046-9BFE-9E00E1CF6903}"/>
  <bookViews>
    <workbookView xWindow="-108" yWindow="-108" windowWidth="23256" windowHeight="12456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<sst xmlns="http://schemas.openxmlformats.org/spreadsheetml/2006/main" count="221" uniqueCount="215">
  <si>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</si>
  <si>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</si>
  <si>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</si>
  <si>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</si>
  <si>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</si>
  <si>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</si>
  <si>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</si>
  <si>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</si>
  <si>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</si>
  <si>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</si>
  <si>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</si>
  <si>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</si>
  <si>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</si>
  <si>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</si>
  <si>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</si>
  <si>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</si>
  <si>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</si>
  <si>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</si>
  <si>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</si>
  <si>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</si>
  <si>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</si>
  <si>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</si>
  <si>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</si>
  <si>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</si>
  <si>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</si>
  <si>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</si>
  <si>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</si>
  <si>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</si>
  <si>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</si>
  <si>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</si>
  <si>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</si>
  <si>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</si>
  <si>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</si>
  <si>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</si>
  <si>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</si>
  <si>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</si>
  <si>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</si>
  <si>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</si>
  <si>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</si>
  <si>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</si>
  <si>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</si>
  <si>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</si>
  <si>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</si>
  <si>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</si>
  <si>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</si>
  <si>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</si>
  <si>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</si>
  <si>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</si>
  <si>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</si>
  <si>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</si>
  <si>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</si>
  <si>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</si>
  <si>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</si>
  <si>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</si>
  <si>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</si>
  <si>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</si>
  <si>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</si>
  <si>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</si>
  <si>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</si>
  <si>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</si>
  <si>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</si>
  <si>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</si>
  <si>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</si>
  <si>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</si>
  <si>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</si>
  <si>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</si>
  <si>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</si>
  <si>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</si>
  <si>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</si>
  <si>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</si>
  <si>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</si>
  <si>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</si>
  <si>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</si>
  <si>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</si>
  <si>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</si>
  <si>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</si>
  <si>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</si>
  <si>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</si>
  <si>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</si>
  <si>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</si>
  <si>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</si>
  <si>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</si>
  <si>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</si>
  <si>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</si>
  <si>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</si>
  <si>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</si>
  <si>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</si>
  <si>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</si>
  <si>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</si>
  <si>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</si>
  <si>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</si>
  <si>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</si>
  <si>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</si>
  <si>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</si>
  <si>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</si>
  <si>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</si>
  <si>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</si>
  <si>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</si>
  <si>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</si>
  <si>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</si>
  <si>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</si>
  <si>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</si>
  <si>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</si>
  <si>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</si>
  <si>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</si>
  <si>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</si>
  <si>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</si>
  <si>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</si>
  <si>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</si>
  <si>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</si>
  <si>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</si>
  <si>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</si>
  <si>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</si>
  <si>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</si>
  <si>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</si>
  <si>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</si>
  <si>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</si>
  <si>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</si>
  <si>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</si>
  <si>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</si>
  <si>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</si>
  <si>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</si>
  <si>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</si>
  <si>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</si>
  <si>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</si>
  <si>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</si>
  <si>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</si>
  <si>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</si>
  <si>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</si>
  <si>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</si>
  <si>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</si>
  <si>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</si>
  <si>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</si>
  <si>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</si>
  <si>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</si>
  <si>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</si>
  <si>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</si>
  <si>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</si>
  <si>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</si>
  <si>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</si>
  <si>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</si>
  <si>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</si>
  <si>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</si>
  <si>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</si>
  <si>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</si>
  <si>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</si>
  <si>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</si>
  <si>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</si>
  <si>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</si>
  <si>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</si>
  <si>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</si>
  <si>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</si>
  <si>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</si>
  <si>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</si>
  <si>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</si>
  <si>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</si>
  <si>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</si>
  <si>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</si>
  <si>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</si>
  <si>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</si>
  <si>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</si>
  <si>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</si>
  <si>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</si>
  <si>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</si>
  <si>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</si>
  <si>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</si>
  <si>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</si>
  <si>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</si>
  <si>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</si>
  <si>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</si>
  <si>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</si>
  <si>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</si>
  <si>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</si>
  <si>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</si>
  <si>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</si>
  <si>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</si>
  <si>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</si>
  <si>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</si>
  <si>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</si>
  <si>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</si>
  <si>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</si>
  <si>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</si>
  <si>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</si>
  <si>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</si>
  <si>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</si>
  <si>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</si>
  <si>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</si>
  <si>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</si>
  <si>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</si>
  <si>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</si>
  <si>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</si>
  <si>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</si>
  <si>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</si>
  <si>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</si>
  <si>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</si>
  <si>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</si>
  <si>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</si>
  <si>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</si>
  <si>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</si>
  <si>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</si>
  <si>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</si>
  <si>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</si>
  <si>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</si>
  <si>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</si>
  <si>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</si>
  <si>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</si>
  <si>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Allegan County (120,502) - $585,639.72</t>
  </si>
  <si>
    <t>City of Douglas</t>
  </si>
  <si>
    <t>City of Plainwell</t>
  </si>
  <si>
    <t>City</t>
  </si>
  <si>
    <t>Complete</t>
  </si>
  <si>
    <t>Gun Plain Township</t>
  </si>
  <si>
    <r>
      <t xml:space="preserve">Estimated: CAT A: $33,497.30 </t>
    </r>
    <r>
      <rPr>
        <sz val="10"/>
        <rFont val="Arial"/>
        <family val="2"/>
      </rPr>
      <t>for contract costs, FA Equipment and Materials for debris removal from various roads due to tornados</t>
    </r>
    <r>
      <rPr>
        <b/>
        <sz val="10"/>
        <rFont val="Arial"/>
        <family val="2"/>
      </rPr>
      <t xml:space="preserve">. Validated: $33,497.30 </t>
    </r>
    <r>
      <rPr>
        <sz val="10"/>
        <rFont val="Arial"/>
        <family val="2"/>
      </rPr>
      <t>utilizing applicant provided summary sheets and maps.</t>
    </r>
  </si>
  <si>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>CAT A: $70,650.00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for contract costs for debris removal from downed trees throughout the cemetery.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$70,650.00 using applicant provided invoices and photos.
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CAT D: $20,282 for three pump station replacements. </t>
    </r>
    <r>
      <rPr>
        <b/>
        <sz val="10"/>
        <rFont val="Arial"/>
        <family val="2"/>
      </rPr>
      <t>Validated</t>
    </r>
    <r>
      <rPr>
        <sz val="10"/>
        <rFont val="Arial"/>
        <family val="2"/>
      </rPr>
      <t xml:space="preserve">: $20,282 utilizing applicant provided cost estimates and photos.
</t>
    </r>
  </si>
  <si>
    <r>
      <t xml:space="preserve">Estimated: CAT C $605,000.00 </t>
    </r>
    <r>
      <rPr>
        <sz val="10"/>
        <rFont val="Arial"/>
        <family val="2"/>
      </rPr>
      <t xml:space="preserve">for slope stabilization &amp; road repairs; </t>
    </r>
    <r>
      <rPr>
        <b/>
        <sz val="10"/>
        <rFont val="Arial"/>
        <family val="2"/>
      </rPr>
      <t xml:space="preserve">Reduced: $515,033.00, </t>
    </r>
    <r>
      <rPr>
        <sz val="10"/>
        <rFont val="Arial"/>
        <family val="2"/>
      </rPr>
      <t>$98,033 to deduct for engineering costs, which are excluded from damage assessments, $117,000.00 deducted from the Union St. estimate-- these costs exceeded FEMA's engineer's estimate for this site and $300,000 was deducted for a FHWA Road;</t>
    </r>
    <r>
      <rPr>
        <b/>
        <sz val="10"/>
        <rFont val="Arial"/>
        <family val="2"/>
      </rPr>
      <t xml:space="preserve"> Validated $89,967.00 </t>
    </r>
    <r>
      <rPr>
        <sz val="10"/>
        <rFont val="Arial"/>
        <family val="2"/>
      </rPr>
      <t>using applicant provided contract estimates, maps, photos, and FEMA engineering estimate for Union Street.</t>
    </r>
    <r>
      <rPr>
        <b/>
        <sz val="1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</si>
</sst>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4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717551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717551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717551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296545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1403350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1631950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8" sqref="D8"/>
    </sheetView>
  </sheetViews>
  <sheetFormatPr defaultColWidth="16.6640625" defaultRowHeight="13.2" x14ac:dyDescent="0.25"/>
  <cols>
    <col min="1" max="1" width="1.33203125" style="53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s="1" customFormat="1" ht="20.100000000000001" customHeight="1" thickTop="1" thickBot="1" x14ac:dyDescent="0.3">
      <c r="A2" s="53"/>
      <c r="B2" s="67" t="s">
        <v>15</v>
      </c>
      <c r="C2" s="68"/>
      <c r="D2" s="5" t="s">
        <v>7</v>
      </c>
      <c r="E2" s="63" t="s">
        <v>9</v>
      </c>
      <c r="F2" s="64"/>
      <c r="G2" s="54" t="s">
        <v>13</v>
      </c>
      <c r="H2" s="55"/>
      <c r="I2" s="55"/>
      <c r="J2" s="55"/>
      <c r="K2" s="56"/>
      <c r="L2" s="6" t="s">
        <v>11</v>
      </c>
    </row>
    <row r="3" spans="1:12" s="1" customFormat="1" ht="31.2" customHeight="1" thickTop="1" thickBot="1" x14ac:dyDescent="0.3">
      <c r="A3" s="53"/>
      <c r="B3" s="69" t="s">
        <v>206</v>
      </c>
      <c r="C3" s="70"/>
      <c r="D3" s="14"/>
      <c r="E3" s="65">
        <f>SUM(Table6[[A]:[B]])</f>
        <v>104147.3</v>
      </c>
      <c r="F3" s="66"/>
      <c r="G3" s="57">
        <f>SUM(Table6[[C]:[G]])</f>
        <v>110249</v>
      </c>
      <c r="H3" s="58"/>
      <c r="I3" s="58"/>
      <c r="J3" s="58"/>
      <c r="K3" s="59"/>
      <c r="L3" s="9">
        <f>SUM(Table6[Applicant Total])</f>
        <v>214396.3</v>
      </c>
    </row>
    <row r="4" spans="1:12" ht="14.4" thickTop="1" thickBot="1" x14ac:dyDescent="0.3">
      <c r="B4" s="60"/>
      <c r="C4" s="61"/>
      <c r="D4" s="61"/>
      <c r="E4" s="61"/>
      <c r="F4" s="61"/>
      <c r="G4" s="61"/>
      <c r="H4" s="61"/>
      <c r="I4" s="61"/>
      <c r="J4" s="61"/>
      <c r="K4" s="61"/>
      <c r="L4" s="62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209</v>
      </c>
      <c r="D6" s="11" t="s">
        <v>210</v>
      </c>
      <c r="E6" s="13"/>
      <c r="F6" s="12"/>
      <c r="G6" s="12">
        <v>89967</v>
      </c>
      <c r="H6" s="13"/>
      <c r="I6" s="13"/>
      <c r="J6" s="13"/>
      <c r="K6" s="13"/>
      <c r="L6" s="15">
        <f>SUM(Table6[[#This Row],[A]:[G]])</f>
        <v>89967</v>
      </c>
    </row>
    <row r="7" spans="1:12" x14ac:dyDescent="0.25">
      <c r="B7" s="10" t="s">
        <v>208</v>
      </c>
      <c r="C7" s="10" t="s">
        <v>209</v>
      </c>
      <c r="D7" s="11" t="s">
        <v>210</v>
      </c>
      <c r="E7" s="13">
        <v>33497.300000000003</v>
      </c>
      <c r="F7" s="13"/>
      <c r="G7" s="12"/>
      <c r="H7" s="12"/>
      <c r="I7" s="13"/>
      <c r="J7" s="13"/>
      <c r="K7" s="13"/>
      <c r="L7" s="15">
        <f>SUM(Table6[[#This Row],[A]:[G]])</f>
        <v>33497.300000000003</v>
      </c>
    </row>
    <row r="8" spans="1:12" x14ac:dyDescent="0.25">
      <c r="B8" s="10" t="s">
        <v>211</v>
      </c>
      <c r="C8" s="10"/>
      <c r="D8" s="11" t="s">
        <v>210</v>
      </c>
      <c r="E8" s="13">
        <v>70650</v>
      </c>
      <c r="F8" s="13"/>
      <c r="G8" s="13"/>
      <c r="H8" s="13">
        <v>20282</v>
      </c>
      <c r="I8" s="13"/>
      <c r="J8" s="13"/>
      <c r="K8" s="13"/>
      <c r="L8" s="15">
        <f>SUM(Table6[[#This Row],[A]:[G]])</f>
        <v>90932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zoomScale="85" zoomScaleNormal="85" workbookViewId="0">
      <pane ySplit="1" topLeftCell="A2" activePane="bottomLeft" state="frozen"/>
      <selection pane="bottomLeft" activeCell="B4" sqref="B4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77.400000000000006" customHeight="1" x14ac:dyDescent="0.25">
      <c r="A2" s="28" t="str">
        <f>'County Summary'!B6</f>
        <v>City of Douglas</v>
      </c>
      <c r="B2" s="49" t="s">
        <v>214</v>
      </c>
    </row>
    <row r="3" spans="1:2" ht="45" customHeight="1" x14ac:dyDescent="0.25">
      <c r="A3" s="28" t="str">
        <f>'County Summary'!B7</f>
        <v>City of Plainwell</v>
      </c>
      <c r="B3" s="49" t="s">
        <v>212</v>
      </c>
    </row>
    <row r="4" spans="1:2" ht="100.2" customHeight="1" x14ac:dyDescent="0.25">
      <c r="A4" s="28" t="str">
        <f>'County Summary'!B8</f>
        <v>Gun Plain Township</v>
      </c>
      <c r="B4" s="51" t="s">
        <v>213</v>
      </c>
    </row>
    <row r="5" spans="1:2" ht="45" customHeight="1" x14ac:dyDescent="0.25">
      <c r="A5" s="28">
        <f>'County Summary'!B9</f>
        <v>0</v>
      </c>
      <c r="B5" s="50"/>
    </row>
    <row r="6" spans="1:2" ht="45" customHeight="1" x14ac:dyDescent="0.25">
      <c r="A6" s="28">
        <f>'County Summary'!B10</f>
        <v>0</v>
      </c>
      <c r="B6" s="50"/>
    </row>
    <row r="7" spans="1:2" ht="45" customHeight="1" x14ac:dyDescent="0.25">
      <c r="A7" s="28">
        <f>'County Summary'!B11</f>
        <v>0</v>
      </c>
      <c r="B7" s="50"/>
    </row>
    <row r="8" spans="1:2" ht="45" customHeight="1" x14ac:dyDescent="0.25">
      <c r="A8" s="28">
        <f>'County Summary'!B12</f>
        <v>0</v>
      </c>
      <c r="B8" s="50"/>
    </row>
    <row r="9" spans="1:2" ht="45" customHeight="1" x14ac:dyDescent="0.25">
      <c r="A9" s="28">
        <f>'County Summary'!B13</f>
        <v>0</v>
      </c>
      <c r="B9" s="50"/>
    </row>
    <row r="10" spans="1:2" ht="45" customHeight="1" x14ac:dyDescent="0.25">
      <c r="A10" s="28">
        <f>'County Summary'!B14</f>
        <v>0</v>
      </c>
      <c r="B10" s="50"/>
    </row>
    <row r="11" spans="1:2" ht="45" customHeight="1" x14ac:dyDescent="0.25">
      <c r="A11" s="28">
        <f>'County Summary'!B15</f>
        <v>0</v>
      </c>
      <c r="B11" s="50"/>
    </row>
    <row r="12" spans="1:2" ht="45" customHeight="1" x14ac:dyDescent="0.25">
      <c r="A12" s="28">
        <f>'County Summary'!B16</f>
        <v>0</v>
      </c>
      <c r="B12" s="50"/>
    </row>
    <row r="13" spans="1:2" ht="45" customHeight="1" x14ac:dyDescent="0.25">
      <c r="A13" s="28">
        <f>'County Summary'!B17</f>
        <v>0</v>
      </c>
      <c r="B13" s="50"/>
    </row>
    <row r="14" spans="1:2" ht="45" customHeight="1" x14ac:dyDescent="0.25">
      <c r="A14" s="28">
        <f>'County Summary'!B18</f>
        <v>0</v>
      </c>
      <c r="B14" s="50"/>
    </row>
    <row r="15" spans="1:2" ht="45" customHeight="1" x14ac:dyDescent="0.25">
      <c r="A15" s="28">
        <f>'County Summary'!B19</f>
        <v>0</v>
      </c>
      <c r="B15" s="50"/>
    </row>
    <row r="16" spans="1:2" ht="45" customHeight="1" x14ac:dyDescent="0.25">
      <c r="A16" s="28">
        <f>'County Summary'!B20</f>
        <v>0</v>
      </c>
      <c r="B16" s="50"/>
    </row>
    <row r="17" spans="1:2" ht="45" customHeight="1" x14ac:dyDescent="0.25">
      <c r="A17" s="28">
        <f>'County Summary'!B21</f>
        <v>0</v>
      </c>
      <c r="B17" s="50"/>
    </row>
    <row r="18" spans="1:2" ht="45" customHeight="1" x14ac:dyDescent="0.25">
      <c r="A18" s="28">
        <f>'County Summary'!B22</f>
        <v>0</v>
      </c>
      <c r="B18" s="50"/>
    </row>
    <row r="19" spans="1:2" ht="45" customHeight="1" x14ac:dyDescent="0.25">
      <c r="A19" s="28">
        <f>'County Summary'!B23</f>
        <v>0</v>
      </c>
      <c r="B19" s="50"/>
    </row>
    <row r="20" spans="1:2" ht="45" customHeight="1" x14ac:dyDescent="0.25">
      <c r="A20" s="28">
        <f>'County Summary'!B24</f>
        <v>0</v>
      </c>
      <c r="B20" s="50"/>
    </row>
    <row r="21" spans="1:2" ht="45" customHeight="1" x14ac:dyDescent="0.25">
      <c r="A21" s="28">
        <f>'County Summary'!B25</f>
        <v>0</v>
      </c>
      <c r="B21" s="50"/>
    </row>
    <row r="22" spans="1:2" ht="45" customHeight="1" x14ac:dyDescent="0.25">
      <c r="A22" s="28">
        <f>'County Summary'!B26</f>
        <v>0</v>
      </c>
      <c r="B22" s="50"/>
    </row>
    <row r="23" spans="1:2" ht="45" customHeight="1" x14ac:dyDescent="0.25">
      <c r="A23" s="28">
        <f>'County Summary'!B27</f>
        <v>0</v>
      </c>
      <c r="B23" s="50"/>
    </row>
    <row r="24" spans="1:2" ht="45" customHeight="1" x14ac:dyDescent="0.25">
      <c r="A24" s="28">
        <f>'County Summary'!B28</f>
        <v>0</v>
      </c>
      <c r="B24" s="50"/>
    </row>
    <row r="25" spans="1:2" ht="45" customHeight="1" x14ac:dyDescent="0.25">
      <c r="A25" s="28">
        <f>'County Summary'!B29</f>
        <v>0</v>
      </c>
      <c r="B25" s="50"/>
    </row>
    <row r="26" spans="1:2" ht="45" customHeight="1" x14ac:dyDescent="0.25">
      <c r="A26" s="28">
        <f>'County Summary'!B30</f>
        <v>0</v>
      </c>
      <c r="B26" s="50"/>
    </row>
    <row r="27" spans="1:2" ht="45" customHeight="1" x14ac:dyDescent="0.25">
      <c r="A27" s="28">
        <f>'County Summary'!B31</f>
        <v>0</v>
      </c>
      <c r="B27" s="50"/>
    </row>
    <row r="28" spans="1:2" ht="45" customHeight="1" x14ac:dyDescent="0.25">
      <c r="A28" s="28">
        <f>'County Summary'!B32</f>
        <v>0</v>
      </c>
      <c r="B28" s="50"/>
    </row>
    <row r="29" spans="1:2" ht="45" customHeight="1" x14ac:dyDescent="0.25">
      <c r="A29" s="28">
        <f>'County Summary'!B33</f>
        <v>0</v>
      </c>
      <c r="B29" s="50"/>
    </row>
    <row r="30" spans="1:2" ht="45" customHeight="1" x14ac:dyDescent="0.25">
      <c r="A30" s="28">
        <f>'County Summary'!B34</f>
        <v>0</v>
      </c>
      <c r="B30" s="50"/>
    </row>
    <row r="31" spans="1:2" ht="45" customHeight="1" x14ac:dyDescent="0.25">
      <c r="A31" s="28">
        <f>'County Summary'!B35</f>
        <v>0</v>
      </c>
      <c r="B31" s="50"/>
    </row>
    <row r="32" spans="1:2" ht="45" customHeight="1" x14ac:dyDescent="0.25">
      <c r="A32" s="28">
        <f>'County Summary'!B36</f>
        <v>0</v>
      </c>
      <c r="B32" s="50"/>
    </row>
    <row r="33" spans="1:2" ht="45" customHeight="1" x14ac:dyDescent="0.25">
      <c r="A33" s="28">
        <f>'County Summary'!B37</f>
        <v>0</v>
      </c>
      <c r="B33" s="50"/>
    </row>
    <row r="34" spans="1:2" ht="45" customHeight="1" x14ac:dyDescent="0.25">
      <c r="A34" s="28">
        <f>'County Summary'!B38</f>
        <v>0</v>
      </c>
      <c r="B34" s="50"/>
    </row>
    <row r="35" spans="1:2" ht="45" customHeight="1" x14ac:dyDescent="0.25">
      <c r="A35" s="28">
        <f>'County Summary'!B39</f>
        <v>0</v>
      </c>
      <c r="B35" s="50"/>
    </row>
    <row r="36" spans="1:2" ht="45" customHeight="1" x14ac:dyDescent="0.25">
      <c r="A36" s="28">
        <f>'County Summary'!B40</f>
        <v>0</v>
      </c>
      <c r="B36" s="50"/>
    </row>
    <row r="37" spans="1:2" ht="45" customHeight="1" x14ac:dyDescent="0.25">
      <c r="A37" s="28">
        <f>'County Summary'!B41</f>
        <v>0</v>
      </c>
      <c r="B37" s="50"/>
    </row>
    <row r="38" spans="1:2" ht="45" customHeight="1" x14ac:dyDescent="0.25">
      <c r="A38" s="28">
        <f>'County Summary'!B42</f>
        <v>0</v>
      </c>
      <c r="B38" s="50"/>
    </row>
    <row r="39" spans="1:2" ht="45" customHeight="1" x14ac:dyDescent="0.25">
      <c r="A39" s="28">
        <f>'County Summary'!B43</f>
        <v>0</v>
      </c>
      <c r="B39" s="50"/>
    </row>
    <row r="40" spans="1:2" ht="45" customHeight="1" x14ac:dyDescent="0.25">
      <c r="A40" s="28">
        <f>'County Summary'!B44</f>
        <v>0</v>
      </c>
      <c r="B40" s="50"/>
    </row>
    <row r="41" spans="1:2" ht="45" customHeight="1" x14ac:dyDescent="0.25">
      <c r="A41" s="28">
        <f>'County Summary'!B45</f>
        <v>0</v>
      </c>
      <c r="B41" s="50"/>
    </row>
    <row r="42" spans="1:2" ht="45" customHeight="1" x14ac:dyDescent="0.25">
      <c r="A42" s="28">
        <f>'County Summary'!B46</f>
        <v>0</v>
      </c>
      <c r="B42" s="50"/>
    </row>
    <row r="43" spans="1:2" ht="45" customHeight="1" x14ac:dyDescent="0.25">
      <c r="A43" s="28">
        <f>'County Summary'!B47</f>
        <v>0</v>
      </c>
      <c r="B43" s="50"/>
    </row>
    <row r="44" spans="1:2" ht="45" customHeight="1" x14ac:dyDescent="0.25">
      <c r="A44" s="28">
        <f>'County Summary'!B48</f>
        <v>0</v>
      </c>
      <c r="B44" s="50"/>
    </row>
    <row r="45" spans="1:2" ht="45" customHeight="1" x14ac:dyDescent="0.25">
      <c r="A45" s="28">
        <f>'County Summary'!B49</f>
        <v>0</v>
      </c>
      <c r="B45" s="50"/>
    </row>
    <row r="46" spans="1:2" ht="45" customHeight="1" x14ac:dyDescent="0.25">
      <c r="A46" s="28">
        <f>'County Summary'!B50</f>
        <v>0</v>
      </c>
      <c r="B46" s="50"/>
    </row>
    <row r="47" spans="1:2" ht="45" customHeight="1" x14ac:dyDescent="0.25">
      <c r="A47" s="28">
        <f>'County Summary'!B51</f>
        <v>0</v>
      </c>
      <c r="B47" s="50"/>
    </row>
    <row r="48" spans="1:2" ht="45" customHeight="1" x14ac:dyDescent="0.25">
      <c r="A48" s="28">
        <f>'County Summary'!B52</f>
        <v>0</v>
      </c>
      <c r="B48" s="50"/>
    </row>
    <row r="49" spans="1:2" ht="45" customHeight="1" x14ac:dyDescent="0.25">
      <c r="A49" s="28">
        <f>'County Summary'!B53</f>
        <v>0</v>
      </c>
      <c r="B49" s="50"/>
    </row>
    <row r="50" spans="1:2" ht="45" customHeight="1" x14ac:dyDescent="0.25">
      <c r="A50" s="28">
        <f>'County Summary'!B54</f>
        <v>0</v>
      </c>
      <c r="B50" s="50"/>
    </row>
    <row r="51" spans="1:2" ht="45" customHeight="1" x14ac:dyDescent="0.25">
      <c r="A51" s="28">
        <f>'County Summary'!B55</f>
        <v>0</v>
      </c>
      <c r="B51" s="50"/>
    </row>
    <row r="52" spans="1:2" ht="45" customHeight="1" x14ac:dyDescent="0.25">
      <c r="A52" s="28">
        <f>'County Summary'!B56</f>
        <v>0</v>
      </c>
      <c r="B52" s="50"/>
    </row>
    <row r="53" spans="1:2" ht="45" customHeight="1" x14ac:dyDescent="0.25">
      <c r="A53" s="28">
        <f>'County Summary'!B57</f>
        <v>0</v>
      </c>
      <c r="B53" s="50"/>
    </row>
    <row r="54" spans="1:2" ht="45" customHeight="1" x14ac:dyDescent="0.25">
      <c r="A54" s="28">
        <f>'County Summary'!B58</f>
        <v>0</v>
      </c>
      <c r="B54" s="50"/>
    </row>
    <row r="55" spans="1:2" ht="45" customHeight="1" x14ac:dyDescent="0.25">
      <c r="A55" s="28">
        <f>'County Summary'!B59</f>
        <v>0</v>
      </c>
      <c r="B55" s="50"/>
    </row>
    <row r="56" spans="1:2" ht="45" customHeight="1" x14ac:dyDescent="0.25">
      <c r="A56" s="28">
        <f>'County Summary'!B60</f>
        <v>0</v>
      </c>
      <c r="B56" s="50"/>
    </row>
    <row r="57" spans="1:2" ht="45" customHeight="1" x14ac:dyDescent="0.25">
      <c r="A57" s="28">
        <f>'County Summary'!B61</f>
        <v>0</v>
      </c>
      <c r="B57" s="50"/>
    </row>
    <row r="58" spans="1:2" ht="45" customHeight="1" x14ac:dyDescent="0.25">
      <c r="A58" s="28">
        <f>'County Summary'!B62</f>
        <v>0</v>
      </c>
      <c r="B58" s="50"/>
    </row>
    <row r="59" spans="1:2" ht="45" customHeight="1" x14ac:dyDescent="0.25">
      <c r="A59" s="28">
        <f>'County Summary'!B63</f>
        <v>0</v>
      </c>
      <c r="B59" s="50"/>
    </row>
    <row r="60" spans="1:2" ht="45" customHeight="1" x14ac:dyDescent="0.25">
      <c r="A60" s="28">
        <f>'County Summary'!B64</f>
        <v>0</v>
      </c>
      <c r="B60" s="50"/>
    </row>
    <row r="61" spans="1:2" ht="45" customHeight="1" x14ac:dyDescent="0.25">
      <c r="A61" s="28">
        <f>'County Summary'!B65</f>
        <v>0</v>
      </c>
      <c r="B61" s="50"/>
    </row>
    <row r="62" spans="1:2" ht="45" customHeight="1" x14ac:dyDescent="0.25">
      <c r="A62" s="28">
        <f>'County Summary'!B66</f>
        <v>0</v>
      </c>
      <c r="B62" s="50"/>
    </row>
    <row r="63" spans="1:2" ht="45" customHeight="1" x14ac:dyDescent="0.25">
      <c r="A63" s="28">
        <f>'County Summary'!B67</f>
        <v>0</v>
      </c>
      <c r="B63" s="50"/>
    </row>
    <row r="64" spans="1:2" ht="45" customHeight="1" x14ac:dyDescent="0.25">
      <c r="A64" s="28">
        <f>'County Summary'!B68</f>
        <v>0</v>
      </c>
      <c r="B64" s="50"/>
    </row>
    <row r="65" spans="1:2" ht="45" customHeight="1" x14ac:dyDescent="0.25">
      <c r="A65" s="28">
        <f>'County Summary'!B69</f>
        <v>0</v>
      </c>
      <c r="B65" s="50"/>
    </row>
    <row r="66" spans="1:2" ht="45" customHeight="1" x14ac:dyDescent="0.25">
      <c r="A66" s="28">
        <f>'County Summary'!B70</f>
        <v>0</v>
      </c>
      <c r="B66" s="50"/>
    </row>
    <row r="67" spans="1:2" ht="45" customHeight="1" x14ac:dyDescent="0.25">
      <c r="A67" s="28">
        <f>'County Summary'!B71</f>
        <v>0</v>
      </c>
      <c r="B67" s="50"/>
    </row>
    <row r="68" spans="1:2" ht="45" customHeight="1" x14ac:dyDescent="0.25">
      <c r="A68" s="28">
        <f>'County Summary'!B72</f>
        <v>0</v>
      </c>
      <c r="B68" s="50"/>
    </row>
    <row r="69" spans="1:2" ht="45" customHeight="1" x14ac:dyDescent="0.25">
      <c r="A69" s="28">
        <f>'County Summary'!B73</f>
        <v>0</v>
      </c>
      <c r="B69" s="50"/>
    </row>
    <row r="70" spans="1:2" ht="45" customHeight="1" x14ac:dyDescent="0.25">
      <c r="A70" s="28">
        <f>'County Summary'!B74</f>
        <v>0</v>
      </c>
      <c r="B70" s="50"/>
    </row>
    <row r="71" spans="1:2" ht="45" customHeight="1" x14ac:dyDescent="0.25">
      <c r="A71" s="28">
        <f>'County Summary'!B75</f>
        <v>0</v>
      </c>
      <c r="B71" s="50"/>
    </row>
    <row r="72" spans="1:2" ht="45" customHeight="1" x14ac:dyDescent="0.25">
      <c r="A72" s="28">
        <f>'County Summary'!B76</f>
        <v>0</v>
      </c>
      <c r="B72" s="50"/>
    </row>
    <row r="73" spans="1:2" ht="45" customHeight="1" x14ac:dyDescent="0.25">
      <c r="A73" s="28">
        <f>'County Summary'!B77</f>
        <v>0</v>
      </c>
      <c r="B73" s="50"/>
    </row>
    <row r="74" spans="1:2" ht="45" customHeight="1" x14ac:dyDescent="0.25">
      <c r="A74" s="28">
        <f>'County Summary'!B78</f>
        <v>0</v>
      </c>
      <c r="B74" s="50"/>
    </row>
    <row r="75" spans="1:2" ht="45" customHeight="1" x14ac:dyDescent="0.25">
      <c r="A75" s="28">
        <f>'County Summary'!B79</f>
        <v>0</v>
      </c>
      <c r="B75" s="50"/>
    </row>
    <row r="76" spans="1:2" ht="45" customHeight="1" x14ac:dyDescent="0.25">
      <c r="A76" s="28">
        <f>'County Summary'!B80</f>
        <v>0</v>
      </c>
      <c r="B76" s="50"/>
    </row>
    <row r="77" spans="1:2" ht="45" customHeight="1" x14ac:dyDescent="0.25">
      <c r="A77" s="28">
        <f>'County Summary'!B81</f>
        <v>0</v>
      </c>
      <c r="B77" s="50"/>
    </row>
    <row r="78" spans="1:2" ht="45" customHeight="1" x14ac:dyDescent="0.25">
      <c r="A78" s="28">
        <f>'County Summary'!B82</f>
        <v>0</v>
      </c>
      <c r="B78" s="50"/>
    </row>
    <row r="79" spans="1:2" ht="45" customHeight="1" x14ac:dyDescent="0.25">
      <c r="A79" s="28">
        <f>'County Summary'!B83</f>
        <v>0</v>
      </c>
      <c r="B79" s="50"/>
    </row>
    <row r="80" spans="1:2" ht="45" customHeight="1" x14ac:dyDescent="0.25">
      <c r="A80" s="28">
        <f>'County Summary'!B84</f>
        <v>0</v>
      </c>
      <c r="B80" s="50"/>
    </row>
    <row r="81" spans="1:2" ht="45" customHeight="1" x14ac:dyDescent="0.25">
      <c r="A81" s="28">
        <f>'County Summary'!B85</f>
        <v>0</v>
      </c>
      <c r="B81" s="50"/>
    </row>
    <row r="82" spans="1:2" ht="45" customHeight="1" x14ac:dyDescent="0.25">
      <c r="A82" s="28">
        <f>'County Summary'!B86</f>
        <v>0</v>
      </c>
      <c r="B82" s="50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54EAB0-0AB6-491D-9066-3A3A8163A3D6}"/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4f1a833c-a938-4a5e-81e3-99cd1b92e526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538c035d-569c-47ab-a864-fdd8ae3d4516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2026-05-29T12:15:13Z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