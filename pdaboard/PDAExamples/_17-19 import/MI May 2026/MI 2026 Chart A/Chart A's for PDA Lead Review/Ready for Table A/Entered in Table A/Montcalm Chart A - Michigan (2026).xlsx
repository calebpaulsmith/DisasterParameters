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ounties/Montcalm/"/>
    </mc:Choice>
  </mc:AlternateContent>
  <xr:revisionPtr revIDLastSave="106" documentId="13_ncr:1_{4B26DC56-3104-4C3E-A816-A5885244DC2D}" xr6:coauthVersionLast="47" xr6:coauthVersionMax="47" xr10:uidLastSave="{885D457E-467F-4DEE-8EDE-180D22DA8558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<sst xmlns="http://schemas.openxmlformats.org/spreadsheetml/2006/main" count="223" uniqueCount="217">
  <si>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</si>
  <si>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</si>
  <si>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</si>
  <si>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</si>
  <si>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</si>
  <si>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</si>
  <si>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</si>
  <si>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</si>
  <si>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</si>
  <si>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</si>
  <si>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</si>
  <si>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</si>
  <si>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</si>
  <si>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</si>
  <si>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</si>
  <si>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</si>
  <si>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</si>
  <si>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</si>
  <si>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</si>
  <si>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</si>
  <si>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</si>
  <si>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</si>
  <si>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</si>
  <si>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</si>
  <si>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</si>
  <si>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</si>
  <si>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</si>
  <si>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</si>
  <si>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</si>
  <si>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</si>
  <si>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</si>
  <si>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</si>
  <si>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</si>
  <si>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</si>
  <si>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</si>
  <si>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</si>
  <si>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</si>
  <si>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</si>
  <si>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</si>
  <si>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</si>
  <si>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</si>
  <si>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</si>
  <si>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</si>
  <si>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</si>
  <si>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</si>
  <si>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</si>
  <si>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</si>
  <si>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</si>
  <si>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</si>
  <si>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</si>
  <si>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</si>
  <si>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</si>
  <si>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</si>
  <si>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</si>
  <si>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</si>
  <si>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</si>
  <si>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</si>
  <si>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</si>
  <si>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</si>
  <si>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</si>
  <si>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</si>
  <si>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</si>
  <si>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</si>
  <si>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</si>
  <si>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</si>
  <si>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</si>
  <si>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</si>
  <si>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</si>
  <si>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</si>
  <si>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</si>
  <si>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</si>
  <si>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</si>
  <si>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</si>
  <si>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</si>
  <si>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</si>
  <si>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</si>
  <si>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</si>
  <si>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</si>
  <si>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</si>
  <si>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</si>
  <si>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</si>
  <si>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</si>
  <si>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</si>
  <si>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</si>
  <si>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</si>
  <si>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</si>
  <si>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</si>
  <si>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</si>
  <si>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</si>
  <si>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</si>
  <si>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</si>
  <si>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</si>
  <si>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</si>
  <si>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</si>
  <si>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</si>
  <si>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</si>
  <si>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</si>
  <si>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</si>
  <si>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</si>
  <si>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</si>
  <si>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</si>
  <si>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</si>
  <si>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</si>
  <si>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</si>
  <si>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</si>
  <si>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</si>
  <si>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</si>
  <si>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</si>
  <si>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</si>
  <si>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</si>
  <si>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</si>
  <si>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</si>
  <si>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</si>
  <si>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</si>
  <si>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</si>
  <si>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</si>
  <si>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</si>
  <si>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</si>
  <si>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</si>
  <si>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</si>
  <si>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</si>
  <si>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</si>
  <si>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</si>
  <si>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</si>
  <si>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</si>
  <si>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</si>
  <si>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</si>
  <si>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</si>
  <si>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</si>
  <si>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</si>
  <si>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</si>
  <si>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</si>
  <si>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</si>
  <si>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</si>
  <si>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</si>
  <si>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</si>
  <si>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</si>
  <si>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</si>
  <si>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</si>
  <si>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</si>
  <si>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</si>
  <si>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</si>
  <si>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</si>
  <si>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</si>
  <si>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</si>
  <si>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</si>
  <si>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</si>
  <si>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</si>
  <si>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</si>
  <si>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</si>
  <si>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</si>
  <si>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</si>
  <si>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</si>
  <si>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</si>
  <si>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</si>
  <si>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</si>
  <si>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</si>
  <si>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</si>
  <si>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</si>
  <si>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</si>
  <si>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</si>
  <si>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</si>
  <si>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</si>
  <si>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</si>
  <si>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</si>
  <si>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</si>
  <si>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</si>
  <si>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</si>
  <si>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</si>
  <si>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</si>
  <si>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</si>
  <si>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</si>
  <si>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</si>
  <si>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</si>
  <si>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</si>
  <si>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</si>
  <si>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</si>
  <si>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</si>
  <si>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</si>
  <si>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</si>
  <si>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</si>
  <si>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</si>
  <si>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</si>
  <si>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</si>
  <si>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</si>
  <si>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</si>
  <si>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</si>
  <si>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</si>
  <si>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</si>
  <si>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</si>
  <si>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</si>
  <si>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</si>
  <si>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</si>
  <si>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</si>
  <si>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</si>
  <si>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</si>
  <si>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</si>
  <si>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</si>
  <si>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</si>
  <si>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</si>
  <si>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</si>
  <si>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</si>
  <si>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</si>
  <si>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</si>
  <si>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</si>
  <si>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</si>
  <si>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Montcalm County (66,614) - $323,744.04</t>
  </si>
  <si>
    <t>Sheridan Fire Department</t>
  </si>
  <si>
    <t>Municipality</t>
  </si>
  <si>
    <t>Complete</t>
  </si>
  <si>
    <r>
      <rPr>
        <b/>
        <sz val="10"/>
        <rFont val="Arial"/>
        <family val="2"/>
      </rPr>
      <t>CAT B: Estimated $12,521.62</t>
    </r>
    <r>
      <rPr>
        <sz val="10"/>
        <rFont val="Arial"/>
        <family val="2"/>
      </rPr>
      <t xml:space="preserve"> for emergency protective measures and calls directly related to the disaster. </t>
    </r>
    <r>
      <rPr>
        <b/>
        <sz val="10"/>
        <rFont val="Arial"/>
        <family val="2"/>
      </rPr>
      <t xml:space="preserve">Validated $12,521.62 </t>
    </r>
    <r>
      <rPr>
        <sz val="10"/>
        <rFont val="Arial"/>
        <family val="2"/>
      </rPr>
      <t>utilizing Applicant provided cost summary and EMP descriptions.</t>
    </r>
  </si>
  <si>
    <t xml:space="preserve">Stanton, City of </t>
  </si>
  <si>
    <t>City</t>
  </si>
  <si>
    <r>
      <rPr>
        <b/>
        <sz val="10"/>
        <rFont val="Arial"/>
        <family val="2"/>
      </rPr>
      <t>CAT B: Estimated $2,183.88</t>
    </r>
    <r>
      <rPr>
        <sz val="10"/>
        <rFont val="Arial"/>
        <family val="2"/>
      </rPr>
      <t xml:space="preserve"> for emergency protective measures city wide inculding barricading off roads, clearing debris, and clearing gravel/sand from drains. </t>
    </r>
    <r>
      <rPr>
        <b/>
        <sz val="10"/>
        <rFont val="Arial"/>
        <family val="2"/>
      </rPr>
      <t>Reduced: $2,183.88</t>
    </r>
    <r>
      <rPr>
        <sz val="10"/>
        <rFont val="Arial"/>
        <family val="2"/>
      </rPr>
      <t xml:space="preserve">  for not meeting FY26 minimum project threshold of $4,100.</t>
    </r>
  </si>
  <si>
    <t>Montcalm County Road Commission</t>
  </si>
  <si>
    <t>County</t>
  </si>
  <si>
    <r>
      <t xml:space="preserve">CAT A: Estimated $23,413.01 </t>
    </r>
    <r>
      <rPr>
        <sz val="10"/>
        <rFont val="Arial"/>
        <family val="2"/>
      </rPr>
      <t xml:space="preserve">for woody debris removal activities on county roads. </t>
    </r>
    <r>
      <rPr>
        <b/>
        <sz val="10"/>
        <rFont val="Arial"/>
        <family val="2"/>
      </rPr>
      <t>Validated: $23,413.01</t>
    </r>
    <r>
      <rPr>
        <sz val="10"/>
        <rFont val="Arial"/>
        <family val="2"/>
      </rPr>
      <t xml:space="preserve"> utilizing Applicant provided cost summary and work logs. 
</t>
    </r>
    <r>
      <rPr>
        <b/>
        <sz val="10"/>
        <rFont val="Arial"/>
        <family val="2"/>
      </rPr>
      <t xml:space="preserve">CAT B: Estimated $16,029.02 </t>
    </r>
    <r>
      <rPr>
        <sz val="10"/>
        <rFont val="Arial"/>
        <family val="2"/>
      </rPr>
      <t xml:space="preserve">for closing county roads damaged by the disaster. </t>
    </r>
    <r>
      <rPr>
        <b/>
        <sz val="10"/>
        <rFont val="Arial"/>
        <family val="2"/>
      </rPr>
      <t xml:space="preserve">Validated: $16,029.02 </t>
    </r>
    <r>
      <rPr>
        <sz val="10"/>
        <rFont val="Arial"/>
        <family val="2"/>
      </rPr>
      <t xml:space="preserve">utilizing Applicant provided cost summary and work logs.
</t>
    </r>
    <r>
      <rPr>
        <b/>
        <sz val="10"/>
        <rFont val="Arial"/>
        <family val="2"/>
      </rPr>
      <t xml:space="preserve">CAT C: Estimated $120,404.88 </t>
    </r>
    <r>
      <rPr>
        <sz val="10"/>
        <rFont val="Arial"/>
        <family val="2"/>
      </rPr>
      <t xml:space="preserve">for damage to county roads caused by the disaster. </t>
    </r>
    <r>
      <rPr>
        <b/>
        <sz val="10"/>
        <rFont val="Arial"/>
        <family val="2"/>
      </rPr>
      <t xml:space="preserve">Reduced: $120,404.88 </t>
    </r>
    <r>
      <rPr>
        <sz val="10"/>
        <rFont val="Arial"/>
        <family val="2"/>
      </rPr>
      <t xml:space="preserve">Unable to validate any of the Applicant permanent work claims - Applicant did not provide locations for claimed damages or dimensions.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</si>
</sst>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8" sqref="D8"/>
    </sheetView>
  </sheetViews>
  <sheetFormatPr defaultColWidth="16.77734375" defaultRowHeight="13.2" x14ac:dyDescent="0.25"/>
  <cols>
    <col min="1" max="1" width="1.21875" style="50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" customFormat="1" ht="20.100000000000001" customHeight="1" thickTop="1" thickBot="1" x14ac:dyDescent="0.3">
      <c r="A2" s="50"/>
      <c r="B2" s="64" t="s">
        <v>15</v>
      </c>
      <c r="C2" s="65"/>
      <c r="D2" s="5" t="s">
        <v>7</v>
      </c>
      <c r="E2" s="60" t="s">
        <v>9</v>
      </c>
      <c r="F2" s="61"/>
      <c r="G2" s="51" t="s">
        <v>13</v>
      </c>
      <c r="H2" s="52"/>
      <c r="I2" s="52"/>
      <c r="J2" s="52"/>
      <c r="K2" s="53"/>
      <c r="L2" s="6" t="s">
        <v>11</v>
      </c>
    </row>
    <row r="3" spans="1:12" s="1" customFormat="1" ht="31.2" customHeight="1" thickTop="1" thickBot="1" x14ac:dyDescent="0.3">
      <c r="A3" s="50"/>
      <c r="B3" s="66" t="s">
        <v>206</v>
      </c>
      <c r="C3" s="67"/>
      <c r="D3" s="14" t="s">
        <v>193</v>
      </c>
      <c r="E3" s="62">
        <f>SUM(Table6[[A]:[B]])</f>
        <v>51963.649999999994</v>
      </c>
      <c r="F3" s="63"/>
      <c r="G3" s="54">
        <f>SUM(Table6[[C]:[G]])</f>
        <v>0</v>
      </c>
      <c r="H3" s="55"/>
      <c r="I3" s="55"/>
      <c r="J3" s="55"/>
      <c r="K3" s="56"/>
      <c r="L3" s="9">
        <f>SUM(Table6[Applicant Total])</f>
        <v>51963.65</v>
      </c>
    </row>
    <row r="4" spans="1:12" ht="14.4" thickTop="1" thickBot="1" x14ac:dyDescent="0.3">
      <c r="B4" s="57"/>
      <c r="C4" s="58"/>
      <c r="D4" s="58"/>
      <c r="E4" s="58"/>
      <c r="F4" s="58"/>
      <c r="G4" s="58"/>
      <c r="H4" s="58"/>
      <c r="I4" s="58"/>
      <c r="J4" s="58"/>
      <c r="K4" s="58"/>
      <c r="L4" s="59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>
        <v>12521.62</v>
      </c>
      <c r="G6" s="12"/>
      <c r="H6" s="13"/>
      <c r="I6" s="13"/>
      <c r="J6" s="13"/>
      <c r="K6" s="13"/>
      <c r="L6" s="15">
        <f>SUM(Table6[[#This Row],[A]:[G]])</f>
        <v>12521.62</v>
      </c>
    </row>
    <row r="7" spans="1:12" x14ac:dyDescent="0.25">
      <c r="B7" s="10" t="s">
        <v>211</v>
      </c>
      <c r="C7" s="10" t="s">
        <v>212</v>
      </c>
      <c r="D7" s="11" t="s">
        <v>209</v>
      </c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5">
      <c r="B8" s="10" t="s">
        <v>214</v>
      </c>
      <c r="C8" s="10" t="s">
        <v>215</v>
      </c>
      <c r="D8" s="11" t="s">
        <v>209</v>
      </c>
      <c r="E8" s="13">
        <v>23413.01</v>
      </c>
      <c r="F8" s="13">
        <v>16029.02</v>
      </c>
      <c r="G8" s="13"/>
      <c r="H8" s="13"/>
      <c r="I8" s="13"/>
      <c r="J8" s="13"/>
      <c r="K8" s="13"/>
      <c r="L8" s="15">
        <f>SUM(Table6[[#This Row],[A]:[G]])</f>
        <v>39442.03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21875" bestFit="1" customWidth="1"/>
    <col min="4" max="4" width="15.33203125" customWidth="1"/>
    <col min="5" max="5" width="14.77734375" customWidth="1"/>
    <col min="6" max="6" width="12.109375" customWidth="1"/>
    <col min="7" max="7" width="23.2187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Sheridan Fire Department</v>
      </c>
      <c r="B2" s="68" t="s">
        <v>210</v>
      </c>
    </row>
    <row r="3" spans="1:2" ht="45" customHeight="1" x14ac:dyDescent="0.25">
      <c r="A3" s="28" t="str">
        <f>'County Summary'!B7</f>
        <v xml:space="preserve">Stanton, City of </v>
      </c>
      <c r="B3" s="68" t="s">
        <v>213</v>
      </c>
    </row>
    <row r="4" spans="1:2" ht="55.8" customHeight="1" x14ac:dyDescent="0.25">
      <c r="A4" s="28" t="str">
        <f>'County Summary'!B8</f>
        <v>Montcalm County Road Commission</v>
      </c>
      <c r="B4" s="69" t="s">
        <v>216</v>
      </c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5661B3-086E-42B8-B0C8-B56FE348FF14}"/>
</file>

<file path=customXml/itemProps3.xml><?xml version="1.0" encoding="utf-8"?>
<ds:datastoreItem xmlns:ds="http://schemas.openxmlformats.org/officeDocument/2006/customXml" ds:itemID="{48B6618A-A1B9-4FC9-925A-722407B3AAF8}">
  <ds:schemaRefs>
    <ds:schemaRef ds:uri="4f1a833c-a938-4a5e-81e3-99cd1b92e526"/>
    <ds:schemaRef ds:uri="http://schemas.microsoft.com/office/2006/metadata/properties"/>
    <ds:schemaRef ds:uri="http://schemas.microsoft.com/office/2006/documentManagement/types"/>
    <ds:schemaRef ds:uri="538c035d-569c-47ab-a864-fdd8ae3d4516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2026-05-28T15:47:04Z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