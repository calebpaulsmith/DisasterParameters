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"/>
    </mc:Choice>
  </mc:AlternateContent>
  <xr:revisionPtr revIDLastSave="0" documentId="14_{031A30AF-31B6-4B7A-8F9A-A0164AFA94E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<sst xmlns="http://schemas.openxmlformats.org/spreadsheetml/2006/main" count="231" uniqueCount="221">
  <si>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</si>
  <si>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</si>
  <si>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</si>
  <si>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</si>
  <si>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</si>
  <si>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</si>
  <si>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</si>
  <si>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</si>
  <si>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</si>
  <si>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</si>
  <si>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</si>
  <si>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</si>
  <si>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</si>
  <si>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</si>
  <si>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</si>
  <si>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</si>
  <si>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</si>
  <si>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</si>
  <si>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</si>
  <si>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</si>
  <si>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</si>
  <si>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</si>
  <si>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</si>
  <si>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</si>
  <si>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</si>
  <si>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</si>
  <si>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</si>
  <si>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</si>
  <si>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</si>
  <si>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</si>
  <si>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</si>
  <si>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</si>
  <si>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</si>
  <si>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</si>
  <si>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</si>
  <si>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</si>
  <si>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</si>
  <si>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</si>
  <si>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</si>
  <si>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</si>
  <si>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</si>
  <si>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</si>
  <si>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</si>
  <si>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</si>
  <si>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</si>
  <si>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</si>
  <si>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</si>
  <si>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</si>
  <si>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</si>
  <si>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</si>
  <si>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</si>
  <si>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</si>
  <si>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</si>
  <si>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</si>
  <si>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</si>
  <si>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</si>
  <si>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</si>
  <si>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</si>
  <si>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</si>
  <si>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</si>
  <si>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</si>
  <si>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</si>
  <si>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</si>
  <si>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</si>
  <si>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</si>
  <si>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</si>
  <si>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</si>
  <si>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</si>
  <si>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</si>
  <si>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</si>
  <si>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</si>
  <si>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</si>
  <si>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</si>
  <si>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</si>
  <si>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</si>
  <si>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</si>
  <si>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</si>
  <si>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</si>
  <si>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</si>
  <si>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</si>
  <si>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</si>
  <si>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</si>
  <si>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</si>
  <si>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</si>
  <si>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</si>
  <si>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</si>
  <si>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</si>
  <si>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</si>
  <si>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</si>
  <si>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</si>
  <si>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</si>
  <si>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</si>
  <si>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</si>
  <si>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</si>
  <si>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</si>
  <si>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</si>
  <si>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</si>
  <si>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</si>
  <si>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</si>
  <si>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</si>
  <si>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</si>
  <si>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</si>
  <si>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</si>
  <si>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</si>
  <si>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</si>
  <si>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</si>
  <si>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</si>
  <si>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</si>
  <si>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</si>
  <si>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</si>
  <si>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</si>
  <si>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</si>
  <si>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</si>
  <si>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</si>
  <si>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</si>
  <si>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</si>
  <si>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</si>
  <si>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</si>
  <si>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</si>
  <si>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</si>
  <si>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</si>
  <si>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</si>
  <si>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</si>
  <si>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</si>
  <si>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</si>
  <si>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</si>
  <si>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</si>
  <si>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</si>
  <si>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</si>
  <si>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</si>
  <si>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</si>
  <si>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</si>
  <si>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</si>
  <si>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</si>
  <si>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</si>
  <si>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</si>
  <si>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</si>
  <si>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</si>
  <si>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</si>
  <si>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</si>
  <si>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</si>
  <si>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</si>
  <si>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</si>
  <si>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</si>
  <si>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</si>
  <si>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</si>
  <si>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</si>
  <si>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</si>
  <si>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</si>
  <si>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</si>
  <si>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</si>
  <si>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</si>
  <si>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</si>
  <si>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</si>
  <si>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</si>
  <si>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</si>
  <si>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</si>
  <si>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</si>
  <si>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</si>
  <si>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</si>
  <si>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</si>
  <si>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</si>
  <si>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</si>
  <si>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</si>
  <si>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</si>
  <si>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</si>
  <si>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</si>
  <si>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</si>
  <si>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</si>
  <si>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</si>
  <si>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</si>
  <si>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</si>
  <si>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</si>
  <si>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</si>
  <si>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</si>
  <si>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</si>
  <si>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</si>
  <si>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</si>
  <si>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</si>
  <si>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</si>
  <si>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</si>
  <si>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</si>
  <si>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</si>
  <si>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</si>
  <si>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</si>
  <si>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</si>
  <si>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</si>
  <si>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</si>
  <si>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</si>
  <si>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</si>
  <si>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</si>
  <si>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</si>
  <si>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</si>
  <si>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</si>
  <si>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</si>
  <si>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</si>
  <si>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</si>
  <si>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</si>
  <si>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</si>
  <si>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</si>
  <si>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</si>
  <si>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</si>
  <si>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</si>
  <si>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</si>
  <si>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</si>
  <si>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</si>
  <si>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Eaton County Road Commission</t>
  </si>
  <si>
    <t>Village of Mulliken</t>
  </si>
  <si>
    <t>Eaton County Drain Commission</t>
  </si>
  <si>
    <r>
      <rPr>
        <b/>
        <sz val="10"/>
        <rFont val="Arial"/>
        <family val="2"/>
      </rPr>
      <t>Cat D - Estimated $2,670</t>
    </r>
    <r>
      <rPr>
        <sz val="10"/>
        <rFont val="Arial"/>
        <family val="2"/>
      </rPr>
      <t xml:space="preserve"> for work on drain systems after the storm. </t>
    </r>
    <r>
      <rPr>
        <b/>
        <sz val="10"/>
        <rFont val="Arial"/>
        <family val="2"/>
      </rPr>
      <t>Reduced $2,670</t>
    </r>
    <r>
      <rPr>
        <sz val="10"/>
        <rFont val="Arial"/>
        <family val="2"/>
      </rPr>
      <t xml:space="preserve"> for work not being conducted and not meeting the FY26 minimum project threshold of $4,100.</t>
    </r>
  </si>
  <si>
    <t>County</t>
  </si>
  <si>
    <t>Complete</t>
  </si>
  <si>
    <t>City</t>
  </si>
  <si>
    <r>
      <rPr>
        <b/>
        <sz val="10"/>
        <rFont val="Arial"/>
        <family val="2"/>
      </rPr>
      <t>Cat D - Estimated $124,264.10</t>
    </r>
    <r>
      <rPr>
        <sz val="10"/>
        <rFont val="Arial"/>
        <family val="2"/>
      </rPr>
      <t xml:space="preserve"> for repairs on a sewage system after the storms.</t>
    </r>
    <r>
      <rPr>
        <b/>
        <sz val="10"/>
        <rFont val="Arial"/>
        <family val="2"/>
      </rPr>
      <t>Validated $124.264.10</t>
    </r>
    <r>
      <rPr>
        <sz val="10"/>
        <rFont val="Arial"/>
        <family val="2"/>
      </rPr>
      <t xml:space="preserve"> based on applicant documentation</t>
    </r>
  </si>
  <si>
    <t>Eaton County (109,175) - $530,590.50</t>
  </si>
  <si>
    <r>
      <rPr>
        <b/>
        <sz val="10"/>
        <rFont val="Arial"/>
        <family val="2"/>
      </rPr>
      <t>Cat B - Estimated $8,565.57</t>
    </r>
    <r>
      <rPr>
        <sz val="10"/>
        <rFont val="Arial"/>
        <family val="2"/>
      </rPr>
      <t xml:space="preserve"> for emergency response measures including placing and retreiving barricades and flagging for shoulder washout repairs. </t>
    </r>
    <r>
      <rPr>
        <b/>
        <sz val="10"/>
        <rFont val="Arial"/>
        <family val="2"/>
      </rPr>
      <t xml:space="preserve">Reduced $8,281.15 </t>
    </r>
    <r>
      <rPr>
        <sz val="10"/>
        <rFont val="Arial"/>
        <family val="2"/>
      </rPr>
      <t>due to ineligible labor costs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outside of the incident period and also being straight time labor. Remaining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$284.42 from applicant documents does not meet threshold. </t>
    </r>
    <r>
      <rPr>
        <b/>
        <sz val="10"/>
        <rFont val="Arial"/>
        <family val="2"/>
      </rPr>
      <t xml:space="preserve">Validated: $0 </t>
    </r>
    <r>
      <rPr>
        <sz val="10"/>
        <rFont val="Arial"/>
        <family val="2"/>
      </rPr>
      <t xml:space="preserve">due to the $4,100 FY26 minimum project threshold not being met.
</t>
    </r>
    <r>
      <rPr>
        <b/>
        <sz val="10"/>
        <rFont val="Arial"/>
        <family val="2"/>
      </rPr>
      <t>Cat C - Estimated $620,271</t>
    </r>
    <r>
      <rPr>
        <sz val="10"/>
        <rFont val="Arial"/>
        <family val="2"/>
      </rPr>
      <t xml:space="preserve"> for repairs to jurisdiction-wide road washouts, erosion to road embankment, and culvert damages. Costs include force account labor and equipment. </t>
    </r>
    <r>
      <rPr>
        <b/>
        <sz val="10"/>
        <rFont val="Arial"/>
        <family val="2"/>
      </rPr>
      <t xml:space="preserve">Reduced: $116,349.10 </t>
    </r>
    <r>
      <rPr>
        <sz val="10"/>
        <rFont val="Arial"/>
        <family val="2"/>
      </rPr>
      <t xml:space="preserve">for ineligible costs that are outside of the incident period. </t>
    </r>
    <r>
      <rPr>
        <b/>
        <sz val="10"/>
        <rFont val="Arial"/>
        <family val="2"/>
      </rPr>
      <t>Validated: $503,921.90</t>
    </r>
    <r>
      <rPr>
        <sz val="10"/>
        <rFont val="Arial"/>
        <family val="2"/>
      </rPr>
      <t xml:space="preserve"> based on applicant documents. </t>
    </r>
  </si>
  <si>
    <t>Michigan State Police- EOC</t>
  </si>
  <si>
    <t>Government</t>
  </si>
  <si>
    <r>
      <rPr>
        <b/>
        <sz val="10"/>
        <rFont val="Arial"/>
        <family val="2"/>
      </rPr>
      <t xml:space="preserve">Cat. B- Estimated $172,059 </t>
    </r>
    <r>
      <rPr>
        <sz val="10"/>
        <rFont val="Arial"/>
        <family val="2"/>
      </rPr>
      <t xml:space="preserve"> State Emergency Operation Center costs </t>
    </r>
    <r>
      <rPr>
        <b/>
        <sz val="10"/>
        <rFont val="Arial"/>
        <family val="2"/>
      </rPr>
      <t xml:space="preserve">Validated $172,059 </t>
    </r>
    <r>
      <rPr>
        <sz val="10"/>
        <rFont val="Arial"/>
        <family val="2"/>
      </rPr>
      <t>applicant provided cost summaries detailing expenses</t>
    </r>
  </si>
  <si>
    <t>EGLE</t>
  </si>
  <si>
    <r>
      <rPr>
        <b/>
        <sz val="10"/>
        <rFont val="Arial"/>
        <family val="2"/>
      </rPr>
      <t>Cat. B- Estimated $15,668</t>
    </r>
    <r>
      <rPr>
        <sz val="10"/>
        <rFont val="Arial"/>
        <family val="2"/>
      </rPr>
      <t xml:space="preserve"> EGLE provided technical support to the State Emergency Operation Center costs </t>
    </r>
    <r>
      <rPr>
        <b/>
        <sz val="10"/>
        <rFont val="Arial"/>
        <family val="2"/>
      </rPr>
      <t xml:space="preserve">Validated $15,668 </t>
    </r>
    <r>
      <rPr>
        <sz val="10"/>
        <rFont val="Arial"/>
        <family val="2"/>
      </rPr>
      <t>applicant provided cost summaries detailing expenses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</si>
</sst>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1" sqref="F11"/>
    </sheetView>
  </sheetViews>
  <sheetFormatPr defaultColWidth="16.6640625" defaultRowHeight="13.2" x14ac:dyDescent="0.25"/>
  <cols>
    <col min="1" max="1" width="1.3320312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15</v>
      </c>
      <c r="C2" s="66"/>
      <c r="D2" s="5" t="s">
        <v>7</v>
      </c>
      <c r="E2" s="61" t="s">
        <v>9</v>
      </c>
      <c r="F2" s="62"/>
      <c r="G2" s="52" t="s">
        <v>13</v>
      </c>
      <c r="H2" s="53"/>
      <c r="I2" s="53"/>
      <c r="J2" s="53"/>
      <c r="K2" s="54"/>
      <c r="L2" s="6" t="s">
        <v>11</v>
      </c>
    </row>
    <row r="3" spans="1:12" s="1" customFormat="1" ht="31.2" customHeight="1" thickTop="1" thickBot="1" x14ac:dyDescent="0.3">
      <c r="A3" s="51"/>
      <c r="B3" s="67" t="s">
        <v>214</v>
      </c>
      <c r="C3" s="68"/>
      <c r="D3" s="14" t="s">
        <v>201</v>
      </c>
      <c r="E3" s="63">
        <f>SUM(Table6[[A]:[B]])</f>
        <v>196291.04</v>
      </c>
      <c r="F3" s="64"/>
      <c r="G3" s="55">
        <f>SUM(Table6[[C]:[G]])</f>
        <v>628186</v>
      </c>
      <c r="H3" s="56"/>
      <c r="I3" s="56"/>
      <c r="J3" s="56"/>
      <c r="K3" s="57"/>
      <c r="L3" s="9">
        <f>SUM(Table6[Applicant Total])</f>
        <v>824477.04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208</v>
      </c>
      <c r="C6" s="10" t="s">
        <v>210</v>
      </c>
      <c r="D6" s="11" t="s">
        <v>211</v>
      </c>
      <c r="E6" s="13"/>
      <c r="F6" s="12"/>
      <c r="G6" s="12"/>
      <c r="H6" s="13"/>
      <c r="I6" s="13"/>
      <c r="J6" s="13"/>
      <c r="K6" s="13"/>
      <c r="L6" s="15">
        <f>SUM(Table6[[#This Row],[A]:[G]])</f>
        <v>0</v>
      </c>
    </row>
    <row r="7" spans="1:12" x14ac:dyDescent="0.25">
      <c r="B7" s="10" t="s">
        <v>206</v>
      </c>
      <c r="C7" s="10" t="s">
        <v>210</v>
      </c>
      <c r="D7" s="11" t="s">
        <v>211</v>
      </c>
      <c r="E7" s="13"/>
      <c r="F7" s="13">
        <v>8565.56</v>
      </c>
      <c r="G7" s="12">
        <v>503921.9</v>
      </c>
      <c r="H7" s="12"/>
      <c r="I7" s="13"/>
      <c r="J7" s="13"/>
      <c r="K7" s="13"/>
      <c r="L7" s="15">
        <f>SUM(Table6[[#This Row],[A]:[G]])</f>
        <v>512487.46</v>
      </c>
    </row>
    <row r="8" spans="1:12" x14ac:dyDescent="0.25">
      <c r="B8" s="10" t="s">
        <v>207</v>
      </c>
      <c r="C8" s="10" t="s">
        <v>212</v>
      </c>
      <c r="D8" s="11" t="s">
        <v>211</v>
      </c>
      <c r="E8" s="13"/>
      <c r="F8" s="13"/>
      <c r="G8" s="13"/>
      <c r="H8" s="13">
        <v>124264.1</v>
      </c>
      <c r="I8" s="13"/>
      <c r="J8" s="13"/>
      <c r="K8" s="13"/>
      <c r="L8" s="15">
        <f>SUM(Table6[[#This Row],[A]:[G]])</f>
        <v>124264.1</v>
      </c>
    </row>
    <row r="9" spans="1:12" x14ac:dyDescent="0.25">
      <c r="B9" s="10" t="s">
        <v>216</v>
      </c>
      <c r="C9" s="10" t="s">
        <v>217</v>
      </c>
      <c r="D9" s="11" t="s">
        <v>211</v>
      </c>
      <c r="E9" s="13"/>
      <c r="F9" s="13">
        <v>172059</v>
      </c>
      <c r="G9" s="13"/>
      <c r="H9" s="13"/>
      <c r="I9" s="13"/>
      <c r="J9" s="13"/>
      <c r="K9" s="13"/>
      <c r="L9" s="15">
        <f>SUM(Table6[[#This Row],[A]:[G]])</f>
        <v>172059</v>
      </c>
    </row>
    <row r="10" spans="1:12" x14ac:dyDescent="0.25">
      <c r="B10" s="10" t="s">
        <v>219</v>
      </c>
      <c r="C10" s="10" t="s">
        <v>217</v>
      </c>
      <c r="D10" s="11" t="s">
        <v>211</v>
      </c>
      <c r="E10" s="13"/>
      <c r="F10" s="13">
        <v>15666.48</v>
      </c>
      <c r="G10" s="13"/>
      <c r="H10" s="13"/>
      <c r="I10" s="13"/>
      <c r="J10" s="13"/>
      <c r="K10" s="13"/>
      <c r="L10" s="15">
        <f>SUM(Table6[[#This Row],[A]:[G]])</f>
        <v>15666.48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6" sqref="B6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Eaton County Drain Commission</v>
      </c>
      <c r="B2" s="10" t="s">
        <v>209</v>
      </c>
    </row>
    <row r="3" spans="1:2" ht="66" x14ac:dyDescent="0.25">
      <c r="A3" s="28" t="str">
        <f>'County Summary'!B7</f>
        <v>Eaton County Road Commission</v>
      </c>
      <c r="B3" s="49" t="s">
        <v>215</v>
      </c>
    </row>
    <row r="4" spans="1:2" ht="45" customHeight="1" x14ac:dyDescent="0.25">
      <c r="A4" s="28" t="str">
        <f>'County Summary'!B8</f>
        <v>Village of Mulliken</v>
      </c>
      <c r="B4" s="10" t="s">
        <v>213</v>
      </c>
    </row>
    <row r="5" spans="1:2" ht="45" customHeight="1" x14ac:dyDescent="0.25">
      <c r="A5" s="28" t="str">
        <f>'County Summary'!B9</f>
        <v>Michigan State Police- EOC</v>
      </c>
      <c r="B5" s="10" t="s">
        <v>218</v>
      </c>
    </row>
    <row r="6" spans="1:2" ht="45" customHeight="1" x14ac:dyDescent="0.25">
      <c r="A6" s="28" t="str">
        <f>'County Summary'!B10</f>
        <v>EGLE</v>
      </c>
      <c r="B6" s="10" t="s">
        <v>220</v>
      </c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B6618A-A1B9-4FC9-925A-722407B3AAF8}">
  <ds:schemaRefs>
    <ds:schemaRef ds:uri="4f1a833c-a938-4a5e-81e3-99cd1b92e526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538c035d-569c-47ab-a864-fdd8ae3d4516"/>
  </ds:schemaRefs>
</ds:datastoreItem>
</file>

<file path=customXml/itemProps2.xml><?xml version="1.0" encoding="utf-8"?>
<ds:datastoreItem xmlns:ds="http://schemas.openxmlformats.org/officeDocument/2006/customXml" ds:itemID="{12ADC7A9-F911-4674-AE57-DCF6540C6CDD}"/>
</file>

<file path=customXml/itemProps3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Grobe, Jennifer</cp:lastModifiedBy>
  <cp:lastPrinted>2021-08-11T17:13:15Z</cp:lastPrinted>
  <dcterms:created xsi:type="dcterms:W3CDTF">2000-06-27T13:20:49Z</dcterms:created>
  <dcterms:modified xsi:type="dcterms:W3CDTF">2026-05-28T21:05:35Z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