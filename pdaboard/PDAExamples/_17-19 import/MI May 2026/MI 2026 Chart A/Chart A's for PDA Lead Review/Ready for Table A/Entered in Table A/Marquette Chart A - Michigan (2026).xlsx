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Ready for Table A/"/>
    </mc:Choice>
  </mc:AlternateContent>
  <xr:revisionPtr revIDLastSave="91" documentId="13_ncr:1_{4B26DC56-3104-4C3E-A816-A5885244DC2D}" xr6:coauthVersionLast="47" xr6:coauthVersionMax="47" xr10:uidLastSave="{035DFF18-BADF-45DD-BCBA-046A6451237A}"/>
  <bookViews>
    <workbookView xWindow="-28920" yWindow="-120" windowWidth="29040" windowHeight="15720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<sst xmlns="http://schemas.openxmlformats.org/spreadsheetml/2006/main" count="219" uniqueCount="214">
  <si>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</si>
  <si>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</si>
  <si>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</si>
  <si>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</si>
  <si>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</si>
  <si>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</si>
  <si>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</si>
  <si>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</si>
  <si>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</si>
  <si>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</si>
  <si>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</si>
  <si>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</si>
  <si>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</si>
  <si>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</si>
  <si>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</si>
  <si>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</si>
  <si>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</si>
  <si>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</si>
  <si>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</si>
  <si>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</si>
  <si>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</si>
  <si>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</si>
  <si>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</si>
  <si>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</si>
  <si>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</si>
  <si>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</si>
  <si>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</si>
  <si>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</si>
  <si>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</si>
  <si>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</si>
  <si>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</si>
  <si>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</si>
  <si>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</si>
  <si>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</si>
  <si>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</si>
  <si>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</si>
  <si>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</si>
  <si>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</si>
  <si>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</si>
  <si>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</si>
  <si>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</si>
  <si>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</si>
  <si>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</si>
  <si>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</si>
  <si>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</si>
  <si>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</si>
  <si>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</si>
  <si>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</si>
  <si>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</si>
  <si>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</si>
  <si>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</si>
  <si>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</si>
  <si>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</si>
  <si>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</si>
  <si>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</si>
  <si>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</si>
  <si>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</si>
  <si>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</si>
  <si>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</si>
  <si>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</si>
  <si>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</si>
  <si>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</si>
  <si>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</si>
  <si>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</si>
  <si>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</si>
  <si>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</si>
  <si>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</si>
  <si>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</si>
  <si>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</si>
  <si>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</si>
  <si>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</si>
  <si>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</si>
  <si>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</si>
  <si>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</si>
  <si>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</si>
  <si>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</si>
  <si>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</si>
  <si>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</si>
  <si>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</si>
  <si>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</si>
  <si>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</si>
  <si>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</si>
  <si>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</si>
  <si>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</si>
  <si>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</si>
  <si>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</si>
  <si>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</si>
  <si>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</si>
  <si>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</si>
  <si>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</si>
  <si>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</si>
  <si>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</si>
  <si>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</si>
  <si>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</si>
  <si>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</si>
  <si>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</si>
  <si>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</si>
  <si>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</si>
  <si>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</si>
  <si>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</si>
  <si>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</si>
  <si>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</si>
  <si>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</si>
  <si>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</si>
  <si>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</si>
  <si>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</si>
  <si>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</si>
  <si>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</si>
  <si>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</si>
  <si>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</si>
  <si>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</si>
  <si>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</si>
  <si>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</si>
  <si>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</si>
  <si>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</si>
  <si>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</si>
  <si>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</si>
  <si>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</si>
  <si>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</si>
  <si>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</si>
  <si>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</si>
  <si>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</si>
  <si>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</si>
  <si>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</si>
  <si>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</si>
  <si>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</si>
  <si>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</si>
  <si>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</si>
  <si>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</si>
  <si>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</si>
  <si>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</si>
  <si>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</si>
  <si>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</si>
  <si>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</si>
  <si>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</si>
  <si>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</si>
  <si>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</si>
  <si>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</si>
  <si>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</si>
  <si>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</si>
  <si>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</si>
  <si>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</si>
  <si>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</si>
  <si>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</si>
  <si>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</si>
  <si>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</si>
  <si>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</si>
  <si>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</si>
  <si>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</si>
  <si>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</si>
  <si>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</si>
  <si>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</si>
  <si>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</si>
  <si>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</si>
  <si>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</si>
  <si>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</si>
  <si>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</si>
  <si>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</si>
  <si>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</si>
  <si>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</si>
  <si>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</si>
  <si>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</si>
  <si>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</si>
  <si>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</si>
  <si>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</si>
  <si>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</si>
  <si>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</si>
  <si>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</si>
  <si>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</si>
  <si>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</si>
  <si>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</si>
  <si>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</si>
  <si>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</si>
  <si>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</si>
  <si>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</si>
  <si>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</si>
  <si>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</si>
  <si>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</si>
  <si>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</si>
  <si>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</si>
  <si>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</si>
  <si>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</si>
  <si>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</si>
  <si>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</si>
  <si>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</si>
  <si>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</si>
  <si>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</si>
  <si>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</si>
  <si>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</si>
  <si>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</si>
  <si>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</si>
  <si>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</si>
  <si>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</si>
  <si>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</si>
  <si>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</si>
  <si>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</si>
  <si>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</si>
  <si>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</si>
  <si>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</si>
  <si>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</si>
  <si>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</si>
  <si>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</si>
  <si>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</si>
  <si>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</si>
  <si>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</si>
  <si>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</si>
  <si>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Marquette County (66,017) - $320,842.62</t>
  </si>
  <si>
    <t>Marquette County Road Commission</t>
  </si>
  <si>
    <t>County</t>
  </si>
  <si>
    <t>Complete</t>
  </si>
  <si>
    <r>
      <rPr>
        <b/>
        <sz val="10"/>
        <rFont val="Arial"/>
        <family val="2"/>
      </rPr>
      <t>CAT B: Estimated: $7,619</t>
    </r>
    <r>
      <rPr>
        <sz val="10"/>
        <rFont val="Arial"/>
        <family val="2"/>
      </rPr>
      <t xml:space="preserve"> for emergency protective measures (water diversion and temporary gravel) and emergency cut and toss debris removal. </t>
    </r>
    <r>
      <rPr>
        <b/>
        <sz val="10"/>
        <rFont val="Arial"/>
        <family val="2"/>
      </rPr>
      <t xml:space="preserve">Validated: $7,619 </t>
    </r>
    <r>
      <rPr>
        <sz val="10"/>
        <rFont val="Arial"/>
        <family val="2"/>
      </rPr>
      <t xml:space="preserve">utilizing Applicant provided cost estimates and photos.
</t>
    </r>
    <r>
      <rPr>
        <b/>
        <sz val="10"/>
        <rFont val="Arial"/>
        <family val="2"/>
      </rPr>
      <t>CAT C: Estimated: $584,729</t>
    </r>
    <r>
      <rPr>
        <sz val="10"/>
        <rFont val="Arial"/>
        <family val="2"/>
      </rPr>
      <t xml:space="preserve"> for asphalt and gravel road damages (eight sites), culvert repairs (four sites), and stabilization at one site. </t>
    </r>
    <r>
      <rPr>
        <b/>
        <sz val="10"/>
        <rFont val="Arial"/>
        <family val="2"/>
      </rPr>
      <t>Reduced: $204,112</t>
    </r>
    <r>
      <rPr>
        <sz val="10"/>
        <rFont val="Arial"/>
        <family val="2"/>
      </rPr>
      <t xml:space="preserve"> for FHWA roads, contingency costs, and on CR LG (River Road) - pre-existing damage to the road. </t>
    </r>
    <r>
      <rPr>
        <b/>
        <sz val="10"/>
        <rFont val="Arial"/>
        <family val="2"/>
      </rPr>
      <t>Validated: $380,617</t>
    </r>
    <r>
      <rPr>
        <sz val="10"/>
        <rFont val="Arial"/>
        <family val="2"/>
      </rPr>
      <t xml:space="preserve"> utilizing Applicant provided photos, cost estimate, and FEMA Engineer review. </t>
    </r>
  </si>
  <si>
    <t xml:space="preserve">Ishpeming, City of </t>
  </si>
  <si>
    <t>City</t>
  </si>
  <si>
    <r>
      <rPr>
        <b/>
        <sz val="10"/>
        <rFont val="Arial"/>
        <family val="2"/>
      </rPr>
      <t>CAT B: Estimated: $13,936</t>
    </r>
    <r>
      <rPr>
        <sz val="10"/>
        <rFont val="Arial"/>
        <family val="2"/>
      </rPr>
      <t xml:space="preserve"> for Emergency Protective Measures including baricading and temporart sinkhole repair. </t>
    </r>
    <r>
      <rPr>
        <b/>
        <sz val="10"/>
        <rFont val="Arial"/>
        <family val="2"/>
      </rPr>
      <t>Reduced: $1609.91</t>
    </r>
    <r>
      <rPr>
        <sz val="10"/>
        <rFont val="Arial"/>
        <family val="2"/>
      </rPr>
      <t xml:space="preserve"> for FA straight time. </t>
    </r>
    <r>
      <rPr>
        <b/>
        <sz val="10"/>
        <rFont val="Arial"/>
        <family val="2"/>
      </rPr>
      <t>Validated: $12,326.82</t>
    </r>
    <r>
      <rPr>
        <sz val="10"/>
        <rFont val="Arial"/>
        <family val="2"/>
      </rPr>
      <t xml:space="preserve"> utilizing work log and FAL summaries.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</si>
</sst>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20" sqref="E20"/>
    </sheetView>
  </sheetViews>
  <sheetFormatPr defaultColWidth="16.77734375" defaultRowHeight="13.2" x14ac:dyDescent="0.25"/>
  <cols>
    <col min="1" max="1" width="1.2187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206</v>
      </c>
      <c r="C3" s="68"/>
      <c r="D3" s="14" t="s">
        <v>193</v>
      </c>
      <c r="E3" s="63">
        <f>SUM(Table6[[A]:[B]])</f>
        <v>19945</v>
      </c>
      <c r="F3" s="64"/>
      <c r="G3" s="55">
        <f>SUM(Table6[[C]:[G]])</f>
        <v>380617</v>
      </c>
      <c r="H3" s="56"/>
      <c r="I3" s="56"/>
      <c r="J3" s="56"/>
      <c r="K3" s="57"/>
      <c r="L3" s="9">
        <f>SUM(Table6[Applicant Total])</f>
        <v>400562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208</v>
      </c>
      <c r="D6" s="11" t="s">
        <v>209</v>
      </c>
      <c r="E6" s="13"/>
      <c r="F6" s="12">
        <v>7619</v>
      </c>
      <c r="G6" s="12">
        <v>380617</v>
      </c>
      <c r="H6" s="13"/>
      <c r="I6" s="13"/>
      <c r="J6" s="13"/>
      <c r="K6" s="13"/>
      <c r="L6" s="15">
        <f>SUM(Table6[[#This Row],[A]:[G]])</f>
        <v>388236</v>
      </c>
    </row>
    <row r="7" spans="1:12" x14ac:dyDescent="0.25">
      <c r="B7" s="10" t="s">
        <v>211</v>
      </c>
      <c r="C7" s="10" t="s">
        <v>212</v>
      </c>
      <c r="D7" s="11" t="s">
        <v>209</v>
      </c>
      <c r="E7" s="13"/>
      <c r="F7" s="13">
        <v>12326</v>
      </c>
      <c r="G7" s="12"/>
      <c r="H7" s="12"/>
      <c r="I7" s="13"/>
      <c r="J7" s="13"/>
      <c r="K7" s="13"/>
      <c r="L7" s="15">
        <f>SUM(Table6[[#This Row],[A]:[G]])</f>
        <v>12326</v>
      </c>
    </row>
    <row r="8" spans="1:12" x14ac:dyDescent="0.25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21875" bestFit="1" customWidth="1"/>
    <col min="4" max="4" width="15.33203125" customWidth="1"/>
    <col min="5" max="5" width="14.77734375" customWidth="1"/>
    <col min="6" max="6" width="12.109375" customWidth="1"/>
    <col min="7" max="7" width="23.2187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3" sqref="B3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72.599999999999994" customHeight="1" x14ac:dyDescent="0.25">
      <c r="A2" s="28" t="str">
        <f>'County Summary'!B6</f>
        <v>Marquette County Road Commission</v>
      </c>
      <c r="B2" s="49" t="s">
        <v>210</v>
      </c>
    </row>
    <row r="3" spans="1:2" ht="45" customHeight="1" x14ac:dyDescent="0.25">
      <c r="A3" s="28" t="str">
        <f>'County Summary'!B7</f>
        <v xml:space="preserve">Ishpeming, City of </v>
      </c>
      <c r="B3" s="49" t="s">
        <v>213</v>
      </c>
    </row>
    <row r="4" spans="1:2" ht="45" customHeight="1" x14ac:dyDescent="0.25">
      <c r="A4" s="28">
        <f>'County Summary'!B8</f>
        <v>0</v>
      </c>
      <c r="B4" s="11"/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6" ma:contentTypeDescription="Create a new document." ma:contentTypeScope="" ma:versionID="11514c1dd0e6706ed2cee04bea3bc3f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CC969-CC44-41C6-B2DE-F484FD3D2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B6618A-A1B9-4FC9-925A-722407B3AAF8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538c035d-569c-47ab-a864-fdd8ae3d4516"/>
    <ds:schemaRef ds:uri="4f1a833c-a938-4a5e-81e3-99cd1b92e52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Warren, Catherine</cp:lastModifiedBy>
  <cp:lastPrinted>2021-08-11T17:13:15Z</cp:lastPrinted>
  <dcterms:created xsi:type="dcterms:W3CDTF">2000-06-27T13:20:49Z</dcterms:created>
  <dcterms:modified xsi:type="dcterms:W3CDTF">2026-05-20T19:30:23Z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