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 🍒/Damage Data/Chart A's for PDA Lead Review/"/>
    </mc:Choice>
  </mc:AlternateContent>
  <xr:revisionPtr revIDLastSave="136" documentId="13_ncr:1_{4B26DC56-3104-4C3E-A816-A5885244DC2D}" xr6:coauthVersionLast="47" xr6:coauthVersionMax="47" xr10:uidLastSave="{C425B1D6-7B90-4D7E-83F9-8607B8D37CAA}"/>
  <bookViews>
    <workbookView xWindow="-108" yWindow="-108" windowWidth="23256" windowHeight="12456" activeTab="2"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9" l="1"/>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<sst xmlns="http://schemas.openxmlformats.org/spreadsheetml/2006/main" count="227" uniqueCount="219">
  <si>
    <t>A</t>
  </si>
  <si>
    <t>B</t>
  </si>
  <si>
    <t>C</t>
  </si>
  <si>
    <t>D</t>
  </si>
  <si>
    <t>E</t>
  </si>
  <si>
    <t>F</t>
  </si>
  <si>
    <t>G</t>
  </si>
  <si>
    <t>FEMA Inspector</t>
  </si>
  <si>
    <t>Comments</t>
  </si>
  <si>
    <t>Emergency Work</t>
  </si>
  <si>
    <t>Status</t>
  </si>
  <si>
    <t>Total</t>
  </si>
  <si>
    <t>Applicant</t>
  </si>
  <si>
    <t>Permanent Work</t>
  </si>
  <si>
    <t>Applicant Total</t>
  </si>
  <si>
    <t>County (Population) - Threshold</t>
  </si>
  <si>
    <t>Team Leads</t>
  </si>
  <si>
    <t>Created by Charles Annerino</t>
  </si>
  <si>
    <t>Charles.Annerino@fema.dhs.gov</t>
  </si>
  <si>
    <t>Jackson County</t>
  </si>
  <si>
    <t>Crawford County</t>
  </si>
  <si>
    <t>Monroe County</t>
  </si>
  <si>
    <t>Chippewa County</t>
  </si>
  <si>
    <t>Iron County</t>
  </si>
  <si>
    <t>Marquette County</t>
  </si>
  <si>
    <t>Menominee County</t>
  </si>
  <si>
    <t>Alcona County</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</si>
  <si>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</si>
  <si>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</si>
  <si>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</si>
  <si>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</si>
  <si>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</si>
  <si>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</si>
  <si>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</si>
  <si>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</si>
  <si>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</si>
  <si>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</si>
  <si>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</si>
  <si>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</si>
  <si>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</si>
  <si>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</si>
  <si>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</si>
  <si>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Clare County</t>
  </si>
  <si>
    <t>Clinton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</si>
  <si>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</si>
  <si>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</si>
  <si>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</si>
  <si>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</si>
  <si>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</si>
  <si>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</si>
  <si>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</si>
  <si>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</si>
  <si>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</si>
  <si>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</si>
  <si>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</si>
  <si>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</si>
  <si>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</si>
  <si>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</si>
  <si>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</si>
  <si>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Isabella County</t>
  </si>
  <si>
    <t>Kalamazoo County</t>
  </si>
  <si>
    <t>Kalkaska County</t>
  </si>
  <si>
    <t>Kent County</t>
  </si>
  <si>
    <t>Keweenaw County</t>
  </si>
  <si>
    <t>Lake County</t>
  </si>
  <si>
    <t>Lapeer County</t>
  </si>
  <si>
    <t>Leelanau County</t>
  </si>
  <si>
    <t>Lenawee County</t>
  </si>
  <si>
    <t>Livingston County</t>
  </si>
  <si>
    <t>Luce County</t>
  </si>
  <si>
    <t>Mackinac County</t>
  </si>
  <si>
    <t>Macomb County</t>
  </si>
  <si>
    <t>Manistee County</t>
  </si>
  <si>
    <t>Mason County</t>
  </si>
  <si>
    <t>Mecosta County</t>
  </si>
  <si>
    <t>Midland County</t>
  </si>
  <si>
    <t>Missaukee County</t>
  </si>
  <si>
    <t>Montcalm County</t>
  </si>
  <si>
    <t>Montmorency County</t>
  </si>
  <si>
    <t>Muskegon County</t>
  </si>
  <si>
    <t>Newaygo County</t>
  </si>
  <si>
    <t>Oakland County</t>
  </si>
  <si>
    <t>Oceana County</t>
  </si>
  <si>
    <t>Ogemaw County</t>
  </si>
  <si>
    <t>Ontonagon County</t>
  </si>
  <si>
    <t>Osceola County</t>
  </si>
  <si>
    <t>Oscoda County</t>
  </si>
  <si>
    <t>Otsego County</t>
  </si>
  <si>
    <t>Ottawa County</t>
  </si>
  <si>
    <t>Presque Isle County</t>
  </si>
  <si>
    <t>Roscommon County</t>
  </si>
  <si>
    <t>Saginaw County</t>
  </si>
  <si>
    <t>Sanilac County</t>
  </si>
  <si>
    <t>Schoolcraft County</t>
  </si>
  <si>
    <t>Shiawassee County</t>
  </si>
  <si>
    <t>Tuscola County</t>
  </si>
  <si>
    <t>Van Buren County</t>
  </si>
  <si>
    <t>Washtenaw County</t>
  </si>
  <si>
    <t>Wayne County</t>
  </si>
  <si>
    <t>Wexford County</t>
  </si>
  <si>
    <t>St. Clair County</t>
  </si>
  <si>
    <t>St. Joseph County</t>
  </si>
  <si>
    <t>10,167</t>
  </si>
  <si>
    <t>120,502</t>
  </si>
  <si>
    <t>28,907</t>
  </si>
  <si>
    <t>23,431</t>
  </si>
  <si>
    <t>15,002</t>
  </si>
  <si>
    <t>8,158</t>
  </si>
  <si>
    <t>62,423</t>
  </si>
  <si>
    <t>103,856</t>
  </si>
  <si>
    <t>17,970</t>
  </si>
  <si>
    <t>154,316</t>
  </si>
  <si>
    <t>44,862</t>
  </si>
  <si>
    <t>134,310</t>
  </si>
  <si>
    <t>51,589</t>
  </si>
  <si>
    <t>26,054</t>
  </si>
  <si>
    <t>25,579</t>
  </si>
  <si>
    <t>36,785</t>
  </si>
  <si>
    <t>30,856</t>
  </si>
  <si>
    <t>79,128</t>
  </si>
  <si>
    <t>12,988</t>
  </si>
  <si>
    <t>36,903</t>
  </si>
  <si>
    <t>25,947</t>
  </si>
  <si>
    <t>109,175</t>
  </si>
  <si>
    <t>34,112</t>
  </si>
  <si>
    <t>406,211</t>
  </si>
  <si>
    <t>25,386</t>
  </si>
  <si>
    <t>14,380</t>
  </si>
  <si>
    <t>95,238</t>
  </si>
  <si>
    <t>41,761</t>
  </si>
  <si>
    <t>45,746</t>
  </si>
  <si>
    <t>37,361</t>
  </si>
  <si>
    <t>31,407</t>
  </si>
  <si>
    <t>284,900</t>
  </si>
  <si>
    <t>66,804</t>
  </si>
  <si>
    <t>25,237</t>
  </si>
  <si>
    <t>11,631</t>
  </si>
  <si>
    <t>64,394</t>
  </si>
  <si>
    <t>160,366</t>
  </si>
  <si>
    <t>8,842</t>
  </si>
  <si>
    <t>261,670</t>
  </si>
  <si>
    <t>17,939</t>
  </si>
  <si>
    <t>657,974</t>
  </si>
  <si>
    <t>2,046</t>
  </si>
  <si>
    <t>12,096</t>
  </si>
  <si>
    <t>88,619</t>
  </si>
  <si>
    <t>22,301</t>
  </si>
  <si>
    <t>99,423</t>
  </si>
  <si>
    <t>193,866</t>
  </si>
  <si>
    <t>5,339</t>
  </si>
  <si>
    <t>10,834</t>
  </si>
  <si>
    <t>881,217</t>
  </si>
  <si>
    <t>25,032</t>
  </si>
  <si>
    <t>66,017</t>
  </si>
  <si>
    <t>29,052</t>
  </si>
  <si>
    <t>39,714</t>
  </si>
  <si>
    <t>23,502</t>
  </si>
  <si>
    <t>83,494</t>
  </si>
  <si>
    <t>15,052</t>
  </si>
  <si>
    <t>154,809</t>
  </si>
  <si>
    <t>66,614</t>
  </si>
  <si>
    <t>9,153</t>
  </si>
  <si>
    <t>175,824</t>
  </si>
  <si>
    <t>49,978</t>
  </si>
  <si>
    <t>1,274,395</t>
  </si>
  <si>
    <t>26,659</t>
  </si>
  <si>
    <t>20,770</t>
  </si>
  <si>
    <t>5,816</t>
  </si>
  <si>
    <t>22,891</t>
  </si>
  <si>
    <t>8,219</t>
  </si>
  <si>
    <t>25,091</t>
  </si>
  <si>
    <t>296,200</t>
  </si>
  <si>
    <t>12,982</t>
  </si>
  <si>
    <t>23,459</t>
  </si>
  <si>
    <t>190,124</t>
  </si>
  <si>
    <t>160,383</t>
  </si>
  <si>
    <t>60,939</t>
  </si>
  <si>
    <t>40,611</t>
  </si>
  <si>
    <t>8,047</t>
  </si>
  <si>
    <t>68,094</t>
  </si>
  <si>
    <t>53,323</t>
  </si>
  <si>
    <t>75,587</t>
  </si>
  <si>
    <t>372,258</t>
  </si>
  <si>
    <t>1,793,561</t>
  </si>
  <si>
    <t>33,673</t>
  </si>
  <si>
    <t>Type</t>
  </si>
  <si>
    <t>Category</t>
  </si>
  <si>
    <t>Original Costs</t>
  </si>
  <si>
    <t>Eligible Costs</t>
  </si>
  <si>
    <t>Reduction</t>
  </si>
  <si>
    <t>Reduction Category</t>
  </si>
  <si>
    <t>Notes</t>
  </si>
  <si>
    <t>Michigan (10,077,331) - $19,550,022</t>
  </si>
  <si>
    <t>Catherine Waren</t>
  </si>
  <si>
    <t>Jennifer Grobe</t>
  </si>
  <si>
    <t>Bassam Efein</t>
  </si>
  <si>
    <t>Roopak Hanna</t>
  </si>
  <si>
    <t>Anessa Jones</t>
  </si>
  <si>
    <t>Connor Blevins</t>
  </si>
  <si>
    <t>Richard Chiarello</t>
  </si>
  <si>
    <t>Shawana Thomas</t>
  </si>
  <si>
    <t>Tracie Smith</t>
  </si>
  <si>
    <t>Angela Williams</t>
  </si>
  <si>
    <t>Caleb Smith</t>
  </si>
  <si>
    <t>Javon Cotton</t>
  </si>
  <si>
    <t>Eric Punzalan</t>
  </si>
  <si>
    <t>Charlevoix County (26,054) - $126,622.44</t>
  </si>
  <si>
    <t>Charlevoix County Road Commission</t>
  </si>
  <si>
    <t>City of Charlevoix</t>
  </si>
  <si>
    <t xml:space="preserve">City of East Jordan </t>
  </si>
  <si>
    <t>St. James Township</t>
  </si>
  <si>
    <t>Other</t>
  </si>
  <si>
    <r>
      <t>Cat F: Estimated $2,168.96</t>
    </r>
    <r>
      <rPr>
        <sz val="10"/>
        <rFont val="Arial"/>
        <family val="2"/>
      </rPr>
      <t xml:space="preserve"> for a wastewater lift station that was overwhelmed with ground water. Applicant requested reimbursement for OT and Equipment. </t>
    </r>
    <r>
      <rPr>
        <b/>
        <sz val="10"/>
        <rFont val="Arial"/>
        <family val="2"/>
      </rPr>
      <t>Reduced: $2,168.96</t>
    </r>
    <r>
      <rPr>
        <sz val="10"/>
        <rFont val="Arial"/>
        <family val="2"/>
      </rPr>
      <t xml:space="preserve"> for not meeting FY26 minimum threshold of $4,100.</t>
    </r>
  </si>
  <si>
    <t>City</t>
  </si>
  <si>
    <t>Complete</t>
  </si>
  <si>
    <t>Government</t>
  </si>
  <si>
    <r>
      <rPr>
        <b/>
        <sz val="10"/>
        <rFont val="Arial"/>
        <family val="2"/>
      </rPr>
      <t>Cat F: Estimated $7,936</t>
    </r>
    <r>
      <rPr>
        <sz val="10"/>
        <rFont val="Arial"/>
        <family val="2"/>
      </rPr>
      <t xml:space="preserve"> for water main damage caused by washout of culvert due to flooding from an adjacent stream. </t>
    </r>
    <r>
      <rPr>
        <b/>
        <sz val="10"/>
        <rFont val="Arial"/>
        <family val="2"/>
      </rPr>
      <t>Validated: $7,936</t>
    </r>
    <r>
      <rPr>
        <sz val="10"/>
        <rFont val="Arial"/>
        <family val="2"/>
      </rPr>
      <t xml:space="preserve"> utilizing Applicant provided invoice and photos.</t>
    </r>
  </si>
  <si>
    <r>
      <t xml:space="preserve">Cat C: Applicant </t>
    </r>
    <r>
      <rPr>
        <b/>
        <sz val="10"/>
        <rFont val="Arial"/>
        <family val="2"/>
      </rPr>
      <t>Estimated $208,688</t>
    </r>
    <r>
      <rPr>
        <sz val="10"/>
        <rFont val="Arial"/>
        <family val="2"/>
      </rPr>
      <t xml:space="preserve"> for road wash out from storm.  </t>
    </r>
    <r>
      <rPr>
        <b/>
        <sz val="10"/>
        <rFont val="Arial"/>
        <family val="2"/>
      </rPr>
      <t>Reduced $18,011.50</t>
    </r>
    <r>
      <rPr>
        <sz val="10"/>
        <rFont val="Arial"/>
        <family val="2"/>
      </rPr>
      <t>. Applicant included mitigation in their cost estimate, mitigation measures may be eligible during a DR but cannot be included a pda.</t>
    </r>
    <r>
      <rPr>
        <b/>
        <sz val="10"/>
        <rFont val="Arial"/>
        <family val="2"/>
      </rPr>
      <t xml:space="preserve"> </t>
    </r>
    <r>
      <rPr>
        <sz val="10"/>
        <rFont val="Arial"/>
        <family val="2"/>
      </rPr>
      <t xml:space="preserve"> </t>
    </r>
    <r>
      <rPr>
        <b/>
        <sz val="10"/>
        <rFont val="Arial"/>
        <family val="2"/>
      </rPr>
      <t>Validated:$190,676.50</t>
    </r>
    <r>
      <rPr>
        <sz val="10"/>
        <rFont val="Arial"/>
        <family val="2"/>
      </rPr>
      <t xml:space="preserve"> utilizing repair work summary reports and Applicant RFI response for photos of damages to Bergmann and Ridge roads, .</t>
    </r>
  </si>
  <si>
    <r>
      <t xml:space="preserve">Cat D: </t>
    </r>
    <r>
      <rPr>
        <sz val="12"/>
        <rFont val="Aptos"/>
        <family val="2"/>
      </rPr>
      <t xml:space="preserve">Applicant </t>
    </r>
    <r>
      <rPr>
        <b/>
        <sz val="12"/>
        <rFont val="Aptos"/>
        <family val="2"/>
      </rPr>
      <t>Estimated: $100,000.00</t>
    </r>
    <r>
      <rPr>
        <sz val="12"/>
        <rFont val="Aptos"/>
        <family val="2"/>
      </rPr>
      <t xml:space="preserve"> for slope repair along a natural shoreline </t>
    </r>
    <r>
      <rPr>
        <b/>
        <sz val="12"/>
        <rFont val="Aptos"/>
        <family val="2"/>
      </rPr>
      <t>Reduced: $100,000</t>
    </r>
    <r>
      <rPr>
        <sz val="12"/>
        <rFont val="Aptos"/>
        <family val="2"/>
      </rPr>
      <t xml:space="preserve">" If a landslide or other slope instability is triggered by the incident and poses an immediate threat to life, public health and safety, or improved public or private property, emergency protective measures to stabilize the slope is eligible." This is a natural shoreline there is no threat to improved property.  </t>
    </r>
    <r>
      <rPr>
        <b/>
        <sz val="12"/>
        <rFont val="Aptos"/>
        <family val="2"/>
      </rPr>
      <t>Validated: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</si>
</sst>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7"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
      <sz val="12"/>
      <name val="Aptos"/>
      <family val="2"/>
    </font>
    <font>
      <b/>
      <sz val="12"/>
      <name val="Aptos"/>
      <family val="2"/>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71">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4" borderId="8" xfId="0" quotePrefix="1" applyFont="1" applyFill="1" applyBorder="1" applyAlignment="1">
      <alignment horizontal="center" vertical="center"/>
    </xf>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2" fillId="0" borderId="0" xfId="0" applyFont="1" applyAlignment="1" applyProtection="1">
      <alignment wrapText="1"/>
      <protection locked="0"/>
    </xf>
    <xf numFmtId="0" fontId="4"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704851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704851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704851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281940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1390650</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1619250</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6" activePane="bottomRight" state="frozen"/>
      <selection pane="topRight" activeCell="B1" sqref="B1"/>
      <selection pane="bottomLeft" activeCell="A6" sqref="A6"/>
      <selection pane="bottomRight" activeCell="I21" sqref="I21"/>
    </sheetView>
  </sheetViews>
  <sheetFormatPr defaultColWidth="16.6640625" defaultRowHeight="13.2" x14ac:dyDescent="0.25"/>
  <cols>
    <col min="1" max="1" width="1.33203125" style="53" customWidth="1"/>
    <col min="2" max="2" width="31.6640625" customWidth="1"/>
    <col min="3" max="3" width="11.88671875" customWidth="1"/>
    <col min="4" max="4" width="16.6640625" customWidth="1"/>
    <col min="12" max="12" width="27.6640625" customWidth="1"/>
  </cols>
  <sheetData>
    <row r="1" spans="1:12" ht="13.2" customHeight="1" thickBot="1" x14ac:dyDescent="0.3">
      <c r="B1" s="52"/>
      <c r="C1" s="52"/>
      <c r="D1" s="52"/>
      <c r="E1" s="52"/>
      <c r="F1" s="52"/>
      <c r="G1" s="52"/>
      <c r="H1" s="52"/>
      <c r="I1" s="52"/>
      <c r="J1" s="52"/>
      <c r="K1" s="52"/>
      <c r="L1" s="52"/>
    </row>
    <row r="2" spans="1:12" s="1" customFormat="1" ht="20.100000000000001" customHeight="1" thickTop="1" thickBot="1" x14ac:dyDescent="0.3">
      <c r="A2" s="53"/>
      <c r="B2" s="67" t="s">
        <v>15</v>
      </c>
      <c r="C2" s="68"/>
      <c r="D2" s="5" t="s">
        <v>7</v>
      </c>
      <c r="E2" s="63" t="s">
        <v>9</v>
      </c>
      <c r="F2" s="64"/>
      <c r="G2" s="54" t="s">
        <v>13</v>
      </c>
      <c r="H2" s="55"/>
      <c r="I2" s="55"/>
      <c r="J2" s="55"/>
      <c r="K2" s="56"/>
      <c r="L2" s="6" t="s">
        <v>11</v>
      </c>
    </row>
    <row r="3" spans="1:12" s="1" customFormat="1" ht="31.2" customHeight="1" thickTop="1" thickBot="1" x14ac:dyDescent="0.3">
      <c r="A3" s="53"/>
      <c r="B3" s="69" t="s">
        <v>206</v>
      </c>
      <c r="C3" s="70"/>
      <c r="D3" s="14" t="s">
        <v>200</v>
      </c>
      <c r="E3" s="65">
        <f>SUM(Table6[[A]:[B]])</f>
        <v>0</v>
      </c>
      <c r="F3" s="66"/>
      <c r="G3" s="57">
        <f>SUM(Table6[[C]:[G]])</f>
        <v>224757.5</v>
      </c>
      <c r="H3" s="58"/>
      <c r="I3" s="58"/>
      <c r="J3" s="58"/>
      <c r="K3" s="59"/>
      <c r="L3" s="9">
        <f>SUM(Table6[Applicant Total])</f>
        <v>224757.5</v>
      </c>
    </row>
    <row r="4" spans="1:12" ht="14.4" thickTop="1" thickBot="1" x14ac:dyDescent="0.3">
      <c r="B4" s="60"/>
      <c r="C4" s="61"/>
      <c r="D4" s="61"/>
      <c r="E4" s="61"/>
      <c r="F4" s="61"/>
      <c r="G4" s="61"/>
      <c r="H4" s="61"/>
      <c r="I4" s="61"/>
      <c r="J4" s="61"/>
      <c r="K4" s="61"/>
      <c r="L4" s="62"/>
    </row>
    <row r="5" spans="1:12" ht="13.8" thickBot="1" x14ac:dyDescent="0.3">
      <c r="B5" s="16" t="s">
        <v>12</v>
      </c>
      <c r="C5" s="41" t="s">
        <v>185</v>
      </c>
      <c r="D5" s="17" t="s">
        <v>10</v>
      </c>
      <c r="E5" s="18" t="s">
        <v>0</v>
      </c>
      <c r="F5" s="19" t="s">
        <v>1</v>
      </c>
      <c r="G5" s="20" t="s">
        <v>2</v>
      </c>
      <c r="H5" s="21" t="s">
        <v>3</v>
      </c>
      <c r="I5" s="21" t="s">
        <v>4</v>
      </c>
      <c r="J5" s="21" t="s">
        <v>5</v>
      </c>
      <c r="K5" s="22" t="s">
        <v>6</v>
      </c>
      <c r="L5" s="29" t="s">
        <v>14</v>
      </c>
    </row>
    <row r="6" spans="1:12" x14ac:dyDescent="0.25">
      <c r="B6" s="10" t="s">
        <v>207</v>
      </c>
      <c r="C6" s="10" t="s">
        <v>211</v>
      </c>
      <c r="D6" s="11" t="s">
        <v>214</v>
      </c>
      <c r="E6" s="13"/>
      <c r="F6" s="12"/>
      <c r="G6" s="12">
        <v>190676.5</v>
      </c>
      <c r="H6" s="13"/>
      <c r="I6" s="13"/>
      <c r="J6" s="13"/>
      <c r="K6" s="13"/>
      <c r="L6" s="15">
        <f>SUM(Table6[[#This Row],[A]:[G]])</f>
        <v>190676.5</v>
      </c>
    </row>
    <row r="7" spans="1:12" x14ac:dyDescent="0.25">
      <c r="B7" s="10" t="s">
        <v>208</v>
      </c>
      <c r="C7" s="10" t="s">
        <v>213</v>
      </c>
      <c r="D7" s="11" t="s">
        <v>214</v>
      </c>
      <c r="E7" s="13"/>
      <c r="F7" s="13"/>
      <c r="G7" s="12"/>
      <c r="H7" s="12"/>
      <c r="I7" s="13"/>
      <c r="J7" s="13">
        <v>0</v>
      </c>
      <c r="K7" s="13"/>
      <c r="L7" s="15">
        <f>SUM(Table6[[#This Row],[A]:[G]])</f>
        <v>0</v>
      </c>
    </row>
    <row r="8" spans="1:12" x14ac:dyDescent="0.25">
      <c r="B8" s="10" t="s">
        <v>209</v>
      </c>
      <c r="C8" s="10" t="s">
        <v>213</v>
      </c>
      <c r="D8" s="11" t="s">
        <v>214</v>
      </c>
      <c r="E8" s="13"/>
      <c r="F8" s="13"/>
      <c r="G8" s="13"/>
      <c r="H8" s="13"/>
      <c r="I8" s="13"/>
      <c r="J8" s="13">
        <v>7936</v>
      </c>
      <c r="K8" s="13"/>
      <c r="L8" s="15">
        <f>SUM(Table6[[#This Row],[A]:[G]])</f>
        <v>7936</v>
      </c>
    </row>
    <row r="9" spans="1:12" x14ac:dyDescent="0.25">
      <c r="B9" s="10" t="s">
        <v>210</v>
      </c>
      <c r="C9" s="10" t="s">
        <v>215</v>
      </c>
      <c r="D9" s="11" t="s">
        <v>214</v>
      </c>
      <c r="E9" s="13"/>
      <c r="F9" s="13"/>
      <c r="G9" s="13"/>
      <c r="H9" s="13">
        <v>26145</v>
      </c>
      <c r="I9" s="13"/>
      <c r="J9" s="13"/>
      <c r="K9" s="13"/>
      <c r="L9" s="15">
        <f>SUM(Table6[[#This Row],[A]:[G]])</f>
        <v>26145</v>
      </c>
    </row>
    <row r="10" spans="1:12" x14ac:dyDescent="0.25">
      <c r="B10" s="10"/>
      <c r="C10" s="10"/>
      <c r="D10" s="11"/>
      <c r="E10" s="13"/>
      <c r="F10" s="13"/>
      <c r="G10" s="13"/>
      <c r="H10" s="13"/>
      <c r="I10" s="13"/>
      <c r="J10" s="13"/>
      <c r="K10" s="13"/>
      <c r="L10" s="15">
        <f>SUM(Table6[[#This Row],[A]:[G]])</f>
        <v>0</v>
      </c>
    </row>
    <row r="11" spans="1:12" x14ac:dyDescent="0.25">
      <c r="B11" s="10"/>
      <c r="C11" s="10"/>
      <c r="D11" s="11"/>
      <c r="E11" s="13"/>
      <c r="F11" s="13"/>
      <c r="G11" s="13"/>
      <c r="H11" s="13"/>
      <c r="I11" s="13"/>
      <c r="J11" s="13"/>
      <c r="K11" s="13"/>
      <c r="L11" s="15">
        <f>SUM(Table6[[#This Row],[A]:[G]])</f>
        <v>0</v>
      </c>
    </row>
    <row r="12" spans="1:12" x14ac:dyDescent="0.25">
      <c r="B12" s="10"/>
      <c r="C12" s="10"/>
      <c r="D12" s="11"/>
      <c r="E12" s="12"/>
      <c r="F12" s="13"/>
      <c r="G12" s="13"/>
      <c r="H12" s="13"/>
      <c r="I12" s="13"/>
      <c r="J12" s="13"/>
      <c r="K12" s="13"/>
      <c r="L12" s="15">
        <f>SUM(Table6[[#This Row],[A]:[G]])</f>
        <v>0</v>
      </c>
    </row>
    <row r="13" spans="1:12" x14ac:dyDescent="0.25">
      <c r="B13" s="10"/>
      <c r="C13" s="10"/>
      <c r="D13" s="11"/>
      <c r="E13" s="13"/>
      <c r="F13" s="13"/>
      <c r="G13" s="13"/>
      <c r="H13" s="13"/>
      <c r="I13" s="13"/>
      <c r="J13" s="13"/>
      <c r="K13" s="13"/>
      <c r="L13" s="15">
        <f>SUM(Table6[[#This Row],[A]:[G]])</f>
        <v>0</v>
      </c>
    </row>
    <row r="14" spans="1:12" x14ac:dyDescent="0.25">
      <c r="B14" s="10"/>
      <c r="C14" s="10"/>
      <c r="D14" s="11"/>
      <c r="E14" s="13"/>
      <c r="F14" s="13"/>
      <c r="G14" s="13"/>
      <c r="H14" s="13"/>
      <c r="I14" s="13"/>
      <c r="J14" s="13"/>
      <c r="K14" s="13"/>
      <c r="L14" s="15">
        <f>SUM(Table6[[#This Row],[A]:[G]])</f>
        <v>0</v>
      </c>
    </row>
    <row r="15" spans="1:12" x14ac:dyDescent="0.25">
      <c r="B15" s="10"/>
      <c r="C15" s="10"/>
      <c r="D15" s="11"/>
      <c r="E15" s="13"/>
      <c r="F15" s="13"/>
      <c r="G15" s="13"/>
      <c r="H15" s="13"/>
      <c r="I15" s="13"/>
      <c r="J15" s="13"/>
      <c r="K15" s="13"/>
      <c r="L15" s="15">
        <f>SUM(Table6[[#This Row],[A]:[G]])</f>
        <v>0</v>
      </c>
    </row>
    <row r="16" spans="1:12" x14ac:dyDescent="0.25">
      <c r="B16" s="10"/>
      <c r="C16" s="10"/>
      <c r="D16" s="11"/>
      <c r="E16" s="13"/>
      <c r="F16" s="13"/>
      <c r="G16" s="13"/>
      <c r="H16" s="13"/>
      <c r="I16" s="13"/>
      <c r="J16" s="13"/>
      <c r="K16" s="13"/>
      <c r="L16" s="15">
        <f>SUM(Table6[[#This Row],[A]:[G]])</f>
        <v>0</v>
      </c>
    </row>
    <row r="17" spans="2:12" x14ac:dyDescent="0.25">
      <c r="B17" s="10"/>
      <c r="C17" s="10"/>
      <c r="D17" s="11"/>
      <c r="E17" s="13"/>
      <c r="F17" s="13"/>
      <c r="G17" s="13"/>
      <c r="H17" s="13"/>
      <c r="I17" s="13"/>
      <c r="J17" s="13"/>
      <c r="K17" s="13"/>
      <c r="L17" s="15">
        <f>SUM(Table6[[#This Row],[A]:[G]])</f>
        <v>0</v>
      </c>
    </row>
    <row r="18" spans="2:12" x14ac:dyDescent="0.25">
      <c r="B18" s="10"/>
      <c r="C18" s="10"/>
      <c r="D18" s="11"/>
      <c r="E18" s="13"/>
      <c r="F18" s="13"/>
      <c r="G18" s="13"/>
      <c r="H18" s="13"/>
      <c r="I18" s="13"/>
      <c r="J18" s="13"/>
      <c r="K18" s="13"/>
      <c r="L18" s="15">
        <f>SUM(Table6[[#This Row],[A]:[G]])</f>
        <v>0</v>
      </c>
    </row>
    <row r="19" spans="2:12" x14ac:dyDescent="0.25">
      <c r="B19" s="10"/>
      <c r="C19" s="10"/>
      <c r="D19" s="11"/>
      <c r="E19" s="13"/>
      <c r="F19" s="13"/>
      <c r="G19" s="13"/>
      <c r="H19" s="13"/>
      <c r="I19" s="13"/>
      <c r="J19" s="13"/>
      <c r="K19" s="13"/>
      <c r="L19" s="15">
        <f>SUM(Table6[[#This Row],[A]:[G]])</f>
        <v>0</v>
      </c>
    </row>
    <row r="20" spans="2:12" x14ac:dyDescent="0.25">
      <c r="B20" s="10"/>
      <c r="C20" s="10"/>
      <c r="D20" s="11"/>
      <c r="E20" s="13"/>
      <c r="F20" s="13"/>
      <c r="G20" s="13"/>
      <c r="H20" s="13"/>
      <c r="I20" s="13"/>
      <c r="J20" s="13"/>
      <c r="K20" s="13"/>
      <c r="L20" s="15">
        <f>SUM(Table6[[#This Row],[A]:[G]])</f>
        <v>0</v>
      </c>
    </row>
    <row r="21" spans="2:12" x14ac:dyDescent="0.25">
      <c r="B21" s="10"/>
      <c r="C21" s="10"/>
      <c r="D21" s="11"/>
      <c r="E21" s="13"/>
      <c r="F21" s="13"/>
      <c r="G21" s="13"/>
      <c r="H21" s="13"/>
      <c r="I21" s="13"/>
      <c r="J21" s="13"/>
      <c r="K21" s="13"/>
      <c r="L21" s="15">
        <f>SUM(Table6[[#This Row],[A]:[G]])</f>
        <v>0</v>
      </c>
    </row>
    <row r="22" spans="2:12" x14ac:dyDescent="0.25">
      <c r="B22" s="10"/>
      <c r="C22" s="10"/>
      <c r="D22" s="11"/>
      <c r="E22" s="13"/>
      <c r="F22" s="13"/>
      <c r="G22" s="13"/>
      <c r="H22" s="13"/>
      <c r="I22" s="13"/>
      <c r="J22" s="13"/>
      <c r="K22" s="13"/>
      <c r="L22" s="15">
        <f>SUM(Table6[[#This Row],[A]:[G]])</f>
        <v>0</v>
      </c>
    </row>
    <row r="23" spans="2:12" x14ac:dyDescent="0.25">
      <c r="B23" s="10"/>
      <c r="C23" s="10"/>
      <c r="D23" s="11"/>
      <c r="E23" s="13"/>
      <c r="F23" s="13"/>
      <c r="G23" s="13"/>
      <c r="H23" s="13"/>
      <c r="I23" s="13"/>
      <c r="J23" s="13"/>
      <c r="K23" s="13"/>
      <c r="L23" s="15">
        <f>SUM(Table6[[#This Row],[A]:[G]])</f>
        <v>0</v>
      </c>
    </row>
    <row r="24" spans="2:12" x14ac:dyDescent="0.25">
      <c r="B24" s="10"/>
      <c r="C24" s="10"/>
      <c r="D24" s="11"/>
      <c r="E24" s="13"/>
      <c r="F24" s="13"/>
      <c r="G24" s="13"/>
      <c r="H24" s="13"/>
      <c r="I24" s="13"/>
      <c r="J24" s="13"/>
      <c r="K24" s="13"/>
      <c r="L24" s="15">
        <f>SUM(Table6[[#This Row],[A]:[G]])</f>
        <v>0</v>
      </c>
    </row>
    <row r="25" spans="2:12" x14ac:dyDescent="0.25">
      <c r="B25" s="10"/>
      <c r="C25" s="10"/>
      <c r="D25" s="11"/>
      <c r="E25" s="13"/>
      <c r="F25" s="13"/>
      <c r="G25" s="13"/>
      <c r="H25" s="13"/>
      <c r="I25" s="13"/>
      <c r="J25" s="13"/>
      <c r="K25" s="13"/>
      <c r="L25" s="15">
        <f>SUM(Table6[[#This Row],[A]:[G]])</f>
        <v>0</v>
      </c>
    </row>
    <row r="26" spans="2:12" x14ac:dyDescent="0.25">
      <c r="B26" s="10"/>
      <c r="C26" s="10"/>
      <c r="D26" s="11"/>
      <c r="E26" s="13"/>
      <c r="F26" s="13"/>
      <c r="G26" s="13"/>
      <c r="H26" s="13"/>
      <c r="I26" s="13"/>
      <c r="J26" s="13"/>
      <c r="K26" s="13"/>
      <c r="L26" s="15">
        <f>SUM(Table6[[#This Row],[A]:[G]])</f>
        <v>0</v>
      </c>
    </row>
    <row r="27" spans="2:12" x14ac:dyDescent="0.25">
      <c r="B27" s="10"/>
      <c r="C27" s="10"/>
      <c r="D27" s="11"/>
      <c r="E27" s="13"/>
      <c r="F27" s="13"/>
      <c r="G27" s="13"/>
      <c r="H27" s="13"/>
      <c r="I27" s="13"/>
      <c r="J27" s="13"/>
      <c r="K27" s="13"/>
      <c r="L27" s="15">
        <f>SUM(Table6[[#This Row],[A]:[G]])</f>
        <v>0</v>
      </c>
    </row>
    <row r="28" spans="2:12" x14ac:dyDescent="0.25">
      <c r="B28" s="10"/>
      <c r="C28" s="10"/>
      <c r="D28" s="11"/>
      <c r="E28" s="13"/>
      <c r="F28" s="13"/>
      <c r="G28" s="13"/>
      <c r="H28" s="13"/>
      <c r="I28" s="13"/>
      <c r="J28" s="13"/>
      <c r="K28" s="13"/>
      <c r="L28" s="15">
        <f>SUM(Table6[[#This Row],[A]:[G]])</f>
        <v>0</v>
      </c>
    </row>
    <row r="29" spans="2:12" x14ac:dyDescent="0.25">
      <c r="B29" s="10"/>
      <c r="C29" s="10"/>
      <c r="D29" s="11"/>
      <c r="E29" s="13"/>
      <c r="F29" s="13"/>
      <c r="G29" s="13"/>
      <c r="H29" s="13"/>
      <c r="I29" s="13"/>
      <c r="J29" s="13"/>
      <c r="K29" s="13"/>
      <c r="L29" s="15">
        <f>SUM(Table6[[#This Row],[A]:[G]])</f>
        <v>0</v>
      </c>
    </row>
    <row r="30" spans="2:12" x14ac:dyDescent="0.25">
      <c r="B30" s="10"/>
      <c r="C30" s="10"/>
      <c r="D30" s="11"/>
      <c r="E30" s="13"/>
      <c r="F30" s="13"/>
      <c r="G30" s="13"/>
      <c r="H30" s="13"/>
      <c r="I30" s="13"/>
      <c r="J30" s="13"/>
      <c r="K30" s="13"/>
      <c r="L30" s="15">
        <f>SUM(Table6[[#This Row],[A]:[G]])</f>
        <v>0</v>
      </c>
    </row>
    <row r="31" spans="2:12" x14ac:dyDescent="0.25">
      <c r="B31" s="10"/>
      <c r="C31" s="10"/>
      <c r="D31" s="11"/>
      <c r="E31" s="13"/>
      <c r="F31" s="13"/>
      <c r="G31" s="13"/>
      <c r="H31" s="13"/>
      <c r="I31" s="13"/>
      <c r="J31" s="13"/>
      <c r="K31" s="13"/>
      <c r="L31" s="15">
        <f>SUM(Table6[[#This Row],[A]:[G]])</f>
        <v>0</v>
      </c>
    </row>
    <row r="32" spans="2:12" x14ac:dyDescent="0.25">
      <c r="B32" s="10"/>
      <c r="C32" s="10"/>
      <c r="D32" s="11"/>
      <c r="E32" s="13"/>
      <c r="F32" s="13"/>
      <c r="G32" s="13"/>
      <c r="H32" s="13"/>
      <c r="I32" s="13"/>
      <c r="J32" s="13"/>
      <c r="K32" s="13"/>
      <c r="L32" s="15">
        <f>SUM(Table6[[#This Row],[A]:[G]])</f>
        <v>0</v>
      </c>
    </row>
    <row r="33" spans="2:12" x14ac:dyDescent="0.25">
      <c r="B33" s="10"/>
      <c r="C33" s="10"/>
      <c r="D33" s="11"/>
      <c r="E33" s="13"/>
      <c r="F33" s="13"/>
      <c r="G33" s="13"/>
      <c r="H33" s="13"/>
      <c r="I33" s="13"/>
      <c r="J33" s="13"/>
      <c r="K33" s="13"/>
      <c r="L33" s="15">
        <f>SUM(Table6[[#This Row],[A]:[G]])</f>
        <v>0</v>
      </c>
    </row>
    <row r="34" spans="2:12" x14ac:dyDescent="0.25">
      <c r="B34" s="10"/>
      <c r="C34" s="10"/>
      <c r="D34" s="11"/>
      <c r="E34" s="13"/>
      <c r="F34" s="13"/>
      <c r="G34" s="13"/>
      <c r="H34" s="13"/>
      <c r="I34" s="13"/>
      <c r="J34" s="13"/>
      <c r="K34" s="13"/>
      <c r="L34" s="15">
        <f>SUM(Table6[[#This Row],[A]:[G]])</f>
        <v>0</v>
      </c>
    </row>
    <row r="35" spans="2:12" x14ac:dyDescent="0.25">
      <c r="B35" s="10"/>
      <c r="C35" s="10"/>
      <c r="D35" s="11"/>
      <c r="E35" s="13"/>
      <c r="F35" s="13"/>
      <c r="G35" s="13"/>
      <c r="H35" s="13"/>
      <c r="I35" s="13"/>
      <c r="J35" s="13"/>
      <c r="K35" s="13"/>
      <c r="L35" s="15">
        <f>SUM(Table6[[#This Row],[A]:[G]])</f>
        <v>0</v>
      </c>
    </row>
    <row r="36" spans="2:12" x14ac:dyDescent="0.25">
      <c r="B36" s="10"/>
      <c r="C36" s="10"/>
      <c r="D36" s="11"/>
      <c r="E36" s="13"/>
      <c r="F36" s="13"/>
      <c r="G36" s="13"/>
      <c r="H36" s="13"/>
      <c r="I36" s="13"/>
      <c r="J36" s="13"/>
      <c r="K36" s="13"/>
      <c r="L36" s="15">
        <f>SUM(Table6[[#This Row],[A]:[G]])</f>
        <v>0</v>
      </c>
    </row>
    <row r="37" spans="2:12" x14ac:dyDescent="0.25">
      <c r="B37" s="10"/>
      <c r="C37" s="10"/>
      <c r="D37" s="11"/>
      <c r="E37" s="13"/>
      <c r="F37" s="13"/>
      <c r="G37" s="13"/>
      <c r="H37" s="13"/>
      <c r="I37" s="13"/>
      <c r="J37" s="13"/>
      <c r="K37" s="13"/>
      <c r="L37" s="15">
        <f>SUM(Table6[[#This Row],[A]:[G]])</f>
        <v>0</v>
      </c>
    </row>
    <row r="38" spans="2:12" x14ac:dyDescent="0.25">
      <c r="B38" s="10"/>
      <c r="C38" s="10"/>
      <c r="D38" s="11"/>
      <c r="E38" s="13"/>
      <c r="F38" s="13"/>
      <c r="G38" s="13"/>
      <c r="H38" s="13"/>
      <c r="I38" s="13"/>
      <c r="J38" s="13"/>
      <c r="K38" s="13"/>
      <c r="L38" s="15">
        <f>SUM(Table6[[#This Row],[A]:[G]])</f>
        <v>0</v>
      </c>
    </row>
    <row r="39" spans="2:12" x14ac:dyDescent="0.25">
      <c r="B39" s="10"/>
      <c r="C39" s="10"/>
      <c r="D39" s="11"/>
      <c r="E39" s="13"/>
      <c r="F39" s="13"/>
      <c r="G39" s="13"/>
      <c r="H39" s="13"/>
      <c r="I39" s="13"/>
      <c r="J39" s="13"/>
      <c r="K39" s="13"/>
      <c r="L39" s="15">
        <f>SUM(Table6[[#This Row],[A]:[G]])</f>
        <v>0</v>
      </c>
    </row>
    <row r="40" spans="2:12" x14ac:dyDescent="0.25">
      <c r="B40" s="10"/>
      <c r="C40" s="10"/>
      <c r="D40" s="11"/>
      <c r="E40" s="13"/>
      <c r="F40" s="13"/>
      <c r="G40" s="13"/>
      <c r="H40" s="13"/>
      <c r="I40" s="13"/>
      <c r="J40" s="13"/>
      <c r="K40" s="13"/>
      <c r="L40" s="15">
        <f>SUM(Table6[[#This Row],[A]:[G]])</f>
        <v>0</v>
      </c>
    </row>
    <row r="41" spans="2:12" x14ac:dyDescent="0.25">
      <c r="B41" s="10"/>
      <c r="C41" s="10"/>
      <c r="D41" s="11"/>
      <c r="E41" s="13"/>
      <c r="F41" s="13"/>
      <c r="G41" s="13"/>
      <c r="H41" s="13"/>
      <c r="I41" s="13"/>
      <c r="J41" s="13"/>
      <c r="K41" s="13"/>
      <c r="L41" s="15">
        <f>SUM(Table6[[#This Row],[A]:[G]])</f>
        <v>0</v>
      </c>
    </row>
    <row r="42" spans="2:12" x14ac:dyDescent="0.25">
      <c r="B42" s="10"/>
      <c r="C42" s="10"/>
      <c r="D42" s="11"/>
      <c r="E42" s="13"/>
      <c r="F42" s="13"/>
      <c r="G42" s="13"/>
      <c r="H42" s="13"/>
      <c r="I42" s="13"/>
      <c r="J42" s="13"/>
      <c r="K42" s="13"/>
      <c r="L42" s="15">
        <f>SUM(Table6[[#This Row],[A]:[G]])</f>
        <v>0</v>
      </c>
    </row>
    <row r="43" spans="2:12" x14ac:dyDescent="0.25">
      <c r="B43" s="10"/>
      <c r="C43" s="10"/>
      <c r="D43" s="11"/>
      <c r="E43" s="13"/>
      <c r="F43" s="13"/>
      <c r="G43" s="13"/>
      <c r="H43" s="13"/>
      <c r="I43" s="13"/>
      <c r="J43" s="13"/>
      <c r="K43" s="13"/>
      <c r="L43" s="15">
        <f>SUM(Table6[[#This Row],[A]:[G]])</f>
        <v>0</v>
      </c>
    </row>
    <row r="44" spans="2:12" x14ac:dyDescent="0.25">
      <c r="B44" s="10"/>
      <c r="C44" s="10"/>
      <c r="D44" s="11"/>
      <c r="E44" s="13"/>
      <c r="F44" s="13"/>
      <c r="G44" s="13"/>
      <c r="H44" s="13"/>
      <c r="I44" s="13"/>
      <c r="J44" s="13"/>
      <c r="K44" s="13"/>
      <c r="L44" s="15">
        <f>SUM(Table6[[#This Row],[A]:[G]])</f>
        <v>0</v>
      </c>
    </row>
    <row r="45" spans="2:12" x14ac:dyDescent="0.25">
      <c r="B45" s="10"/>
      <c r="C45" s="10"/>
      <c r="D45" s="11"/>
      <c r="E45" s="13"/>
      <c r="F45" s="13"/>
      <c r="G45" s="13"/>
      <c r="H45" s="13"/>
      <c r="I45" s="13"/>
      <c r="J45" s="13"/>
      <c r="K45" s="13"/>
      <c r="L45" s="15">
        <f>SUM(Table6[[#This Row],[A]:[G]])</f>
        <v>0</v>
      </c>
    </row>
    <row r="46" spans="2:12" x14ac:dyDescent="0.25">
      <c r="B46" s="10"/>
      <c r="C46" s="10"/>
      <c r="D46" s="11"/>
      <c r="E46" s="13"/>
      <c r="F46" s="13"/>
      <c r="G46" s="13"/>
      <c r="H46" s="13"/>
      <c r="I46" s="13"/>
      <c r="J46" s="13"/>
      <c r="K46" s="13"/>
      <c r="L46" s="15">
        <f>SUM(Table6[[#This Row],[A]:[G]])</f>
        <v>0</v>
      </c>
    </row>
    <row r="47" spans="2:12" x14ac:dyDescent="0.25">
      <c r="B47" s="10"/>
      <c r="C47" s="10"/>
      <c r="D47" s="11"/>
      <c r="E47" s="13"/>
      <c r="F47" s="13"/>
      <c r="G47" s="13"/>
      <c r="H47" s="13"/>
      <c r="I47" s="13"/>
      <c r="J47" s="13"/>
      <c r="K47" s="13"/>
      <c r="L47" s="15">
        <f>SUM(Table6[[#This Row],[A]:[G]])</f>
        <v>0</v>
      </c>
    </row>
    <row r="48" spans="2:12" x14ac:dyDescent="0.25">
      <c r="B48" s="10"/>
      <c r="C48" s="10"/>
      <c r="D48" s="11"/>
      <c r="E48" s="13"/>
      <c r="F48" s="13"/>
      <c r="G48" s="13"/>
      <c r="H48" s="13"/>
      <c r="I48" s="13"/>
      <c r="J48" s="13"/>
      <c r="K48" s="13"/>
      <c r="L48" s="15">
        <f>SUM(Table6[[#This Row],[A]:[G]])</f>
        <v>0</v>
      </c>
    </row>
    <row r="49" spans="2:12" x14ac:dyDescent="0.25">
      <c r="B49" s="10"/>
      <c r="C49" s="10"/>
      <c r="D49" s="11"/>
      <c r="E49" s="13"/>
      <c r="F49" s="13"/>
      <c r="G49" s="13"/>
      <c r="H49" s="13"/>
      <c r="I49" s="13"/>
      <c r="J49" s="13"/>
      <c r="K49" s="13"/>
      <c r="L49" s="15">
        <f>SUM(Table6[[#This Row],[A]:[G]])</f>
        <v>0</v>
      </c>
    </row>
    <row r="50" spans="2:12" x14ac:dyDescent="0.25">
      <c r="B50" s="10"/>
      <c r="C50" s="10"/>
      <c r="D50" s="11"/>
      <c r="E50" s="13"/>
      <c r="F50" s="13"/>
      <c r="G50" s="13"/>
      <c r="H50" s="13"/>
      <c r="I50" s="13"/>
      <c r="J50" s="13"/>
      <c r="K50" s="13"/>
      <c r="L50" s="15">
        <f>SUM(Table6[[#This Row],[A]:[G]])</f>
        <v>0</v>
      </c>
    </row>
    <row r="51" spans="2:12" x14ac:dyDescent="0.25">
      <c r="B51" s="10"/>
      <c r="C51" s="10"/>
      <c r="D51" s="11"/>
      <c r="E51" s="13"/>
      <c r="F51" s="13"/>
      <c r="G51" s="13"/>
      <c r="H51" s="13"/>
      <c r="I51" s="13"/>
      <c r="J51" s="13"/>
      <c r="K51" s="13"/>
      <c r="L51" s="15">
        <f>SUM(Table6[[#This Row],[A]:[G]])</f>
        <v>0</v>
      </c>
    </row>
    <row r="52" spans="2:12" x14ac:dyDescent="0.25">
      <c r="B52" s="10"/>
      <c r="C52" s="10"/>
      <c r="D52" s="11"/>
      <c r="E52" s="13"/>
      <c r="F52" s="13"/>
      <c r="G52" s="13"/>
      <c r="H52" s="13"/>
      <c r="I52" s="13"/>
      <c r="J52" s="13"/>
      <c r="K52" s="13"/>
      <c r="L52" s="15">
        <f>SUM(Table6[[#This Row],[A]:[G]])</f>
        <v>0</v>
      </c>
    </row>
    <row r="53" spans="2:12" x14ac:dyDescent="0.25">
      <c r="B53" s="10"/>
      <c r="C53" s="10"/>
      <c r="D53" s="11"/>
      <c r="E53" s="13"/>
      <c r="F53" s="13"/>
      <c r="G53" s="13"/>
      <c r="H53" s="13"/>
      <c r="I53" s="13"/>
      <c r="J53" s="13"/>
      <c r="K53" s="13"/>
      <c r="L53" s="15">
        <f>SUM(Table6[[#This Row],[A]:[G]])</f>
        <v>0</v>
      </c>
    </row>
    <row r="54" spans="2:12" x14ac:dyDescent="0.25">
      <c r="B54" s="10"/>
      <c r="C54" s="10"/>
      <c r="D54" s="11"/>
      <c r="E54" s="13"/>
      <c r="F54" s="13"/>
      <c r="G54" s="13"/>
      <c r="H54" s="13"/>
      <c r="I54" s="13"/>
      <c r="J54" s="13"/>
      <c r="K54" s="13"/>
      <c r="L54" s="15">
        <f>SUM(Table6[[#This Row],[A]:[G]])</f>
        <v>0</v>
      </c>
    </row>
    <row r="55" spans="2:12" x14ac:dyDescent="0.25">
      <c r="B55" s="10"/>
      <c r="C55" s="10"/>
      <c r="D55" s="11"/>
      <c r="E55" s="13"/>
      <c r="F55" s="13"/>
      <c r="G55" s="13"/>
      <c r="H55" s="13"/>
      <c r="I55" s="13"/>
      <c r="J55" s="13"/>
      <c r="K55" s="13"/>
      <c r="L55" s="15">
        <f>SUM(Table6[[#This Row],[A]:[G]])</f>
        <v>0</v>
      </c>
    </row>
    <row r="56" spans="2:12" x14ac:dyDescent="0.25">
      <c r="B56" s="10"/>
      <c r="C56" s="10"/>
      <c r="D56" s="11"/>
      <c r="E56" s="13"/>
      <c r="F56" s="13"/>
      <c r="G56" s="13"/>
      <c r="H56" s="13"/>
      <c r="I56" s="13"/>
      <c r="J56" s="13"/>
      <c r="K56" s="13"/>
      <c r="L56" s="15">
        <f>SUM(Table6[[#This Row],[A]:[G]])</f>
        <v>0</v>
      </c>
    </row>
    <row r="57" spans="2:12" x14ac:dyDescent="0.25">
      <c r="B57" s="10"/>
      <c r="C57" s="10"/>
      <c r="D57" s="11"/>
      <c r="E57" s="13"/>
      <c r="F57" s="13"/>
      <c r="G57" s="13"/>
      <c r="H57" s="13"/>
      <c r="I57" s="13"/>
      <c r="J57" s="13"/>
      <c r="K57" s="13"/>
      <c r="L57" s="15">
        <f>SUM(Table6[[#This Row],[A]:[G]])</f>
        <v>0</v>
      </c>
    </row>
    <row r="58" spans="2:12" x14ac:dyDescent="0.25">
      <c r="B58" s="10"/>
      <c r="C58" s="10"/>
      <c r="D58" s="11"/>
      <c r="E58" s="13"/>
      <c r="F58" s="13"/>
      <c r="G58" s="13"/>
      <c r="H58" s="13"/>
      <c r="I58" s="13"/>
      <c r="J58" s="13"/>
      <c r="K58" s="13"/>
      <c r="L58" s="15">
        <f>SUM(Table6[[#This Row],[A]:[G]])</f>
        <v>0</v>
      </c>
    </row>
    <row r="59" spans="2:12" x14ac:dyDescent="0.25">
      <c r="B59" s="10"/>
      <c r="C59" s="10"/>
      <c r="D59" s="11"/>
      <c r="E59" s="12"/>
      <c r="F59" s="13"/>
      <c r="G59" s="13"/>
      <c r="H59" s="13"/>
      <c r="I59" s="13"/>
      <c r="J59" s="13"/>
      <c r="K59" s="13"/>
      <c r="L59" s="15">
        <f>SUM(Table6[[#This Row],[A]:[G]])</f>
        <v>0</v>
      </c>
    </row>
    <row r="60" spans="2:12" x14ac:dyDescent="0.25">
      <c r="B60" s="10"/>
      <c r="C60" s="10"/>
      <c r="D60" s="11"/>
      <c r="E60" s="13"/>
      <c r="F60" s="13"/>
      <c r="G60" s="13"/>
      <c r="H60" s="13"/>
      <c r="I60" s="13"/>
      <c r="J60" s="13"/>
      <c r="K60" s="13"/>
      <c r="L60" s="15">
        <f>SUM(Table6[[#This Row],[A]:[G]])</f>
        <v>0</v>
      </c>
    </row>
    <row r="61" spans="2:12" x14ac:dyDescent="0.25">
      <c r="B61" s="10"/>
      <c r="C61" s="10"/>
      <c r="D61" s="11"/>
      <c r="E61" s="13"/>
      <c r="F61" s="13"/>
      <c r="G61" s="13"/>
      <c r="H61" s="13"/>
      <c r="I61" s="12"/>
      <c r="J61" s="12"/>
      <c r="K61" s="13"/>
      <c r="L61" s="15">
        <f>SUM(Table6[[#This Row],[A]:[G]])</f>
        <v>0</v>
      </c>
    </row>
    <row r="62" spans="2:12" x14ac:dyDescent="0.25">
      <c r="B62" s="10"/>
      <c r="C62" s="10"/>
      <c r="D62" s="11"/>
      <c r="E62" s="13"/>
      <c r="F62" s="13"/>
      <c r="G62" s="13"/>
      <c r="H62" s="13"/>
      <c r="I62" s="13"/>
      <c r="J62" s="13"/>
      <c r="K62" s="13"/>
      <c r="L62" s="15">
        <f>SUM(Table6[[#This Row],[A]:[G]])</f>
        <v>0</v>
      </c>
    </row>
    <row r="63" spans="2:12" x14ac:dyDescent="0.25">
      <c r="B63" s="10"/>
      <c r="C63" s="10"/>
      <c r="D63" s="11"/>
      <c r="E63" s="13"/>
      <c r="F63" s="12"/>
      <c r="G63" s="13"/>
      <c r="H63" s="13"/>
      <c r="I63" s="13"/>
      <c r="J63" s="13"/>
      <c r="K63" s="13"/>
      <c r="L63" s="15">
        <f>SUM(Table6[[#This Row],[A]:[G]])</f>
        <v>0</v>
      </c>
    </row>
    <row r="64" spans="2:12" x14ac:dyDescent="0.25">
      <c r="B64" s="10"/>
      <c r="C64" s="10"/>
      <c r="D64" s="11"/>
      <c r="E64" s="13"/>
      <c r="F64" s="13"/>
      <c r="G64" s="13"/>
      <c r="H64" s="13"/>
      <c r="I64" s="13"/>
      <c r="J64" s="13"/>
      <c r="K64" s="13"/>
      <c r="L64" s="15">
        <f>SUM(Table6[[#This Row],[A]:[G]])</f>
        <v>0</v>
      </c>
    </row>
    <row r="65" spans="2:12" x14ac:dyDescent="0.25">
      <c r="B65" s="10"/>
      <c r="C65" s="10"/>
      <c r="D65" s="11"/>
      <c r="E65" s="13"/>
      <c r="F65" s="13"/>
      <c r="G65" s="13"/>
      <c r="H65" s="13"/>
      <c r="I65" s="13"/>
      <c r="J65" s="13"/>
      <c r="K65" s="13"/>
      <c r="L65" s="15">
        <f>SUM(Table6[[#This Row],[A]:[G]])</f>
        <v>0</v>
      </c>
    </row>
    <row r="66" spans="2:12" x14ac:dyDescent="0.25">
      <c r="B66" s="10"/>
      <c r="C66" s="10"/>
      <c r="D66" s="11"/>
      <c r="E66" s="13"/>
      <c r="F66" s="13"/>
      <c r="G66" s="13"/>
      <c r="H66" s="13"/>
      <c r="I66" s="13"/>
      <c r="J66" s="13"/>
      <c r="K66" s="13"/>
      <c r="L66" s="15">
        <f>SUM(Table6[[#This Row],[A]:[G]])</f>
        <v>0</v>
      </c>
    </row>
    <row r="67" spans="2:12" x14ac:dyDescent="0.25">
      <c r="B67" s="10"/>
      <c r="C67" s="10"/>
      <c r="D67" s="11"/>
      <c r="E67" s="13"/>
      <c r="F67" s="13"/>
      <c r="G67" s="13"/>
      <c r="H67" s="13"/>
      <c r="I67" s="13"/>
      <c r="J67" s="13"/>
      <c r="K67" s="13"/>
      <c r="L67" s="15">
        <f>SUM(Table6[[#This Row],[A]:[G]])</f>
        <v>0</v>
      </c>
    </row>
    <row r="68" spans="2:12" x14ac:dyDescent="0.25">
      <c r="B68" s="10"/>
      <c r="C68" s="10"/>
      <c r="D68" s="11"/>
      <c r="E68" s="13"/>
      <c r="F68" s="13"/>
      <c r="G68" s="13"/>
      <c r="H68" s="13"/>
      <c r="I68" s="13"/>
      <c r="J68" s="13"/>
      <c r="K68" s="13"/>
      <c r="L68" s="15">
        <f>SUM(Table6[[#This Row],[A]:[G]])</f>
        <v>0</v>
      </c>
    </row>
    <row r="69" spans="2:12" x14ac:dyDescent="0.25">
      <c r="B69" s="10"/>
      <c r="C69" s="10"/>
      <c r="D69" s="11"/>
      <c r="E69" s="13"/>
      <c r="F69" s="13"/>
      <c r="G69" s="13"/>
      <c r="H69" s="13"/>
      <c r="I69" s="13"/>
      <c r="J69" s="13"/>
      <c r="K69" s="13"/>
      <c r="L69" s="15">
        <f>SUM(Table6[[#This Row],[A]:[G]])</f>
        <v>0</v>
      </c>
    </row>
    <row r="70" spans="2:12" x14ac:dyDescent="0.25">
      <c r="B70" s="10"/>
      <c r="C70" s="10"/>
      <c r="D70" s="11"/>
      <c r="E70" s="13"/>
      <c r="F70" s="13"/>
      <c r="G70" s="13"/>
      <c r="H70" s="13"/>
      <c r="I70" s="13"/>
      <c r="J70" s="13"/>
      <c r="K70" s="13"/>
      <c r="L70" s="15">
        <f>SUM(Table6[[#This Row],[A]:[G]])</f>
        <v>0</v>
      </c>
    </row>
    <row r="71" spans="2:12" x14ac:dyDescent="0.25">
      <c r="B71" s="10"/>
      <c r="C71" s="10"/>
      <c r="D71" s="11"/>
      <c r="E71" s="13"/>
      <c r="F71" s="13"/>
      <c r="G71" s="13"/>
      <c r="H71" s="13"/>
      <c r="I71" s="13"/>
      <c r="J71" s="13"/>
      <c r="K71" s="13"/>
      <c r="L71" s="15">
        <f>SUM(Table6[[#This Row],[A]:[G]])</f>
        <v>0</v>
      </c>
    </row>
    <row r="72" spans="2:12" x14ac:dyDescent="0.25">
      <c r="B72" s="10"/>
      <c r="C72" s="10"/>
      <c r="D72" s="11"/>
      <c r="E72" s="12"/>
      <c r="F72" s="13"/>
      <c r="G72" s="13"/>
      <c r="H72" s="13"/>
      <c r="I72" s="13"/>
      <c r="J72" s="13"/>
      <c r="K72" s="13"/>
      <c r="L72" s="15">
        <f>SUM(Table6[[#This Row],[A]:[G]])</f>
        <v>0</v>
      </c>
    </row>
    <row r="73" spans="2:12" x14ac:dyDescent="0.25">
      <c r="B73" s="10"/>
      <c r="C73" s="10"/>
      <c r="D73" s="11"/>
      <c r="E73" s="13"/>
      <c r="F73" s="13"/>
      <c r="G73" s="13"/>
      <c r="H73" s="13"/>
      <c r="I73" s="13"/>
      <c r="J73" s="13"/>
      <c r="K73" s="13"/>
      <c r="L73" s="15">
        <f>SUM(Table6[[#This Row],[A]:[G]])</f>
        <v>0</v>
      </c>
    </row>
    <row r="74" spans="2:12" x14ac:dyDescent="0.25">
      <c r="B74" s="10"/>
      <c r="C74" s="10"/>
      <c r="D74" s="11"/>
      <c r="E74" s="13"/>
      <c r="F74" s="13"/>
      <c r="G74" s="13"/>
      <c r="H74" s="13"/>
      <c r="I74" s="13"/>
      <c r="J74" s="13"/>
      <c r="K74" s="13"/>
      <c r="L74" s="15">
        <f>SUM(Table6[[#This Row],[A]:[G]])</f>
        <v>0</v>
      </c>
    </row>
    <row r="75" spans="2:12" x14ac:dyDescent="0.25">
      <c r="B75" s="10"/>
      <c r="C75" s="10"/>
      <c r="D75" s="11"/>
      <c r="E75" s="13"/>
      <c r="F75" s="13"/>
      <c r="G75" s="13"/>
      <c r="H75" s="13"/>
      <c r="I75" s="13"/>
      <c r="J75" s="13"/>
      <c r="K75" s="13"/>
      <c r="L75" s="15">
        <f>SUM(Table6[[#This Row],[A]:[G]])</f>
        <v>0</v>
      </c>
    </row>
    <row r="76" spans="2:12" x14ac:dyDescent="0.25">
      <c r="B76" s="10"/>
      <c r="C76" s="10"/>
      <c r="D76" s="11"/>
      <c r="E76" s="13"/>
      <c r="F76" s="13"/>
      <c r="G76" s="13"/>
      <c r="H76" s="13"/>
      <c r="I76" s="13"/>
      <c r="J76" s="13"/>
      <c r="K76" s="13"/>
      <c r="L76" s="15">
        <f>SUM(Table6[[#This Row],[A]:[G]])</f>
        <v>0</v>
      </c>
    </row>
    <row r="77" spans="2:12" x14ac:dyDescent="0.25">
      <c r="B77" s="10"/>
      <c r="C77" s="10"/>
      <c r="D77" s="11"/>
      <c r="E77" s="13"/>
      <c r="F77" s="13"/>
      <c r="G77" s="13"/>
      <c r="H77" s="13"/>
      <c r="I77" s="13"/>
      <c r="J77" s="13"/>
      <c r="K77" s="13"/>
      <c r="L77" s="15">
        <f>SUM(Table6[[#This Row],[A]:[G]])</f>
        <v>0</v>
      </c>
    </row>
    <row r="78" spans="2:12" x14ac:dyDescent="0.25">
      <c r="B78" s="10"/>
      <c r="C78" s="10"/>
      <c r="D78" s="11"/>
      <c r="E78" s="13"/>
      <c r="F78" s="12"/>
      <c r="G78" s="13"/>
      <c r="H78" s="13"/>
      <c r="I78" s="13"/>
      <c r="J78" s="13"/>
      <c r="K78" s="13"/>
      <c r="L78" s="15">
        <f>SUM(Table6[[#This Row],[A]:[G]])</f>
        <v>0</v>
      </c>
    </row>
    <row r="79" spans="2:12" x14ac:dyDescent="0.25">
      <c r="B79" s="10"/>
      <c r="C79" s="10"/>
      <c r="D79" s="11"/>
      <c r="E79" s="13"/>
      <c r="F79" s="13"/>
      <c r="G79" s="13"/>
      <c r="H79" s="13"/>
      <c r="I79" s="13"/>
      <c r="J79" s="13"/>
      <c r="K79" s="13"/>
      <c r="L79" s="15">
        <f>SUM(Table6[[#This Row],[A]:[G]])</f>
        <v>0</v>
      </c>
    </row>
    <row r="80" spans="2:12" x14ac:dyDescent="0.25">
      <c r="B80" s="10"/>
      <c r="C80" s="10"/>
      <c r="D80" s="11"/>
      <c r="E80" s="13"/>
      <c r="F80" s="13"/>
      <c r="G80" s="13"/>
      <c r="H80" s="13"/>
      <c r="I80" s="13"/>
      <c r="J80" s="13"/>
      <c r="K80" s="13"/>
      <c r="L80" s="15">
        <f>SUM(Table6[[#This Row],[A]:[G]])</f>
        <v>0</v>
      </c>
    </row>
    <row r="81" spans="2:12" x14ac:dyDescent="0.25">
      <c r="B81" s="10"/>
      <c r="C81" s="10"/>
      <c r="D81" s="11"/>
      <c r="E81" s="13"/>
      <c r="F81" s="13"/>
      <c r="G81" s="13"/>
      <c r="H81" s="13"/>
      <c r="I81" s="13"/>
      <c r="J81" s="13"/>
      <c r="K81" s="13"/>
      <c r="L81" s="15">
        <f>SUM(Table6[[#This Row],[A]:[G]])</f>
        <v>0</v>
      </c>
    </row>
    <row r="82" spans="2:12" x14ac:dyDescent="0.25">
      <c r="B82" s="10"/>
      <c r="C82" s="10"/>
      <c r="D82" s="11"/>
      <c r="E82" s="13"/>
      <c r="F82" s="13"/>
      <c r="G82" s="13"/>
      <c r="H82" s="13"/>
      <c r="I82" s="13"/>
      <c r="J82" s="13"/>
      <c r="K82" s="13"/>
      <c r="L82" s="15">
        <f>SUM(Table6[[#This Row],[A]:[G]])</f>
        <v>0</v>
      </c>
    </row>
    <row r="83" spans="2:12" x14ac:dyDescent="0.25">
      <c r="B83" s="10"/>
      <c r="C83" s="10"/>
      <c r="D83" s="11"/>
      <c r="E83" s="13"/>
      <c r="F83" s="13"/>
      <c r="G83" s="13"/>
      <c r="H83" s="13"/>
      <c r="I83" s="13"/>
      <c r="J83" s="13"/>
      <c r="K83" s="13"/>
      <c r="L83" s="15">
        <f>SUM(Table6[[#This Row],[A]:[G]])</f>
        <v>0</v>
      </c>
    </row>
    <row r="84" spans="2:12" x14ac:dyDescent="0.25">
      <c r="B84" s="10"/>
      <c r="C84" s="10"/>
      <c r="D84" s="11"/>
      <c r="E84" s="13"/>
      <c r="F84" s="13"/>
      <c r="G84" s="13"/>
      <c r="H84" s="13"/>
      <c r="I84" s="13"/>
      <c r="J84" s="13"/>
      <c r="K84" s="13"/>
      <c r="L84" s="15">
        <f>SUM(Table6[[#This Row],[A]:[G]])</f>
        <v>0</v>
      </c>
    </row>
    <row r="85" spans="2:12" x14ac:dyDescent="0.25">
      <c r="B85" s="10"/>
      <c r="C85" s="10"/>
      <c r="D85" s="11"/>
      <c r="E85" s="13"/>
      <c r="F85" s="13"/>
      <c r="G85" s="13"/>
      <c r="H85" s="13"/>
      <c r="I85" s="13"/>
      <c r="J85" s="13"/>
      <c r="K85" s="13"/>
      <c r="L85" s="15">
        <f>SUM(Table6[[#This Row],[A]:[G]])</f>
        <v>0</v>
      </c>
    </row>
    <row r="86" spans="2:12" x14ac:dyDescent="0.25">
      <c r="B86" s="10"/>
      <c r="C86" s="10"/>
      <c r="D86" s="11"/>
      <c r="E86" s="13"/>
      <c r="F86" s="13"/>
      <c r="G86" s="13"/>
      <c r="H86" s="13"/>
      <c r="I86" s="13"/>
      <c r="J86" s="13"/>
      <c r="K86" s="13"/>
      <c r="L86" s="15">
        <f>SUM(Table6[[#This Row],[A]:[G]])</f>
        <v>0</v>
      </c>
    </row>
    <row r="87" spans="2:12" x14ac:dyDescent="0.25">
      <c r="B87" s="10"/>
      <c r="C87" s="10"/>
      <c r="D87" s="11"/>
      <c r="E87" s="13"/>
      <c r="F87" s="13"/>
      <c r="G87" s="13"/>
      <c r="H87" s="13"/>
      <c r="I87" s="13"/>
      <c r="J87" s="13"/>
      <c r="K87" s="13"/>
      <c r="L87" s="15">
        <f>SUM(Table6[[#This Row],[A]:[G]])</f>
        <v>0</v>
      </c>
    </row>
    <row r="88" spans="2:12" x14ac:dyDescent="0.25">
      <c r="B88" s="10"/>
      <c r="C88" s="10"/>
      <c r="D88" s="11"/>
      <c r="E88" s="13"/>
      <c r="F88" s="13"/>
      <c r="G88" s="13"/>
      <c r="H88" s="13"/>
      <c r="I88" s="13"/>
      <c r="J88" s="13"/>
      <c r="K88" s="13"/>
      <c r="L88" s="15">
        <f>SUM(Table6[[#This Row],[A]:[G]])</f>
        <v>0</v>
      </c>
    </row>
    <row r="89" spans="2:12" x14ac:dyDescent="0.25">
      <c r="B89" s="10"/>
      <c r="C89" s="10"/>
      <c r="D89" s="11"/>
      <c r="E89" s="13"/>
      <c r="F89" s="13"/>
      <c r="G89" s="13"/>
      <c r="H89" s="13"/>
      <c r="I89" s="13"/>
      <c r="J89" s="13"/>
      <c r="K89" s="13"/>
      <c r="L89" s="15">
        <f>SUM(Table6[[#This Row],[A]:[G]])</f>
        <v>0</v>
      </c>
    </row>
    <row r="90" spans="2:12" x14ac:dyDescent="0.25">
      <c r="B90" s="10"/>
      <c r="C90" s="10"/>
      <c r="D90" s="11"/>
      <c r="E90" s="13"/>
      <c r="F90" s="13"/>
      <c r="G90" s="13"/>
      <c r="H90" s="13"/>
      <c r="I90" s="13"/>
      <c r="J90" s="13"/>
      <c r="K90" s="13"/>
      <c r="L90" s="15">
        <f>SUM(Table6[[#This Row],[A]:[G]])</f>
        <v>0</v>
      </c>
    </row>
    <row r="91" spans="2:12" x14ac:dyDescent="0.25">
      <c r="B91" s="10"/>
      <c r="C91" s="10"/>
      <c r="D91" s="11"/>
      <c r="E91" s="13"/>
      <c r="F91" s="13"/>
      <c r="G91" s="13"/>
      <c r="H91" s="13"/>
      <c r="I91" s="13"/>
      <c r="J91" s="13"/>
      <c r="K91" s="13"/>
      <c r="L91" s="15">
        <f>SUM(Table6[[#This Row],[A]:[G]])</f>
        <v>0</v>
      </c>
    </row>
    <row r="92" spans="2:12" x14ac:dyDescent="0.25">
      <c r="B92" s="10"/>
      <c r="C92" s="10"/>
      <c r="D92" s="11"/>
      <c r="E92" s="13"/>
      <c r="F92" s="13"/>
      <c r="G92" s="13"/>
      <c r="H92" s="13"/>
      <c r="I92" s="13"/>
      <c r="J92" s="13"/>
      <c r="K92" s="13"/>
      <c r="L92" s="15">
        <f>SUM(Table6[[#This Row],[A]:[G]])</f>
        <v>0</v>
      </c>
    </row>
    <row r="93" spans="2:12" x14ac:dyDescent="0.25">
      <c r="B93" s="10"/>
      <c r="C93" s="10"/>
      <c r="D93" s="11"/>
      <c r="E93" s="13"/>
      <c r="F93" s="13"/>
      <c r="G93" s="13"/>
      <c r="H93" s="13"/>
      <c r="I93" s="13"/>
      <c r="J93" s="13"/>
      <c r="K93" s="13"/>
      <c r="L93" s="15">
        <f>SUM(Table6[[#This Row],[A]:[G]])</f>
        <v>0</v>
      </c>
    </row>
    <row r="94" spans="2:12" x14ac:dyDescent="0.25">
      <c r="B94" s="10"/>
      <c r="C94" s="10"/>
      <c r="D94" s="11"/>
      <c r="E94" s="13"/>
      <c r="F94" s="13"/>
      <c r="G94" s="13"/>
      <c r="H94" s="13"/>
      <c r="I94" s="13"/>
      <c r="J94" s="13"/>
      <c r="K94" s="13"/>
      <c r="L94" s="15">
        <f>SUM(Table6[[#This Row],[A]:[G]])</f>
        <v>0</v>
      </c>
    </row>
    <row r="95" spans="2:12" x14ac:dyDescent="0.25">
      <c r="B95" s="10"/>
      <c r="C95" s="10"/>
      <c r="D95" s="11"/>
      <c r="E95" s="13"/>
      <c r="F95" s="13"/>
      <c r="G95" s="13"/>
      <c r="H95" s="13"/>
      <c r="I95" s="13"/>
      <c r="J95" s="13"/>
      <c r="K95" s="13"/>
      <c r="L95" s="15">
        <f>SUM(Table6[[#This Row],[A]:[G]])</f>
        <v>0</v>
      </c>
    </row>
    <row r="96" spans="2:12" x14ac:dyDescent="0.25">
      <c r="B96" s="10"/>
      <c r="C96" s="10"/>
      <c r="D96" s="11"/>
      <c r="E96" s="13"/>
      <c r="F96" s="13"/>
      <c r="G96" s="13"/>
      <c r="H96" s="13"/>
      <c r="I96" s="13"/>
      <c r="J96" s="13"/>
      <c r="K96" s="13"/>
      <c r="L96" s="15">
        <f>SUM(Table6[[#This Row],[A]:[G]])</f>
        <v>0</v>
      </c>
    </row>
    <row r="97" spans="2:12" x14ac:dyDescent="0.25">
      <c r="B97" s="10"/>
      <c r="C97" s="10"/>
      <c r="D97" s="11"/>
      <c r="E97" s="13"/>
      <c r="F97" s="13"/>
      <c r="G97" s="13"/>
      <c r="H97" s="13"/>
      <c r="I97" s="13"/>
      <c r="J97" s="13"/>
      <c r="K97" s="13"/>
      <c r="L97" s="15">
        <f>SUM(Table6[[#This Row],[A]:[G]])</f>
        <v>0</v>
      </c>
    </row>
    <row r="98" spans="2:12" x14ac:dyDescent="0.25">
      <c r="B98" s="10"/>
      <c r="C98" s="10"/>
      <c r="D98" s="11"/>
      <c r="E98" s="13"/>
      <c r="F98" s="13"/>
      <c r="G98" s="13"/>
      <c r="H98" s="13"/>
      <c r="I98" s="13"/>
      <c r="J98" s="13"/>
      <c r="K98" s="13"/>
      <c r="L98" s="15">
        <f>SUM(Table6[[#This Row],[A]:[G]])</f>
        <v>0</v>
      </c>
    </row>
    <row r="99" spans="2:12" x14ac:dyDescent="0.25">
      <c r="B99" s="10"/>
      <c r="C99" s="10"/>
      <c r="D99" s="11"/>
      <c r="E99" s="13"/>
      <c r="F99" s="13"/>
      <c r="G99" s="13"/>
      <c r="H99" s="13"/>
      <c r="I99" s="13"/>
      <c r="J99" s="13"/>
      <c r="K99" s="13"/>
      <c r="L99" s="15">
        <f>SUM(Table6[[#This Row],[A]:[G]])</f>
        <v>0</v>
      </c>
    </row>
    <row r="100" spans="2:12" x14ac:dyDescent="0.25">
      <c r="B100" s="10"/>
      <c r="C100" s="10"/>
      <c r="D100" s="11"/>
      <c r="E100" s="13"/>
      <c r="F100" s="13"/>
      <c r="G100" s="13"/>
      <c r="H100" s="13"/>
      <c r="I100" s="13"/>
      <c r="J100" s="13"/>
      <c r="K100" s="13"/>
      <c r="L100" s="15">
        <f>SUM(Table6[[#This Row],[A]:[G]])</f>
        <v>0</v>
      </c>
    </row>
    <row r="101" spans="2:12" x14ac:dyDescent="0.25">
      <c r="B101" s="2"/>
      <c r="C101" s="2"/>
      <c r="E101" s="4"/>
      <c r="F101" s="4"/>
      <c r="G101" s="4"/>
      <c r="H101" s="4"/>
      <c r="I101" s="4"/>
      <c r="J101" s="4"/>
      <c r="K101" s="4"/>
      <c r="L101" s="15">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uDSf1BATl/l06YEAikG7jJBxPDE/iMVLuWzgNPy25Qa/1I0gotxgaibFnZFsLX89MDfL57VjO34ERsc+XQShCg==" saltValue="TEOlL6zTUTnP6jjS5Zjr2w==" spinCount="100000" sheet="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3.2" x14ac:dyDescent="0.25"/>
  <cols>
    <col min="1" max="1" width="0.88671875" style="42" customWidth="1"/>
    <col min="2" max="2" width="23" customWidth="1"/>
    <col min="3" max="3" width="11.33203125" bestFit="1" customWidth="1"/>
    <col min="4" max="4" width="15.33203125" customWidth="1"/>
    <col min="5" max="5" width="14.6640625" customWidth="1"/>
    <col min="6" max="6" width="12.109375" customWidth="1"/>
    <col min="7" max="7" width="23.33203125" bestFit="1" customWidth="1"/>
    <col min="8" max="8" width="106" customWidth="1"/>
    <col min="9" max="9" width="2" style="47" customWidth="1"/>
  </cols>
  <sheetData>
    <row r="1" spans="2:8" s="42" customFormat="1" ht="6.6" customHeight="1" x14ac:dyDescent="0.25"/>
    <row r="2" spans="2:8" x14ac:dyDescent="0.25">
      <c r="B2" s="43" t="s">
        <v>12</v>
      </c>
      <c r="C2" s="43" t="s">
        <v>186</v>
      </c>
      <c r="D2" s="44" t="s">
        <v>187</v>
      </c>
      <c r="E2" s="44" t="s">
        <v>188</v>
      </c>
      <c r="F2" s="44" t="s">
        <v>189</v>
      </c>
      <c r="G2" s="45" t="s">
        <v>190</v>
      </c>
      <c r="H2" s="46" t="s">
        <v>191</v>
      </c>
    </row>
    <row r="3" spans="2:8" x14ac:dyDescent="0.25">
      <c r="B3" s="11"/>
      <c r="C3" s="11"/>
      <c r="D3" s="13"/>
      <c r="E3" s="13"/>
      <c r="F3" s="48">
        <f>SUM(Table4[[#This Row],[Eligible Costs]]-Table4[[#This Row],[Original Costs]])</f>
        <v>0</v>
      </c>
      <c r="G3" s="11"/>
      <c r="H3" s="11"/>
    </row>
    <row r="4" spans="2:8" x14ac:dyDescent="0.25">
      <c r="B4" s="11"/>
      <c r="C4" s="11"/>
      <c r="D4" s="13"/>
      <c r="E4" s="13"/>
      <c r="F4" s="48">
        <f>SUM(Table4[[#This Row],[Eligible Costs]]-Table4[[#This Row],[Original Costs]])</f>
        <v>0</v>
      </c>
      <c r="G4" s="11"/>
      <c r="H4" s="11"/>
    </row>
    <row r="5" spans="2:8" x14ac:dyDescent="0.25">
      <c r="B5" s="11"/>
      <c r="C5" s="11"/>
      <c r="D5" s="13"/>
      <c r="E5" s="13"/>
      <c r="F5" s="48">
        <f>SUM(Table4[[#This Row],[Eligible Costs]]-Table4[[#This Row],[Original Costs]])</f>
        <v>0</v>
      </c>
      <c r="G5" s="11"/>
      <c r="H5" s="11"/>
    </row>
    <row r="6" spans="2:8" x14ac:dyDescent="0.25">
      <c r="B6" s="11"/>
      <c r="C6" s="11"/>
      <c r="D6" s="13"/>
      <c r="E6" s="13"/>
      <c r="F6" s="48">
        <f>SUM(Table4[[#This Row],[Eligible Costs]]-Table4[[#This Row],[Original Costs]])</f>
        <v>0</v>
      </c>
      <c r="G6" s="11"/>
      <c r="H6" s="11"/>
    </row>
    <row r="7" spans="2:8" x14ac:dyDescent="0.25">
      <c r="B7" s="11"/>
      <c r="C7" s="11"/>
      <c r="D7" s="13"/>
      <c r="E7" s="13"/>
      <c r="F7" s="48">
        <f>SUM(Table4[[#This Row],[Eligible Costs]]-Table4[[#This Row],[Original Costs]])</f>
        <v>0</v>
      </c>
      <c r="G7" s="11"/>
      <c r="H7" s="11"/>
    </row>
    <row r="8" spans="2:8" x14ac:dyDescent="0.25">
      <c r="B8" s="11"/>
      <c r="C8" s="11"/>
      <c r="D8" s="13"/>
      <c r="E8" s="13"/>
      <c r="F8" s="48">
        <f>SUM(Table4[[#This Row],[Eligible Costs]]-Table4[[#This Row],[Original Costs]])</f>
        <v>0</v>
      </c>
      <c r="G8" s="11"/>
      <c r="H8" s="11"/>
    </row>
    <row r="9" spans="2:8" x14ac:dyDescent="0.25">
      <c r="B9" s="11"/>
      <c r="C9" s="11"/>
      <c r="D9" s="13"/>
      <c r="E9" s="13"/>
      <c r="F9" s="48">
        <f>SUM(Table4[[#This Row],[Eligible Costs]]-Table4[[#This Row],[Original Costs]])</f>
        <v>0</v>
      </c>
      <c r="G9" s="11"/>
      <c r="H9" s="11"/>
    </row>
    <row r="10" spans="2:8" x14ac:dyDescent="0.25">
      <c r="B10" s="11"/>
      <c r="C10" s="11"/>
      <c r="D10" s="13"/>
      <c r="E10" s="13"/>
      <c r="F10" s="48">
        <f>SUM(Table4[[#This Row],[Eligible Costs]]-Table4[[#This Row],[Original Costs]])</f>
        <v>0</v>
      </c>
      <c r="G10" s="11"/>
      <c r="H10" s="11"/>
    </row>
    <row r="11" spans="2:8" x14ac:dyDescent="0.25">
      <c r="B11" s="11"/>
      <c r="C11" s="11"/>
      <c r="D11" s="13"/>
      <c r="E11" s="13"/>
      <c r="F11" s="48">
        <f>SUM(Table4[[#This Row],[Eligible Costs]]-Table4[[#This Row],[Original Costs]])</f>
        <v>0</v>
      </c>
      <c r="G11" s="11"/>
      <c r="H11" s="11"/>
    </row>
    <row r="12" spans="2:8" x14ac:dyDescent="0.25">
      <c r="B12" s="11"/>
      <c r="C12" s="11"/>
      <c r="D12" s="13"/>
      <c r="E12" s="13"/>
      <c r="F12" s="48">
        <f>SUM(Table4[[#This Row],[Eligible Costs]]-Table4[[#This Row],[Original Costs]])</f>
        <v>0</v>
      </c>
      <c r="G12" s="11"/>
      <c r="H12" s="11"/>
    </row>
    <row r="13" spans="2:8" x14ac:dyDescent="0.25">
      <c r="B13" s="11"/>
      <c r="C13" s="11"/>
      <c r="D13" s="13"/>
      <c r="E13" s="13"/>
      <c r="F13" s="48">
        <f>SUM(Table4[[#This Row],[Eligible Costs]]-Table4[[#This Row],[Original Costs]])</f>
        <v>0</v>
      </c>
      <c r="G13" s="11"/>
      <c r="H13" s="11"/>
    </row>
    <row r="14" spans="2:8" x14ac:dyDescent="0.25">
      <c r="B14" s="11"/>
      <c r="C14" s="11"/>
      <c r="D14" s="13"/>
      <c r="E14" s="13"/>
      <c r="F14" s="48">
        <f>SUM(Table4[[#This Row],[Eligible Costs]]-Table4[[#This Row],[Original Costs]])</f>
        <v>0</v>
      </c>
      <c r="G14" s="11"/>
      <c r="H14" s="11"/>
    </row>
    <row r="15" spans="2:8" x14ac:dyDescent="0.25">
      <c r="B15" s="11"/>
      <c r="C15" s="11"/>
      <c r="D15" s="13"/>
      <c r="E15" s="13"/>
      <c r="F15" s="48">
        <f>SUM(Table4[[#This Row],[Eligible Costs]]-Table4[[#This Row],[Original Costs]])</f>
        <v>0</v>
      </c>
      <c r="G15" s="11"/>
      <c r="H15" s="11"/>
    </row>
    <row r="16" spans="2:8" x14ac:dyDescent="0.25">
      <c r="B16" s="11"/>
      <c r="C16" s="11"/>
      <c r="D16" s="13"/>
      <c r="E16" s="13"/>
      <c r="F16" s="48">
        <f>SUM(Table4[[#This Row],[Eligible Costs]]-Table4[[#This Row],[Original Costs]])</f>
        <v>0</v>
      </c>
      <c r="G16" s="11"/>
      <c r="H16" s="11"/>
    </row>
    <row r="17" spans="2:8" x14ac:dyDescent="0.25">
      <c r="B17" s="11"/>
      <c r="C17" s="11"/>
      <c r="D17" s="13"/>
      <c r="E17" s="13"/>
      <c r="F17" s="48">
        <f>SUM(Table4[[#This Row],[Eligible Costs]]-Table4[[#This Row],[Original Costs]])</f>
        <v>0</v>
      </c>
      <c r="G17" s="11"/>
      <c r="H17" s="11"/>
    </row>
    <row r="18" spans="2:8" x14ac:dyDescent="0.25">
      <c r="B18" s="11"/>
      <c r="C18" s="11"/>
      <c r="D18" s="13"/>
      <c r="E18" s="13"/>
      <c r="F18" s="48">
        <f>SUM(Table4[[#This Row],[Eligible Costs]]-Table4[[#This Row],[Original Costs]])</f>
        <v>0</v>
      </c>
      <c r="G18" s="11"/>
      <c r="H18" s="11"/>
    </row>
    <row r="19" spans="2:8" x14ac:dyDescent="0.25">
      <c r="B19" s="11"/>
      <c r="C19" s="11"/>
      <c r="D19" s="13"/>
      <c r="E19" s="13"/>
      <c r="F19" s="48">
        <f>SUM(Table4[[#This Row],[Eligible Costs]]-Table4[[#This Row],[Original Costs]])</f>
        <v>0</v>
      </c>
      <c r="G19" s="11"/>
      <c r="H19" s="11"/>
    </row>
    <row r="20" spans="2:8" x14ac:dyDescent="0.25">
      <c r="B20" s="11"/>
      <c r="C20" s="11"/>
      <c r="D20" s="13"/>
      <c r="E20" s="13"/>
      <c r="F20" s="48">
        <f>SUM(Table4[[#This Row],[Eligible Costs]]-Table4[[#This Row],[Original Costs]])</f>
        <v>0</v>
      </c>
      <c r="G20" s="11"/>
      <c r="H20" s="11"/>
    </row>
    <row r="21" spans="2:8" x14ac:dyDescent="0.25">
      <c r="B21" s="11"/>
      <c r="C21" s="11"/>
      <c r="D21" s="13"/>
      <c r="E21" s="13"/>
      <c r="F21" s="48">
        <f>SUM(Table4[[#This Row],[Eligible Costs]]-Table4[[#This Row],[Original Costs]])</f>
        <v>0</v>
      </c>
      <c r="G21" s="11"/>
      <c r="H21" s="11"/>
    </row>
    <row r="22" spans="2:8" x14ac:dyDescent="0.25">
      <c r="B22" s="11"/>
      <c r="C22" s="11"/>
      <c r="D22" s="13"/>
      <c r="E22" s="13"/>
      <c r="F22" s="48">
        <f>SUM(Table4[[#This Row],[Eligible Costs]]-Table4[[#This Row],[Original Costs]])</f>
        <v>0</v>
      </c>
      <c r="G22" s="11"/>
      <c r="H22" s="11"/>
    </row>
    <row r="23" spans="2:8" x14ac:dyDescent="0.25">
      <c r="B23" s="11"/>
      <c r="C23" s="11"/>
      <c r="D23" s="13"/>
      <c r="E23" s="13"/>
      <c r="F23" s="48">
        <f>SUM(Table4[[#This Row],[Eligible Costs]]-Table4[[#This Row],[Original Costs]])</f>
        <v>0</v>
      </c>
      <c r="G23" s="11"/>
      <c r="H23" s="11"/>
    </row>
    <row r="24" spans="2:8" x14ac:dyDescent="0.25">
      <c r="B24" s="11"/>
      <c r="C24" s="11"/>
      <c r="D24" s="13"/>
      <c r="E24" s="13"/>
      <c r="F24" s="48">
        <f>SUM(Table4[[#This Row],[Eligible Costs]]-Table4[[#This Row],[Original Costs]])</f>
        <v>0</v>
      </c>
      <c r="G24" s="11"/>
      <c r="H24" s="11"/>
    </row>
    <row r="25" spans="2:8" x14ac:dyDescent="0.25">
      <c r="B25" s="11"/>
      <c r="C25" s="11"/>
      <c r="D25" s="13"/>
      <c r="E25" s="13"/>
      <c r="F25" s="48">
        <f>SUM(Table4[[#This Row],[Eligible Costs]]-Table4[[#This Row],[Original Costs]])</f>
        <v>0</v>
      </c>
      <c r="G25" s="11"/>
      <c r="H25" s="11"/>
    </row>
    <row r="26" spans="2:8" x14ac:dyDescent="0.25">
      <c r="B26" s="11"/>
      <c r="C26" s="11"/>
      <c r="D26" s="13"/>
      <c r="E26" s="13"/>
      <c r="F26" s="48">
        <f>SUM(Table4[[#This Row],[Eligible Costs]]-Table4[[#This Row],[Original Costs]])</f>
        <v>0</v>
      </c>
      <c r="G26" s="11"/>
      <c r="H26" s="11"/>
    </row>
    <row r="27" spans="2:8" x14ac:dyDescent="0.25">
      <c r="B27" s="11"/>
      <c r="C27" s="11"/>
      <c r="D27" s="13"/>
      <c r="E27" s="13"/>
      <c r="F27" s="48">
        <f>SUM(Table4[[#This Row],[Eligible Costs]]-Table4[[#This Row],[Original Costs]])</f>
        <v>0</v>
      </c>
      <c r="G27" s="11"/>
      <c r="H27" s="11"/>
    </row>
    <row r="28" spans="2:8" x14ac:dyDescent="0.25">
      <c r="B28" s="11"/>
      <c r="C28" s="11"/>
      <c r="D28" s="13"/>
      <c r="E28" s="13"/>
      <c r="F28" s="48">
        <f>SUM(Table4[[#This Row],[Eligible Costs]]-Table4[[#This Row],[Original Costs]])</f>
        <v>0</v>
      </c>
      <c r="G28" s="11"/>
      <c r="H28" s="11"/>
    </row>
    <row r="29" spans="2:8" x14ac:dyDescent="0.25">
      <c r="B29" s="11"/>
      <c r="C29" s="11"/>
      <c r="D29" s="13"/>
      <c r="E29" s="13"/>
      <c r="F29" s="48">
        <f>SUM(Table4[[#This Row],[Eligible Costs]]-Table4[[#This Row],[Original Costs]])</f>
        <v>0</v>
      </c>
      <c r="G29" s="11"/>
      <c r="H29" s="11"/>
    </row>
    <row r="30" spans="2:8" x14ac:dyDescent="0.25">
      <c r="B30" s="11"/>
      <c r="C30" s="11"/>
      <c r="D30" s="13"/>
      <c r="E30" s="13"/>
      <c r="F30" s="48">
        <f>SUM(Table4[[#This Row],[Eligible Costs]]-Table4[[#This Row],[Original Costs]])</f>
        <v>0</v>
      </c>
      <c r="G30" s="11"/>
      <c r="H30" s="11"/>
    </row>
    <row r="31" spans="2:8" x14ac:dyDescent="0.25">
      <c r="B31" s="11"/>
      <c r="C31" s="11"/>
      <c r="D31" s="13"/>
      <c r="E31" s="13"/>
      <c r="F31" s="48">
        <f>SUM(Table4[[#This Row],[Eligible Costs]]-Table4[[#This Row],[Original Costs]])</f>
        <v>0</v>
      </c>
      <c r="G31" s="11"/>
      <c r="H31" s="11"/>
    </row>
    <row r="32" spans="2:8" x14ac:dyDescent="0.25">
      <c r="B32" s="11"/>
      <c r="C32" s="11"/>
      <c r="D32" s="13"/>
      <c r="E32" s="13"/>
      <c r="F32" s="48">
        <f>SUM(Table4[[#This Row],[Eligible Costs]]-Table4[[#This Row],[Original Costs]])</f>
        <v>0</v>
      </c>
      <c r="G32" s="11"/>
      <c r="H32" s="11"/>
    </row>
    <row r="33" spans="2:8" x14ac:dyDescent="0.25">
      <c r="B33" s="11"/>
      <c r="C33" s="11"/>
      <c r="D33" s="13"/>
      <c r="E33" s="13"/>
      <c r="F33" s="48">
        <f>SUM(Table4[[#This Row],[Eligible Costs]]-Table4[[#This Row],[Original Costs]])</f>
        <v>0</v>
      </c>
      <c r="G33" s="11"/>
      <c r="H33" s="11"/>
    </row>
    <row r="34" spans="2:8" x14ac:dyDescent="0.25">
      <c r="B34" s="11"/>
      <c r="C34" s="11"/>
      <c r="D34" s="13"/>
      <c r="E34" s="13"/>
      <c r="F34" s="48">
        <f>SUM(Table4[[#This Row],[Eligible Costs]]-Table4[[#This Row],[Original Costs]])</f>
        <v>0</v>
      </c>
      <c r="G34" s="11"/>
      <c r="H34" s="11"/>
    </row>
    <row r="35" spans="2:8" x14ac:dyDescent="0.25">
      <c r="B35" s="11"/>
      <c r="C35" s="11"/>
      <c r="D35" s="13"/>
      <c r="E35" s="13"/>
      <c r="F35" s="48">
        <f>SUM(Table4[[#This Row],[Eligible Costs]]-Table4[[#This Row],[Original Costs]])</f>
        <v>0</v>
      </c>
      <c r="G35" s="11"/>
      <c r="H35" s="11"/>
    </row>
    <row r="36" spans="2:8" x14ac:dyDescent="0.25">
      <c r="B36" s="11"/>
      <c r="C36" s="11"/>
      <c r="D36" s="13"/>
      <c r="E36" s="13"/>
      <c r="F36" s="48">
        <f>SUM(Table4[[#This Row],[Eligible Costs]]-Table4[[#This Row],[Original Costs]])</f>
        <v>0</v>
      </c>
      <c r="G36" s="11"/>
      <c r="H36" s="11"/>
    </row>
    <row r="37" spans="2:8" x14ac:dyDescent="0.25">
      <c r="B37" s="11"/>
      <c r="C37" s="11"/>
      <c r="D37" s="13"/>
      <c r="E37" s="13"/>
      <c r="F37" s="48">
        <f>SUM(Table4[[#This Row],[Eligible Costs]]-Table4[[#This Row],[Original Costs]])</f>
        <v>0</v>
      </c>
      <c r="G37" s="11"/>
      <c r="H37" s="11"/>
    </row>
    <row r="38" spans="2:8" x14ac:dyDescent="0.25">
      <c r="B38" s="11"/>
      <c r="C38" s="11"/>
      <c r="D38" s="13"/>
      <c r="E38" s="13"/>
      <c r="F38" s="48">
        <f>SUM(Table4[[#This Row],[Eligible Costs]]-Table4[[#This Row],[Original Costs]])</f>
        <v>0</v>
      </c>
      <c r="G38" s="11"/>
      <c r="H38" s="11"/>
    </row>
    <row r="39" spans="2:8" x14ac:dyDescent="0.25">
      <c r="B39" s="11"/>
      <c r="C39" s="11"/>
      <c r="D39" s="13"/>
      <c r="E39" s="13"/>
      <c r="F39" s="48">
        <f>SUM(Table4[[#This Row],[Eligible Costs]]-Table4[[#This Row],[Original Costs]])</f>
        <v>0</v>
      </c>
      <c r="G39" s="11"/>
      <c r="H39" s="11"/>
    </row>
    <row r="40" spans="2:8" x14ac:dyDescent="0.25">
      <c r="B40" s="11"/>
      <c r="C40" s="11"/>
      <c r="D40" s="13"/>
      <c r="E40" s="13"/>
      <c r="F40" s="48">
        <f>SUM(Table4[[#This Row],[Eligible Costs]]-Table4[[#This Row],[Original Costs]])</f>
        <v>0</v>
      </c>
      <c r="G40" s="11"/>
      <c r="H40" s="11"/>
    </row>
    <row r="41" spans="2:8" x14ac:dyDescent="0.25">
      <c r="B41" s="11"/>
      <c r="C41" s="11"/>
      <c r="D41" s="13"/>
      <c r="E41" s="13"/>
      <c r="F41" s="48">
        <f>SUM(Table4[[#This Row],[Eligible Costs]]-Table4[[#This Row],[Original Costs]])</f>
        <v>0</v>
      </c>
      <c r="G41" s="11"/>
      <c r="H41" s="11"/>
    </row>
    <row r="42" spans="2:8" x14ac:dyDescent="0.25">
      <c r="B42" s="11"/>
      <c r="C42" s="11"/>
      <c r="D42" s="13"/>
      <c r="E42" s="13"/>
      <c r="F42" s="48">
        <f>SUM(Table4[[#This Row],[Eligible Costs]]-Table4[[#This Row],[Original Costs]])</f>
        <v>0</v>
      </c>
      <c r="G42" s="11"/>
      <c r="H42" s="11"/>
    </row>
    <row r="43" spans="2:8" x14ac:dyDescent="0.25">
      <c r="B43" s="11"/>
      <c r="C43" s="11"/>
      <c r="D43" s="13"/>
      <c r="E43" s="13"/>
      <c r="F43" s="48">
        <f>SUM(Table4[[#This Row],[Eligible Costs]]-Table4[[#This Row],[Original Costs]])</f>
        <v>0</v>
      </c>
      <c r="G43" s="11"/>
      <c r="H43" s="11"/>
    </row>
    <row r="44" spans="2:8" x14ac:dyDescent="0.25">
      <c r="B44" s="11"/>
      <c r="C44" s="11"/>
      <c r="D44" s="13"/>
      <c r="E44" s="13"/>
      <c r="F44" s="48">
        <f>SUM(Table4[[#This Row],[Eligible Costs]]-Table4[[#This Row],[Original Costs]])</f>
        <v>0</v>
      </c>
      <c r="G44" s="11"/>
      <c r="H44" s="11"/>
    </row>
    <row r="45" spans="2:8" x14ac:dyDescent="0.25">
      <c r="B45" s="11"/>
      <c r="C45" s="11"/>
      <c r="D45" s="13"/>
      <c r="E45" s="13"/>
      <c r="F45" s="48">
        <f>SUM(Table4[[#This Row],[Eligible Costs]]-Table4[[#This Row],[Original Costs]])</f>
        <v>0</v>
      </c>
      <c r="G45" s="11"/>
      <c r="H45" s="11"/>
    </row>
    <row r="46" spans="2:8" x14ac:dyDescent="0.25">
      <c r="B46" s="11"/>
      <c r="C46" s="11"/>
      <c r="D46" s="13"/>
      <c r="E46" s="13"/>
      <c r="F46" s="48">
        <f>SUM(Table4[[#This Row],[Eligible Costs]]-Table4[[#This Row],[Original Costs]])</f>
        <v>0</v>
      </c>
      <c r="G46" s="11"/>
      <c r="H46" s="11"/>
    </row>
    <row r="47" spans="2:8" x14ac:dyDescent="0.25">
      <c r="B47" s="11"/>
      <c r="C47" s="11"/>
      <c r="D47" s="13"/>
      <c r="E47" s="13"/>
      <c r="F47" s="48">
        <f>SUM(Table4[[#This Row],[Eligible Costs]]-Table4[[#This Row],[Original Costs]])</f>
        <v>0</v>
      </c>
      <c r="G47" s="11"/>
      <c r="H47" s="11"/>
    </row>
    <row r="48" spans="2:8" x14ac:dyDescent="0.25">
      <c r="B48" s="11"/>
      <c r="C48" s="11"/>
      <c r="D48" s="13"/>
      <c r="E48" s="13"/>
      <c r="F48" s="48">
        <f>SUM(Table4[[#This Row],[Eligible Costs]]-Table4[[#This Row],[Original Costs]])</f>
        <v>0</v>
      </c>
      <c r="G48" s="11"/>
      <c r="H48" s="11"/>
    </row>
    <row r="49" spans="2:8" x14ac:dyDescent="0.25">
      <c r="B49" s="11"/>
      <c r="C49" s="11"/>
      <c r="D49" s="13"/>
      <c r="E49" s="13"/>
      <c r="F49" s="48">
        <f>SUM(Table4[[#This Row],[Eligible Costs]]-Table4[[#This Row],[Original Costs]])</f>
        <v>0</v>
      </c>
      <c r="G49" s="11"/>
      <c r="H49" s="11"/>
    </row>
    <row r="50" spans="2:8" x14ac:dyDescent="0.25">
      <c r="B50" s="11"/>
      <c r="C50" s="11"/>
      <c r="D50" s="13"/>
      <c r="E50" s="13"/>
      <c r="F50" s="48">
        <f>SUM(Table4[[#This Row],[Eligible Costs]]-Table4[[#This Row],[Original Costs]])</f>
        <v>0</v>
      </c>
      <c r="G50" s="11"/>
      <c r="H50" s="11"/>
    </row>
    <row r="51" spans="2:8" x14ac:dyDescent="0.25">
      <c r="B51" s="11"/>
      <c r="C51" s="11"/>
      <c r="D51" s="13"/>
      <c r="E51" s="13"/>
      <c r="F51" s="48">
        <f>SUM(Table4[[#This Row],[Eligible Costs]]-Table4[[#This Row],[Original Costs]])</f>
        <v>0</v>
      </c>
      <c r="G51" s="11"/>
      <c r="H51" s="11"/>
    </row>
    <row r="52" spans="2:8" x14ac:dyDescent="0.25">
      <c r="B52" s="11"/>
      <c r="C52" s="11"/>
      <c r="D52" s="13"/>
      <c r="E52" s="13"/>
      <c r="F52" s="48">
        <f>SUM(Table4[[#This Row],[Eligible Costs]]-Table4[[#This Row],[Original Costs]])</f>
        <v>0</v>
      </c>
      <c r="G52" s="11"/>
      <c r="H52" s="11"/>
    </row>
    <row r="53" spans="2:8" x14ac:dyDescent="0.25">
      <c r="B53" s="11"/>
      <c r="C53" s="11"/>
      <c r="D53" s="13"/>
      <c r="E53" s="13"/>
      <c r="F53" s="48">
        <f>SUM(Table4[[#This Row],[Eligible Costs]]-Table4[[#This Row],[Original Costs]])</f>
        <v>0</v>
      </c>
      <c r="G53" s="11"/>
      <c r="H53" s="11"/>
    </row>
    <row r="54" spans="2:8" x14ac:dyDescent="0.25">
      <c r="B54" s="11"/>
      <c r="C54" s="11"/>
      <c r="D54" s="13"/>
      <c r="E54" s="13"/>
      <c r="F54" s="48">
        <f>SUM(Table4[[#This Row],[Eligible Costs]]-Table4[[#This Row],[Original Costs]])</f>
        <v>0</v>
      </c>
      <c r="G54" s="11"/>
      <c r="H54" s="11"/>
    </row>
    <row r="55" spans="2:8" x14ac:dyDescent="0.25">
      <c r="B55" s="11"/>
      <c r="C55" s="11"/>
      <c r="D55" s="13"/>
      <c r="E55" s="13"/>
      <c r="F55" s="48">
        <f>SUM(Table4[[#This Row],[Eligible Costs]]-Table4[[#This Row],[Original Costs]])</f>
        <v>0</v>
      </c>
      <c r="G55" s="11"/>
      <c r="H55" s="11"/>
    </row>
    <row r="56" spans="2:8" x14ac:dyDescent="0.25">
      <c r="B56" s="11"/>
      <c r="C56" s="11"/>
      <c r="D56" s="13"/>
      <c r="E56" s="13"/>
      <c r="F56" s="48">
        <f>SUM(Table4[[#This Row],[Eligible Costs]]-Table4[[#This Row],[Original Costs]])</f>
        <v>0</v>
      </c>
      <c r="G56" s="11"/>
      <c r="H56" s="11"/>
    </row>
    <row r="57" spans="2:8" x14ac:dyDescent="0.25">
      <c r="B57" s="11"/>
      <c r="C57" s="11"/>
      <c r="D57" s="13"/>
      <c r="E57" s="13"/>
      <c r="F57" s="48">
        <f>SUM(Table4[[#This Row],[Eligible Costs]]-Table4[[#This Row],[Original Costs]])</f>
        <v>0</v>
      </c>
      <c r="G57" s="11"/>
      <c r="H57" s="11"/>
    </row>
    <row r="58" spans="2:8" x14ac:dyDescent="0.25">
      <c r="B58" s="11"/>
      <c r="C58" s="11"/>
      <c r="D58" s="13"/>
      <c r="E58" s="13"/>
      <c r="F58" s="48">
        <f>SUM(Table4[[#This Row],[Eligible Costs]]-Table4[[#This Row],[Original Costs]])</f>
        <v>0</v>
      </c>
      <c r="G58" s="11"/>
      <c r="H58" s="11"/>
    </row>
    <row r="59" spans="2:8" x14ac:dyDescent="0.25">
      <c r="B59" s="11"/>
      <c r="C59" s="11"/>
      <c r="D59" s="13"/>
      <c r="E59" s="13"/>
      <c r="F59" s="48">
        <f>SUM(Table4[[#This Row],[Eligible Costs]]-Table4[[#This Row],[Original Costs]])</f>
        <v>0</v>
      </c>
      <c r="G59" s="11"/>
      <c r="H59" s="11"/>
    </row>
    <row r="60" spans="2:8" x14ac:dyDescent="0.25">
      <c r="B60" s="11"/>
      <c r="C60" s="11"/>
      <c r="D60" s="13"/>
      <c r="E60" s="13"/>
      <c r="F60" s="48">
        <f>SUM(Table4[[#This Row],[Eligible Costs]]-Table4[[#This Row],[Original Costs]])</f>
        <v>0</v>
      </c>
      <c r="G60" s="11"/>
      <c r="H60" s="11"/>
    </row>
    <row r="61" spans="2:8" x14ac:dyDescent="0.25">
      <c r="B61" s="11"/>
      <c r="C61" s="11"/>
      <c r="D61" s="13"/>
      <c r="E61" s="13"/>
      <c r="F61" s="48">
        <f>SUM(Table4[[#This Row],[Eligible Costs]]-Table4[[#This Row],[Original Costs]])</f>
        <v>0</v>
      </c>
      <c r="G61" s="11"/>
      <c r="H61" s="11"/>
    </row>
    <row r="62" spans="2:8" x14ac:dyDescent="0.25">
      <c r="B62" s="11"/>
      <c r="C62" s="11"/>
      <c r="D62" s="13"/>
      <c r="E62" s="13"/>
      <c r="F62" s="48">
        <f>SUM(Table4[[#This Row],[Eligible Costs]]-Table4[[#This Row],[Original Costs]])</f>
        <v>0</v>
      </c>
      <c r="G62" s="11"/>
      <c r="H62" s="11"/>
    </row>
    <row r="63" spans="2:8" x14ac:dyDescent="0.25">
      <c r="B63" s="11"/>
      <c r="C63" s="11"/>
      <c r="D63" s="13"/>
      <c r="E63" s="13"/>
      <c r="F63" s="48">
        <f>SUM(Table4[[#This Row],[Eligible Costs]]-Table4[[#This Row],[Original Costs]])</f>
        <v>0</v>
      </c>
      <c r="G63" s="11"/>
      <c r="H63" s="11"/>
    </row>
    <row r="64" spans="2:8" x14ac:dyDescent="0.25">
      <c r="B64" s="11"/>
      <c r="C64" s="11"/>
      <c r="D64" s="13"/>
      <c r="E64" s="13"/>
      <c r="F64" s="48">
        <f>SUM(Table4[[#This Row],[Eligible Costs]]-Table4[[#This Row],[Original Costs]])</f>
        <v>0</v>
      </c>
      <c r="G64" s="11"/>
      <c r="H64" s="11"/>
    </row>
    <row r="65" spans="2:8" x14ac:dyDescent="0.25">
      <c r="B65" s="11"/>
      <c r="C65" s="11"/>
      <c r="D65" s="13"/>
      <c r="E65" s="13"/>
      <c r="F65" s="48">
        <f>SUM(Table4[[#This Row],[Eligible Costs]]-Table4[[#This Row],[Original Costs]])</f>
        <v>0</v>
      </c>
      <c r="G65" s="11"/>
      <c r="H65" s="11"/>
    </row>
    <row r="66" spans="2:8" x14ac:dyDescent="0.25">
      <c r="B66" s="11"/>
      <c r="C66" s="11"/>
      <c r="D66" s="13"/>
      <c r="E66" s="13"/>
      <c r="F66" s="48">
        <f>SUM(Table4[[#This Row],[Eligible Costs]]-Table4[[#This Row],[Original Costs]])</f>
        <v>0</v>
      </c>
      <c r="G66" s="11"/>
      <c r="H66" s="11"/>
    </row>
    <row r="67" spans="2:8" x14ac:dyDescent="0.25">
      <c r="B67" s="11"/>
      <c r="C67" s="11"/>
      <c r="D67" s="13"/>
      <c r="E67" s="13"/>
      <c r="F67" s="48">
        <f>SUM(Table4[[#This Row],[Eligible Costs]]-Table4[[#This Row],[Original Costs]])</f>
        <v>0</v>
      </c>
      <c r="G67" s="11"/>
      <c r="H67" s="11"/>
    </row>
    <row r="68" spans="2:8" x14ac:dyDescent="0.25">
      <c r="B68" s="11"/>
      <c r="C68" s="11"/>
      <c r="D68" s="13"/>
      <c r="E68" s="13"/>
      <c r="F68" s="48">
        <f>SUM(Table4[[#This Row],[Eligible Costs]]-Table4[[#This Row],[Original Costs]])</f>
        <v>0</v>
      </c>
      <c r="G68" s="11"/>
      <c r="H68" s="11"/>
    </row>
    <row r="69" spans="2:8" x14ac:dyDescent="0.25">
      <c r="B69" s="11"/>
      <c r="C69" s="11"/>
      <c r="D69" s="13"/>
      <c r="E69" s="13"/>
      <c r="F69" s="48">
        <f>SUM(Table4[[#This Row],[Eligible Costs]]-Table4[[#This Row],[Original Costs]])</f>
        <v>0</v>
      </c>
      <c r="G69" s="11"/>
      <c r="H69" s="11"/>
    </row>
    <row r="70" spans="2:8" x14ac:dyDescent="0.25">
      <c r="B70" s="11"/>
      <c r="C70" s="11"/>
      <c r="D70" s="13"/>
      <c r="E70" s="13"/>
      <c r="F70" s="48">
        <f>SUM(Table4[[#This Row],[Eligible Costs]]-Table4[[#This Row],[Original Costs]])</f>
        <v>0</v>
      </c>
      <c r="G70" s="11"/>
      <c r="H70" s="11"/>
    </row>
    <row r="71" spans="2:8" x14ac:dyDescent="0.25">
      <c r="B71" s="11"/>
      <c r="C71" s="11"/>
      <c r="D71" s="13"/>
      <c r="E71" s="13"/>
      <c r="F71" s="48">
        <f>SUM(Table4[[#This Row],[Eligible Costs]]-Table4[[#This Row],[Original Costs]])</f>
        <v>0</v>
      </c>
      <c r="G71" s="11"/>
      <c r="H71" s="11"/>
    </row>
    <row r="72" spans="2:8" x14ac:dyDescent="0.25">
      <c r="B72" s="11"/>
      <c r="C72" s="11"/>
      <c r="D72" s="13"/>
      <c r="E72" s="13"/>
      <c r="F72" s="48">
        <f>SUM(Table4[[#This Row],[Eligible Costs]]-Table4[[#This Row],[Original Costs]])</f>
        <v>0</v>
      </c>
      <c r="G72" s="11"/>
      <c r="H72" s="11"/>
    </row>
    <row r="73" spans="2:8" x14ac:dyDescent="0.25">
      <c r="B73" s="11"/>
      <c r="C73" s="11"/>
      <c r="D73" s="13"/>
      <c r="E73" s="13"/>
      <c r="F73" s="48">
        <f>SUM(Table4[[#This Row],[Eligible Costs]]-Table4[[#This Row],[Original Costs]])</f>
        <v>0</v>
      </c>
      <c r="G73" s="11"/>
      <c r="H73" s="11"/>
    </row>
    <row r="74" spans="2:8" x14ac:dyDescent="0.25">
      <c r="B74" s="11"/>
      <c r="C74" s="11"/>
      <c r="D74" s="13"/>
      <c r="E74" s="13"/>
      <c r="F74" s="48">
        <f>SUM(Table4[[#This Row],[Eligible Costs]]-Table4[[#This Row],[Original Costs]])</f>
        <v>0</v>
      </c>
      <c r="G74" s="11"/>
      <c r="H74" s="11"/>
    </row>
    <row r="75" spans="2:8" x14ac:dyDescent="0.25">
      <c r="B75" s="11"/>
      <c r="C75" s="11"/>
      <c r="D75" s="13"/>
      <c r="E75" s="13"/>
      <c r="F75" s="48">
        <f>SUM(Table4[[#This Row],[Eligible Costs]]-Table4[[#This Row],[Original Costs]])</f>
        <v>0</v>
      </c>
      <c r="G75" s="11"/>
      <c r="H75" s="11"/>
    </row>
    <row r="76" spans="2:8" x14ac:dyDescent="0.25">
      <c r="B76" s="11"/>
      <c r="C76" s="11"/>
      <c r="D76" s="13"/>
      <c r="E76" s="13"/>
      <c r="F76" s="48">
        <f>SUM(Table4[[#This Row],[Eligible Costs]]-Table4[[#This Row],[Original Costs]])</f>
        <v>0</v>
      </c>
      <c r="G76" s="11"/>
      <c r="H76" s="11"/>
    </row>
    <row r="77" spans="2:8" x14ac:dyDescent="0.25">
      <c r="B77" s="11"/>
      <c r="C77" s="11"/>
      <c r="D77" s="13"/>
      <c r="E77" s="13"/>
      <c r="F77" s="48">
        <f>SUM(Table4[[#This Row],[Eligible Costs]]-Table4[[#This Row],[Original Costs]])</f>
        <v>0</v>
      </c>
      <c r="G77" s="11"/>
      <c r="H77" s="11"/>
    </row>
    <row r="78" spans="2:8" x14ac:dyDescent="0.25">
      <c r="B78" s="11"/>
      <c r="C78" s="11"/>
      <c r="D78" s="13"/>
      <c r="E78" s="13"/>
      <c r="F78" s="48">
        <f>SUM(Table4[[#This Row],[Eligible Costs]]-Table4[[#This Row],[Original Costs]])</f>
        <v>0</v>
      </c>
      <c r="G78" s="11"/>
      <c r="H78" s="11"/>
    </row>
    <row r="79" spans="2:8" x14ac:dyDescent="0.25">
      <c r="B79" s="11"/>
      <c r="C79" s="11"/>
      <c r="D79" s="13"/>
      <c r="E79" s="13"/>
      <c r="F79" s="48">
        <f>SUM(Table4[[#This Row],[Eligible Costs]]-Table4[[#This Row],[Original Costs]])</f>
        <v>0</v>
      </c>
      <c r="G79" s="11"/>
      <c r="H79" s="11"/>
    </row>
    <row r="80" spans="2:8" x14ac:dyDescent="0.25">
      <c r="B80" s="11"/>
      <c r="C80" s="11"/>
      <c r="D80" s="13"/>
      <c r="E80" s="13"/>
      <c r="F80" s="48">
        <f>SUM(Table4[[#This Row],[Eligible Costs]]-Table4[[#This Row],[Original Costs]])</f>
        <v>0</v>
      </c>
      <c r="G80" s="11"/>
      <c r="H80" s="11"/>
    </row>
    <row r="81" spans="2:8" x14ac:dyDescent="0.25">
      <c r="B81" s="11"/>
      <c r="C81" s="11"/>
      <c r="D81" s="13"/>
      <c r="E81" s="13"/>
      <c r="F81" s="48">
        <f>SUM(Table4[[#This Row],[Eligible Costs]]-Table4[[#This Row],[Original Costs]])</f>
        <v>0</v>
      </c>
      <c r="G81" s="11"/>
      <c r="H81" s="11"/>
    </row>
    <row r="82" spans="2:8" x14ac:dyDescent="0.25">
      <c r="B82" s="11"/>
      <c r="C82" s="11"/>
      <c r="D82" s="13"/>
      <c r="E82" s="13"/>
      <c r="F82" s="48">
        <f>SUM(Table4[[#This Row],[Eligible Costs]]-Table4[[#This Row],[Original Costs]])</f>
        <v>0</v>
      </c>
      <c r="G82" s="11"/>
      <c r="H82" s="11"/>
    </row>
    <row r="83" spans="2:8" x14ac:dyDescent="0.25">
      <c r="B83" s="11"/>
      <c r="C83" s="11"/>
      <c r="D83" s="13"/>
      <c r="E83" s="13"/>
      <c r="F83" s="48">
        <f>SUM(Table4[[#This Row],[Eligible Costs]]-Table4[[#This Row],[Original Costs]])</f>
        <v>0</v>
      </c>
      <c r="G83" s="11"/>
      <c r="H83" s="11"/>
    </row>
    <row r="84" spans="2:8" x14ac:dyDescent="0.25">
      <c r="B84" s="11"/>
      <c r="C84" s="11"/>
      <c r="D84" s="13"/>
      <c r="E84" s="13"/>
      <c r="F84" s="48">
        <f>SUM(Table4[[#This Row],[Eligible Costs]]-Table4[[#This Row],[Original Costs]])</f>
        <v>0</v>
      </c>
      <c r="G84" s="11"/>
      <c r="H84" s="11"/>
    </row>
    <row r="85" spans="2:8" x14ac:dyDescent="0.25">
      <c r="B85" s="11"/>
      <c r="C85" s="11"/>
      <c r="D85" s="13"/>
      <c r="E85" s="13"/>
      <c r="F85" s="48">
        <f>SUM(Table4[[#This Row],[Eligible Costs]]-Table4[[#This Row],[Original Costs]])</f>
        <v>0</v>
      </c>
      <c r="G85" s="11"/>
      <c r="H85" s="11"/>
    </row>
    <row r="86" spans="2:8" x14ac:dyDescent="0.25">
      <c r="B86" s="11"/>
      <c r="C86" s="11"/>
      <c r="D86" s="13"/>
      <c r="E86" s="13"/>
      <c r="F86" s="48">
        <f>SUM(Table4[[#This Row],[Eligible Costs]]-Table4[[#This Row],[Original Costs]])</f>
        <v>0</v>
      </c>
      <c r="G86" s="11"/>
      <c r="H86" s="11"/>
    </row>
    <row r="87" spans="2:8" x14ac:dyDescent="0.25">
      <c r="B87" s="11"/>
      <c r="C87" s="11"/>
      <c r="D87" s="13"/>
      <c r="E87" s="13"/>
      <c r="F87" s="48">
        <f>SUM(Table4[[#This Row],[Eligible Costs]]-Table4[[#This Row],[Original Costs]])</f>
        <v>0</v>
      </c>
      <c r="G87" s="11"/>
      <c r="H87" s="11"/>
    </row>
    <row r="88" spans="2:8" x14ac:dyDescent="0.25">
      <c r="B88" s="11"/>
      <c r="C88" s="11"/>
      <c r="D88" s="13"/>
      <c r="E88" s="13"/>
      <c r="F88" s="48">
        <f>SUM(Table4[[#This Row],[Eligible Costs]]-Table4[[#This Row],[Original Costs]])</f>
        <v>0</v>
      </c>
      <c r="G88" s="11"/>
      <c r="H88" s="11"/>
    </row>
    <row r="89" spans="2:8" x14ac:dyDescent="0.25">
      <c r="B89" s="11"/>
      <c r="C89" s="11"/>
      <c r="D89" s="13"/>
      <c r="E89" s="13"/>
      <c r="F89" s="48">
        <f>SUM(Table4[[#This Row],[Eligible Costs]]-Table4[[#This Row],[Original Costs]])</f>
        <v>0</v>
      </c>
      <c r="G89" s="11"/>
      <c r="H89" s="11"/>
    </row>
    <row r="90" spans="2:8" x14ac:dyDescent="0.25">
      <c r="B90" s="11"/>
      <c r="C90" s="11"/>
      <c r="D90" s="13"/>
      <c r="E90" s="13"/>
      <c r="F90" s="48">
        <f>SUM(Table4[[#This Row],[Eligible Costs]]-Table4[[#This Row],[Original Costs]])</f>
        <v>0</v>
      </c>
      <c r="G90" s="11"/>
      <c r="H90" s="11"/>
    </row>
    <row r="91" spans="2:8" x14ac:dyDescent="0.25">
      <c r="B91" s="11"/>
      <c r="C91" s="11"/>
      <c r="D91" s="13"/>
      <c r="E91" s="13"/>
      <c r="F91" s="48">
        <f>SUM(Table4[[#This Row],[Eligible Costs]]-Table4[[#This Row],[Original Costs]])</f>
        <v>0</v>
      </c>
      <c r="G91" s="11"/>
      <c r="H91" s="11"/>
    </row>
    <row r="92" spans="2:8" x14ac:dyDescent="0.25">
      <c r="B92" s="11"/>
      <c r="C92" s="11"/>
      <c r="D92" s="13"/>
      <c r="E92" s="13"/>
      <c r="F92" s="48">
        <f>SUM(Table4[[#This Row],[Eligible Costs]]-Table4[[#This Row],[Original Costs]])</f>
        <v>0</v>
      </c>
      <c r="G92" s="11"/>
      <c r="H92" s="11"/>
    </row>
    <row r="93" spans="2:8" x14ac:dyDescent="0.25">
      <c r="B93" s="11"/>
      <c r="C93" s="11"/>
      <c r="D93" s="13"/>
      <c r="E93" s="13"/>
      <c r="F93" s="48">
        <f>SUM(Table4[[#This Row],[Eligible Costs]]-Table4[[#This Row],[Original Costs]])</f>
        <v>0</v>
      </c>
      <c r="G93" s="11"/>
      <c r="H93" s="11"/>
    </row>
    <row r="94" spans="2:8" x14ac:dyDescent="0.25">
      <c r="B94" s="11"/>
      <c r="C94" s="11"/>
      <c r="D94" s="13"/>
      <c r="E94" s="13"/>
      <c r="F94" s="48">
        <f>SUM(Table4[[#This Row],[Eligible Costs]]-Table4[[#This Row],[Original Costs]])</f>
        <v>0</v>
      </c>
      <c r="G94" s="11"/>
      <c r="H94" s="11"/>
    </row>
    <row r="95" spans="2:8" x14ac:dyDescent="0.25">
      <c r="B95" s="11"/>
      <c r="C95" s="11"/>
      <c r="D95" s="13"/>
      <c r="E95" s="13"/>
      <c r="F95" s="48">
        <f>SUM(Table4[[#This Row],[Eligible Costs]]-Table4[[#This Row],[Original Costs]])</f>
        <v>0</v>
      </c>
      <c r="G95" s="11"/>
      <c r="H95" s="11"/>
    </row>
    <row r="96" spans="2:8" x14ac:dyDescent="0.25">
      <c r="B96" s="11"/>
      <c r="C96" s="11"/>
      <c r="D96" s="13"/>
      <c r="E96" s="13"/>
      <c r="F96" s="48">
        <f>SUM(Table4[[#This Row],[Eligible Costs]]-Table4[[#This Row],[Original Costs]])</f>
        <v>0</v>
      </c>
      <c r="G96" s="11"/>
      <c r="H96" s="11"/>
    </row>
    <row r="97" spans="2:8" x14ac:dyDescent="0.25">
      <c r="B97" s="11"/>
      <c r="C97" s="11"/>
      <c r="D97" s="13"/>
      <c r="E97" s="13"/>
      <c r="F97" s="48">
        <f>SUM(Table4[[#This Row],[Eligible Costs]]-Table4[[#This Row],[Original Costs]])</f>
        <v>0</v>
      </c>
      <c r="G97" s="11"/>
      <c r="H97" s="11"/>
    </row>
    <row r="98" spans="2:8" x14ac:dyDescent="0.25">
      <c r="B98" s="11"/>
      <c r="C98" s="11"/>
      <c r="D98" s="13"/>
      <c r="E98" s="13"/>
      <c r="F98" s="48">
        <f>SUM(Table4[[#This Row],[Eligible Costs]]-Table4[[#This Row],[Original Costs]])</f>
        <v>0</v>
      </c>
      <c r="G98" s="11"/>
      <c r="H98" s="11"/>
    </row>
    <row r="99" spans="2:8" x14ac:dyDescent="0.25">
      <c r="B99" s="11"/>
      <c r="C99" s="11"/>
      <c r="D99" s="13"/>
      <c r="E99" s="13"/>
      <c r="F99" s="48">
        <f>SUM(Table4[[#This Row],[Eligible Costs]]-Table4[[#This Row],[Original Costs]])</f>
        <v>0</v>
      </c>
      <c r="G99" s="11"/>
      <c r="H99" s="11"/>
    </row>
    <row r="100" spans="2:8" x14ac:dyDescent="0.25">
      <c r="B100" s="11"/>
      <c r="C100" s="11"/>
      <c r="D100" s="13"/>
      <c r="E100" s="13"/>
      <c r="F100" s="48">
        <f>SUM(Table4[[#This Row],[Eligible Costs]]-Table4[[#This Row],[Original Costs]])</f>
        <v>0</v>
      </c>
      <c r="G100" s="11"/>
      <c r="H100" s="11"/>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workbookViewId="0">
      <pane ySplit="1" topLeftCell="A2" activePane="bottomLeft" state="frozen"/>
      <selection pane="bottomLeft" activeCell="B8" sqref="B8"/>
    </sheetView>
  </sheetViews>
  <sheetFormatPr defaultRowHeight="45" customHeight="1" x14ac:dyDescent="0.25"/>
  <cols>
    <col min="1" max="1" width="55.6640625" style="28" customWidth="1"/>
    <col min="2" max="2" width="151" customWidth="1"/>
  </cols>
  <sheetData>
    <row r="1" spans="1:2" ht="45" customHeight="1" thickBot="1" x14ac:dyDescent="0.3">
      <c r="A1" s="27" t="s">
        <v>12</v>
      </c>
      <c r="B1" s="26" t="s">
        <v>8</v>
      </c>
    </row>
    <row r="2" spans="1:2" ht="45" customHeight="1" x14ac:dyDescent="0.25">
      <c r="A2" s="28" t="str">
        <f>'County Summary'!B6</f>
        <v>Charlevoix County Road Commission</v>
      </c>
      <c r="B2" s="49" t="s">
        <v>217</v>
      </c>
    </row>
    <row r="3" spans="1:2" ht="45" customHeight="1" x14ac:dyDescent="0.25">
      <c r="A3" s="28" t="str">
        <f>'County Summary'!B7</f>
        <v>City of Charlevoix</v>
      </c>
      <c r="B3" s="50" t="s">
        <v>212</v>
      </c>
    </row>
    <row r="4" spans="1:2" ht="45" customHeight="1" x14ac:dyDescent="0.25">
      <c r="A4" s="28" t="str">
        <f>'County Summary'!B8</f>
        <v xml:space="preserve">City of East Jordan </v>
      </c>
      <c r="B4" s="49" t="s">
        <v>216</v>
      </c>
    </row>
    <row r="5" spans="1:2" ht="45" customHeight="1" x14ac:dyDescent="0.25">
      <c r="A5" s="28" t="str">
        <f>'County Summary'!B9</f>
        <v>St. James Township</v>
      </c>
      <c r="B5" s="51" t="s">
        <v>218</v>
      </c>
    </row>
    <row r="6" spans="1:2" ht="45" customHeight="1" x14ac:dyDescent="0.25">
      <c r="A6" s="28">
        <f>'County Summary'!B10</f>
        <v>0</v>
      </c>
      <c r="B6" s="11"/>
    </row>
    <row r="7" spans="1:2" ht="45" customHeight="1" x14ac:dyDescent="0.25">
      <c r="A7" s="28">
        <f>'County Summary'!B11</f>
        <v>0</v>
      </c>
      <c r="B7" s="11"/>
    </row>
    <row r="8" spans="1:2" ht="45" customHeight="1" x14ac:dyDescent="0.25">
      <c r="A8" s="28">
        <f>'County Summary'!B12</f>
        <v>0</v>
      </c>
      <c r="B8" s="11"/>
    </row>
    <row r="9" spans="1:2" ht="45" customHeight="1" x14ac:dyDescent="0.25">
      <c r="A9" s="28">
        <f>'County Summary'!B13</f>
        <v>0</v>
      </c>
      <c r="B9" s="11"/>
    </row>
    <row r="10" spans="1:2" ht="45" customHeight="1" x14ac:dyDescent="0.25">
      <c r="A10" s="28">
        <f>'County Summary'!B14</f>
        <v>0</v>
      </c>
      <c r="B10" s="11"/>
    </row>
    <row r="11" spans="1:2" ht="45" customHeight="1" x14ac:dyDescent="0.25">
      <c r="A11" s="28">
        <f>'County Summary'!B15</f>
        <v>0</v>
      </c>
      <c r="B11" s="11"/>
    </row>
    <row r="12" spans="1:2" ht="45" customHeight="1" x14ac:dyDescent="0.25">
      <c r="A12" s="28">
        <f>'County Summary'!B16</f>
        <v>0</v>
      </c>
      <c r="B12" s="11"/>
    </row>
    <row r="13" spans="1:2" ht="45" customHeight="1" x14ac:dyDescent="0.25">
      <c r="A13" s="28">
        <f>'County Summary'!B17</f>
        <v>0</v>
      </c>
      <c r="B13" s="11"/>
    </row>
    <row r="14" spans="1:2" ht="45" customHeight="1" x14ac:dyDescent="0.25">
      <c r="A14" s="28">
        <f>'County Summary'!B18</f>
        <v>0</v>
      </c>
      <c r="B14" s="11"/>
    </row>
    <row r="15" spans="1:2" ht="45" customHeight="1" x14ac:dyDescent="0.25">
      <c r="A15" s="28">
        <f>'County Summary'!B19</f>
        <v>0</v>
      </c>
      <c r="B15" s="11"/>
    </row>
    <row r="16" spans="1:2" ht="45" customHeight="1" x14ac:dyDescent="0.25">
      <c r="A16" s="28">
        <f>'County Summary'!B20</f>
        <v>0</v>
      </c>
      <c r="B16" s="11"/>
    </row>
    <row r="17" spans="1:2" ht="45" customHeight="1" x14ac:dyDescent="0.25">
      <c r="A17" s="28">
        <f>'County Summary'!B21</f>
        <v>0</v>
      </c>
      <c r="B17" s="11"/>
    </row>
    <row r="18" spans="1:2" ht="45" customHeight="1" x14ac:dyDescent="0.25">
      <c r="A18" s="28">
        <f>'County Summary'!B22</f>
        <v>0</v>
      </c>
      <c r="B18" s="11"/>
    </row>
    <row r="19" spans="1:2" ht="45" customHeight="1" x14ac:dyDescent="0.25">
      <c r="A19" s="28">
        <f>'County Summary'!B23</f>
        <v>0</v>
      </c>
      <c r="B19" s="11"/>
    </row>
    <row r="20" spans="1:2" ht="45" customHeight="1" x14ac:dyDescent="0.25">
      <c r="A20" s="28">
        <f>'County Summary'!B24</f>
        <v>0</v>
      </c>
      <c r="B20" s="11"/>
    </row>
    <row r="21" spans="1:2" ht="45" customHeight="1" x14ac:dyDescent="0.25">
      <c r="A21" s="28">
        <f>'County Summary'!B25</f>
        <v>0</v>
      </c>
      <c r="B21" s="11"/>
    </row>
    <row r="22" spans="1:2" ht="45" customHeight="1" x14ac:dyDescent="0.25">
      <c r="A22" s="28">
        <f>'County Summary'!B26</f>
        <v>0</v>
      </c>
      <c r="B22" s="11"/>
    </row>
    <row r="23" spans="1:2" ht="45" customHeight="1" x14ac:dyDescent="0.25">
      <c r="A23" s="28">
        <f>'County Summary'!B27</f>
        <v>0</v>
      </c>
      <c r="B23" s="11"/>
    </row>
    <row r="24" spans="1:2" ht="45" customHeight="1" x14ac:dyDescent="0.25">
      <c r="A24" s="28">
        <f>'County Summary'!B28</f>
        <v>0</v>
      </c>
      <c r="B24" s="11"/>
    </row>
    <row r="25" spans="1:2" ht="45" customHeight="1" x14ac:dyDescent="0.25">
      <c r="A25" s="28">
        <f>'County Summary'!B29</f>
        <v>0</v>
      </c>
      <c r="B25" s="11"/>
    </row>
    <row r="26" spans="1:2" ht="45" customHeight="1" x14ac:dyDescent="0.25">
      <c r="A26" s="28">
        <f>'County Summary'!B30</f>
        <v>0</v>
      </c>
      <c r="B26" s="11"/>
    </row>
    <row r="27" spans="1:2" ht="45" customHeight="1" x14ac:dyDescent="0.25">
      <c r="A27" s="28">
        <f>'County Summary'!B31</f>
        <v>0</v>
      </c>
      <c r="B27" s="11"/>
    </row>
    <row r="28" spans="1:2" ht="45" customHeight="1" x14ac:dyDescent="0.25">
      <c r="A28" s="28">
        <f>'County Summary'!B32</f>
        <v>0</v>
      </c>
      <c r="B28" s="11"/>
    </row>
    <row r="29" spans="1:2" ht="45" customHeight="1" x14ac:dyDescent="0.25">
      <c r="A29" s="28">
        <f>'County Summary'!B33</f>
        <v>0</v>
      </c>
      <c r="B29" s="11"/>
    </row>
    <row r="30" spans="1:2" ht="45" customHeight="1" x14ac:dyDescent="0.25">
      <c r="A30" s="28">
        <f>'County Summary'!B34</f>
        <v>0</v>
      </c>
      <c r="B30" s="11"/>
    </row>
    <row r="31" spans="1:2" ht="45" customHeight="1" x14ac:dyDescent="0.25">
      <c r="A31" s="28">
        <f>'County Summary'!B35</f>
        <v>0</v>
      </c>
      <c r="B31" s="11"/>
    </row>
    <row r="32" spans="1:2" ht="45" customHeight="1" x14ac:dyDescent="0.25">
      <c r="A32" s="28">
        <f>'County Summary'!B36</f>
        <v>0</v>
      </c>
      <c r="B32" s="11"/>
    </row>
    <row r="33" spans="1:2" ht="45" customHeight="1" x14ac:dyDescent="0.25">
      <c r="A33" s="28">
        <f>'County Summary'!B37</f>
        <v>0</v>
      </c>
      <c r="B33" s="11"/>
    </row>
    <row r="34" spans="1:2" ht="45" customHeight="1" x14ac:dyDescent="0.25">
      <c r="A34" s="28">
        <f>'County Summary'!B38</f>
        <v>0</v>
      </c>
      <c r="B34" s="11"/>
    </row>
    <row r="35" spans="1:2" ht="45" customHeight="1" x14ac:dyDescent="0.25">
      <c r="A35" s="28">
        <f>'County Summary'!B39</f>
        <v>0</v>
      </c>
      <c r="B35" s="11"/>
    </row>
    <row r="36" spans="1:2" ht="45" customHeight="1" x14ac:dyDescent="0.25">
      <c r="A36" s="28">
        <f>'County Summary'!B40</f>
        <v>0</v>
      </c>
      <c r="B36" s="11"/>
    </row>
    <row r="37" spans="1:2" ht="45" customHeight="1" x14ac:dyDescent="0.25">
      <c r="A37" s="28">
        <f>'County Summary'!B41</f>
        <v>0</v>
      </c>
      <c r="B37" s="11"/>
    </row>
    <row r="38" spans="1:2" ht="45" customHeight="1" x14ac:dyDescent="0.25">
      <c r="A38" s="28">
        <f>'County Summary'!B42</f>
        <v>0</v>
      </c>
      <c r="B38" s="11"/>
    </row>
    <row r="39" spans="1:2" ht="45" customHeight="1" x14ac:dyDescent="0.25">
      <c r="A39" s="28">
        <f>'County Summary'!B43</f>
        <v>0</v>
      </c>
      <c r="B39" s="11"/>
    </row>
    <row r="40" spans="1:2" ht="45" customHeight="1" x14ac:dyDescent="0.25">
      <c r="A40" s="28">
        <f>'County Summary'!B44</f>
        <v>0</v>
      </c>
      <c r="B40" s="11"/>
    </row>
    <row r="41" spans="1:2" ht="45" customHeight="1" x14ac:dyDescent="0.25">
      <c r="A41" s="28">
        <f>'County Summary'!B45</f>
        <v>0</v>
      </c>
      <c r="B41" s="11"/>
    </row>
    <row r="42" spans="1:2" ht="45" customHeight="1" x14ac:dyDescent="0.25">
      <c r="A42" s="28">
        <f>'County Summary'!B46</f>
        <v>0</v>
      </c>
      <c r="B42" s="11"/>
    </row>
    <row r="43" spans="1:2" ht="45" customHeight="1" x14ac:dyDescent="0.25">
      <c r="A43" s="28">
        <f>'County Summary'!B47</f>
        <v>0</v>
      </c>
      <c r="B43" s="11"/>
    </row>
    <row r="44" spans="1:2" ht="45" customHeight="1" x14ac:dyDescent="0.25">
      <c r="A44" s="28">
        <f>'County Summary'!B48</f>
        <v>0</v>
      </c>
      <c r="B44" s="11"/>
    </row>
    <row r="45" spans="1:2" ht="45" customHeight="1" x14ac:dyDescent="0.25">
      <c r="A45" s="28">
        <f>'County Summary'!B49</f>
        <v>0</v>
      </c>
      <c r="B45" s="11"/>
    </row>
    <row r="46" spans="1:2" ht="45" customHeight="1" x14ac:dyDescent="0.25">
      <c r="A46" s="28">
        <f>'County Summary'!B50</f>
        <v>0</v>
      </c>
      <c r="B46" s="11"/>
    </row>
    <row r="47" spans="1:2" ht="45" customHeight="1" x14ac:dyDescent="0.25">
      <c r="A47" s="28">
        <f>'County Summary'!B51</f>
        <v>0</v>
      </c>
      <c r="B47" s="11"/>
    </row>
    <row r="48" spans="1:2" ht="45" customHeight="1" x14ac:dyDescent="0.25">
      <c r="A48" s="28">
        <f>'County Summary'!B52</f>
        <v>0</v>
      </c>
      <c r="B48" s="11"/>
    </row>
    <row r="49" spans="1:2" ht="45" customHeight="1" x14ac:dyDescent="0.25">
      <c r="A49" s="28">
        <f>'County Summary'!B53</f>
        <v>0</v>
      </c>
      <c r="B49" s="11"/>
    </row>
    <row r="50" spans="1:2" ht="45" customHeight="1" x14ac:dyDescent="0.25">
      <c r="A50" s="28">
        <f>'County Summary'!B54</f>
        <v>0</v>
      </c>
      <c r="B50" s="11"/>
    </row>
    <row r="51" spans="1:2" ht="45" customHeight="1" x14ac:dyDescent="0.25">
      <c r="A51" s="28">
        <f>'County Summary'!B55</f>
        <v>0</v>
      </c>
      <c r="B51" s="11"/>
    </row>
    <row r="52" spans="1:2" ht="45" customHeight="1" x14ac:dyDescent="0.25">
      <c r="A52" s="28">
        <f>'County Summary'!B56</f>
        <v>0</v>
      </c>
      <c r="B52" s="11"/>
    </row>
    <row r="53" spans="1:2" ht="45" customHeight="1" x14ac:dyDescent="0.25">
      <c r="A53" s="28">
        <f>'County Summary'!B57</f>
        <v>0</v>
      </c>
      <c r="B53" s="11"/>
    </row>
    <row r="54" spans="1:2" ht="45" customHeight="1" x14ac:dyDescent="0.25">
      <c r="A54" s="28">
        <f>'County Summary'!B58</f>
        <v>0</v>
      </c>
      <c r="B54" s="11"/>
    </row>
    <row r="55" spans="1:2" ht="45" customHeight="1" x14ac:dyDescent="0.25">
      <c r="A55" s="28">
        <f>'County Summary'!B59</f>
        <v>0</v>
      </c>
      <c r="B55" s="11"/>
    </row>
    <row r="56" spans="1:2" ht="45" customHeight="1" x14ac:dyDescent="0.25">
      <c r="A56" s="28">
        <f>'County Summary'!B60</f>
        <v>0</v>
      </c>
      <c r="B56" s="11"/>
    </row>
    <row r="57" spans="1:2" ht="45" customHeight="1" x14ac:dyDescent="0.25">
      <c r="A57" s="28">
        <f>'County Summary'!B61</f>
        <v>0</v>
      </c>
      <c r="B57" s="11"/>
    </row>
    <row r="58" spans="1:2" ht="45" customHeight="1" x14ac:dyDescent="0.25">
      <c r="A58" s="28">
        <f>'County Summary'!B62</f>
        <v>0</v>
      </c>
      <c r="B58" s="11"/>
    </row>
    <row r="59" spans="1:2" ht="45" customHeight="1" x14ac:dyDescent="0.25">
      <c r="A59" s="28">
        <f>'County Summary'!B63</f>
        <v>0</v>
      </c>
      <c r="B59" s="11"/>
    </row>
    <row r="60" spans="1:2" ht="45" customHeight="1" x14ac:dyDescent="0.25">
      <c r="A60" s="28">
        <f>'County Summary'!B64</f>
        <v>0</v>
      </c>
      <c r="B60" s="11"/>
    </row>
    <row r="61" spans="1:2" ht="45" customHeight="1" x14ac:dyDescent="0.25">
      <c r="A61" s="28">
        <f>'County Summary'!B65</f>
        <v>0</v>
      </c>
      <c r="B61" s="11"/>
    </row>
    <row r="62" spans="1:2" ht="45" customHeight="1" x14ac:dyDescent="0.25">
      <c r="A62" s="28">
        <f>'County Summary'!B66</f>
        <v>0</v>
      </c>
      <c r="B62" s="11"/>
    </row>
    <row r="63" spans="1:2" ht="45" customHeight="1" x14ac:dyDescent="0.25">
      <c r="A63" s="28">
        <f>'County Summary'!B67</f>
        <v>0</v>
      </c>
      <c r="B63" s="11"/>
    </row>
    <row r="64" spans="1:2" ht="45" customHeight="1" x14ac:dyDescent="0.25">
      <c r="A64" s="28">
        <f>'County Summary'!B68</f>
        <v>0</v>
      </c>
      <c r="B64" s="11"/>
    </row>
    <row r="65" spans="1:2" ht="45" customHeight="1" x14ac:dyDescent="0.25">
      <c r="A65" s="28">
        <f>'County Summary'!B69</f>
        <v>0</v>
      </c>
      <c r="B65" s="11"/>
    </row>
    <row r="66" spans="1:2" ht="45" customHeight="1" x14ac:dyDescent="0.25">
      <c r="A66" s="28">
        <f>'County Summary'!B70</f>
        <v>0</v>
      </c>
      <c r="B66" s="11"/>
    </row>
    <row r="67" spans="1:2" ht="45" customHeight="1" x14ac:dyDescent="0.25">
      <c r="A67" s="28">
        <f>'County Summary'!B71</f>
        <v>0</v>
      </c>
      <c r="B67" s="11"/>
    </row>
    <row r="68" spans="1:2" ht="45" customHeight="1" x14ac:dyDescent="0.25">
      <c r="A68" s="28">
        <f>'County Summary'!B72</f>
        <v>0</v>
      </c>
      <c r="B68" s="11"/>
    </row>
    <row r="69" spans="1:2" ht="45" customHeight="1" x14ac:dyDescent="0.25">
      <c r="A69" s="28">
        <f>'County Summary'!B73</f>
        <v>0</v>
      </c>
      <c r="B69" s="11"/>
    </row>
    <row r="70" spans="1:2" ht="45" customHeight="1" x14ac:dyDescent="0.25">
      <c r="A70" s="28">
        <f>'County Summary'!B74</f>
        <v>0</v>
      </c>
      <c r="B70" s="11"/>
    </row>
    <row r="71" spans="1:2" ht="45" customHeight="1" x14ac:dyDescent="0.25">
      <c r="A71" s="28">
        <f>'County Summary'!B75</f>
        <v>0</v>
      </c>
      <c r="B71" s="11"/>
    </row>
    <row r="72" spans="1:2" ht="45" customHeight="1" x14ac:dyDescent="0.25">
      <c r="A72" s="28">
        <f>'County Summary'!B76</f>
        <v>0</v>
      </c>
      <c r="B72" s="11"/>
    </row>
    <row r="73" spans="1:2" ht="45" customHeight="1" x14ac:dyDescent="0.25">
      <c r="A73" s="28">
        <f>'County Summary'!B77</f>
        <v>0</v>
      </c>
      <c r="B73" s="11"/>
    </row>
    <row r="74" spans="1:2" ht="45" customHeight="1" x14ac:dyDescent="0.25">
      <c r="A74" s="28">
        <f>'County Summary'!B78</f>
        <v>0</v>
      </c>
      <c r="B74" s="11"/>
    </row>
    <row r="75" spans="1:2" ht="45" customHeight="1" x14ac:dyDescent="0.25">
      <c r="A75" s="28">
        <f>'County Summary'!B79</f>
        <v>0</v>
      </c>
      <c r="B75" s="11"/>
    </row>
    <row r="76" spans="1:2" ht="45" customHeight="1" x14ac:dyDescent="0.25">
      <c r="A76" s="28">
        <f>'County Summary'!B80</f>
        <v>0</v>
      </c>
      <c r="B76" s="11"/>
    </row>
    <row r="77" spans="1:2" ht="45" customHeight="1" x14ac:dyDescent="0.25">
      <c r="A77" s="28">
        <f>'County Summary'!B81</f>
        <v>0</v>
      </c>
      <c r="B77" s="11"/>
    </row>
    <row r="78" spans="1:2" ht="45" customHeight="1" x14ac:dyDescent="0.25">
      <c r="A78" s="28">
        <f>'County Summary'!B82</f>
        <v>0</v>
      </c>
      <c r="B78" s="11"/>
    </row>
    <row r="79" spans="1:2" ht="45" customHeight="1" x14ac:dyDescent="0.25">
      <c r="A79" s="28">
        <f>'County Summary'!B83</f>
        <v>0</v>
      </c>
      <c r="B79" s="11"/>
    </row>
    <row r="80" spans="1:2" ht="45" customHeight="1" x14ac:dyDescent="0.25">
      <c r="A80" s="28">
        <f>'County Summary'!B84</f>
        <v>0</v>
      </c>
      <c r="B80" s="11"/>
    </row>
    <row r="81" spans="1:2" ht="45" customHeight="1" x14ac:dyDescent="0.25">
      <c r="A81" s="28">
        <f>'County Summary'!B85</f>
        <v>0</v>
      </c>
      <c r="B81" s="11"/>
    </row>
    <row r="82" spans="1:2" ht="45" customHeight="1" x14ac:dyDescent="0.25">
      <c r="A82" s="28">
        <f>'County Summary'!B86</f>
        <v>0</v>
      </c>
      <c r="B82" s="11"/>
    </row>
    <row r="83" spans="1:2" ht="45" customHeight="1" x14ac:dyDescent="0.25">
      <c r="A83" s="28">
        <f>'County Summary'!B87</f>
        <v>0</v>
      </c>
      <c r="B83" s="11"/>
    </row>
    <row r="84" spans="1:2" ht="45" customHeight="1" x14ac:dyDescent="0.25">
      <c r="A84" s="28">
        <f>'County Summary'!B88</f>
        <v>0</v>
      </c>
      <c r="B84" s="11"/>
    </row>
    <row r="85" spans="1:2" ht="45" customHeight="1" x14ac:dyDescent="0.25">
      <c r="A85" s="28">
        <f>'County Summary'!B89</f>
        <v>0</v>
      </c>
      <c r="B85" s="11"/>
    </row>
    <row r="86" spans="1:2" ht="45" customHeight="1" x14ac:dyDescent="0.25">
      <c r="A86" s="28">
        <f>'County Summary'!B90</f>
        <v>0</v>
      </c>
      <c r="B86" s="11"/>
    </row>
    <row r="87" spans="1:2" ht="45" customHeight="1" x14ac:dyDescent="0.25">
      <c r="A87" s="28">
        <f>'County Summary'!B91</f>
        <v>0</v>
      </c>
      <c r="B87" s="11"/>
    </row>
    <row r="88" spans="1:2" ht="45" customHeight="1" x14ac:dyDescent="0.25">
      <c r="A88" s="28">
        <f>'County Summary'!B92</f>
        <v>0</v>
      </c>
      <c r="B88" s="11"/>
    </row>
    <row r="89" spans="1:2" ht="45" customHeight="1" x14ac:dyDescent="0.25">
      <c r="A89" s="28">
        <f>'County Summary'!B93</f>
        <v>0</v>
      </c>
      <c r="B89" s="11"/>
    </row>
    <row r="90" spans="1:2" ht="45" customHeight="1" x14ac:dyDescent="0.25">
      <c r="A90" s="28">
        <f>'County Summary'!B94</f>
        <v>0</v>
      </c>
      <c r="B90" s="11"/>
    </row>
    <row r="91" spans="1:2" ht="45" customHeight="1" x14ac:dyDescent="0.25">
      <c r="A91" s="28">
        <f>'County Summary'!B95</f>
        <v>0</v>
      </c>
      <c r="B91" s="11"/>
    </row>
    <row r="92" spans="1:2" ht="45" customHeight="1" x14ac:dyDescent="0.25">
      <c r="A92" s="28">
        <f>'County Summary'!B96</f>
        <v>0</v>
      </c>
      <c r="B92" s="11"/>
    </row>
    <row r="93" spans="1:2" ht="45" customHeight="1" x14ac:dyDescent="0.25">
      <c r="A93" s="28">
        <f>'County Summary'!B97</f>
        <v>0</v>
      </c>
      <c r="B93" s="11"/>
    </row>
    <row r="94" spans="1:2" ht="45" customHeight="1" x14ac:dyDescent="0.25">
      <c r="A94" s="28">
        <f>'County Summary'!B98</f>
        <v>0</v>
      </c>
      <c r="B94" s="11"/>
    </row>
    <row r="95" spans="1:2" ht="45" customHeight="1" x14ac:dyDescent="0.25">
      <c r="A95" s="28">
        <f>'County Summary'!B99</f>
        <v>0</v>
      </c>
      <c r="B95" s="11"/>
    </row>
    <row r="96" spans="1:2" ht="45" customHeight="1" x14ac:dyDescent="0.25">
      <c r="A96" s="28">
        <f>'County Summary'!B100</f>
        <v>0</v>
      </c>
      <c r="B96" s="11"/>
    </row>
    <row r="97" spans="1:2" ht="45" customHeight="1" x14ac:dyDescent="0.25">
      <c r="A97" s="28">
        <f>'County Summary'!B101</f>
        <v>0</v>
      </c>
      <c r="B97" s="11"/>
    </row>
    <row r="98" spans="1:2" ht="45" customHeight="1" x14ac:dyDescent="0.25">
      <c r="A98" s="28">
        <f>'County Summary'!B102</f>
        <v>0</v>
      </c>
      <c r="B98" s="11"/>
    </row>
    <row r="99" spans="1:2" ht="45" customHeight="1" x14ac:dyDescent="0.25">
      <c r="A99" s="28">
        <f>'County Summary'!B103</f>
        <v>0</v>
      </c>
      <c r="B99" s="11"/>
    </row>
    <row r="100" spans="1:2" ht="45" customHeight="1" x14ac:dyDescent="0.25">
      <c r="A100" s="28">
        <f>'County Summary'!B104</f>
        <v>0</v>
      </c>
      <c r="B100" s="11"/>
    </row>
  </sheetData>
  <sheetProtection sheet="1"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3.2" x14ac:dyDescent="0.25"/>
  <cols>
    <col min="1" max="1" width="28.88671875" customWidth="1"/>
  </cols>
  <sheetData>
    <row r="1" spans="1:1" x14ac:dyDescent="0.25">
      <c r="A1" t="s">
        <v>17</v>
      </c>
    </row>
    <row r="2" spans="1:1" x14ac:dyDescent="0.25">
      <c r="A2" s="30" t="s">
        <v>18</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3.2" x14ac:dyDescent="0.25"/>
  <cols>
    <col min="1" max="1" width="42.44140625" customWidth="1"/>
    <col min="3" max="3" width="27" customWidth="1"/>
    <col min="4" max="4" width="28.44140625" style="36" customWidth="1"/>
    <col min="5" max="5" width="8.88671875" customWidth="1"/>
    <col min="6" max="6" width="15.109375" customWidth="1"/>
    <col min="7" max="7" width="14.109375" customWidth="1"/>
    <col min="8" max="8" width="12.6640625" customWidth="1"/>
    <col min="9" max="9" width="8.88671875" customWidth="1"/>
    <col min="10" max="10" width="15.109375" bestFit="1" customWidth="1"/>
    <col min="11" max="12" width="8.88671875" customWidth="1"/>
  </cols>
  <sheetData>
    <row r="1" spans="1:10" x14ac:dyDescent="0.25">
      <c r="A1" s="8" t="s">
        <v>192</v>
      </c>
    </row>
    <row r="2" spans="1:10" ht="15" customHeight="1" thickBot="1" x14ac:dyDescent="0.3">
      <c r="A2" s="23"/>
    </row>
    <row r="3" spans="1:10" ht="13.8" thickBot="1" x14ac:dyDescent="0.3">
      <c r="A3" s="7" t="s">
        <v>15</v>
      </c>
      <c r="C3" s="24" t="s">
        <v>16</v>
      </c>
    </row>
    <row r="4" spans="1:10" ht="14.4" x14ac:dyDescent="0.3">
      <c r="A4" s="3" t="str">
        <f>D4 &amp; " (" &amp;F4&amp; ")" &amp; " - " &amp;H4</f>
        <v>Alcona County (10,167) - $49,411.62</v>
      </c>
      <c r="C4" t="s">
        <v>197</v>
      </c>
      <c r="D4" s="34" t="s">
        <v>26</v>
      </c>
      <c r="E4" s="32">
        <v>10167</v>
      </c>
      <c r="F4" s="37" t="s">
        <v>102</v>
      </c>
      <c r="G4" s="38">
        <f t="shared" ref="G4:G35" si="0">E4*4.86</f>
        <v>49411.62</v>
      </c>
      <c r="H4" s="39" t="str">
        <f t="shared" ref="H4:H35" si="1">TEXT(G4,"$#,##0.00")</f>
        <v>$49,411.62</v>
      </c>
    </row>
    <row r="5" spans="1:10" ht="14.4" x14ac:dyDescent="0.3">
      <c r="A5" s="3" t="str">
        <f t="shared" ref="A5:A68" si="2">D5 &amp; " (" &amp;F5&amp; ")" &amp; " - " &amp;H5</f>
        <v>Alger County (8,842) - $42,972.12</v>
      </c>
      <c r="C5" t="s">
        <v>202</v>
      </c>
      <c r="D5" s="34" t="s">
        <v>27</v>
      </c>
      <c r="E5" s="32">
        <v>8842</v>
      </c>
      <c r="F5" s="37" t="s">
        <v>139</v>
      </c>
      <c r="G5" s="38">
        <f t="shared" si="0"/>
        <v>42972.12</v>
      </c>
      <c r="H5" s="39" t="str">
        <f t="shared" si="1"/>
        <v>$42,972.12</v>
      </c>
    </row>
    <row r="6" spans="1:10" ht="14.4" x14ac:dyDescent="0.3">
      <c r="A6" s="3" t="str">
        <f t="shared" si="2"/>
        <v>Allegan County (120,502) - $585,639.72</v>
      </c>
      <c r="C6" t="s">
        <v>195</v>
      </c>
      <c r="D6" s="34" t="s">
        <v>28</v>
      </c>
      <c r="E6" s="32">
        <v>120502</v>
      </c>
      <c r="F6" s="37" t="s">
        <v>103</v>
      </c>
      <c r="G6" s="38">
        <f t="shared" si="0"/>
        <v>585639.72000000009</v>
      </c>
      <c r="H6" s="39" t="str">
        <f t="shared" si="1"/>
        <v>$585,639.72</v>
      </c>
      <c r="J6" s="40"/>
    </row>
    <row r="7" spans="1:10" ht="14.4" x14ac:dyDescent="0.3">
      <c r="A7" s="3" t="str">
        <f t="shared" si="2"/>
        <v>Alpena County (28,907) - $140,488.02</v>
      </c>
      <c r="C7" s="31" t="s">
        <v>203</v>
      </c>
      <c r="D7" s="34" t="s">
        <v>29</v>
      </c>
      <c r="E7" s="32">
        <v>28907</v>
      </c>
      <c r="F7" s="37" t="s">
        <v>104</v>
      </c>
      <c r="G7" s="38">
        <f t="shared" si="0"/>
        <v>140488.02000000002</v>
      </c>
      <c r="H7" s="39" t="str">
        <f t="shared" si="1"/>
        <v>$140,488.02</v>
      </c>
    </row>
    <row r="8" spans="1:10" ht="14.4" x14ac:dyDescent="0.3">
      <c r="A8" s="3" t="str">
        <f t="shared" si="2"/>
        <v>Antrim County (23,431) - $113,874.66</v>
      </c>
      <c r="C8" t="s">
        <v>193</v>
      </c>
      <c r="D8" s="34" t="s">
        <v>30</v>
      </c>
      <c r="E8" s="32">
        <v>23431</v>
      </c>
      <c r="F8" s="37" t="s">
        <v>105</v>
      </c>
      <c r="G8" s="38">
        <f t="shared" si="0"/>
        <v>113874.66</v>
      </c>
      <c r="H8" s="39" t="str">
        <f t="shared" si="1"/>
        <v>$113,874.66</v>
      </c>
    </row>
    <row r="9" spans="1:10" ht="14.4" x14ac:dyDescent="0.3">
      <c r="A9" s="3" t="str">
        <f t="shared" si="2"/>
        <v>Arenac County (15,002) - $72,909.72</v>
      </c>
      <c r="C9" t="s">
        <v>198</v>
      </c>
      <c r="D9" s="34" t="s">
        <v>31</v>
      </c>
      <c r="E9" s="32">
        <v>15002</v>
      </c>
      <c r="F9" s="37" t="s">
        <v>106</v>
      </c>
      <c r="G9" s="38">
        <f t="shared" si="0"/>
        <v>72909.72</v>
      </c>
      <c r="H9" s="39" t="str">
        <f t="shared" si="1"/>
        <v>$72,909.72</v>
      </c>
    </row>
    <row r="10" spans="1:10" ht="14.4" x14ac:dyDescent="0.3">
      <c r="A10" s="3" t="str">
        <f t="shared" si="2"/>
        <v>Baraga County (8,158) - $39,647.88</v>
      </c>
      <c r="C10" t="s">
        <v>205</v>
      </c>
      <c r="D10" s="34" t="s">
        <v>32</v>
      </c>
      <c r="E10" s="32">
        <v>8158</v>
      </c>
      <c r="F10" s="37" t="s">
        <v>107</v>
      </c>
      <c r="G10" s="38">
        <f t="shared" si="0"/>
        <v>39647.880000000005</v>
      </c>
      <c r="H10" s="39" t="str">
        <f t="shared" si="1"/>
        <v>$39,647.88</v>
      </c>
    </row>
    <row r="11" spans="1:10" ht="14.4" x14ac:dyDescent="0.3">
      <c r="A11" s="3" t="str">
        <f t="shared" si="2"/>
        <v>Barry County (62,423) - $303,375.78</v>
      </c>
      <c r="C11" t="s">
        <v>204</v>
      </c>
      <c r="D11" s="34" t="s">
        <v>33</v>
      </c>
      <c r="E11" s="32">
        <v>62423</v>
      </c>
      <c r="F11" s="37" t="s">
        <v>108</v>
      </c>
      <c r="G11" s="38">
        <f t="shared" si="0"/>
        <v>303375.78000000003</v>
      </c>
      <c r="H11" s="39" t="str">
        <f t="shared" si="1"/>
        <v>$303,375.78</v>
      </c>
    </row>
    <row r="12" spans="1:10" ht="14.4" x14ac:dyDescent="0.3">
      <c r="A12" s="3" t="str">
        <f t="shared" si="2"/>
        <v>Bay County (103,856) - $504,740.16</v>
      </c>
      <c r="C12" t="s">
        <v>194</v>
      </c>
      <c r="D12" s="34" t="s">
        <v>34</v>
      </c>
      <c r="E12" s="32">
        <v>103856</v>
      </c>
      <c r="F12" s="37" t="s">
        <v>109</v>
      </c>
      <c r="G12" s="38">
        <f t="shared" si="0"/>
        <v>504740.16000000003</v>
      </c>
      <c r="H12" s="39" t="str">
        <f t="shared" si="1"/>
        <v>$504,740.16</v>
      </c>
    </row>
    <row r="13" spans="1:10" ht="14.4" x14ac:dyDescent="0.3">
      <c r="A13" s="3" t="str">
        <f t="shared" si="2"/>
        <v>Benzie County (17,970) - $87,334.20</v>
      </c>
      <c r="C13" t="s">
        <v>199</v>
      </c>
      <c r="D13" s="34" t="s">
        <v>35</v>
      </c>
      <c r="E13" s="32">
        <v>17970</v>
      </c>
      <c r="F13" s="37" t="s">
        <v>110</v>
      </c>
      <c r="G13" s="38">
        <f t="shared" si="0"/>
        <v>87334.200000000012</v>
      </c>
      <c r="H13" s="39" t="str">
        <f t="shared" si="1"/>
        <v>$87,334.20</v>
      </c>
    </row>
    <row r="14" spans="1:10" ht="14.4" x14ac:dyDescent="0.3">
      <c r="A14" s="3" t="str">
        <f t="shared" si="2"/>
        <v>Berrien County (154,316) - $749,975.76</v>
      </c>
      <c r="C14" t="s">
        <v>196</v>
      </c>
      <c r="D14" s="34" t="s">
        <v>36</v>
      </c>
      <c r="E14" s="32">
        <v>154316</v>
      </c>
      <c r="F14" s="37" t="s">
        <v>111</v>
      </c>
      <c r="G14" s="38">
        <f t="shared" si="0"/>
        <v>749975.76</v>
      </c>
      <c r="H14" s="39" t="str">
        <f t="shared" si="1"/>
        <v>$749,975.76</v>
      </c>
    </row>
    <row r="15" spans="1:10" ht="14.4" x14ac:dyDescent="0.3">
      <c r="A15" s="3" t="str">
        <f t="shared" si="2"/>
        <v>Branch County (44,862) - $218,029.32</v>
      </c>
      <c r="C15" t="s">
        <v>200</v>
      </c>
      <c r="D15" s="34" t="s">
        <v>37</v>
      </c>
      <c r="E15" s="32">
        <v>44862</v>
      </c>
      <c r="F15" s="37" t="s">
        <v>112</v>
      </c>
      <c r="G15" s="38">
        <f t="shared" si="0"/>
        <v>218029.32</v>
      </c>
      <c r="H15" s="39" t="str">
        <f t="shared" si="1"/>
        <v>$218,029.32</v>
      </c>
    </row>
    <row r="16" spans="1:10" ht="14.4" x14ac:dyDescent="0.3">
      <c r="A16" s="3" t="str">
        <f t="shared" si="2"/>
        <v>Calhoun County (134,310) - $652,746.60</v>
      </c>
      <c r="C16" t="s">
        <v>201</v>
      </c>
      <c r="D16" s="34" t="s">
        <v>38</v>
      </c>
      <c r="E16" s="32">
        <v>134310</v>
      </c>
      <c r="F16" s="37" t="s">
        <v>113</v>
      </c>
      <c r="G16" s="38">
        <f t="shared" si="0"/>
        <v>652746.60000000009</v>
      </c>
      <c r="H16" s="39" t="str">
        <f t="shared" si="1"/>
        <v>$652,746.60</v>
      </c>
    </row>
    <row r="17" spans="1:8" ht="14.4" x14ac:dyDescent="0.3">
      <c r="A17" s="3" t="str">
        <f t="shared" si="2"/>
        <v>Cass County (51,589) - $250,722.54</v>
      </c>
      <c r="D17" s="34" t="s">
        <v>39</v>
      </c>
      <c r="E17" s="32">
        <v>51589</v>
      </c>
      <c r="F17" s="37" t="s">
        <v>114</v>
      </c>
      <c r="G17" s="38">
        <f t="shared" si="0"/>
        <v>250722.54</v>
      </c>
      <c r="H17" s="39" t="str">
        <f t="shared" si="1"/>
        <v>$250,722.54</v>
      </c>
    </row>
    <row r="18" spans="1:8" ht="14.4" x14ac:dyDescent="0.3">
      <c r="A18" s="3" t="str">
        <f t="shared" si="2"/>
        <v>Charlevoix County (26,054) - $126,622.44</v>
      </c>
      <c r="D18" s="34" t="s">
        <v>40</v>
      </c>
      <c r="E18" s="32">
        <v>26054</v>
      </c>
      <c r="F18" s="37" t="s">
        <v>115</v>
      </c>
      <c r="G18" s="38">
        <f t="shared" si="0"/>
        <v>126622.44</v>
      </c>
      <c r="H18" s="39" t="str">
        <f t="shared" si="1"/>
        <v>$126,622.44</v>
      </c>
    </row>
    <row r="19" spans="1:8" ht="14.4" x14ac:dyDescent="0.3">
      <c r="A19" s="3" t="str">
        <f t="shared" si="2"/>
        <v>Cheboygan County (25,579) - $124,313.94</v>
      </c>
      <c r="D19" s="34" t="s">
        <v>41</v>
      </c>
      <c r="E19" s="32">
        <v>25579</v>
      </c>
      <c r="F19" s="37" t="s">
        <v>116</v>
      </c>
      <c r="G19" s="38">
        <f t="shared" si="0"/>
        <v>124313.94</v>
      </c>
      <c r="H19" s="39" t="str">
        <f t="shared" si="1"/>
        <v>$124,313.94</v>
      </c>
    </row>
    <row r="20" spans="1:8" ht="14.4" x14ac:dyDescent="0.3">
      <c r="A20" s="3" t="str">
        <f t="shared" si="2"/>
        <v>Chippewa County (36,785) - $178,775.10</v>
      </c>
      <c r="D20" s="34" t="s">
        <v>22</v>
      </c>
      <c r="E20" s="32">
        <v>36785</v>
      </c>
      <c r="F20" s="37" t="s">
        <v>117</v>
      </c>
      <c r="G20" s="38">
        <f t="shared" si="0"/>
        <v>178775.1</v>
      </c>
      <c r="H20" s="39" t="str">
        <f t="shared" si="1"/>
        <v>$178,775.10</v>
      </c>
    </row>
    <row r="21" spans="1:8" ht="14.4" x14ac:dyDescent="0.3">
      <c r="A21" s="3" t="str">
        <f t="shared" si="2"/>
        <v>Clare County (30,856) - $149,960.16</v>
      </c>
      <c r="C21" s="2"/>
      <c r="D21" s="34" t="s">
        <v>42</v>
      </c>
      <c r="E21" s="32">
        <v>30856</v>
      </c>
      <c r="F21" s="37" t="s">
        <v>118</v>
      </c>
      <c r="G21" s="38">
        <f t="shared" si="0"/>
        <v>149960.16</v>
      </c>
      <c r="H21" s="39" t="str">
        <f t="shared" si="1"/>
        <v>$149,960.16</v>
      </c>
    </row>
    <row r="22" spans="1:8" ht="14.4" x14ac:dyDescent="0.3">
      <c r="A22" s="3" t="str">
        <f t="shared" si="2"/>
        <v>Clinton County (79,128) - $384,562.08</v>
      </c>
      <c r="C22" s="25"/>
      <c r="D22" s="34" t="s">
        <v>43</v>
      </c>
      <c r="E22" s="32">
        <v>79128</v>
      </c>
      <c r="F22" s="37" t="s">
        <v>119</v>
      </c>
      <c r="G22" s="38">
        <f t="shared" si="0"/>
        <v>384562.08</v>
      </c>
      <c r="H22" s="39" t="str">
        <f t="shared" si="1"/>
        <v>$384,562.08</v>
      </c>
    </row>
    <row r="23" spans="1:8" ht="14.4" x14ac:dyDescent="0.3">
      <c r="A23" s="3" t="str">
        <f t="shared" si="2"/>
        <v>Crawford County (12,988) - $63,121.68</v>
      </c>
      <c r="D23" s="34" t="s">
        <v>20</v>
      </c>
      <c r="E23" s="32">
        <v>12988</v>
      </c>
      <c r="F23" s="37" t="s">
        <v>120</v>
      </c>
      <c r="G23" s="38">
        <f t="shared" si="0"/>
        <v>63121.680000000008</v>
      </c>
      <c r="H23" s="39" t="str">
        <f t="shared" si="1"/>
        <v>$63,121.68</v>
      </c>
    </row>
    <row r="24" spans="1:8" ht="14.4" x14ac:dyDescent="0.3">
      <c r="A24" s="3" t="str">
        <f t="shared" si="2"/>
        <v>Delta County (36,903) - $179,348.58</v>
      </c>
      <c r="D24" s="34" t="s">
        <v>44</v>
      </c>
      <c r="E24" s="32">
        <v>36903</v>
      </c>
      <c r="F24" s="37" t="s">
        <v>121</v>
      </c>
      <c r="G24" s="38">
        <f t="shared" si="0"/>
        <v>179348.58000000002</v>
      </c>
      <c r="H24" s="39" t="str">
        <f t="shared" si="1"/>
        <v>$179,348.58</v>
      </c>
    </row>
    <row r="25" spans="1:8" ht="14.4" x14ac:dyDescent="0.3">
      <c r="A25" s="3" t="str">
        <f t="shared" si="2"/>
        <v>Dickinson County (25,947) - $126,102.42</v>
      </c>
      <c r="D25" s="34" t="s">
        <v>45</v>
      </c>
      <c r="E25" s="32">
        <v>25947</v>
      </c>
      <c r="F25" s="37" t="s">
        <v>122</v>
      </c>
      <c r="G25" s="38">
        <f t="shared" si="0"/>
        <v>126102.42000000001</v>
      </c>
      <c r="H25" s="39" t="str">
        <f t="shared" si="1"/>
        <v>$126,102.42</v>
      </c>
    </row>
    <row r="26" spans="1:8" ht="14.4" x14ac:dyDescent="0.3">
      <c r="A26" s="3" t="str">
        <f t="shared" si="2"/>
        <v>Eaton County (109,175) - $530,590.50</v>
      </c>
      <c r="D26" s="34" t="s">
        <v>46</v>
      </c>
      <c r="E26" s="32">
        <v>109175</v>
      </c>
      <c r="F26" s="37" t="s">
        <v>123</v>
      </c>
      <c r="G26" s="38">
        <f t="shared" si="0"/>
        <v>530590.5</v>
      </c>
      <c r="H26" s="39" t="str">
        <f t="shared" si="1"/>
        <v>$530,590.50</v>
      </c>
    </row>
    <row r="27" spans="1:8" ht="14.4" x14ac:dyDescent="0.3">
      <c r="A27" s="3" t="str">
        <f t="shared" si="2"/>
        <v>Emmet County (34,112) - $165,784.32</v>
      </c>
      <c r="D27" s="34" t="s">
        <v>47</v>
      </c>
      <c r="E27" s="32">
        <v>34112</v>
      </c>
      <c r="F27" s="37" t="s">
        <v>124</v>
      </c>
      <c r="G27" s="38">
        <f t="shared" si="0"/>
        <v>165784.32000000001</v>
      </c>
      <c r="H27" s="39" t="str">
        <f t="shared" si="1"/>
        <v>$165,784.32</v>
      </c>
    </row>
    <row r="28" spans="1:8" ht="14.4" x14ac:dyDescent="0.3">
      <c r="A28" s="3" t="str">
        <f t="shared" si="2"/>
        <v>Genesee County (406,211) - $1,974,185.46</v>
      </c>
      <c r="D28" s="34" t="s">
        <v>48</v>
      </c>
      <c r="E28" s="32">
        <v>406211</v>
      </c>
      <c r="F28" s="37" t="s">
        <v>125</v>
      </c>
      <c r="G28" s="38">
        <f t="shared" si="0"/>
        <v>1974185.4600000002</v>
      </c>
      <c r="H28" s="39" t="str">
        <f t="shared" si="1"/>
        <v>$1,974,185.46</v>
      </c>
    </row>
    <row r="29" spans="1:8" ht="14.4" x14ac:dyDescent="0.3">
      <c r="A29" s="3" t="str">
        <f t="shared" si="2"/>
        <v>Gladwin County (25,386) - $123,375.96</v>
      </c>
      <c r="D29" s="34" t="s">
        <v>49</v>
      </c>
      <c r="E29" s="32">
        <v>25386</v>
      </c>
      <c r="F29" s="37" t="s">
        <v>126</v>
      </c>
      <c r="G29" s="38">
        <f t="shared" si="0"/>
        <v>123375.96</v>
      </c>
      <c r="H29" s="39" t="str">
        <f t="shared" si="1"/>
        <v>$123,375.96</v>
      </c>
    </row>
    <row r="30" spans="1:8" ht="14.4" x14ac:dyDescent="0.3">
      <c r="A30" s="3" t="str">
        <f t="shared" si="2"/>
        <v>Gogebic County (14,380) - $69,886.80</v>
      </c>
      <c r="D30" s="34" t="s">
        <v>50</v>
      </c>
      <c r="E30" s="32">
        <v>14380</v>
      </c>
      <c r="F30" s="37" t="s">
        <v>127</v>
      </c>
      <c r="G30" s="38">
        <f t="shared" si="0"/>
        <v>69886.8</v>
      </c>
      <c r="H30" s="39" t="str">
        <f t="shared" si="1"/>
        <v>$69,886.80</v>
      </c>
    </row>
    <row r="31" spans="1:8" ht="14.4" x14ac:dyDescent="0.3">
      <c r="A31" s="3" t="str">
        <f t="shared" si="2"/>
        <v>Grand Traverse County (95,238) - $462,856.68</v>
      </c>
      <c r="D31" s="34" t="s">
        <v>51</v>
      </c>
      <c r="E31" s="32">
        <v>95238</v>
      </c>
      <c r="F31" s="37" t="s">
        <v>128</v>
      </c>
      <c r="G31" s="38">
        <f t="shared" si="0"/>
        <v>462856.68000000005</v>
      </c>
      <c r="H31" s="39" t="str">
        <f t="shared" si="1"/>
        <v>$462,856.68</v>
      </c>
    </row>
    <row r="32" spans="1:8" ht="14.4" x14ac:dyDescent="0.3">
      <c r="A32" s="3" t="str">
        <f t="shared" si="2"/>
        <v>Gratiot County (41,761) - $202,958.46</v>
      </c>
      <c r="D32" s="34" t="s">
        <v>52</v>
      </c>
      <c r="E32" s="32">
        <v>41761</v>
      </c>
      <c r="F32" s="37" t="s">
        <v>129</v>
      </c>
      <c r="G32" s="38">
        <f t="shared" si="0"/>
        <v>202958.46000000002</v>
      </c>
      <c r="H32" s="39" t="str">
        <f t="shared" si="1"/>
        <v>$202,958.46</v>
      </c>
    </row>
    <row r="33" spans="1:8" ht="14.4" x14ac:dyDescent="0.3">
      <c r="A33" s="3" t="str">
        <f t="shared" si="2"/>
        <v>Hillsdale County (45,746) - $222,325.56</v>
      </c>
      <c r="D33" s="34" t="s">
        <v>53</v>
      </c>
      <c r="E33" s="32">
        <v>45746</v>
      </c>
      <c r="F33" s="37" t="s">
        <v>130</v>
      </c>
      <c r="G33" s="38">
        <f t="shared" si="0"/>
        <v>222325.56000000003</v>
      </c>
      <c r="H33" s="39" t="str">
        <f t="shared" si="1"/>
        <v>$222,325.56</v>
      </c>
    </row>
    <row r="34" spans="1:8" ht="14.4" x14ac:dyDescent="0.3">
      <c r="A34" s="3" t="str">
        <f t="shared" si="2"/>
        <v>Houghton County (37,361) - $181,574.46</v>
      </c>
      <c r="D34" s="34" t="s">
        <v>54</v>
      </c>
      <c r="E34" s="32">
        <v>37361</v>
      </c>
      <c r="F34" s="37" t="s">
        <v>131</v>
      </c>
      <c r="G34" s="38">
        <f t="shared" si="0"/>
        <v>181574.46000000002</v>
      </c>
      <c r="H34" s="39" t="str">
        <f t="shared" si="1"/>
        <v>$181,574.46</v>
      </c>
    </row>
    <row r="35" spans="1:8" ht="14.4" x14ac:dyDescent="0.3">
      <c r="A35" s="3" t="str">
        <f t="shared" si="2"/>
        <v>Huron County (31,407) - $152,638.02</v>
      </c>
      <c r="D35" s="34" t="s">
        <v>55</v>
      </c>
      <c r="E35" s="32">
        <v>31407</v>
      </c>
      <c r="F35" s="37" t="s">
        <v>132</v>
      </c>
      <c r="G35" s="38">
        <f t="shared" si="0"/>
        <v>152638.02000000002</v>
      </c>
      <c r="H35" s="39" t="str">
        <f t="shared" si="1"/>
        <v>$152,638.02</v>
      </c>
    </row>
    <row r="36" spans="1:8" ht="14.4" x14ac:dyDescent="0.3">
      <c r="A36" s="3" t="str">
        <f t="shared" si="2"/>
        <v>Ingham County (284,900) - $1,384,614.00</v>
      </c>
      <c r="D36" s="34" t="s">
        <v>56</v>
      </c>
      <c r="E36" s="32">
        <v>284900</v>
      </c>
      <c r="F36" s="37" t="s">
        <v>133</v>
      </c>
      <c r="G36" s="38">
        <f t="shared" ref="G36:G67" si="3">E36*4.86</f>
        <v>1384614</v>
      </c>
      <c r="H36" s="39" t="str">
        <f t="shared" ref="H36:H67" si="4">TEXT(G36,"$#,##0.00")</f>
        <v>$1,384,614.00</v>
      </c>
    </row>
    <row r="37" spans="1:8" ht="14.4" x14ac:dyDescent="0.3">
      <c r="A37" s="3" t="str">
        <f t="shared" si="2"/>
        <v>Ionia County (66,804) - $324,667.44</v>
      </c>
      <c r="D37" s="34" t="s">
        <v>57</v>
      </c>
      <c r="E37" s="32">
        <v>66804</v>
      </c>
      <c r="F37" s="37" t="s">
        <v>134</v>
      </c>
      <c r="G37" s="38">
        <f t="shared" si="3"/>
        <v>324667.44</v>
      </c>
      <c r="H37" s="39" t="str">
        <f t="shared" si="4"/>
        <v>$324,667.44</v>
      </c>
    </row>
    <row r="38" spans="1:8" ht="14.4" x14ac:dyDescent="0.3">
      <c r="A38" s="3" t="str">
        <f t="shared" si="2"/>
        <v>Iosco County (25,237) - $122,651.82</v>
      </c>
      <c r="D38" s="34" t="s">
        <v>58</v>
      </c>
      <c r="E38" s="32">
        <v>25237</v>
      </c>
      <c r="F38" s="37" t="s">
        <v>135</v>
      </c>
      <c r="G38" s="38">
        <f t="shared" si="3"/>
        <v>122651.82</v>
      </c>
      <c r="H38" s="39" t="str">
        <f t="shared" si="4"/>
        <v>$122,651.82</v>
      </c>
    </row>
    <row r="39" spans="1:8" ht="14.4" x14ac:dyDescent="0.3">
      <c r="A39" s="3" t="str">
        <f t="shared" si="2"/>
        <v>Iron County (11,631) - $56,526.66</v>
      </c>
      <c r="D39" s="34" t="s">
        <v>23</v>
      </c>
      <c r="E39" s="32">
        <v>11631</v>
      </c>
      <c r="F39" s="37" t="s">
        <v>136</v>
      </c>
      <c r="G39" s="38">
        <f t="shared" si="3"/>
        <v>56526.66</v>
      </c>
      <c r="H39" s="39" t="str">
        <f t="shared" si="4"/>
        <v>$56,526.66</v>
      </c>
    </row>
    <row r="40" spans="1:8" ht="14.4" x14ac:dyDescent="0.3">
      <c r="A40" s="3" t="str">
        <f t="shared" si="2"/>
        <v>Isabella County (64,394) - $312,954.84</v>
      </c>
      <c r="D40" s="34" t="s">
        <v>59</v>
      </c>
      <c r="E40" s="32">
        <v>64394</v>
      </c>
      <c r="F40" s="37" t="s">
        <v>137</v>
      </c>
      <c r="G40" s="38">
        <f t="shared" si="3"/>
        <v>312954.84000000003</v>
      </c>
      <c r="H40" s="39" t="str">
        <f t="shared" si="4"/>
        <v>$312,954.84</v>
      </c>
    </row>
    <row r="41" spans="1:8" ht="14.4" x14ac:dyDescent="0.3">
      <c r="A41" s="3" t="str">
        <f t="shared" si="2"/>
        <v>Jackson County (160,366) - $779,378.76</v>
      </c>
      <c r="D41" s="34" t="s">
        <v>19</v>
      </c>
      <c r="E41" s="32">
        <v>160366</v>
      </c>
      <c r="F41" s="37" t="s">
        <v>138</v>
      </c>
      <c r="G41" s="38">
        <f t="shared" si="3"/>
        <v>779378.76</v>
      </c>
      <c r="H41" s="39" t="str">
        <f t="shared" si="4"/>
        <v>$779,378.76</v>
      </c>
    </row>
    <row r="42" spans="1:8" ht="14.4" x14ac:dyDescent="0.3">
      <c r="A42" s="3" t="str">
        <f t="shared" si="2"/>
        <v>Kalamazoo County (261,670) - $1,271,716.20</v>
      </c>
      <c r="D42" s="34" t="s">
        <v>60</v>
      </c>
      <c r="E42" s="32">
        <v>261670</v>
      </c>
      <c r="F42" s="37" t="s">
        <v>140</v>
      </c>
      <c r="G42" s="38">
        <f t="shared" si="3"/>
        <v>1271716.2000000002</v>
      </c>
      <c r="H42" s="39" t="str">
        <f t="shared" si="4"/>
        <v>$1,271,716.20</v>
      </c>
    </row>
    <row r="43" spans="1:8" ht="14.4" x14ac:dyDescent="0.3">
      <c r="A43" s="3" t="str">
        <f t="shared" si="2"/>
        <v>Kalkaska County (17,939) - $87,183.54</v>
      </c>
      <c r="D43" s="34" t="s">
        <v>61</v>
      </c>
      <c r="E43" s="32">
        <v>17939</v>
      </c>
      <c r="F43" s="37" t="s">
        <v>141</v>
      </c>
      <c r="G43" s="38">
        <f t="shared" si="3"/>
        <v>87183.540000000008</v>
      </c>
      <c r="H43" s="39" t="str">
        <f t="shared" si="4"/>
        <v>$87,183.54</v>
      </c>
    </row>
    <row r="44" spans="1:8" ht="14.4" x14ac:dyDescent="0.3">
      <c r="A44" s="3" t="str">
        <f t="shared" si="2"/>
        <v>Kent County (657,974) - $3,197,753.64</v>
      </c>
      <c r="D44" s="34" t="s">
        <v>62</v>
      </c>
      <c r="E44" s="32">
        <v>657974</v>
      </c>
      <c r="F44" s="37" t="s">
        <v>142</v>
      </c>
      <c r="G44" s="38">
        <f t="shared" si="3"/>
        <v>3197753.64</v>
      </c>
      <c r="H44" s="39" t="str">
        <f t="shared" si="4"/>
        <v>$3,197,753.64</v>
      </c>
    </row>
    <row r="45" spans="1:8" ht="14.4" x14ac:dyDescent="0.3">
      <c r="A45" s="3" t="str">
        <f t="shared" si="2"/>
        <v>Keweenaw County (2,046) - $9,943.56</v>
      </c>
      <c r="D45" s="34" t="s">
        <v>63</v>
      </c>
      <c r="E45" s="32">
        <v>2046</v>
      </c>
      <c r="F45" s="37" t="s">
        <v>143</v>
      </c>
      <c r="G45" s="38">
        <f t="shared" si="3"/>
        <v>9943.5600000000013</v>
      </c>
      <c r="H45" s="39" t="str">
        <f t="shared" si="4"/>
        <v>$9,943.56</v>
      </c>
    </row>
    <row r="46" spans="1:8" ht="14.4" x14ac:dyDescent="0.3">
      <c r="A46" s="3" t="str">
        <f t="shared" si="2"/>
        <v>Lake County (12,096) - $58,786.56</v>
      </c>
      <c r="D46" s="34" t="s">
        <v>64</v>
      </c>
      <c r="E46" s="32">
        <v>12096</v>
      </c>
      <c r="F46" s="37" t="s">
        <v>144</v>
      </c>
      <c r="G46" s="38">
        <f t="shared" si="3"/>
        <v>58786.560000000005</v>
      </c>
      <c r="H46" s="39" t="str">
        <f t="shared" si="4"/>
        <v>$58,786.56</v>
      </c>
    </row>
    <row r="47" spans="1:8" ht="14.4" x14ac:dyDescent="0.3">
      <c r="A47" s="3" t="str">
        <f t="shared" si="2"/>
        <v>Lapeer County (88,619) - $430,688.34</v>
      </c>
      <c r="D47" s="34" t="s">
        <v>65</v>
      </c>
      <c r="E47" s="32">
        <v>88619</v>
      </c>
      <c r="F47" s="37" t="s">
        <v>145</v>
      </c>
      <c r="G47" s="38">
        <f t="shared" si="3"/>
        <v>430688.34</v>
      </c>
      <c r="H47" s="39" t="str">
        <f t="shared" si="4"/>
        <v>$430,688.34</v>
      </c>
    </row>
    <row r="48" spans="1:8" ht="14.4" x14ac:dyDescent="0.3">
      <c r="A48" s="3" t="str">
        <f t="shared" si="2"/>
        <v>Leelanau County (22,301) - $108,382.86</v>
      </c>
      <c r="D48" s="34" t="s">
        <v>66</v>
      </c>
      <c r="E48" s="32">
        <v>22301</v>
      </c>
      <c r="F48" s="37" t="s">
        <v>146</v>
      </c>
      <c r="G48" s="38">
        <f t="shared" si="3"/>
        <v>108382.86</v>
      </c>
      <c r="H48" s="39" t="str">
        <f t="shared" si="4"/>
        <v>$108,382.86</v>
      </c>
    </row>
    <row r="49" spans="1:8" ht="14.4" x14ac:dyDescent="0.3">
      <c r="A49" s="3" t="str">
        <f t="shared" si="2"/>
        <v>Lenawee County (99,423) - $483,195.78</v>
      </c>
      <c r="D49" s="34" t="s">
        <v>67</v>
      </c>
      <c r="E49" s="32">
        <v>99423</v>
      </c>
      <c r="F49" s="37" t="s">
        <v>147</v>
      </c>
      <c r="G49" s="38">
        <f t="shared" si="3"/>
        <v>483195.78</v>
      </c>
      <c r="H49" s="39" t="str">
        <f t="shared" si="4"/>
        <v>$483,195.78</v>
      </c>
    </row>
    <row r="50" spans="1:8" ht="14.4" x14ac:dyDescent="0.3">
      <c r="A50" s="3" t="str">
        <f t="shared" si="2"/>
        <v>Livingston County (193,866) - $942,188.76</v>
      </c>
      <c r="D50" s="34" t="s">
        <v>68</v>
      </c>
      <c r="E50" s="32">
        <v>193866</v>
      </c>
      <c r="F50" s="37" t="s">
        <v>148</v>
      </c>
      <c r="G50" s="38">
        <f t="shared" si="3"/>
        <v>942188.76</v>
      </c>
      <c r="H50" s="39" t="str">
        <f t="shared" si="4"/>
        <v>$942,188.76</v>
      </c>
    </row>
    <row r="51" spans="1:8" ht="14.4" x14ac:dyDescent="0.3">
      <c r="A51" s="3" t="str">
        <f t="shared" si="2"/>
        <v>Luce County (5,339) - $25,947.54</v>
      </c>
      <c r="D51" s="34" t="s">
        <v>69</v>
      </c>
      <c r="E51" s="32">
        <v>5339</v>
      </c>
      <c r="F51" s="37" t="s">
        <v>149</v>
      </c>
      <c r="G51" s="38">
        <f t="shared" si="3"/>
        <v>25947.54</v>
      </c>
      <c r="H51" s="39" t="str">
        <f t="shared" si="4"/>
        <v>$25,947.54</v>
      </c>
    </row>
    <row r="52" spans="1:8" ht="14.4" x14ac:dyDescent="0.3">
      <c r="A52" s="3" t="str">
        <f t="shared" si="2"/>
        <v>Mackinac County (10,834) - $52,653.24</v>
      </c>
      <c r="D52" s="34" t="s">
        <v>70</v>
      </c>
      <c r="E52" s="32">
        <v>10834</v>
      </c>
      <c r="F52" s="37" t="s">
        <v>150</v>
      </c>
      <c r="G52" s="38">
        <f t="shared" si="3"/>
        <v>52653.240000000005</v>
      </c>
      <c r="H52" s="39" t="str">
        <f t="shared" si="4"/>
        <v>$52,653.24</v>
      </c>
    </row>
    <row r="53" spans="1:8" ht="14.4" x14ac:dyDescent="0.3">
      <c r="A53" s="3" t="str">
        <f t="shared" si="2"/>
        <v>Macomb County (881,217) - $4,282,714.62</v>
      </c>
      <c r="D53" s="34" t="s">
        <v>71</v>
      </c>
      <c r="E53" s="32">
        <v>881217</v>
      </c>
      <c r="F53" s="37" t="s">
        <v>151</v>
      </c>
      <c r="G53" s="38">
        <f t="shared" si="3"/>
        <v>4282714.62</v>
      </c>
      <c r="H53" s="39" t="str">
        <f t="shared" si="4"/>
        <v>$4,282,714.62</v>
      </c>
    </row>
    <row r="54" spans="1:8" ht="14.4" x14ac:dyDescent="0.3">
      <c r="A54" s="3" t="str">
        <f t="shared" si="2"/>
        <v>Manistee County (25,032) - $121,655.52</v>
      </c>
      <c r="D54" s="34" t="s">
        <v>72</v>
      </c>
      <c r="E54" s="32">
        <v>25032</v>
      </c>
      <c r="F54" s="37" t="s">
        <v>152</v>
      </c>
      <c r="G54" s="38">
        <f t="shared" si="3"/>
        <v>121655.52</v>
      </c>
      <c r="H54" s="39" t="str">
        <f t="shared" si="4"/>
        <v>$121,655.52</v>
      </c>
    </row>
    <row r="55" spans="1:8" ht="14.4" x14ac:dyDescent="0.3">
      <c r="A55" s="3" t="str">
        <f t="shared" si="2"/>
        <v>Marquette County (66,017) - $320,842.62</v>
      </c>
      <c r="D55" s="34" t="s">
        <v>24</v>
      </c>
      <c r="E55" s="32">
        <v>66017</v>
      </c>
      <c r="F55" s="37" t="s">
        <v>153</v>
      </c>
      <c r="G55" s="38">
        <f t="shared" si="3"/>
        <v>320842.62</v>
      </c>
      <c r="H55" s="39" t="str">
        <f t="shared" si="4"/>
        <v>$320,842.62</v>
      </c>
    </row>
    <row r="56" spans="1:8" ht="14.4" x14ac:dyDescent="0.3">
      <c r="A56" s="3" t="str">
        <f t="shared" si="2"/>
        <v>Mason County (29,052) - $141,192.72</v>
      </c>
      <c r="D56" s="34" t="s">
        <v>73</v>
      </c>
      <c r="E56" s="32">
        <v>29052</v>
      </c>
      <c r="F56" s="37" t="s">
        <v>154</v>
      </c>
      <c r="G56" s="38">
        <f t="shared" si="3"/>
        <v>141192.72</v>
      </c>
      <c r="H56" s="39" t="str">
        <f t="shared" si="4"/>
        <v>$141,192.72</v>
      </c>
    </row>
    <row r="57" spans="1:8" ht="14.4" x14ac:dyDescent="0.3">
      <c r="A57" s="3" t="str">
        <f t="shared" si="2"/>
        <v>Mecosta County (39,714) - $193,010.04</v>
      </c>
      <c r="D57" s="34" t="s">
        <v>74</v>
      </c>
      <c r="E57" s="32">
        <v>39714</v>
      </c>
      <c r="F57" s="37" t="s">
        <v>155</v>
      </c>
      <c r="G57" s="38">
        <f t="shared" si="3"/>
        <v>193010.04</v>
      </c>
      <c r="H57" s="39" t="str">
        <f t="shared" si="4"/>
        <v>$193,010.04</v>
      </c>
    </row>
    <row r="58" spans="1:8" ht="14.4" x14ac:dyDescent="0.3">
      <c r="A58" s="3" t="str">
        <f t="shared" si="2"/>
        <v>Menominee County (23,502) - $114,219.72</v>
      </c>
      <c r="D58" s="34" t="s">
        <v>25</v>
      </c>
      <c r="E58" s="32">
        <v>23502</v>
      </c>
      <c r="F58" s="37" t="s">
        <v>156</v>
      </c>
      <c r="G58" s="38">
        <f t="shared" si="3"/>
        <v>114219.72</v>
      </c>
      <c r="H58" s="39" t="str">
        <f t="shared" si="4"/>
        <v>$114,219.72</v>
      </c>
    </row>
    <row r="59" spans="1:8" ht="14.4" x14ac:dyDescent="0.3">
      <c r="A59" s="3" t="str">
        <f t="shared" si="2"/>
        <v>Midland County (83,494) - $405,780.84</v>
      </c>
      <c r="D59" s="34" t="s">
        <v>75</v>
      </c>
      <c r="E59" s="32">
        <v>83494</v>
      </c>
      <c r="F59" s="37" t="s">
        <v>157</v>
      </c>
      <c r="G59" s="38">
        <f t="shared" si="3"/>
        <v>405780.84</v>
      </c>
      <c r="H59" s="39" t="str">
        <f t="shared" si="4"/>
        <v>$405,780.84</v>
      </c>
    </row>
    <row r="60" spans="1:8" ht="14.4" x14ac:dyDescent="0.3">
      <c r="A60" s="3" t="str">
        <f t="shared" si="2"/>
        <v>Missaukee County (15,052) - $73,152.72</v>
      </c>
      <c r="D60" s="34" t="s">
        <v>76</v>
      </c>
      <c r="E60" s="32">
        <v>15052</v>
      </c>
      <c r="F60" s="37" t="s">
        <v>158</v>
      </c>
      <c r="G60" s="38">
        <f t="shared" si="3"/>
        <v>73152.72</v>
      </c>
      <c r="H60" s="39" t="str">
        <f t="shared" si="4"/>
        <v>$73,152.72</v>
      </c>
    </row>
    <row r="61" spans="1:8" ht="14.4" x14ac:dyDescent="0.3">
      <c r="A61" s="3" t="str">
        <f t="shared" si="2"/>
        <v>Monroe County (154,809) - $752,371.74</v>
      </c>
      <c r="D61" s="34" t="s">
        <v>21</v>
      </c>
      <c r="E61" s="32">
        <v>154809</v>
      </c>
      <c r="F61" s="37" t="s">
        <v>159</v>
      </c>
      <c r="G61" s="38">
        <f t="shared" si="3"/>
        <v>752371.74000000011</v>
      </c>
      <c r="H61" s="39" t="str">
        <f t="shared" si="4"/>
        <v>$752,371.74</v>
      </c>
    </row>
    <row r="62" spans="1:8" ht="14.4" x14ac:dyDescent="0.3">
      <c r="A62" s="3" t="str">
        <f t="shared" si="2"/>
        <v>Montcalm County (66,614) - $323,744.04</v>
      </c>
      <c r="D62" s="34" t="s">
        <v>77</v>
      </c>
      <c r="E62" s="32">
        <v>66614</v>
      </c>
      <c r="F62" s="37" t="s">
        <v>160</v>
      </c>
      <c r="G62" s="38">
        <f t="shared" si="3"/>
        <v>323744.04000000004</v>
      </c>
      <c r="H62" s="39" t="str">
        <f t="shared" si="4"/>
        <v>$323,744.04</v>
      </c>
    </row>
    <row r="63" spans="1:8" ht="14.4" x14ac:dyDescent="0.3">
      <c r="A63" s="3" t="str">
        <f t="shared" si="2"/>
        <v>Montmorency County (9,153) - $44,483.58</v>
      </c>
      <c r="D63" s="34" t="s">
        <v>78</v>
      </c>
      <c r="E63" s="32">
        <v>9153</v>
      </c>
      <c r="F63" s="37" t="s">
        <v>161</v>
      </c>
      <c r="G63" s="38">
        <f t="shared" si="3"/>
        <v>44483.58</v>
      </c>
      <c r="H63" s="39" t="str">
        <f t="shared" si="4"/>
        <v>$44,483.58</v>
      </c>
    </row>
    <row r="64" spans="1:8" ht="14.4" x14ac:dyDescent="0.3">
      <c r="A64" s="3" t="str">
        <f t="shared" si="2"/>
        <v>Muskegon County (175,824) - $854,504.64</v>
      </c>
      <c r="D64" s="34" t="s">
        <v>79</v>
      </c>
      <c r="E64" s="32">
        <v>175824</v>
      </c>
      <c r="F64" s="37" t="s">
        <v>162</v>
      </c>
      <c r="G64" s="38">
        <f t="shared" si="3"/>
        <v>854504.64</v>
      </c>
      <c r="H64" s="39" t="str">
        <f t="shared" si="4"/>
        <v>$854,504.64</v>
      </c>
    </row>
    <row r="65" spans="1:8" ht="14.4" x14ac:dyDescent="0.3">
      <c r="A65" s="3" t="str">
        <f t="shared" si="2"/>
        <v>Newaygo County (49,978) - $242,893.08</v>
      </c>
      <c r="D65" s="34" t="s">
        <v>80</v>
      </c>
      <c r="E65" s="32">
        <v>49978</v>
      </c>
      <c r="F65" s="37" t="s">
        <v>163</v>
      </c>
      <c r="G65" s="38">
        <f t="shared" si="3"/>
        <v>242893.08000000002</v>
      </c>
      <c r="H65" s="39" t="str">
        <f t="shared" si="4"/>
        <v>$242,893.08</v>
      </c>
    </row>
    <row r="66" spans="1:8" ht="14.4" x14ac:dyDescent="0.3">
      <c r="A66" s="3" t="str">
        <f t="shared" si="2"/>
        <v>Oakland County (1,274,395) - $6,193,559.70</v>
      </c>
      <c r="D66" s="34" t="s">
        <v>81</v>
      </c>
      <c r="E66" s="32">
        <v>1274395</v>
      </c>
      <c r="F66" s="37" t="s">
        <v>164</v>
      </c>
      <c r="G66" s="38">
        <f t="shared" si="3"/>
        <v>6193559.7000000002</v>
      </c>
      <c r="H66" s="39" t="str">
        <f t="shared" si="4"/>
        <v>$6,193,559.70</v>
      </c>
    </row>
    <row r="67" spans="1:8" ht="14.4" x14ac:dyDescent="0.3">
      <c r="A67" s="3" t="str">
        <f t="shared" si="2"/>
        <v>Oceana County (26,659) - $129,562.74</v>
      </c>
      <c r="D67" s="34" t="s">
        <v>82</v>
      </c>
      <c r="E67" s="32">
        <v>26659</v>
      </c>
      <c r="F67" s="37" t="s">
        <v>165</v>
      </c>
      <c r="G67" s="38">
        <f t="shared" si="3"/>
        <v>129562.74</v>
      </c>
      <c r="H67" s="39" t="str">
        <f t="shared" si="4"/>
        <v>$129,562.74</v>
      </c>
    </row>
    <row r="68" spans="1:8" ht="14.4" x14ac:dyDescent="0.3">
      <c r="A68" s="3" t="str">
        <f t="shared" si="2"/>
        <v>Ogemaw County (20,770) - $100,942.20</v>
      </c>
      <c r="D68" s="34" t="s">
        <v>83</v>
      </c>
      <c r="E68" s="32">
        <v>20770</v>
      </c>
      <c r="F68" s="37" t="s">
        <v>166</v>
      </c>
      <c r="G68" s="38">
        <f t="shared" ref="G68:G86" si="5">E68*4.86</f>
        <v>100942.20000000001</v>
      </c>
      <c r="H68" s="39" t="str">
        <f t="shared" ref="H68:H86" si="6">TEXT(G68,"$#,##0.00")</f>
        <v>$100,942.20</v>
      </c>
    </row>
    <row r="69" spans="1:8" ht="14.4" x14ac:dyDescent="0.3">
      <c r="A69" s="3" t="str">
        <f t="shared" ref="A69:A86" si="7">D69 &amp; " (" &amp;F69&amp; ")" &amp; " - " &amp;H69</f>
        <v>Ontonagon County (5,816) - $28,265.76</v>
      </c>
      <c r="D69" s="34" t="s">
        <v>84</v>
      </c>
      <c r="E69" s="32">
        <v>5816</v>
      </c>
      <c r="F69" s="37" t="s">
        <v>167</v>
      </c>
      <c r="G69" s="38">
        <f t="shared" si="5"/>
        <v>28265.760000000002</v>
      </c>
      <c r="H69" s="39" t="str">
        <f t="shared" si="6"/>
        <v>$28,265.76</v>
      </c>
    </row>
    <row r="70" spans="1:8" ht="14.4" x14ac:dyDescent="0.3">
      <c r="A70" s="3" t="str">
        <f t="shared" si="7"/>
        <v>Osceola County (22,891) - $111,250.26</v>
      </c>
      <c r="D70" s="34" t="s">
        <v>85</v>
      </c>
      <c r="E70" s="32">
        <v>22891</v>
      </c>
      <c r="F70" s="37" t="s">
        <v>168</v>
      </c>
      <c r="G70" s="38">
        <f t="shared" si="5"/>
        <v>111250.26000000001</v>
      </c>
      <c r="H70" s="39" t="str">
        <f t="shared" si="6"/>
        <v>$111,250.26</v>
      </c>
    </row>
    <row r="71" spans="1:8" ht="14.4" x14ac:dyDescent="0.3">
      <c r="A71" s="3" t="str">
        <f t="shared" si="7"/>
        <v>Oscoda County (8,219) - $39,944.34</v>
      </c>
      <c r="D71" s="34" t="s">
        <v>86</v>
      </c>
      <c r="E71" s="32">
        <v>8219</v>
      </c>
      <c r="F71" s="37" t="s">
        <v>169</v>
      </c>
      <c r="G71" s="38">
        <f t="shared" si="5"/>
        <v>39944.340000000004</v>
      </c>
      <c r="H71" s="39" t="str">
        <f t="shared" si="6"/>
        <v>$39,944.34</v>
      </c>
    </row>
    <row r="72" spans="1:8" ht="14.4" x14ac:dyDescent="0.3">
      <c r="A72" s="3" t="str">
        <f t="shared" si="7"/>
        <v>Otsego County (25,091) - $121,942.26</v>
      </c>
      <c r="D72" s="34" t="s">
        <v>87</v>
      </c>
      <c r="E72" s="32">
        <v>25091</v>
      </c>
      <c r="F72" s="37" t="s">
        <v>170</v>
      </c>
      <c r="G72" s="38">
        <f t="shared" si="5"/>
        <v>121942.26000000001</v>
      </c>
      <c r="H72" s="39" t="str">
        <f t="shared" si="6"/>
        <v>$121,942.26</v>
      </c>
    </row>
    <row r="73" spans="1:8" ht="14.4" x14ac:dyDescent="0.3">
      <c r="A73" s="3" t="str">
        <f t="shared" si="7"/>
        <v>Ottawa County (296,200) - $1,439,532.00</v>
      </c>
      <c r="D73" s="34" t="s">
        <v>88</v>
      </c>
      <c r="E73" s="32">
        <v>296200</v>
      </c>
      <c r="F73" s="37" t="s">
        <v>171</v>
      </c>
      <c r="G73" s="38">
        <f t="shared" si="5"/>
        <v>1439532</v>
      </c>
      <c r="H73" s="39" t="str">
        <f t="shared" si="6"/>
        <v>$1,439,532.00</v>
      </c>
    </row>
    <row r="74" spans="1:8" ht="14.4" x14ac:dyDescent="0.3">
      <c r="A74" s="3" t="str">
        <f t="shared" si="7"/>
        <v>Presque Isle County (12,982) - $63,092.52</v>
      </c>
      <c r="D74" s="34" t="s">
        <v>89</v>
      </c>
      <c r="E74" s="32">
        <v>12982</v>
      </c>
      <c r="F74" s="37" t="s">
        <v>172</v>
      </c>
      <c r="G74" s="38">
        <f t="shared" si="5"/>
        <v>63092.520000000004</v>
      </c>
      <c r="H74" s="39" t="str">
        <f t="shared" si="6"/>
        <v>$63,092.52</v>
      </c>
    </row>
    <row r="75" spans="1:8" ht="14.4" x14ac:dyDescent="0.3">
      <c r="A75" s="3" t="str">
        <f t="shared" si="7"/>
        <v>Roscommon County (23,459) - $114,010.74</v>
      </c>
      <c r="D75" s="34" t="s">
        <v>90</v>
      </c>
      <c r="E75" s="32">
        <v>23459</v>
      </c>
      <c r="F75" s="37" t="s">
        <v>173</v>
      </c>
      <c r="G75" s="38">
        <f t="shared" si="5"/>
        <v>114010.74</v>
      </c>
      <c r="H75" s="39" t="str">
        <f t="shared" si="6"/>
        <v>$114,010.74</v>
      </c>
    </row>
    <row r="76" spans="1:8" ht="14.4" x14ac:dyDescent="0.3">
      <c r="A76" s="3" t="str">
        <f t="shared" si="7"/>
        <v>Saginaw County (190,124) - $924,002.64</v>
      </c>
      <c r="D76" s="34" t="s">
        <v>91</v>
      </c>
      <c r="E76" s="32">
        <v>190124</v>
      </c>
      <c r="F76" s="37" t="s">
        <v>174</v>
      </c>
      <c r="G76" s="38">
        <f t="shared" si="5"/>
        <v>924002.64</v>
      </c>
      <c r="H76" s="39" t="str">
        <f t="shared" si="6"/>
        <v>$924,002.64</v>
      </c>
    </row>
    <row r="77" spans="1:8" ht="14.4" x14ac:dyDescent="0.3">
      <c r="A77" s="3" t="str">
        <f t="shared" si="7"/>
        <v>St. Clair County (160,383) - $779,461.38</v>
      </c>
      <c r="D77" s="34" t="s">
        <v>100</v>
      </c>
      <c r="E77" s="32">
        <v>160383</v>
      </c>
      <c r="F77" s="37" t="s">
        <v>175</v>
      </c>
      <c r="G77" s="38">
        <f t="shared" si="5"/>
        <v>779461.38</v>
      </c>
      <c r="H77" s="39" t="str">
        <f t="shared" si="6"/>
        <v>$779,461.38</v>
      </c>
    </row>
    <row r="78" spans="1:8" ht="14.4" x14ac:dyDescent="0.3">
      <c r="A78" s="3" t="str">
        <f t="shared" si="7"/>
        <v>St. Joseph County (60,939) - $296,163.54</v>
      </c>
      <c r="D78" s="34" t="s">
        <v>101</v>
      </c>
      <c r="E78" s="32">
        <v>60939</v>
      </c>
      <c r="F78" s="37" t="s">
        <v>176</v>
      </c>
      <c r="G78" s="38">
        <f t="shared" si="5"/>
        <v>296163.54000000004</v>
      </c>
      <c r="H78" s="39" t="str">
        <f t="shared" si="6"/>
        <v>$296,163.54</v>
      </c>
    </row>
    <row r="79" spans="1:8" ht="14.4" x14ac:dyDescent="0.3">
      <c r="A79" s="3" t="str">
        <f t="shared" si="7"/>
        <v>Sanilac County (40,611) - $197,369.46</v>
      </c>
      <c r="D79" s="34" t="s">
        <v>92</v>
      </c>
      <c r="E79" s="32">
        <v>40611</v>
      </c>
      <c r="F79" s="37" t="s">
        <v>177</v>
      </c>
      <c r="G79" s="38">
        <f t="shared" si="5"/>
        <v>197369.46000000002</v>
      </c>
      <c r="H79" s="39" t="str">
        <f t="shared" si="6"/>
        <v>$197,369.46</v>
      </c>
    </row>
    <row r="80" spans="1:8" ht="14.4" x14ac:dyDescent="0.3">
      <c r="A80" s="3" t="str">
        <f t="shared" si="7"/>
        <v>Schoolcraft County (8,047) - $39,108.42</v>
      </c>
      <c r="D80" s="34" t="s">
        <v>93</v>
      </c>
      <c r="E80" s="32">
        <v>8047</v>
      </c>
      <c r="F80" s="37" t="s">
        <v>178</v>
      </c>
      <c r="G80" s="38">
        <f t="shared" si="5"/>
        <v>39108.420000000006</v>
      </c>
      <c r="H80" s="39" t="str">
        <f t="shared" si="6"/>
        <v>$39,108.42</v>
      </c>
    </row>
    <row r="81" spans="1:8" ht="14.4" x14ac:dyDescent="0.3">
      <c r="A81" s="3" t="str">
        <f t="shared" si="7"/>
        <v>Shiawassee County (68,094) - $330,936.84</v>
      </c>
      <c r="D81" s="34" t="s">
        <v>94</v>
      </c>
      <c r="E81" s="32">
        <v>68094</v>
      </c>
      <c r="F81" s="37" t="s">
        <v>179</v>
      </c>
      <c r="G81" s="38">
        <f t="shared" si="5"/>
        <v>330936.84000000003</v>
      </c>
      <c r="H81" s="39" t="str">
        <f t="shared" si="6"/>
        <v>$330,936.84</v>
      </c>
    </row>
    <row r="82" spans="1:8" ht="14.4" x14ac:dyDescent="0.3">
      <c r="A82" s="3" t="str">
        <f t="shared" si="7"/>
        <v>Tuscola County (53,323) - $259,149.78</v>
      </c>
      <c r="D82" s="34" t="s">
        <v>95</v>
      </c>
      <c r="E82" s="32">
        <v>53323</v>
      </c>
      <c r="F82" s="37" t="s">
        <v>180</v>
      </c>
      <c r="G82" s="38">
        <f t="shared" si="5"/>
        <v>259149.78000000003</v>
      </c>
      <c r="H82" s="39" t="str">
        <f t="shared" si="6"/>
        <v>$259,149.78</v>
      </c>
    </row>
    <row r="83" spans="1:8" ht="14.4" x14ac:dyDescent="0.3">
      <c r="A83" s="3" t="str">
        <f t="shared" si="7"/>
        <v>Van Buren County (75,587) - $367,352.82</v>
      </c>
      <c r="D83" s="34" t="s">
        <v>96</v>
      </c>
      <c r="E83" s="32">
        <v>75587</v>
      </c>
      <c r="F83" s="37" t="s">
        <v>181</v>
      </c>
      <c r="G83" s="38">
        <f t="shared" si="5"/>
        <v>367352.82</v>
      </c>
      <c r="H83" s="39" t="str">
        <f t="shared" si="6"/>
        <v>$367,352.82</v>
      </c>
    </row>
    <row r="84" spans="1:8" ht="14.4" x14ac:dyDescent="0.3">
      <c r="A84" s="3" t="str">
        <f t="shared" si="7"/>
        <v>Washtenaw County (372,258) - $1,809,173.88</v>
      </c>
      <c r="D84" s="34" t="s">
        <v>97</v>
      </c>
      <c r="E84" s="32">
        <v>372258</v>
      </c>
      <c r="F84" s="37" t="s">
        <v>182</v>
      </c>
      <c r="G84" s="38">
        <f t="shared" si="5"/>
        <v>1809173.8800000001</v>
      </c>
      <c r="H84" s="39" t="str">
        <f t="shared" si="6"/>
        <v>$1,809,173.88</v>
      </c>
    </row>
    <row r="85" spans="1:8" ht="14.4" x14ac:dyDescent="0.3">
      <c r="A85" s="3" t="str">
        <f t="shared" si="7"/>
        <v>Wayne County (1,793,561) - $8,716,706.46</v>
      </c>
      <c r="D85" s="34" t="s">
        <v>98</v>
      </c>
      <c r="E85" s="32">
        <v>1793561</v>
      </c>
      <c r="F85" s="37" t="s">
        <v>183</v>
      </c>
      <c r="G85" s="38">
        <f t="shared" si="5"/>
        <v>8716706.4600000009</v>
      </c>
      <c r="H85" s="39" t="str">
        <f t="shared" si="6"/>
        <v>$8,716,706.46</v>
      </c>
    </row>
    <row r="86" spans="1:8" ht="14.4" x14ac:dyDescent="0.3">
      <c r="A86" s="3" t="str">
        <f t="shared" si="7"/>
        <v>Wexford County (33,673) - $163,650.78</v>
      </c>
      <c r="D86" s="35" t="s">
        <v>99</v>
      </c>
      <c r="E86" s="33">
        <v>33673</v>
      </c>
      <c r="F86" s="37" t="s">
        <v>184</v>
      </c>
      <c r="G86" s="38">
        <f t="shared" si="5"/>
        <v>163650.78</v>
      </c>
      <c r="H86" s="39"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Props1.xml><?xml version="1.0" encoding="utf-8"?>
<ds:datastoreItem xmlns:ds="http://schemas.openxmlformats.org/officeDocument/2006/customXml" ds:itemID="{F37D2BC2-5E07-4C2F-BF77-6651C4886E04}">
  <ds:schemaRefs>
    <ds:schemaRef ds:uri="http://schemas.microsoft.com/sharepoint/v3/contenttype/forms"/>
  </ds:schemaRefs>
</ds:datastoreItem>
</file>

<file path=customXml/itemProps2.xml><?xml version="1.0" encoding="utf-8"?>
<ds:datastoreItem xmlns:ds="http://schemas.openxmlformats.org/officeDocument/2006/customXml" ds:itemID="{551358EB-EE5E-4AAD-B23D-3261F13D579B}"/>
</file>

<file path=customXml/itemProps3.xml><?xml version="1.0" encoding="utf-8"?>
<ds:datastoreItem xmlns:ds="http://schemas.openxmlformats.org/officeDocument/2006/customXml" ds:itemID="{48B6618A-A1B9-4FC9-925A-722407B3AAF8}">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4f1a833c-a938-4a5e-81e3-99cd1b92e526"/>
    <ds:schemaRef ds:uri="538c035d-569c-47ab-a864-fdd8ae3d4516"/>
    <ds:schemaRef ds:uri="http://purl.org/dc/dcmitype/"/>
    <ds:schemaRef ds:uri="http://purl.org/dc/elements/1.1/"/>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Company>FEMA Region VII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Grobe, Jennifer</cp:lastModifiedBy>
  <cp:lastPrinted>2021-08-11T17:13:15Z</cp:lastPrinted>
  <dcterms:created xsi:type="dcterms:W3CDTF">2000-06-27T13:20:49Z</dcterms:created>
  <dcterms:modified xsi:type="dcterms:W3CDTF">2026-05-22T19:50:48Z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