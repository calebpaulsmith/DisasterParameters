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Ready for Table A/"/>
    </mc:Choice>
  </mc:AlternateContent>
  <xr:revisionPtr revIDLastSave="100" documentId="13_ncr:1_{4B26DC56-3104-4C3E-A816-A5885244DC2D}" xr6:coauthVersionLast="47" xr6:coauthVersionMax="47" xr10:uidLastSave="{E771909B-8D9B-4B3C-A7B4-4F6085D79721}"/>
  <bookViews>
    <workbookView xWindow="-108" yWindow="-108" windowWidth="23256" windowHeight="12456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<sst xmlns="http://schemas.openxmlformats.org/spreadsheetml/2006/main" count="219" uniqueCount="214">
  <si>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</si>
  <si>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</si>
  <si>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</si>
  <si>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</si>
  <si>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</si>
  <si>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</si>
  <si>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</si>
  <si>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</si>
  <si>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</si>
  <si>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</si>
  <si>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</si>
  <si>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</si>
  <si>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</si>
  <si>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</si>
  <si>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</si>
  <si>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</si>
  <si>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</si>
  <si>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</si>
  <si>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</si>
  <si>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</si>
  <si>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</si>
  <si>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</si>
  <si>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</si>
  <si>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</si>
  <si>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</si>
  <si>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</si>
  <si>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</si>
  <si>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</si>
  <si>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</si>
  <si>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</si>
  <si>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</si>
  <si>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</si>
  <si>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</si>
  <si>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</si>
  <si>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</si>
  <si>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</si>
  <si>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</si>
  <si>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</si>
  <si>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</si>
  <si>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</si>
  <si>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</si>
  <si>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</si>
  <si>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</si>
  <si>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</si>
  <si>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</si>
  <si>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</si>
  <si>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</si>
  <si>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</si>
  <si>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</si>
  <si>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</si>
  <si>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</si>
  <si>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</si>
  <si>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</si>
  <si>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</si>
  <si>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</si>
  <si>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</si>
  <si>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</si>
  <si>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</si>
  <si>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</si>
  <si>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</si>
  <si>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</si>
  <si>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</si>
  <si>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</si>
  <si>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</si>
  <si>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</si>
  <si>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</si>
  <si>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</si>
  <si>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</si>
  <si>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</si>
  <si>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</si>
  <si>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</si>
  <si>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</si>
  <si>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</si>
  <si>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</si>
  <si>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</si>
  <si>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</si>
  <si>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</si>
  <si>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</si>
  <si>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</si>
  <si>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</si>
  <si>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</si>
  <si>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</si>
  <si>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</si>
  <si>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</si>
  <si>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</si>
  <si>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</si>
  <si>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</si>
  <si>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</si>
  <si>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</si>
  <si>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</si>
  <si>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</si>
  <si>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</si>
  <si>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</si>
  <si>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</si>
  <si>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</si>
  <si>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</si>
  <si>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</si>
  <si>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</si>
  <si>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</si>
  <si>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</si>
  <si>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</si>
  <si>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</si>
  <si>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</si>
  <si>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</si>
  <si>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</si>
  <si>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</si>
  <si>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</si>
  <si>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</si>
  <si>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</si>
  <si>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</si>
  <si>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</si>
  <si>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</si>
  <si>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</si>
  <si>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</si>
  <si>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</si>
  <si>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</si>
  <si>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</si>
  <si>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</si>
  <si>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</si>
  <si>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</si>
  <si>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</si>
  <si>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</si>
  <si>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</si>
  <si>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</si>
  <si>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</si>
  <si>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</si>
  <si>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</si>
  <si>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</si>
  <si>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</si>
  <si>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</si>
  <si>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</si>
  <si>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</si>
  <si>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</si>
  <si>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</si>
  <si>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</si>
  <si>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</si>
  <si>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</si>
  <si>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</si>
  <si>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</si>
  <si>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</si>
  <si>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</si>
  <si>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</si>
  <si>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</si>
  <si>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</si>
  <si>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</si>
  <si>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</si>
  <si>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</si>
  <si>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</si>
  <si>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</si>
  <si>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</si>
  <si>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</si>
  <si>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</si>
  <si>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</si>
  <si>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</si>
  <si>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</si>
  <si>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</si>
  <si>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</si>
  <si>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</si>
  <si>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</si>
  <si>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</si>
  <si>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</si>
  <si>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</si>
  <si>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</si>
  <si>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</si>
  <si>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</si>
  <si>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</si>
  <si>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</si>
  <si>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</si>
  <si>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</si>
  <si>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</si>
  <si>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</si>
  <si>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</si>
  <si>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</si>
  <si>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</si>
  <si>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</si>
  <si>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</si>
  <si>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</si>
  <si>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</si>
  <si>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</si>
  <si>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</si>
  <si>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</si>
  <si>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</si>
  <si>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</si>
  <si>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</si>
  <si>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</si>
  <si>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</si>
  <si>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</si>
  <si>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</si>
  <si>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</si>
  <si>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</si>
  <si>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</si>
  <si>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</si>
  <si>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</si>
  <si>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</si>
  <si>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</si>
  <si>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</si>
  <si>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</si>
  <si>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</si>
  <si>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</si>
  <si>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</si>
  <si>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</si>
  <si>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</si>
  <si>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</si>
  <si>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</si>
  <si>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</si>
  <si>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</si>
  <si>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Lake County (12,096) - $58,786.56</t>
  </si>
  <si>
    <t>Newkirk</t>
  </si>
  <si>
    <t>Municipality</t>
  </si>
  <si>
    <t>Complete</t>
  </si>
  <si>
    <r>
      <t>Category C: Estimated:</t>
    </r>
    <r>
      <rPr>
        <sz val="10"/>
        <rFont val="Arial"/>
        <family val="2"/>
      </rPr>
      <t xml:space="preserve">$123,782.58 for gravel crew labor, gravel installation, and materials used to repair all 13 culverts damaged by flooding.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$123,782.58, based on applicant-provided photos and cost estimates.</t>
    </r>
  </si>
  <si>
    <t>MDNR- Lake County</t>
  </si>
  <si>
    <t>Government</t>
  </si>
  <si>
    <r>
      <rPr>
        <b/>
        <sz val="10"/>
        <rFont val="Arial"/>
        <family val="2"/>
      </rPr>
      <t>Category G: Estimated $13,554.29 Validated $13,554.29</t>
    </r>
    <r>
      <rPr>
        <sz val="10"/>
        <rFont val="Arial"/>
        <family val="2"/>
      </rPr>
      <t xml:space="preserve"> for repairs to entire campground to address erosion, damaged roads, and campsites using applicant provided estimates.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</si>
</sst>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4" fillId="0" borderId="0" xfId="0" applyFont="1" applyAlignment="1" applyProtection="1">
      <alignment vertical="top"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285750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1394460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1623060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7" sqref="K7"/>
    </sheetView>
  </sheetViews>
  <sheetFormatPr defaultColWidth="16.6640625" defaultRowHeight="13.2" x14ac:dyDescent="0.25"/>
  <cols>
    <col min="1" max="1" width="1.33203125" style="51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3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2" customHeight="1" thickTop="1" thickBot="1" x14ac:dyDescent="0.3">
      <c r="A3" s="51"/>
      <c r="B3" s="67" t="s">
        <v>206</v>
      </c>
      <c r="C3" s="68"/>
      <c r="D3" s="14" t="s">
        <v>204</v>
      </c>
      <c r="E3" s="63">
        <f>SUM(Table6[[A]:[B]])</f>
        <v>0</v>
      </c>
      <c r="F3" s="64"/>
      <c r="G3" s="55">
        <f>SUM(Table6[[C]:[G]])</f>
        <v>137336.87</v>
      </c>
      <c r="H3" s="56"/>
      <c r="I3" s="56"/>
      <c r="J3" s="56"/>
      <c r="K3" s="57"/>
      <c r="L3" s="9">
        <f>SUM(Table6[Applicant Total])</f>
        <v>137336.87</v>
      </c>
    </row>
    <row r="4" spans="1:12" ht="14.4" thickTop="1" thickBot="1" x14ac:dyDescent="0.3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207</v>
      </c>
      <c r="C6" s="10" t="s">
        <v>208</v>
      </c>
      <c r="D6" s="11" t="s">
        <v>209</v>
      </c>
      <c r="E6" s="13"/>
      <c r="F6" s="12"/>
      <c r="G6" s="12">
        <v>123782.58</v>
      </c>
      <c r="H6" s="13"/>
      <c r="I6" s="13"/>
      <c r="J6" s="13"/>
      <c r="K6" s="13"/>
      <c r="L6" s="15">
        <f>SUM(Table6[[#This Row],[A]:[G]])</f>
        <v>123782.58</v>
      </c>
    </row>
    <row r="7" spans="1:12" x14ac:dyDescent="0.25">
      <c r="B7" s="10" t="s">
        <v>211</v>
      </c>
      <c r="C7" s="10" t="s">
        <v>212</v>
      </c>
      <c r="D7" s="11" t="s">
        <v>209</v>
      </c>
      <c r="E7" s="13"/>
      <c r="F7" s="13"/>
      <c r="G7" s="12"/>
      <c r="H7" s="12"/>
      <c r="I7" s="13"/>
      <c r="J7" s="13"/>
      <c r="K7" s="13">
        <v>13554.29</v>
      </c>
      <c r="L7" s="15">
        <f>SUM(Table6[[#This Row],[A]:[G]])</f>
        <v>13554.29</v>
      </c>
    </row>
    <row r="8" spans="1:12" x14ac:dyDescent="0.25">
      <c r="B8" s="10"/>
      <c r="C8" s="10"/>
      <c r="D8" s="11"/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5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2" activePane="bottomLeft" state="frozen"/>
      <selection pane="bottomLeft" activeCell="B3" sqref="B3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Newkirk</v>
      </c>
      <c r="B2" s="49" t="s">
        <v>210</v>
      </c>
    </row>
    <row r="3" spans="1:2" ht="45" customHeight="1" x14ac:dyDescent="0.25">
      <c r="A3" s="28" t="str">
        <f>'County Summary'!B7</f>
        <v>MDNR- Lake County</v>
      </c>
      <c r="B3" s="10" t="s">
        <v>213</v>
      </c>
    </row>
    <row r="4" spans="1:2" ht="45" customHeight="1" x14ac:dyDescent="0.25">
      <c r="A4" s="28">
        <f>'County Summary'!B8</f>
        <v>0</v>
      </c>
      <c r="B4" s="11"/>
    </row>
    <row r="5" spans="1:2" ht="45" customHeight="1" x14ac:dyDescent="0.25">
      <c r="A5" s="28">
        <f>'County Summary'!B9</f>
        <v>0</v>
      </c>
      <c r="B5" s="11"/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B6618A-A1B9-4FC9-925A-722407B3AAF8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4f1a833c-a938-4a5e-81e3-99cd1b92e526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538c035d-569c-47ab-a864-fdd8ae3d451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2879EC9-D639-462B-A8F6-6BC71A610E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Grobe, Jennifer</cp:lastModifiedBy>
  <cp:lastPrinted>2021-08-11T17:13:15Z</cp:lastPrinted>
  <dcterms:created xsi:type="dcterms:W3CDTF">2000-06-27T13:20:49Z</dcterms:created>
  <dcterms:modified xsi:type="dcterms:W3CDTF">2026-05-29T12:34:29Z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