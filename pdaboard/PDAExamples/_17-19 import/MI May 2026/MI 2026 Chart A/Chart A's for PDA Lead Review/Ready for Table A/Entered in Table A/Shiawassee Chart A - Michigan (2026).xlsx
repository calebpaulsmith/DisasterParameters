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Review with MSP/"/>
    </mc:Choice>
  </mc:AlternateContent>
  <xr:revisionPtr revIDLastSave="110" documentId="13_ncr:1_{4B26DC56-3104-4C3E-A816-A5885244DC2D}" xr6:coauthVersionLast="47" xr6:coauthVersionMax="47" xr10:uidLastSave="{B509E376-A2F6-4DF9-A462-B1F9C10494BC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<sst xmlns="http://schemas.openxmlformats.org/spreadsheetml/2006/main" count="219" uniqueCount="214">
  <si>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</si>
  <si>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</si>
  <si>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</si>
  <si>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</si>
  <si>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</si>
  <si>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</si>
  <si>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</si>
  <si>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</si>
  <si>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</si>
  <si>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</si>
  <si>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</si>
  <si>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</si>
  <si>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</si>
  <si>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</si>
  <si>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</si>
  <si>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</si>
  <si>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</si>
  <si>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</si>
  <si>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</si>
  <si>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</si>
  <si>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</si>
  <si>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</si>
  <si>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</si>
  <si>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</si>
  <si>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</si>
  <si>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</si>
  <si>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</si>
  <si>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</si>
  <si>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</si>
  <si>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</si>
  <si>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</si>
  <si>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</si>
  <si>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</si>
  <si>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</si>
  <si>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</si>
  <si>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</si>
  <si>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</si>
  <si>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</si>
  <si>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</si>
  <si>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</si>
  <si>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</si>
  <si>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</si>
  <si>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</si>
  <si>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</si>
  <si>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</si>
  <si>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</si>
  <si>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</si>
  <si>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</si>
  <si>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</si>
  <si>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</si>
  <si>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</si>
  <si>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</si>
  <si>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</si>
  <si>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</si>
  <si>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</si>
  <si>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</si>
  <si>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</si>
  <si>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</si>
  <si>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</si>
  <si>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</si>
  <si>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</si>
  <si>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</si>
  <si>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</si>
  <si>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</si>
  <si>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</si>
  <si>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</si>
  <si>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</si>
  <si>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</si>
  <si>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</si>
  <si>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</si>
  <si>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</si>
  <si>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</si>
  <si>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</si>
  <si>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</si>
  <si>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</si>
  <si>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</si>
  <si>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</si>
  <si>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</si>
  <si>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</si>
  <si>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</si>
  <si>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</si>
  <si>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</si>
  <si>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</si>
  <si>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</si>
  <si>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</si>
  <si>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</si>
  <si>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</si>
  <si>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</si>
  <si>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</si>
  <si>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</si>
  <si>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</si>
  <si>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</si>
  <si>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</si>
  <si>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</si>
  <si>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</si>
  <si>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</si>
  <si>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</si>
  <si>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</si>
  <si>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</si>
  <si>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</si>
  <si>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</si>
  <si>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</si>
  <si>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</si>
  <si>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</si>
  <si>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</si>
  <si>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</si>
  <si>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</si>
  <si>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</si>
  <si>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</si>
  <si>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</si>
  <si>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</si>
  <si>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</si>
  <si>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</si>
  <si>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</si>
  <si>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</si>
  <si>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</si>
  <si>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</si>
  <si>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</si>
  <si>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</si>
  <si>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</si>
  <si>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</si>
  <si>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</si>
  <si>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</si>
  <si>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</si>
  <si>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</si>
  <si>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</si>
  <si>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</si>
  <si>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</si>
  <si>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</si>
  <si>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</si>
  <si>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</si>
  <si>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</si>
  <si>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</si>
  <si>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</si>
  <si>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</si>
  <si>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</si>
  <si>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</si>
  <si>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</si>
  <si>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</si>
  <si>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</si>
  <si>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</si>
  <si>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</si>
  <si>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</si>
  <si>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</si>
  <si>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</si>
  <si>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</si>
  <si>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</si>
  <si>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</si>
  <si>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</si>
  <si>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</si>
  <si>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</si>
  <si>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</si>
  <si>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</si>
  <si>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</si>
  <si>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</si>
  <si>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</si>
  <si>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</si>
  <si>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</si>
  <si>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</si>
  <si>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</si>
  <si>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</si>
  <si>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</si>
  <si>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</si>
  <si>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</si>
  <si>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</si>
  <si>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</si>
  <si>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</si>
  <si>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</si>
  <si>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</si>
  <si>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</si>
  <si>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</si>
  <si>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</si>
  <si>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</si>
  <si>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</si>
  <si>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</si>
  <si>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</si>
  <si>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</si>
  <si>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</si>
  <si>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</si>
  <si>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</si>
  <si>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</si>
  <si>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</si>
  <si>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</si>
  <si>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</si>
  <si>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</si>
  <si>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</si>
  <si>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</si>
  <si>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</si>
  <si>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</si>
  <si>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</si>
  <si>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</si>
  <si>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</si>
  <si>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</si>
  <si>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</si>
  <si>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</si>
  <si>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</si>
  <si>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</si>
  <si>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</si>
  <si>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</si>
  <si>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</si>
  <si>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</si>
  <si>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</si>
  <si>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</si>
  <si>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</si>
  <si>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</si>
  <si>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</si>
  <si>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Shiawassee County (68,094) - $330,936.84</t>
  </si>
  <si>
    <t>Shiawassee Twp Fire Department</t>
  </si>
  <si>
    <t>Shiawassee County Road Comission</t>
  </si>
  <si>
    <t>Municipality</t>
  </si>
  <si>
    <t>Complete</t>
  </si>
  <si>
    <r>
      <rPr>
        <b/>
        <sz val="10"/>
        <rFont val="Arial"/>
        <family val="2"/>
      </rPr>
      <t>CAT E: Estimate $21,962.00</t>
    </r>
    <r>
      <rPr>
        <sz val="10"/>
        <rFont val="Arial"/>
        <family val="2"/>
      </rPr>
      <t xml:space="preserve"> for damages to Township Fire Station. </t>
    </r>
    <r>
      <rPr>
        <b/>
        <sz val="10"/>
        <rFont val="Arial"/>
        <family val="2"/>
      </rPr>
      <t>Validated: $21,962.00</t>
    </r>
    <r>
      <rPr>
        <sz val="10"/>
        <rFont val="Arial"/>
        <family val="2"/>
      </rPr>
      <t xml:space="preserve"> utilizing Applicant provided photos, damages descriptions, and cost estimate. Damage cost is currently under the TWP's incurance deductible. </t>
    </r>
  </si>
  <si>
    <t>County</t>
  </si>
  <si>
    <r>
      <rPr>
        <b/>
        <sz val="10"/>
        <rFont val="Arial"/>
        <family val="2"/>
      </rPr>
      <t xml:space="preserve">CAT A: Estimated $42,103.18 </t>
    </r>
    <r>
      <rPr>
        <sz val="10"/>
        <rFont val="Arial"/>
        <family val="2"/>
      </rPr>
      <t>for debris removal operations county wide.</t>
    </r>
    <r>
      <rPr>
        <b/>
        <sz val="10"/>
        <rFont val="Arial"/>
        <family val="2"/>
      </rPr>
      <t xml:space="preserve"> Reduced: $15,563.16</t>
    </r>
    <r>
      <rPr>
        <sz val="10"/>
        <rFont val="Arial"/>
        <family val="2"/>
      </rPr>
      <t xml:space="preserve"> for costs assiciagted with debris removal operations prior to the incident period.</t>
    </r>
    <r>
      <rPr>
        <b/>
        <sz val="10"/>
        <rFont val="Arial"/>
        <family val="2"/>
      </rPr>
      <t xml:space="preserve"> Validated: $26,540.02 </t>
    </r>
    <r>
      <rPr>
        <sz val="10"/>
        <rFont val="Arial"/>
        <family val="2"/>
      </rPr>
      <t xml:space="preserve">utilizing Applicant provided damage description and cost summary. </t>
    </r>
    <r>
      <rPr>
        <b/>
        <sz val="10"/>
        <rFont val="Arial"/>
        <family val="2"/>
      </rPr>
      <t xml:space="preserve">
CAT C: Estimated $5483.82 </t>
    </r>
    <r>
      <rPr>
        <sz val="10"/>
        <rFont val="Arial"/>
        <family val="2"/>
      </rPr>
      <t xml:space="preserve">for damage to one road and two signs. </t>
    </r>
    <r>
      <rPr>
        <b/>
        <sz val="10"/>
        <rFont val="Arial"/>
        <family val="2"/>
      </rPr>
      <t xml:space="preserve">Validated $5483.82 </t>
    </r>
    <r>
      <rPr>
        <sz val="10"/>
        <rFont val="Arial"/>
        <family val="2"/>
      </rPr>
      <t xml:space="preserve">utilizing Applicant provided damage description and cost summary.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</si>
</sst>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1" sqref="F11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193</v>
      </c>
      <c r="E3" s="63">
        <f>SUM(Table6[[A]:[B]])</f>
        <v>26540.02</v>
      </c>
      <c r="F3" s="64"/>
      <c r="G3" s="55">
        <f>SUM(Table6[[C]:[G]])</f>
        <v>27445.63</v>
      </c>
      <c r="H3" s="56"/>
      <c r="I3" s="56"/>
      <c r="J3" s="56"/>
      <c r="K3" s="57"/>
      <c r="L3" s="9">
        <f>SUM(Table6[Applicant Total])</f>
        <v>53985.65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209</v>
      </c>
      <c r="D6" s="11" t="s">
        <v>210</v>
      </c>
      <c r="E6" s="13"/>
      <c r="F6" s="12"/>
      <c r="G6" s="12"/>
      <c r="H6" s="13"/>
      <c r="I6" s="13">
        <v>21962</v>
      </c>
      <c r="J6" s="13"/>
      <c r="K6" s="13"/>
      <c r="L6" s="15">
        <f>SUM(Table6[[#This Row],[A]:[G]])</f>
        <v>21962</v>
      </c>
    </row>
    <row r="7" spans="1:12" x14ac:dyDescent="0.25">
      <c r="B7" s="10" t="s">
        <v>208</v>
      </c>
      <c r="C7" s="10" t="s">
        <v>212</v>
      </c>
      <c r="D7" s="11" t="s">
        <v>210</v>
      </c>
      <c r="E7" s="13">
        <v>26540.02</v>
      </c>
      <c r="F7" s="13"/>
      <c r="G7" s="12">
        <v>5483.63</v>
      </c>
      <c r="H7" s="12"/>
      <c r="I7" s="13"/>
      <c r="J7" s="13"/>
      <c r="K7" s="13"/>
      <c r="L7" s="15">
        <f>SUM(Table6[[#This Row],[A]:[G]])</f>
        <v>32023.65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Shiawassee Twp Fire Department</v>
      </c>
      <c r="B2" s="49" t="s">
        <v>211</v>
      </c>
    </row>
    <row r="3" spans="1:2" ht="45" customHeight="1" x14ac:dyDescent="0.25">
      <c r="A3" s="28" t="str">
        <f>'County Summary'!B7</f>
        <v>Shiawassee County Road Comission</v>
      </c>
      <c r="B3" s="49" t="s">
        <v>213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A25081-909D-443B-BAA8-C27025428A69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purl.org/dc/terms/"/>
    <ds:schemaRef ds:uri="http://www.w3.org/XML/1998/namespace"/>
    <ds:schemaRef ds:uri="4f1a833c-a938-4a5e-81e3-99cd1b92e52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38c035d-569c-47ab-a864-fdd8ae3d4516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2026-05-21T19:13:47Z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