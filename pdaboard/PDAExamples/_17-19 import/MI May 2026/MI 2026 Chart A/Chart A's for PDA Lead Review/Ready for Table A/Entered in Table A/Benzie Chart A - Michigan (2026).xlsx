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27" documentId="13_ncr:1_{4B26DC56-3104-4C3E-A816-A5885244DC2D}" xr6:coauthVersionLast="47" xr6:coauthVersionMax="47" xr10:uidLastSave="{BC37FCFA-AE3F-42C0-8615-CC4DB7EC451B}"/>
  <bookViews>
    <workbookView minimized="1" xWindow="30195" yWindow="1395" windowWidth="17280" windowHeight="888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4" l="1"/>
  <c r="G4" i="9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<sst xmlns="http://schemas.openxmlformats.org/spreadsheetml/2006/main" count="235" uniqueCount="223">
  <si>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</si>
  <si>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</si>
  <si>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</si>
  <si>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</si>
  <si>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</si>
  <si>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</si>
  <si>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</si>
  <si>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</si>
  <si>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</si>
  <si>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</si>
  <si>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</si>
  <si>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</si>
  <si>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</si>
  <si>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</si>
  <si>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</si>
  <si>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</si>
  <si>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</si>
  <si>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</si>
  <si>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</si>
  <si>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</si>
  <si>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</si>
  <si>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</si>
  <si>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</si>
  <si>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</si>
  <si>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</si>
  <si>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</si>
  <si>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</si>
  <si>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</si>
  <si>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</si>
  <si>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</si>
  <si>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</si>
  <si>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</si>
  <si>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</si>
  <si>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</si>
  <si>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</si>
  <si>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</si>
  <si>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</si>
  <si>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</si>
  <si>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</si>
  <si>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</si>
  <si>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</si>
  <si>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</si>
  <si>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</si>
  <si>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</si>
  <si>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</si>
  <si>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</si>
  <si>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</si>
  <si>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</si>
  <si>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</si>
  <si>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</si>
  <si>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</si>
  <si>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</si>
  <si>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</si>
  <si>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</si>
  <si>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</si>
  <si>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</si>
  <si>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</si>
  <si>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</si>
  <si>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</si>
  <si>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</si>
  <si>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</si>
  <si>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</si>
  <si>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</si>
  <si>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</si>
  <si>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</si>
  <si>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</si>
  <si>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</si>
  <si>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</si>
  <si>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</si>
  <si>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</si>
  <si>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</si>
  <si>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</si>
  <si>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</si>
  <si>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</si>
  <si>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</si>
  <si>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</si>
  <si>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</si>
  <si>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</si>
  <si>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</si>
  <si>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</si>
  <si>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</si>
  <si>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</si>
  <si>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</si>
  <si>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</si>
  <si>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</si>
  <si>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</si>
  <si>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</si>
  <si>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</si>
  <si>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</si>
  <si>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</si>
  <si>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</si>
  <si>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</si>
  <si>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</si>
  <si>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</si>
  <si>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</si>
  <si>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</si>
  <si>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</si>
  <si>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</si>
  <si>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</si>
  <si>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</si>
  <si>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</si>
  <si>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</si>
  <si>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</si>
  <si>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</si>
  <si>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</si>
  <si>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</si>
  <si>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</si>
  <si>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</si>
  <si>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</si>
  <si>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</si>
  <si>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</si>
  <si>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</si>
  <si>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</si>
  <si>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</si>
  <si>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</si>
  <si>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</si>
  <si>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</si>
  <si>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</si>
  <si>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</si>
  <si>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</si>
  <si>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</si>
  <si>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</si>
  <si>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</si>
  <si>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</si>
  <si>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</si>
  <si>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</si>
  <si>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</si>
  <si>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</si>
  <si>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</si>
  <si>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</si>
  <si>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</si>
  <si>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</si>
  <si>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</si>
  <si>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</si>
  <si>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</si>
  <si>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</si>
  <si>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</si>
  <si>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</si>
  <si>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</si>
  <si>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</si>
  <si>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</si>
  <si>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</si>
  <si>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</si>
  <si>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</si>
  <si>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</si>
  <si>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</si>
  <si>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</si>
  <si>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</si>
  <si>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</si>
  <si>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</si>
  <si>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</si>
  <si>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</si>
  <si>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</si>
  <si>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</si>
  <si>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</si>
  <si>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</si>
  <si>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</si>
  <si>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</si>
  <si>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</si>
  <si>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</si>
  <si>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</si>
  <si>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</si>
  <si>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</si>
  <si>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</si>
  <si>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</si>
  <si>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</si>
  <si>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</si>
  <si>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</si>
  <si>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</si>
  <si>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</si>
  <si>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</si>
  <si>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</si>
  <si>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</si>
  <si>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</si>
  <si>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</si>
  <si>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</si>
  <si>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</si>
  <si>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</si>
  <si>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</si>
  <si>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</si>
  <si>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</si>
  <si>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</si>
  <si>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</si>
  <si>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</si>
  <si>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</si>
  <si>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</si>
  <si>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</si>
  <si>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</si>
  <si>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</si>
  <si>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</si>
  <si>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</si>
  <si>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</si>
  <si>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</si>
  <si>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</si>
  <si>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</si>
  <si>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</si>
  <si>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</si>
  <si>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</si>
  <si>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</si>
  <si>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</si>
  <si>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</si>
  <si>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</si>
  <si>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</si>
  <si>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</si>
  <si>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</si>
  <si>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</si>
  <si>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Benzie County Road Commission</t>
  </si>
  <si>
    <t>Benzonia Township</t>
  </si>
  <si>
    <t>Betsie Valley Trail</t>
  </si>
  <si>
    <t>Homstead Dam - Benzie Labor emergency protective measures</t>
  </si>
  <si>
    <t>Village of Beulah</t>
  </si>
  <si>
    <t>County</t>
  </si>
  <si>
    <t>Benzie County (17,970) - $87,334.20</t>
  </si>
  <si>
    <t>Municipality</t>
  </si>
  <si>
    <t>Government</t>
  </si>
  <si>
    <r>
      <t>CAT G:</t>
    </r>
    <r>
      <rPr>
        <b/>
        <sz val="10"/>
        <rFont val="Arial"/>
        <family val="2"/>
      </rPr>
      <t xml:space="preserve"> Estimated: $7,812</t>
    </r>
    <r>
      <rPr>
        <sz val="10"/>
        <rFont val="Arial"/>
        <family val="2"/>
      </rPr>
      <t xml:space="preserve"> trail washout </t>
    </r>
    <r>
      <rPr>
        <b/>
        <sz val="10"/>
        <rFont val="Arial"/>
        <family val="2"/>
      </rPr>
      <t>Validated: $7,812</t>
    </r>
    <r>
      <rPr>
        <sz val="10"/>
        <rFont val="Arial"/>
        <family val="2"/>
      </rPr>
      <t xml:space="preserve"> with photos and invoices.</t>
    </r>
  </si>
  <si>
    <r>
      <t xml:space="preserve">CAT G: </t>
    </r>
    <r>
      <rPr>
        <b/>
        <sz val="10"/>
        <rFont val="Arial"/>
        <family val="2"/>
      </rPr>
      <t>Estimated: $3,315</t>
    </r>
    <r>
      <rPr>
        <sz val="10"/>
        <rFont val="Arial"/>
        <family val="2"/>
      </rPr>
      <t xml:space="preserve"> trail washout </t>
    </r>
    <r>
      <rPr>
        <b/>
        <sz val="10"/>
        <rFont val="Arial"/>
        <family val="2"/>
      </rPr>
      <t>Reduced: $3,315</t>
    </r>
    <r>
      <rPr>
        <sz val="10"/>
        <rFont val="Arial"/>
        <family val="2"/>
      </rPr>
      <t xml:space="preserve"> for not meeting FY26 minimum project threshold of $4,100.</t>
    </r>
    <r>
      <rPr>
        <b/>
        <sz val="10"/>
        <rFont val="Arial"/>
        <family val="2"/>
      </rPr>
      <t>Validated: 0</t>
    </r>
  </si>
  <si>
    <t>Complete</t>
  </si>
  <si>
    <r>
      <t xml:space="preserve">CAT F: </t>
    </r>
    <r>
      <rPr>
        <b/>
        <sz val="10"/>
        <rFont val="Arial"/>
        <family val="2"/>
      </rPr>
      <t>Estimated: $187,982</t>
    </r>
    <r>
      <rPr>
        <sz val="10"/>
        <rFont val="Arial"/>
        <family val="2"/>
      </rPr>
      <t xml:space="preserve"> lift station damaged, emergency pumping and replacement. </t>
    </r>
    <r>
      <rPr>
        <b/>
        <sz val="10"/>
        <rFont val="Arial"/>
        <family val="2"/>
      </rPr>
      <t>Validated $187,982</t>
    </r>
    <r>
      <rPr>
        <sz val="10"/>
        <rFont val="Arial"/>
        <family val="2"/>
      </rPr>
      <t xml:space="preserve"> with applicant supplied invoices and summaries. 
CAT C: </t>
    </r>
    <r>
      <rPr>
        <b/>
        <sz val="10"/>
        <rFont val="Arial"/>
        <family val="2"/>
      </rPr>
      <t xml:space="preserve">Estimated $60,000 </t>
    </r>
    <r>
      <rPr>
        <sz val="10"/>
        <rFont val="Arial"/>
        <family val="2"/>
      </rPr>
      <t xml:space="preserve">two roads for resurfacing. </t>
    </r>
    <r>
      <rPr>
        <b/>
        <sz val="10"/>
        <rFont val="Arial"/>
        <family val="2"/>
      </rPr>
      <t>Reduced: $60,000</t>
    </r>
    <r>
      <rPr>
        <sz val="10"/>
        <rFont val="Arial"/>
        <family val="2"/>
      </rPr>
      <t xml:space="preserve"> photos identified pre-existing damages. </t>
    </r>
    <r>
      <rPr>
        <b/>
        <sz val="10"/>
        <rFont val="Arial"/>
        <family val="2"/>
      </rPr>
      <t>Validated: 0</t>
    </r>
  </si>
  <si>
    <r>
      <t xml:space="preserve">CAT C: Maple City Hyw </t>
    </r>
    <r>
      <rPr>
        <b/>
        <sz val="10"/>
        <rFont val="Arial"/>
        <family val="2"/>
      </rPr>
      <t>Estimated: $120, 935</t>
    </r>
    <r>
      <rPr>
        <sz val="10"/>
        <rFont val="Arial"/>
        <family val="2"/>
      </rPr>
      <t xml:space="preserve"> high water damage to culverts</t>
    </r>
    <r>
      <rPr>
        <b/>
        <sz val="10"/>
        <rFont val="Arial"/>
        <family val="2"/>
      </rPr>
      <t xml:space="preserve"> Reduced: $120,935</t>
    </r>
    <r>
      <rPr>
        <sz val="10"/>
        <rFont val="Arial"/>
        <family val="2"/>
      </rPr>
      <t xml:space="preserve"> The damages are ineligible for FEMA PA due to the road covered by the FHWA.
CAT C: Gorivan Rd </t>
    </r>
    <r>
      <rPr>
        <b/>
        <sz val="10"/>
        <rFont val="Arial"/>
        <family val="2"/>
      </rPr>
      <t>Estimated: $175,559</t>
    </r>
    <r>
      <rPr>
        <sz val="10"/>
        <rFont val="Arial"/>
        <family val="2"/>
      </rPr>
      <t xml:space="preserve"> water damage eroded asphalt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$175,559</t>
    </r>
    <r>
      <rPr>
        <sz val="10"/>
        <rFont val="Arial"/>
        <family val="2"/>
      </rPr>
      <t xml:space="preserve"> Reviewed contractor estimate and photos, the damages are pre-existing.</t>
    </r>
  </si>
  <si>
    <t>No documents supplied will coordinate with State to submit Sheriff Dept OT.</t>
  </si>
  <si>
    <t>MDNR- Benzie County</t>
  </si>
  <si>
    <r>
      <t xml:space="preserve">Cat. D: </t>
    </r>
    <r>
      <rPr>
        <b/>
        <sz val="10"/>
        <rFont val="Arial"/>
        <family val="2"/>
      </rPr>
      <t xml:space="preserve">Estimated $35,893 </t>
    </r>
    <r>
      <rPr>
        <sz val="10"/>
        <rFont val="Arial"/>
        <family val="2"/>
      </rPr>
      <t xml:space="preserve">provided photos, cost estimate to document repairs to the aubtements at Homestead Dam in Benzie County. </t>
    </r>
    <r>
      <rPr>
        <b/>
        <sz val="10"/>
        <rFont val="Arial"/>
        <family val="2"/>
      </rPr>
      <t>Validated $35,893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</si>
</sst>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1" sqref="B11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212</v>
      </c>
      <c r="C3" s="68"/>
      <c r="D3" s="14" t="s">
        <v>199</v>
      </c>
      <c r="E3" s="63">
        <f>SUM(Table6[[A]:[B]])</f>
        <v>0</v>
      </c>
      <c r="F3" s="64"/>
      <c r="G3" s="55">
        <f>SUM(Table6[[C]:[G]])</f>
        <v>231686.62</v>
      </c>
      <c r="H3" s="56"/>
      <c r="I3" s="56"/>
      <c r="J3" s="56"/>
      <c r="K3" s="57"/>
      <c r="L3" s="9">
        <f>SUM(Table6[Applicant Total])</f>
        <v>231686.62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206</v>
      </c>
      <c r="C6" s="10" t="s">
        <v>211</v>
      </c>
      <c r="D6" s="11" t="s">
        <v>217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5">
      <c r="B7" s="10" t="s">
        <v>207</v>
      </c>
      <c r="C7" s="10" t="s">
        <v>213</v>
      </c>
      <c r="D7" s="11" t="s">
        <v>217</v>
      </c>
      <c r="E7" s="13"/>
      <c r="F7" s="13"/>
      <c r="G7" s="12"/>
      <c r="H7" s="12"/>
      <c r="I7" s="13"/>
      <c r="J7" s="13"/>
      <c r="K7" s="13">
        <v>7812</v>
      </c>
      <c r="L7" s="15">
        <f>SUM(Table6[[#This Row],[A]:[G]])</f>
        <v>7812</v>
      </c>
    </row>
    <row r="8" spans="1:12" x14ac:dyDescent="0.25">
      <c r="B8" s="10" t="s">
        <v>208</v>
      </c>
      <c r="C8" s="10" t="s">
        <v>211</v>
      </c>
      <c r="D8" s="11" t="s">
        <v>217</v>
      </c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 t="s">
        <v>209</v>
      </c>
      <c r="C9" s="10" t="s">
        <v>214</v>
      </c>
      <c r="D9" s="11" t="s">
        <v>217</v>
      </c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 t="s">
        <v>210</v>
      </c>
      <c r="C10" s="10" t="s">
        <v>213</v>
      </c>
      <c r="D10" s="11" t="s">
        <v>217</v>
      </c>
      <c r="E10" s="13"/>
      <c r="F10" s="13"/>
      <c r="G10" s="13"/>
      <c r="H10" s="13"/>
      <c r="I10" s="13"/>
      <c r="J10" s="13">
        <v>187982</v>
      </c>
      <c r="K10" s="13"/>
      <c r="L10" s="15">
        <f>SUM(Table6[[#This Row],[A]:[G]])</f>
        <v>187982</v>
      </c>
    </row>
    <row r="11" spans="1:12" x14ac:dyDescent="0.25">
      <c r="B11" s="10" t="s">
        <v>221</v>
      </c>
      <c r="C11" s="10" t="s">
        <v>214</v>
      </c>
      <c r="D11" s="11" t="s">
        <v>217</v>
      </c>
      <c r="E11" s="13"/>
      <c r="F11" s="13"/>
      <c r="G11" s="13"/>
      <c r="H11" s="13">
        <f>32434.62+3458</f>
        <v>35892.619999999995</v>
      </c>
      <c r="I11" s="13"/>
      <c r="J11" s="13"/>
      <c r="K11" s="13"/>
      <c r="L11" s="15">
        <f>SUM(Table6[[#This Row],[A]:[G]])</f>
        <v>35892.619999999995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7" sqref="B7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Benzie County Road Commission</v>
      </c>
      <c r="B2" s="49" t="s">
        <v>219</v>
      </c>
    </row>
    <row r="3" spans="1:2" ht="45" customHeight="1" x14ac:dyDescent="0.25">
      <c r="A3" s="28" t="str">
        <f>'County Summary'!B7</f>
        <v>Benzonia Township</v>
      </c>
      <c r="B3" s="10" t="s">
        <v>215</v>
      </c>
    </row>
    <row r="4" spans="1:2" ht="45" customHeight="1" x14ac:dyDescent="0.25">
      <c r="A4" s="28" t="str">
        <f>'County Summary'!B8</f>
        <v>Betsie Valley Trail</v>
      </c>
      <c r="B4" s="10" t="s">
        <v>216</v>
      </c>
    </row>
    <row r="5" spans="1:2" ht="45" customHeight="1" x14ac:dyDescent="0.25">
      <c r="A5" s="28" t="str">
        <f>'County Summary'!B9</f>
        <v>Homstead Dam - Benzie Labor emergency protective measures</v>
      </c>
      <c r="B5" s="10" t="s">
        <v>220</v>
      </c>
    </row>
    <row r="6" spans="1:2" ht="45" customHeight="1" x14ac:dyDescent="0.25">
      <c r="A6" s="28" t="str">
        <f>'County Summary'!B10</f>
        <v>Village of Beulah</v>
      </c>
      <c r="B6" s="49" t="s">
        <v>218</v>
      </c>
    </row>
    <row r="7" spans="1:2" ht="45" customHeight="1" x14ac:dyDescent="0.25">
      <c r="A7" s="28" t="str">
        <f>'County Summary'!B11</f>
        <v>MDNR- Benzie County</v>
      </c>
      <c r="B7" s="10" t="s">
        <v>222</v>
      </c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B6618A-A1B9-4FC9-925A-722407B3AAF8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4f1a833c-a938-4a5e-81e3-99cd1b92e526"/>
    <ds:schemaRef ds:uri="http://purl.org/dc/dcmitype/"/>
    <ds:schemaRef ds:uri="http://schemas.microsoft.com/office/2006/documentManagement/types"/>
    <ds:schemaRef ds:uri="http://schemas.microsoft.com/office/infopath/2007/PartnerControls"/>
    <ds:schemaRef ds:uri="538c035d-569c-47ab-a864-fdd8ae3d451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7BE6C-C4B1-49BE-9FFD-BB14F68A9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