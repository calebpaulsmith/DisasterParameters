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/Damage Data/Chart A's for PDA Lead Review/Ready for Table A/Entered in Table A/"/>
    </mc:Choice>
  </mc:AlternateContent>
  <xr:revisionPtr revIDLastSave="87" documentId="8_{44BC6187-4826-4D64-A487-6E4A54AD387C}" xr6:coauthVersionLast="47" xr6:coauthVersionMax="47" xr10:uidLastSave="{9E4D5224-1B60-4B45-8AD0-6A1A39BCE8D0}"/>
  <bookViews>
    <workbookView xWindow="28680" yWindow="-120" windowWidth="29040" windowHeight="15720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<sst xmlns="http://schemas.openxmlformats.org/spreadsheetml/2006/main" count="223" uniqueCount="217">
  <si>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</si>
  <si>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</si>
  <si>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</si>
  <si>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</si>
  <si>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</si>
  <si>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</si>
  <si>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</si>
  <si>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</si>
  <si>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</si>
  <si>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</si>
  <si>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</si>
  <si>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</si>
  <si>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</si>
  <si>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</si>
  <si>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</si>
  <si>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</si>
  <si>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</si>
  <si>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</si>
  <si>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</si>
  <si>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</si>
  <si>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</si>
  <si>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</si>
  <si>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</si>
  <si>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</si>
  <si>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</si>
  <si>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</si>
  <si>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</si>
  <si>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</si>
  <si>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</si>
  <si>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</si>
  <si>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</si>
  <si>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</si>
  <si>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</si>
  <si>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</si>
  <si>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</si>
  <si>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</si>
  <si>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</si>
  <si>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</si>
  <si>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</si>
  <si>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</si>
  <si>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</si>
  <si>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</si>
  <si>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</si>
  <si>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</si>
  <si>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</si>
  <si>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</si>
  <si>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</si>
  <si>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</si>
  <si>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</si>
  <si>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</si>
  <si>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</si>
  <si>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</si>
  <si>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</si>
  <si>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</si>
  <si>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</si>
  <si>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</si>
  <si>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</si>
  <si>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</si>
  <si>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</si>
  <si>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</si>
  <si>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</si>
  <si>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</si>
  <si>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</si>
  <si>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</si>
  <si>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</si>
  <si>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</si>
  <si>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</si>
  <si>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</si>
  <si>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</si>
  <si>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</si>
  <si>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</si>
  <si>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</si>
  <si>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</si>
  <si>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</si>
  <si>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</si>
  <si>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</si>
  <si>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</si>
  <si>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</si>
  <si>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</si>
  <si>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</si>
  <si>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</si>
  <si>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</si>
  <si>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</si>
  <si>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</si>
  <si>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</si>
  <si>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</si>
  <si>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</si>
  <si>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</si>
  <si>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</si>
  <si>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</si>
  <si>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</si>
  <si>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</si>
  <si>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</si>
  <si>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</si>
  <si>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</si>
  <si>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</si>
  <si>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</si>
  <si>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</si>
  <si>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</si>
  <si>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</si>
  <si>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</si>
  <si>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</si>
  <si>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</si>
  <si>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</si>
  <si>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</si>
  <si>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</si>
  <si>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</si>
  <si>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</si>
  <si>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</si>
  <si>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</si>
  <si>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</si>
  <si>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</si>
  <si>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</si>
  <si>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</si>
  <si>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</si>
  <si>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</si>
  <si>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</si>
  <si>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</si>
  <si>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</si>
  <si>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</si>
  <si>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</si>
  <si>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</si>
  <si>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</si>
  <si>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</si>
  <si>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</si>
  <si>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</si>
  <si>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</si>
  <si>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</si>
  <si>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</si>
  <si>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</si>
  <si>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</si>
  <si>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</si>
  <si>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</si>
  <si>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</si>
  <si>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</si>
  <si>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</si>
  <si>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</si>
  <si>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</si>
  <si>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</si>
  <si>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</si>
  <si>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</si>
  <si>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</si>
  <si>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</si>
  <si>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</si>
  <si>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</si>
  <si>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</si>
  <si>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</si>
  <si>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</si>
  <si>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</si>
  <si>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</si>
  <si>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</si>
  <si>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</si>
  <si>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</si>
  <si>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</si>
  <si>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</si>
  <si>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</si>
  <si>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</si>
  <si>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</si>
  <si>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</si>
  <si>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</si>
  <si>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</si>
  <si>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</si>
  <si>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</si>
  <si>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</si>
  <si>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</si>
  <si>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</si>
  <si>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</si>
  <si>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</si>
  <si>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</si>
  <si>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</si>
  <si>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</si>
  <si>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</si>
  <si>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</si>
  <si>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</si>
  <si>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</si>
  <si>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</si>
  <si>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</si>
  <si>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</si>
  <si>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</si>
  <si>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</si>
  <si>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</si>
  <si>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</si>
  <si>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</si>
  <si>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</si>
  <si>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</si>
  <si>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</si>
  <si>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</si>
  <si>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</si>
  <si>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</si>
  <si>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</si>
  <si>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</si>
  <si>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</si>
  <si>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</si>
  <si>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</si>
  <si>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</si>
  <si>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</si>
  <si>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</si>
  <si>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</si>
  <si>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</si>
  <si>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</si>
  <si>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</si>
  <si>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</si>
  <si>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</si>
  <si>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</si>
  <si>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</si>
  <si>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</si>
  <si>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Manistee County (25,032) - $121,655.52</t>
  </si>
  <si>
    <t>Manistee City WWTP</t>
  </si>
  <si>
    <t xml:space="preserve">Manistee County Road Commission </t>
  </si>
  <si>
    <t>Complete</t>
  </si>
  <si>
    <t>County</t>
  </si>
  <si>
    <t>City</t>
  </si>
  <si>
    <r>
      <rPr>
        <b/>
        <sz val="10"/>
        <rFont val="Arial"/>
        <family val="2"/>
      </rPr>
      <t>CAT B:  Estimated: $8,789.56</t>
    </r>
    <r>
      <rPr>
        <sz val="10"/>
        <rFont val="Arial"/>
        <family val="2"/>
      </rPr>
      <t xml:space="preserve"> for emergency operations and repairs to the WWTP pump to prevent back pressure within the sewer system.</t>
    </r>
    <r>
      <rPr>
        <b/>
        <sz val="10"/>
        <rFont val="Arial"/>
        <family val="2"/>
      </rPr>
      <t xml:space="preserve"> Reduced: $513.76 </t>
    </r>
    <r>
      <rPr>
        <sz val="10"/>
        <rFont val="Arial"/>
        <family val="2"/>
      </rPr>
      <t>for regular time hours performing emergency work</t>
    </r>
    <r>
      <rPr>
        <b/>
        <sz val="10"/>
        <rFont val="Arial"/>
        <family val="2"/>
      </rPr>
      <t>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 Validated $8,275.80</t>
    </r>
  </si>
  <si>
    <t>Government</t>
  </si>
  <si>
    <r>
      <rPr>
        <b/>
        <sz val="10"/>
        <rFont val="Arial"/>
        <family val="2"/>
      </rPr>
      <t xml:space="preserve">CAT G:  Estimated:  $7744.61 </t>
    </r>
    <r>
      <rPr>
        <sz val="10"/>
        <rFont val="Arial"/>
        <family val="2"/>
      </rPr>
      <t xml:space="preserve">for repairs riverbanks, trials and access areas due to flooding. </t>
    </r>
    <r>
      <rPr>
        <b/>
        <sz val="10"/>
        <rFont val="Arial"/>
        <family val="2"/>
      </rPr>
      <t>Reduced:  $0.00 Validated $7,744.61</t>
    </r>
    <r>
      <rPr>
        <sz val="10"/>
        <rFont val="Arial"/>
        <family val="2"/>
      </rPr>
      <t xml:space="preserve"> for repairs riverbanks, trials and access areas due to flooding using applicant provided estimates.</t>
    </r>
  </si>
  <si>
    <r>
      <rPr>
        <b/>
        <sz val="10"/>
        <rFont val="Arial"/>
        <family val="2"/>
      </rPr>
      <t xml:space="preserve">CAT A: Estimated: $4202.00 </t>
    </r>
    <r>
      <rPr>
        <sz val="10"/>
        <rFont val="Arial"/>
        <family val="2"/>
      </rPr>
      <t xml:space="preserve">for debris removal and road closure for a pond over-flowing county road.  </t>
    </r>
    <r>
      <rPr>
        <b/>
        <sz val="10"/>
        <rFont val="Arial"/>
        <family val="2"/>
      </rPr>
      <t>Reduced: $0.00 Validated $4,202.00</t>
    </r>
    <r>
      <rPr>
        <sz val="10"/>
        <rFont val="Arial"/>
        <family val="2"/>
      </rPr>
      <t xml:space="preserve"> debris removal and road closures using invoices &amp; estimates provided.  
</t>
    </r>
    <r>
      <rPr>
        <b/>
        <sz val="10"/>
        <rFont val="Arial"/>
        <family val="2"/>
      </rPr>
      <t>CAT C: Estimated: $3,187,287.00</t>
    </r>
    <r>
      <rPr>
        <sz val="10"/>
        <rFont val="Arial"/>
        <family val="2"/>
      </rPr>
      <t xml:space="preserve"> for 3 countywide culverts, 2 bridges, and 17 roads that were washed out due to overland flooding.  </t>
    </r>
    <r>
      <rPr>
        <b/>
        <sz val="10"/>
        <rFont val="Arial"/>
        <family val="2"/>
      </rPr>
      <t>Reduced: $1,254,537.00 for</t>
    </r>
    <r>
      <rPr>
        <sz val="10"/>
        <rFont val="Arial"/>
        <family val="2"/>
      </rPr>
      <t xml:space="preserve"> two bridges (Johnson &amp; Potter Rd) bridge estimates provided included improvements to the pre-disaster condition which cannot be included in PDA, contingency costs, and engineering costs. Applicant provided adjusted estimates and limited their costs to "in-kind" bridge repairs. Terpak Rd had contingency and engineering costs that were removed from the engineer's estimate. </t>
    </r>
    <r>
      <rPr>
        <b/>
        <sz val="10"/>
        <rFont val="Arial"/>
        <family val="2"/>
      </rPr>
      <t>Validated: $1,932,750.00</t>
    </r>
    <r>
      <rPr>
        <sz val="10"/>
        <rFont val="Arial"/>
        <family val="2"/>
      </rPr>
      <t xml:space="preserve"> using applicant provided costs, engineer's estimates, photos,and site inspections.</t>
    </r>
  </si>
  <si>
    <t>MDNR - Manistee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</si>
</sst>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vertical="top"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269240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1405890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1634490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defaultColWidth="16.6640625" defaultRowHeight="13.2" x14ac:dyDescent="0.25"/>
  <cols>
    <col min="1" max="1" width="1.3320312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206</v>
      </c>
      <c r="C3" s="68"/>
      <c r="D3" s="14" t="s">
        <v>202</v>
      </c>
      <c r="E3" s="63">
        <f>SUM(Table6[[A]:[B]])</f>
        <v>12477</v>
      </c>
      <c r="F3" s="64"/>
      <c r="G3" s="55">
        <f>SUM(Table6[[C]:[G]])</f>
        <v>1940494.61</v>
      </c>
      <c r="H3" s="56"/>
      <c r="I3" s="56"/>
      <c r="J3" s="56"/>
      <c r="K3" s="57"/>
      <c r="L3" s="9">
        <f>SUM(Table6[Applicant Total])</f>
        <v>1952971.61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211</v>
      </c>
      <c r="D6" s="11" t="s">
        <v>209</v>
      </c>
      <c r="E6" s="13"/>
      <c r="F6" s="12">
        <v>8275</v>
      </c>
      <c r="G6" s="12"/>
      <c r="H6" s="13">
        <v>0</v>
      </c>
      <c r="I6" s="13">
        <v>0</v>
      </c>
      <c r="J6" s="13"/>
      <c r="K6" s="13"/>
      <c r="L6" s="15">
        <f>SUM(Table6[[#This Row],[A]:[G]])</f>
        <v>8275</v>
      </c>
    </row>
    <row r="7" spans="1:12" x14ac:dyDescent="0.25">
      <c r="B7" s="10" t="s">
        <v>208</v>
      </c>
      <c r="C7" s="10" t="s">
        <v>210</v>
      </c>
      <c r="D7" s="11" t="s">
        <v>209</v>
      </c>
      <c r="E7" s="13">
        <v>4202</v>
      </c>
      <c r="F7" s="13"/>
      <c r="G7" s="12">
        <v>1932750</v>
      </c>
      <c r="H7" s="12"/>
      <c r="I7" s="13"/>
      <c r="J7" s="13"/>
      <c r="K7" s="13"/>
      <c r="L7" s="15">
        <f>SUM(Table6[[#This Row],[A]:[G]])</f>
        <v>1936952</v>
      </c>
    </row>
    <row r="8" spans="1:12" x14ac:dyDescent="0.25">
      <c r="B8" s="10" t="s">
        <v>216</v>
      </c>
      <c r="C8" s="10" t="s">
        <v>213</v>
      </c>
      <c r="D8" s="11" t="s">
        <v>209</v>
      </c>
      <c r="E8" s="13"/>
      <c r="F8" s="13"/>
      <c r="G8" s="13"/>
      <c r="H8" s="13"/>
      <c r="I8" s="13"/>
      <c r="J8" s="13"/>
      <c r="K8" s="13">
        <v>7744.61</v>
      </c>
      <c r="L8" s="15">
        <f>SUM(Table6[[#This Row],[A]:[G]])</f>
        <v>7744.61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4" sqref="B4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Manistee City WWTP</v>
      </c>
      <c r="B2" s="49" t="s">
        <v>212</v>
      </c>
    </row>
    <row r="3" spans="1:2" ht="79.2" x14ac:dyDescent="0.25">
      <c r="A3" s="28" t="str">
        <f>'County Summary'!B7</f>
        <v xml:space="preserve">Manistee County Road Commission </v>
      </c>
      <c r="B3" s="49" t="s">
        <v>215</v>
      </c>
    </row>
    <row r="4" spans="1:2" ht="45" customHeight="1" x14ac:dyDescent="0.25">
      <c r="A4" s="28" t="str">
        <f>'County Summary'!B8</f>
        <v>MDNR - Manistee County</v>
      </c>
      <c r="B4" s="49" t="s">
        <v>214</v>
      </c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B6618A-A1B9-4FC9-925A-722407B3AAF8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538c035d-569c-47ab-a864-fdd8ae3d4516"/>
    <ds:schemaRef ds:uri="http://schemas.microsoft.com/office/infopath/2007/PartnerControls"/>
    <ds:schemaRef ds:uri="http://purl.org/dc/dcmitype/"/>
    <ds:schemaRef ds:uri="4f1a833c-a938-4a5e-81e3-99cd1b92e52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B45390-3E1B-4AC7-A73B-DFA91FCE91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863bcaf-4433-4a95-89dd-302e4b0159a1}" enabled="0" method="" siteId="{2863bcaf-4433-4a95-89dd-302e4b0159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Punzalan, Eric</cp:lastModifiedBy>
  <cp:lastPrinted>2021-08-11T17:13:15Z</cp:lastPrinted>
  <dcterms:created xsi:type="dcterms:W3CDTF">2000-06-27T13:20:49Z</dcterms:created>
  <dcterms:modified xsi:type="dcterms:W3CDTF">2026-07-08T13:36:33Z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