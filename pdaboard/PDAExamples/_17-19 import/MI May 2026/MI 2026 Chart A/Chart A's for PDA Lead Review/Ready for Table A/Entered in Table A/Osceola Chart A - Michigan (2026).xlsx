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301" documentId="13_ncr:1_{4B26DC56-3104-4C3E-A816-A5885244DC2D}" xr6:coauthVersionLast="47" xr6:coauthVersionMax="47" xr10:uidLastSave="{4B53851C-146C-42CA-BAEF-A4B82EBB393A}"/>
  <bookViews>
    <workbookView xWindow="-12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L7" i="4" l="1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<sst xmlns="http://schemas.openxmlformats.org/spreadsheetml/2006/main" count="233" uniqueCount="217">
  <si>
    <t>A</t>
  </si>
  <si>
    <t>B</t>
  </si>
  <si>
    <t>C</t>
  </si>
  <si>
    <t>D</t>
  </si>
  <si>
    <t>E</t>
  </si>
  <si>
    <t>F</t>
  </si>
  <si>
    <t>G</t>
  </si>
  <si>
    <t>FEMA Inspector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</si>
  <si>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</si>
  <si>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</si>
  <si>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</si>
  <si>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</si>
  <si>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</si>
  <si>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</si>
  <si>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</si>
  <si>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</si>
  <si>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</si>
  <si>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</si>
  <si>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</si>
  <si>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</si>
  <si>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</si>
  <si>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</si>
  <si>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</si>
  <si>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</si>
  <si>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</si>
  <si>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</si>
  <si>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</si>
  <si>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</si>
  <si>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</si>
  <si>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</si>
  <si>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</si>
  <si>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</si>
  <si>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</si>
  <si>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</si>
  <si>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</si>
  <si>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</si>
  <si>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</si>
  <si>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</si>
  <si>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</si>
  <si>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</si>
  <si>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</si>
  <si>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</si>
  <si>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</si>
  <si>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</si>
  <si>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</si>
  <si>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</si>
  <si>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</si>
  <si>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</si>
  <si>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</si>
  <si>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</si>
  <si>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</si>
  <si>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</si>
  <si>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</si>
  <si>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</si>
  <si>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</si>
  <si>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</si>
  <si>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</si>
  <si>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</si>
  <si>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</si>
  <si>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</si>
  <si>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</si>
  <si>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</si>
  <si>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</si>
  <si>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</si>
  <si>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</si>
  <si>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</si>
  <si>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</si>
  <si>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</si>
  <si>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</si>
  <si>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</si>
  <si>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</si>
  <si>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</si>
  <si>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</si>
  <si>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</si>
  <si>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</si>
  <si>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</si>
  <si>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</si>
  <si>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</si>
  <si>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</si>
  <si>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</si>
  <si>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</si>
  <si>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</si>
  <si>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</si>
  <si>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</si>
  <si>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</si>
  <si>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</si>
  <si>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</si>
  <si>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</si>
  <si>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</si>
  <si>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</si>
  <si>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</si>
  <si>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</si>
  <si>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</si>
  <si>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</si>
  <si>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</si>
  <si>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</si>
  <si>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</si>
  <si>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</si>
  <si>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</si>
  <si>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</si>
  <si>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</si>
  <si>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</si>
  <si>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</si>
  <si>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</si>
  <si>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</si>
  <si>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</si>
  <si>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</si>
  <si>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</si>
  <si>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</si>
  <si>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</si>
  <si>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</si>
  <si>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</si>
  <si>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</si>
  <si>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</si>
  <si>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</si>
  <si>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</si>
  <si>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</si>
  <si>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</si>
  <si>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</si>
  <si>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</si>
  <si>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</si>
  <si>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</si>
  <si>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</si>
  <si>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</si>
  <si>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</si>
  <si>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</si>
  <si>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</si>
  <si>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</si>
  <si>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</si>
  <si>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</si>
  <si>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</si>
  <si>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</si>
  <si>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</si>
  <si>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</si>
  <si>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</si>
  <si>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</si>
  <si>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</si>
  <si>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</si>
  <si>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</si>
  <si>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</si>
  <si>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</si>
  <si>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</si>
  <si>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</si>
  <si>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</si>
  <si>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</si>
  <si>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</si>
  <si>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</si>
  <si>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</si>
  <si>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</si>
  <si>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</si>
  <si>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</si>
  <si>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</si>
  <si>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</si>
  <si>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</si>
  <si>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</si>
  <si>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</si>
  <si>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</si>
  <si>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</si>
  <si>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</si>
  <si>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</si>
  <si>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</si>
  <si>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</si>
  <si>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</si>
  <si>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</si>
  <si>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</si>
  <si>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</si>
  <si>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</si>
  <si>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</si>
  <si>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</si>
  <si>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</si>
  <si>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</si>
  <si>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</si>
  <si>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</si>
  <si>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</si>
  <si>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</si>
  <si>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</si>
  <si>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</si>
  <si>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</si>
  <si>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</si>
  <si>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</si>
  <si>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</si>
  <si>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</si>
  <si>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</si>
  <si>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</si>
  <si>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</si>
  <si>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</si>
  <si>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</si>
  <si>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</si>
  <si>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</si>
  <si>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</si>
  <si>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</si>
  <si>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</si>
  <si>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</si>
  <si>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</si>
  <si>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</si>
  <si>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</si>
  <si>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</si>
  <si>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</si>
  <si>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</si>
  <si>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</si>
  <si>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</si>
  <si>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</si>
  <si>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</si>
  <si>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</si>
  <si>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</si>
  <si>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Osceola County (22,891) - $111,250.26</t>
  </si>
  <si>
    <t>Evart Area Fire Department</t>
  </si>
  <si>
    <t>Lincoln Township Fire Department</t>
  </si>
  <si>
    <t>Complete</t>
  </si>
  <si>
    <t>Osceola County Road Commission</t>
  </si>
  <si>
    <t>Osceola County Emergency Management</t>
  </si>
  <si>
    <t>Evart City</t>
  </si>
  <si>
    <t>Hersey Township</t>
  </si>
  <si>
    <t>Government</t>
  </si>
  <si>
    <t>PNP</t>
  </si>
  <si>
    <t>MDNR - Osceola County</t>
  </si>
  <si>
    <t>Great Lakes Energy Co-Op - Osceola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</si>
</sst>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5" fillId="6" borderId="1" xfId="0" applyFont="1" applyFill="1" applyBorder="1" applyAlignment="1" applyProtection="1">
      <alignment horizontal="center"/>
    </xf>
    <xf numFmtId="0" fontId="9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1" fillId="0" borderId="15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43" fontId="12" fillId="0" borderId="0" xfId="0" applyNumberFormat="1" applyFont="1" applyProtection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8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7" headerRowBorderDxfId="26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5"/>
    <tableColumn id="2" xr3:uid="{CEF0DEE3-5FBC-4431-8D20-44ADFA086565}" name="Status"/>
    <tableColumn id="3" xr3:uid="{6AE4775A-6962-48E5-A1C4-9FCA9AB9D84E}" name="A" dataDxfId="24"/>
    <tableColumn id="4" xr3:uid="{95329002-0451-4E1E-945B-2C92D7F26AE1}" name="B" dataDxfId="23"/>
    <tableColumn id="5" xr3:uid="{C9970892-8DCE-47CB-869D-F16FA0BD7E06}" name="C" dataDxfId="22"/>
    <tableColumn id="6" xr3:uid="{F0DCACBD-52FF-4FE4-84B1-2D6B25D65311}" name="D" dataDxfId="21"/>
    <tableColumn id="7" xr3:uid="{205919F4-D5DE-486C-90D6-F5D967AC39EC}" name="E" dataDxfId="20"/>
    <tableColumn id="8" xr3:uid="{F9D328E0-74CC-4868-B431-49B3E35EFE9D}" name="F" dataDxfId="19"/>
    <tableColumn id="9" xr3:uid="{03019066-5B79-4995-97FF-5CAED36BB984}" name="G" dataDxfId="18"/>
    <tableColumn id="10" xr3:uid="{1D74BABD-09F2-423C-A7DE-83A1A9B01B7A}" name="Applicant Total" dataDxfId="17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16" dataDxfId="15">
  <autoFilter ref="B2:H100" xr:uid="{7E05BDDB-79A8-4B8C-B3FD-30233A573046}"/>
  <tableColumns count="7">
    <tableColumn id="1" xr3:uid="{EBE6867D-ECD3-4299-939D-6AD6F148135A}" name="Applicant" dataDxfId="14"/>
    <tableColumn id="2" xr3:uid="{092AD1B9-A26D-4C65-80D4-F4E645BEDE6F}" name="Category" dataDxfId="13"/>
    <tableColumn id="5" xr3:uid="{031FC48C-8508-4F40-BBD7-A82654F3D273}" name="Original Costs" dataDxfId="12"/>
    <tableColumn id="6" xr3:uid="{F97F70D9-D148-4C4F-B22E-152C65E54617}" name="Eligible Costs" dataDxfId="11"/>
    <tableColumn id="7" xr3:uid="{ECF49F7D-97C9-4C88-B6A5-8D4FDC500808}" name="Reduction" dataDxfId="10">
      <calculatedColumnFormula>SUM(Table4[[#This Row],[Eligible Costs]]-Table4[[#This Row],[Original Costs]])</calculatedColumnFormula>
    </tableColumn>
    <tableColumn id="8" xr3:uid="{DC442A57-F585-471A-8A83-5F11592FFF28}" name="Reduction Category" dataDxfId="9"/>
    <tableColumn id="9" xr3:uid="{4D9A617B-F667-4CB9-ABB4-BC21B0DB63D3}" name="Note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zoomScale="85" zoomScaleNormal="85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B11" sqref="A11:XFD11"/>
    </sheetView>
  </sheetViews>
  <sheetFormatPr defaultColWidth="16.7109375" defaultRowHeight="12.75" x14ac:dyDescent="0.2"/>
  <cols>
    <col min="1" max="1" width="1.28515625" style="48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s="1" customFormat="1" ht="20.100000000000001" customHeight="1" thickTop="1" thickBot="1" x14ac:dyDescent="0.25">
      <c r="A2" s="48"/>
      <c r="B2" s="62" t="s">
        <v>14</v>
      </c>
      <c r="C2" s="63"/>
      <c r="D2" s="5" t="s">
        <v>7</v>
      </c>
      <c r="E2" s="58" t="s">
        <v>8</v>
      </c>
      <c r="F2" s="59"/>
      <c r="G2" s="49" t="s">
        <v>12</v>
      </c>
      <c r="H2" s="50"/>
      <c r="I2" s="50"/>
      <c r="J2" s="50"/>
      <c r="K2" s="51"/>
      <c r="L2" s="6" t="s">
        <v>10</v>
      </c>
    </row>
    <row r="3" spans="1:12" s="1" customFormat="1" ht="31.15" customHeight="1" thickTop="1" thickBot="1" x14ac:dyDescent="0.25">
      <c r="A3" s="48"/>
      <c r="B3" s="64" t="s">
        <v>205</v>
      </c>
      <c r="C3" s="65"/>
      <c r="D3" s="14" t="s">
        <v>196</v>
      </c>
      <c r="E3" s="60">
        <f>SUM(Table6[[A]:[B]])</f>
        <v>311117.41499999992</v>
      </c>
      <c r="F3" s="61"/>
      <c r="G3" s="52">
        <f>SUM(Table6[[C]:[G]])</f>
        <v>946434.76</v>
      </c>
      <c r="H3" s="53"/>
      <c r="I3" s="53"/>
      <c r="J3" s="53"/>
      <c r="K3" s="54"/>
      <c r="L3" s="9">
        <f>SUM(Table6[Applicant Total])</f>
        <v>1257552.1750000003</v>
      </c>
    </row>
    <row r="4" spans="1:12" ht="14.25" thickTop="1" thickBot="1" x14ac:dyDescent="0.25">
      <c r="B4" s="55"/>
      <c r="C4" s="56"/>
      <c r="D4" s="56"/>
      <c r="E4" s="56"/>
      <c r="F4" s="56"/>
      <c r="G4" s="56"/>
      <c r="H4" s="56"/>
      <c r="I4" s="56"/>
      <c r="J4" s="56"/>
      <c r="K4" s="56"/>
      <c r="L4" s="57"/>
    </row>
    <row r="5" spans="1:12" ht="13.5" thickBot="1" x14ac:dyDescent="0.25">
      <c r="B5" s="16" t="s">
        <v>11</v>
      </c>
      <c r="C5" s="38" t="s">
        <v>184</v>
      </c>
      <c r="D5" s="17" t="s">
        <v>9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6" t="s">
        <v>13</v>
      </c>
    </row>
    <row r="6" spans="1:12" x14ac:dyDescent="0.2">
      <c r="B6" s="10" t="s">
        <v>206</v>
      </c>
      <c r="C6" s="10" t="s">
        <v>213</v>
      </c>
      <c r="D6" s="11" t="s">
        <v>208</v>
      </c>
      <c r="E6" s="13"/>
      <c r="F6" s="12">
        <v>166516.06</v>
      </c>
      <c r="G6" s="12"/>
      <c r="H6" s="13"/>
      <c r="I6" s="13"/>
      <c r="J6" s="13"/>
      <c r="K6" s="13"/>
      <c r="L6" s="15">
        <f>SUM(Table6[[#This Row],[A]:[G]])</f>
        <v>166516.06</v>
      </c>
    </row>
    <row r="7" spans="1:12" x14ac:dyDescent="0.2">
      <c r="B7" s="10" t="s">
        <v>207</v>
      </c>
      <c r="C7" s="10" t="s">
        <v>213</v>
      </c>
      <c r="D7" s="11" t="s">
        <v>208</v>
      </c>
      <c r="E7" s="13"/>
      <c r="F7" s="13">
        <v>10048</v>
      </c>
      <c r="G7" s="12"/>
      <c r="H7" s="12"/>
      <c r="I7" s="13"/>
      <c r="J7" s="13"/>
      <c r="K7" s="13"/>
      <c r="L7" s="15">
        <f>SUM(Table6[[#This Row],[A]:[G]])</f>
        <v>10048</v>
      </c>
    </row>
    <row r="8" spans="1:12" x14ac:dyDescent="0.2">
      <c r="B8" s="10" t="s">
        <v>209</v>
      </c>
      <c r="C8" s="10" t="s">
        <v>213</v>
      </c>
      <c r="D8" s="11" t="s">
        <v>208</v>
      </c>
      <c r="E8" s="13"/>
      <c r="F8" s="13">
        <v>95000</v>
      </c>
      <c r="G8" s="13">
        <v>861500</v>
      </c>
      <c r="H8" s="13"/>
      <c r="I8" s="13"/>
      <c r="J8" s="13"/>
      <c r="K8" s="13"/>
      <c r="L8" s="15">
        <f>SUM(Table6[[#This Row],[A]:[G]])</f>
        <v>956500</v>
      </c>
    </row>
    <row r="9" spans="1:12" x14ac:dyDescent="0.2">
      <c r="B9" s="10" t="s">
        <v>210</v>
      </c>
      <c r="C9" s="10" t="s">
        <v>213</v>
      </c>
      <c r="D9" s="11" t="s">
        <v>208</v>
      </c>
      <c r="E9" s="13">
        <v>12073.6</v>
      </c>
      <c r="F9" s="13">
        <v>8976.9699999999993</v>
      </c>
      <c r="G9" s="13"/>
      <c r="H9" s="13"/>
      <c r="I9" s="13"/>
      <c r="J9" s="13"/>
      <c r="K9" s="13"/>
      <c r="L9" s="15">
        <f>SUM(Table6[[#This Row],[A]:[G]])</f>
        <v>21050.57</v>
      </c>
    </row>
    <row r="10" spans="1:12" x14ac:dyDescent="0.2">
      <c r="B10" s="10" t="s">
        <v>211</v>
      </c>
      <c r="C10" s="10" t="s">
        <v>213</v>
      </c>
      <c r="D10" s="11" t="s">
        <v>208</v>
      </c>
      <c r="E10" s="13">
        <v>5940.665</v>
      </c>
      <c r="F10" s="13"/>
      <c r="G10" s="13">
        <v>24790</v>
      </c>
      <c r="H10" s="13"/>
      <c r="I10" s="13"/>
      <c r="J10" s="13"/>
      <c r="K10" s="13">
        <v>7259</v>
      </c>
      <c r="L10" s="15">
        <f>SUM(Table6[[#This Row],[A]:[G]])</f>
        <v>37989.665000000001</v>
      </c>
    </row>
    <row r="11" spans="1:12" x14ac:dyDescent="0.2">
      <c r="B11" s="10" t="s">
        <v>212</v>
      </c>
      <c r="C11" s="10" t="s">
        <v>213</v>
      </c>
      <c r="D11" s="11" t="s">
        <v>208</v>
      </c>
      <c r="E11" s="13">
        <v>5474.8</v>
      </c>
      <c r="F11" s="13">
        <v>7087.32</v>
      </c>
      <c r="G11" s="13"/>
      <c r="H11" s="13"/>
      <c r="I11" s="13"/>
      <c r="J11" s="13"/>
      <c r="K11" s="13"/>
      <c r="L11" s="15">
        <f>SUM(Table6[[#This Row],[A]:[G]])</f>
        <v>12562.119999999999</v>
      </c>
    </row>
    <row r="12" spans="1:12" ht="15" x14ac:dyDescent="0.25">
      <c r="B12" s="10" t="s">
        <v>216</v>
      </c>
      <c r="C12" s="10" t="s">
        <v>214</v>
      </c>
      <c r="D12" s="11" t="s">
        <v>208</v>
      </c>
      <c r="E12" s="12"/>
      <c r="F12" s="13"/>
      <c r="G12" s="13"/>
      <c r="H12" s="13"/>
      <c r="I12" s="13"/>
      <c r="J12" s="46">
        <v>25385.759999999998</v>
      </c>
      <c r="K12" s="13"/>
      <c r="L12" s="15">
        <f>SUM(Table6[[#This Row],[A]:[G]])</f>
        <v>25385.759999999998</v>
      </c>
    </row>
    <row r="13" spans="1:12" x14ac:dyDescent="0.2">
      <c r="B13" s="10" t="s">
        <v>215</v>
      </c>
      <c r="C13" s="10" t="s">
        <v>213</v>
      </c>
      <c r="D13" s="11" t="s">
        <v>208</v>
      </c>
      <c r="E13" s="13"/>
      <c r="F13" s="13"/>
      <c r="G13" s="13"/>
      <c r="H13" s="13"/>
      <c r="I13" s="13"/>
      <c r="J13" s="13"/>
      <c r="K13" s="13">
        <v>27500</v>
      </c>
      <c r="L13" s="15">
        <f>SUM(Table6[[#This Row],[A]:[G]])</f>
        <v>27500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39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4" customWidth="1"/>
  </cols>
  <sheetData>
    <row r="1" spans="2:8" s="39" customFormat="1" ht="6.6" customHeight="1" x14ac:dyDescent="0.2"/>
    <row r="2" spans="2:8" x14ac:dyDescent="0.2">
      <c r="B2" s="40" t="s">
        <v>11</v>
      </c>
      <c r="C2" s="40" t="s">
        <v>185</v>
      </c>
      <c r="D2" s="41" t="s">
        <v>186</v>
      </c>
      <c r="E2" s="41" t="s">
        <v>187</v>
      </c>
      <c r="F2" s="41" t="s">
        <v>188</v>
      </c>
      <c r="G2" s="42" t="s">
        <v>189</v>
      </c>
      <c r="H2" s="43" t="s">
        <v>190</v>
      </c>
    </row>
    <row r="3" spans="2:8" x14ac:dyDescent="0.2">
      <c r="B3" s="11"/>
      <c r="C3" s="11"/>
      <c r="D3" s="13"/>
      <c r="E3" s="13"/>
      <c r="F3" s="45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5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5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5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5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5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5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5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5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5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5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5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5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5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5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5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5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5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5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5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5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5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5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5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5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5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5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5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5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5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5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5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5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5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5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5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5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5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5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5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5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5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5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5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5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5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5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5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5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5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5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5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5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5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5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5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5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5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5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5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5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5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5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5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5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5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5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5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5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5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5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5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5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5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5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5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5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5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5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5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5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5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5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5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5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5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5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5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5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5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5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5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5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5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5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5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5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5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16</v>
      </c>
    </row>
    <row r="2" spans="1:1" x14ac:dyDescent="0.2">
      <c r="A2" s="27" t="s">
        <v>17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3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191</v>
      </c>
    </row>
    <row r="2" spans="1:10" ht="15" customHeight="1" thickBot="1" x14ac:dyDescent="0.25">
      <c r="A2" s="23"/>
    </row>
    <row r="3" spans="1:10" ht="13.5" thickBot="1" x14ac:dyDescent="0.25">
      <c r="A3" s="7" t="s">
        <v>14</v>
      </c>
      <c r="C3" s="24" t="s">
        <v>15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196</v>
      </c>
      <c r="D4" s="31" t="s">
        <v>25</v>
      </c>
      <c r="E4" s="29">
        <v>10167</v>
      </c>
      <c r="F4" s="34" t="s">
        <v>101</v>
      </c>
      <c r="G4" s="35">
        <f t="shared" ref="G4:G35" si="0">E4*4.86</f>
        <v>49411.62</v>
      </c>
      <c r="H4" s="36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201</v>
      </c>
      <c r="D5" s="31" t="s">
        <v>26</v>
      </c>
      <c r="E5" s="29">
        <v>8842</v>
      </c>
      <c r="F5" s="34" t="s">
        <v>138</v>
      </c>
      <c r="G5" s="35">
        <f t="shared" si="0"/>
        <v>42972.12</v>
      </c>
      <c r="H5" s="36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194</v>
      </c>
      <c r="D6" s="31" t="s">
        <v>27</v>
      </c>
      <c r="E6" s="29">
        <v>120502</v>
      </c>
      <c r="F6" s="34" t="s">
        <v>102</v>
      </c>
      <c r="G6" s="35">
        <f t="shared" si="0"/>
        <v>585639.72000000009</v>
      </c>
      <c r="H6" s="36" t="str">
        <f t="shared" si="1"/>
        <v>$585,639.72</v>
      </c>
      <c r="J6" s="37"/>
    </row>
    <row r="7" spans="1:10" ht="15" x14ac:dyDescent="0.25">
      <c r="A7" s="3" t="str">
        <f t="shared" si="2"/>
        <v>Alpena County (28,907) - $140,488.02</v>
      </c>
      <c r="C7" s="28" t="s">
        <v>202</v>
      </c>
      <c r="D7" s="31" t="s">
        <v>28</v>
      </c>
      <c r="E7" s="29">
        <v>28907</v>
      </c>
      <c r="F7" s="34" t="s">
        <v>103</v>
      </c>
      <c r="G7" s="35">
        <f t="shared" si="0"/>
        <v>140488.02000000002</v>
      </c>
      <c r="H7" s="36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192</v>
      </c>
      <c r="D8" s="31" t="s">
        <v>29</v>
      </c>
      <c r="E8" s="29">
        <v>23431</v>
      </c>
      <c r="F8" s="34" t="s">
        <v>104</v>
      </c>
      <c r="G8" s="35">
        <f t="shared" si="0"/>
        <v>113874.66</v>
      </c>
      <c r="H8" s="36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197</v>
      </c>
      <c r="D9" s="31" t="s">
        <v>30</v>
      </c>
      <c r="E9" s="29">
        <v>15002</v>
      </c>
      <c r="F9" s="34" t="s">
        <v>105</v>
      </c>
      <c r="G9" s="35">
        <f t="shared" si="0"/>
        <v>72909.72</v>
      </c>
      <c r="H9" s="36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204</v>
      </c>
      <c r="D10" s="31" t="s">
        <v>31</v>
      </c>
      <c r="E10" s="29">
        <v>8158</v>
      </c>
      <c r="F10" s="34" t="s">
        <v>106</v>
      </c>
      <c r="G10" s="35">
        <f t="shared" si="0"/>
        <v>39647.880000000005</v>
      </c>
      <c r="H10" s="36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203</v>
      </c>
      <c r="D11" s="31" t="s">
        <v>32</v>
      </c>
      <c r="E11" s="29">
        <v>62423</v>
      </c>
      <c r="F11" s="34" t="s">
        <v>107</v>
      </c>
      <c r="G11" s="35">
        <f t="shared" si="0"/>
        <v>303375.78000000003</v>
      </c>
      <c r="H11" s="36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193</v>
      </c>
      <c r="D12" s="31" t="s">
        <v>33</v>
      </c>
      <c r="E12" s="29">
        <v>103856</v>
      </c>
      <c r="F12" s="34" t="s">
        <v>108</v>
      </c>
      <c r="G12" s="35">
        <f t="shared" si="0"/>
        <v>504740.16000000003</v>
      </c>
      <c r="H12" s="36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198</v>
      </c>
      <c r="D13" s="31" t="s">
        <v>34</v>
      </c>
      <c r="E13" s="29">
        <v>17970</v>
      </c>
      <c r="F13" s="34" t="s">
        <v>109</v>
      </c>
      <c r="G13" s="35">
        <f t="shared" si="0"/>
        <v>87334.200000000012</v>
      </c>
      <c r="H13" s="36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195</v>
      </c>
      <c r="D14" s="31" t="s">
        <v>35</v>
      </c>
      <c r="E14" s="29">
        <v>154316</v>
      </c>
      <c r="F14" s="34" t="s">
        <v>110</v>
      </c>
      <c r="G14" s="35">
        <f t="shared" si="0"/>
        <v>749975.76</v>
      </c>
      <c r="H14" s="36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199</v>
      </c>
      <c r="D15" s="31" t="s">
        <v>36</v>
      </c>
      <c r="E15" s="29">
        <v>44862</v>
      </c>
      <c r="F15" s="34" t="s">
        <v>111</v>
      </c>
      <c r="G15" s="35">
        <f t="shared" si="0"/>
        <v>218029.32</v>
      </c>
      <c r="H15" s="36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200</v>
      </c>
      <c r="D16" s="31" t="s">
        <v>37</v>
      </c>
      <c r="E16" s="29">
        <v>134310</v>
      </c>
      <c r="F16" s="34" t="s">
        <v>112</v>
      </c>
      <c r="G16" s="35">
        <f t="shared" si="0"/>
        <v>652746.60000000009</v>
      </c>
      <c r="H16" s="36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1" t="s">
        <v>38</v>
      </c>
      <c r="E17" s="29">
        <v>51589</v>
      </c>
      <c r="F17" s="34" t="s">
        <v>113</v>
      </c>
      <c r="G17" s="35">
        <f t="shared" si="0"/>
        <v>250722.54</v>
      </c>
      <c r="H17" s="36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1" t="s">
        <v>39</v>
      </c>
      <c r="E18" s="29">
        <v>26054</v>
      </c>
      <c r="F18" s="34" t="s">
        <v>114</v>
      </c>
      <c r="G18" s="35">
        <f t="shared" si="0"/>
        <v>126622.44</v>
      </c>
      <c r="H18" s="36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1" t="s">
        <v>40</v>
      </c>
      <c r="E19" s="29">
        <v>25579</v>
      </c>
      <c r="F19" s="34" t="s">
        <v>115</v>
      </c>
      <c r="G19" s="35">
        <f t="shared" si="0"/>
        <v>124313.94</v>
      </c>
      <c r="H19" s="36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1" t="s">
        <v>21</v>
      </c>
      <c r="E20" s="29">
        <v>36785</v>
      </c>
      <c r="F20" s="34" t="s">
        <v>116</v>
      </c>
      <c r="G20" s="35">
        <f t="shared" si="0"/>
        <v>178775.1</v>
      </c>
      <c r="H20" s="36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1" t="s">
        <v>41</v>
      </c>
      <c r="E21" s="29">
        <v>30856</v>
      </c>
      <c r="F21" s="34" t="s">
        <v>117</v>
      </c>
      <c r="G21" s="35">
        <f t="shared" si="0"/>
        <v>149960.16</v>
      </c>
      <c r="H21" s="36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1" t="s">
        <v>42</v>
      </c>
      <c r="E22" s="29">
        <v>79128</v>
      </c>
      <c r="F22" s="34" t="s">
        <v>118</v>
      </c>
      <c r="G22" s="35">
        <f t="shared" si="0"/>
        <v>384562.08</v>
      </c>
      <c r="H22" s="36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1" t="s">
        <v>19</v>
      </c>
      <c r="E23" s="29">
        <v>12988</v>
      </c>
      <c r="F23" s="34" t="s">
        <v>119</v>
      </c>
      <c r="G23" s="35">
        <f t="shared" si="0"/>
        <v>63121.680000000008</v>
      </c>
      <c r="H23" s="36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1" t="s">
        <v>43</v>
      </c>
      <c r="E24" s="29">
        <v>36903</v>
      </c>
      <c r="F24" s="34" t="s">
        <v>120</v>
      </c>
      <c r="G24" s="35">
        <f t="shared" si="0"/>
        <v>179348.58000000002</v>
      </c>
      <c r="H24" s="36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1" t="s">
        <v>44</v>
      </c>
      <c r="E25" s="29">
        <v>25947</v>
      </c>
      <c r="F25" s="34" t="s">
        <v>121</v>
      </c>
      <c r="G25" s="35">
        <f t="shared" si="0"/>
        <v>126102.42000000001</v>
      </c>
      <c r="H25" s="36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1" t="s">
        <v>45</v>
      </c>
      <c r="E26" s="29">
        <v>109175</v>
      </c>
      <c r="F26" s="34" t="s">
        <v>122</v>
      </c>
      <c r="G26" s="35">
        <f t="shared" si="0"/>
        <v>530590.5</v>
      </c>
      <c r="H26" s="36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1" t="s">
        <v>46</v>
      </c>
      <c r="E27" s="29">
        <v>34112</v>
      </c>
      <c r="F27" s="34" t="s">
        <v>123</v>
      </c>
      <c r="G27" s="35">
        <f t="shared" si="0"/>
        <v>165784.32000000001</v>
      </c>
      <c r="H27" s="36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1" t="s">
        <v>47</v>
      </c>
      <c r="E28" s="29">
        <v>406211</v>
      </c>
      <c r="F28" s="34" t="s">
        <v>124</v>
      </c>
      <c r="G28" s="35">
        <f t="shared" si="0"/>
        <v>1974185.4600000002</v>
      </c>
      <c r="H28" s="36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1" t="s">
        <v>48</v>
      </c>
      <c r="E29" s="29">
        <v>25386</v>
      </c>
      <c r="F29" s="34" t="s">
        <v>125</v>
      </c>
      <c r="G29" s="35">
        <f t="shared" si="0"/>
        <v>123375.96</v>
      </c>
      <c r="H29" s="36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1" t="s">
        <v>49</v>
      </c>
      <c r="E30" s="29">
        <v>14380</v>
      </c>
      <c r="F30" s="34" t="s">
        <v>126</v>
      </c>
      <c r="G30" s="35">
        <f t="shared" si="0"/>
        <v>69886.8</v>
      </c>
      <c r="H30" s="36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1" t="s">
        <v>50</v>
      </c>
      <c r="E31" s="29">
        <v>95238</v>
      </c>
      <c r="F31" s="34" t="s">
        <v>127</v>
      </c>
      <c r="G31" s="35">
        <f t="shared" si="0"/>
        <v>462856.68000000005</v>
      </c>
      <c r="H31" s="36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1" t="s">
        <v>51</v>
      </c>
      <c r="E32" s="29">
        <v>41761</v>
      </c>
      <c r="F32" s="34" t="s">
        <v>128</v>
      </c>
      <c r="G32" s="35">
        <f t="shared" si="0"/>
        <v>202958.46000000002</v>
      </c>
      <c r="H32" s="36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1" t="s">
        <v>52</v>
      </c>
      <c r="E33" s="29">
        <v>45746</v>
      </c>
      <c r="F33" s="34" t="s">
        <v>129</v>
      </c>
      <c r="G33" s="35">
        <f t="shared" si="0"/>
        <v>222325.56000000003</v>
      </c>
      <c r="H33" s="36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1" t="s">
        <v>53</v>
      </c>
      <c r="E34" s="29">
        <v>37361</v>
      </c>
      <c r="F34" s="34" t="s">
        <v>130</v>
      </c>
      <c r="G34" s="35">
        <f t="shared" si="0"/>
        <v>181574.46000000002</v>
      </c>
      <c r="H34" s="36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1" t="s">
        <v>54</v>
      </c>
      <c r="E35" s="29">
        <v>31407</v>
      </c>
      <c r="F35" s="34" t="s">
        <v>131</v>
      </c>
      <c r="G35" s="35">
        <f t="shared" si="0"/>
        <v>152638.02000000002</v>
      </c>
      <c r="H35" s="36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1" t="s">
        <v>55</v>
      </c>
      <c r="E36" s="29">
        <v>284900</v>
      </c>
      <c r="F36" s="34" t="s">
        <v>132</v>
      </c>
      <c r="G36" s="35">
        <f t="shared" ref="G36:G67" si="3">E36*4.86</f>
        <v>1384614</v>
      </c>
      <c r="H36" s="36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1" t="s">
        <v>56</v>
      </c>
      <c r="E37" s="29">
        <v>66804</v>
      </c>
      <c r="F37" s="34" t="s">
        <v>133</v>
      </c>
      <c r="G37" s="35">
        <f t="shared" si="3"/>
        <v>324667.44</v>
      </c>
      <c r="H37" s="36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1" t="s">
        <v>57</v>
      </c>
      <c r="E38" s="29">
        <v>25237</v>
      </c>
      <c r="F38" s="34" t="s">
        <v>134</v>
      </c>
      <c r="G38" s="35">
        <f t="shared" si="3"/>
        <v>122651.82</v>
      </c>
      <c r="H38" s="36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1" t="s">
        <v>22</v>
      </c>
      <c r="E39" s="29">
        <v>11631</v>
      </c>
      <c r="F39" s="34" t="s">
        <v>135</v>
      </c>
      <c r="G39" s="35">
        <f t="shared" si="3"/>
        <v>56526.66</v>
      </c>
      <c r="H39" s="36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1" t="s">
        <v>58</v>
      </c>
      <c r="E40" s="29">
        <v>64394</v>
      </c>
      <c r="F40" s="34" t="s">
        <v>136</v>
      </c>
      <c r="G40" s="35">
        <f t="shared" si="3"/>
        <v>312954.84000000003</v>
      </c>
      <c r="H40" s="36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1" t="s">
        <v>18</v>
      </c>
      <c r="E41" s="29">
        <v>160366</v>
      </c>
      <c r="F41" s="34" t="s">
        <v>137</v>
      </c>
      <c r="G41" s="35">
        <f t="shared" si="3"/>
        <v>779378.76</v>
      </c>
      <c r="H41" s="36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1" t="s">
        <v>59</v>
      </c>
      <c r="E42" s="29">
        <v>261670</v>
      </c>
      <c r="F42" s="34" t="s">
        <v>139</v>
      </c>
      <c r="G42" s="35">
        <f t="shared" si="3"/>
        <v>1271716.2000000002</v>
      </c>
      <c r="H42" s="36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1" t="s">
        <v>60</v>
      </c>
      <c r="E43" s="29">
        <v>17939</v>
      </c>
      <c r="F43" s="34" t="s">
        <v>140</v>
      </c>
      <c r="G43" s="35">
        <f t="shared" si="3"/>
        <v>87183.540000000008</v>
      </c>
      <c r="H43" s="36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1" t="s">
        <v>61</v>
      </c>
      <c r="E44" s="29">
        <v>657974</v>
      </c>
      <c r="F44" s="34" t="s">
        <v>141</v>
      </c>
      <c r="G44" s="35">
        <f t="shared" si="3"/>
        <v>3197753.64</v>
      </c>
      <c r="H44" s="36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1" t="s">
        <v>62</v>
      </c>
      <c r="E45" s="29">
        <v>2046</v>
      </c>
      <c r="F45" s="34" t="s">
        <v>142</v>
      </c>
      <c r="G45" s="35">
        <f t="shared" si="3"/>
        <v>9943.5600000000013</v>
      </c>
      <c r="H45" s="36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1" t="s">
        <v>63</v>
      </c>
      <c r="E46" s="29">
        <v>12096</v>
      </c>
      <c r="F46" s="34" t="s">
        <v>143</v>
      </c>
      <c r="G46" s="35">
        <f t="shared" si="3"/>
        <v>58786.560000000005</v>
      </c>
      <c r="H46" s="36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1" t="s">
        <v>64</v>
      </c>
      <c r="E47" s="29">
        <v>88619</v>
      </c>
      <c r="F47" s="34" t="s">
        <v>144</v>
      </c>
      <c r="G47" s="35">
        <f t="shared" si="3"/>
        <v>430688.34</v>
      </c>
      <c r="H47" s="36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1" t="s">
        <v>65</v>
      </c>
      <c r="E48" s="29">
        <v>22301</v>
      </c>
      <c r="F48" s="34" t="s">
        <v>145</v>
      </c>
      <c r="G48" s="35">
        <f t="shared" si="3"/>
        <v>108382.86</v>
      </c>
      <c r="H48" s="36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1" t="s">
        <v>66</v>
      </c>
      <c r="E49" s="29">
        <v>99423</v>
      </c>
      <c r="F49" s="34" t="s">
        <v>146</v>
      </c>
      <c r="G49" s="35">
        <f t="shared" si="3"/>
        <v>483195.78</v>
      </c>
      <c r="H49" s="36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1" t="s">
        <v>67</v>
      </c>
      <c r="E50" s="29">
        <v>193866</v>
      </c>
      <c r="F50" s="34" t="s">
        <v>147</v>
      </c>
      <c r="G50" s="35">
        <f t="shared" si="3"/>
        <v>942188.76</v>
      </c>
      <c r="H50" s="36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1" t="s">
        <v>68</v>
      </c>
      <c r="E51" s="29">
        <v>5339</v>
      </c>
      <c r="F51" s="34" t="s">
        <v>148</v>
      </c>
      <c r="G51" s="35">
        <f t="shared" si="3"/>
        <v>25947.54</v>
      </c>
      <c r="H51" s="36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1" t="s">
        <v>69</v>
      </c>
      <c r="E52" s="29">
        <v>10834</v>
      </c>
      <c r="F52" s="34" t="s">
        <v>149</v>
      </c>
      <c r="G52" s="35">
        <f t="shared" si="3"/>
        <v>52653.240000000005</v>
      </c>
      <c r="H52" s="36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1" t="s">
        <v>70</v>
      </c>
      <c r="E53" s="29">
        <v>881217</v>
      </c>
      <c r="F53" s="34" t="s">
        <v>150</v>
      </c>
      <c r="G53" s="35">
        <f t="shared" si="3"/>
        <v>4282714.62</v>
      </c>
      <c r="H53" s="36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1" t="s">
        <v>71</v>
      </c>
      <c r="E54" s="29">
        <v>25032</v>
      </c>
      <c r="F54" s="34" t="s">
        <v>151</v>
      </c>
      <c r="G54" s="35">
        <f t="shared" si="3"/>
        <v>121655.52</v>
      </c>
      <c r="H54" s="36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1" t="s">
        <v>23</v>
      </c>
      <c r="E55" s="29">
        <v>66017</v>
      </c>
      <c r="F55" s="34" t="s">
        <v>152</v>
      </c>
      <c r="G55" s="35">
        <f t="shared" si="3"/>
        <v>320842.62</v>
      </c>
      <c r="H55" s="36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1" t="s">
        <v>72</v>
      </c>
      <c r="E56" s="29">
        <v>29052</v>
      </c>
      <c r="F56" s="34" t="s">
        <v>153</v>
      </c>
      <c r="G56" s="35">
        <f t="shared" si="3"/>
        <v>141192.72</v>
      </c>
      <c r="H56" s="36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1" t="s">
        <v>73</v>
      </c>
      <c r="E57" s="29">
        <v>39714</v>
      </c>
      <c r="F57" s="34" t="s">
        <v>154</v>
      </c>
      <c r="G57" s="35">
        <f t="shared" si="3"/>
        <v>193010.04</v>
      </c>
      <c r="H57" s="36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1" t="s">
        <v>24</v>
      </c>
      <c r="E58" s="29">
        <v>23502</v>
      </c>
      <c r="F58" s="34" t="s">
        <v>155</v>
      </c>
      <c r="G58" s="35">
        <f t="shared" si="3"/>
        <v>114219.72</v>
      </c>
      <c r="H58" s="36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1" t="s">
        <v>74</v>
      </c>
      <c r="E59" s="29">
        <v>83494</v>
      </c>
      <c r="F59" s="34" t="s">
        <v>156</v>
      </c>
      <c r="G59" s="35">
        <f t="shared" si="3"/>
        <v>405780.84</v>
      </c>
      <c r="H59" s="36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1" t="s">
        <v>75</v>
      </c>
      <c r="E60" s="29">
        <v>15052</v>
      </c>
      <c r="F60" s="34" t="s">
        <v>157</v>
      </c>
      <c r="G60" s="35">
        <f t="shared" si="3"/>
        <v>73152.72</v>
      </c>
      <c r="H60" s="36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1" t="s">
        <v>20</v>
      </c>
      <c r="E61" s="29">
        <v>154809</v>
      </c>
      <c r="F61" s="34" t="s">
        <v>158</v>
      </c>
      <c r="G61" s="35">
        <f t="shared" si="3"/>
        <v>752371.74000000011</v>
      </c>
      <c r="H61" s="36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1" t="s">
        <v>76</v>
      </c>
      <c r="E62" s="29">
        <v>66614</v>
      </c>
      <c r="F62" s="34" t="s">
        <v>159</v>
      </c>
      <c r="G62" s="35">
        <f t="shared" si="3"/>
        <v>323744.04000000004</v>
      </c>
      <c r="H62" s="36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1" t="s">
        <v>77</v>
      </c>
      <c r="E63" s="29">
        <v>9153</v>
      </c>
      <c r="F63" s="34" t="s">
        <v>160</v>
      </c>
      <c r="G63" s="35">
        <f t="shared" si="3"/>
        <v>44483.58</v>
      </c>
      <c r="H63" s="36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1" t="s">
        <v>78</v>
      </c>
      <c r="E64" s="29">
        <v>175824</v>
      </c>
      <c r="F64" s="34" t="s">
        <v>161</v>
      </c>
      <c r="G64" s="35">
        <f t="shared" si="3"/>
        <v>854504.64</v>
      </c>
      <c r="H64" s="36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1" t="s">
        <v>79</v>
      </c>
      <c r="E65" s="29">
        <v>49978</v>
      </c>
      <c r="F65" s="34" t="s">
        <v>162</v>
      </c>
      <c r="G65" s="35">
        <f t="shared" si="3"/>
        <v>242893.08000000002</v>
      </c>
      <c r="H65" s="36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1" t="s">
        <v>80</v>
      </c>
      <c r="E66" s="29">
        <v>1274395</v>
      </c>
      <c r="F66" s="34" t="s">
        <v>163</v>
      </c>
      <c r="G66" s="35">
        <f t="shared" si="3"/>
        <v>6193559.7000000002</v>
      </c>
      <c r="H66" s="36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1" t="s">
        <v>81</v>
      </c>
      <c r="E67" s="29">
        <v>26659</v>
      </c>
      <c r="F67" s="34" t="s">
        <v>164</v>
      </c>
      <c r="G67" s="35">
        <f t="shared" si="3"/>
        <v>129562.74</v>
      </c>
      <c r="H67" s="36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1" t="s">
        <v>82</v>
      </c>
      <c r="E68" s="29">
        <v>20770</v>
      </c>
      <c r="F68" s="34" t="s">
        <v>165</v>
      </c>
      <c r="G68" s="35">
        <f t="shared" ref="G68:G86" si="5">E68*4.86</f>
        <v>100942.20000000001</v>
      </c>
      <c r="H68" s="36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1" t="s">
        <v>83</v>
      </c>
      <c r="E69" s="29">
        <v>5816</v>
      </c>
      <c r="F69" s="34" t="s">
        <v>166</v>
      </c>
      <c r="G69" s="35">
        <f t="shared" si="5"/>
        <v>28265.760000000002</v>
      </c>
      <c r="H69" s="36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1" t="s">
        <v>84</v>
      </c>
      <c r="E70" s="29">
        <v>22891</v>
      </c>
      <c r="F70" s="34" t="s">
        <v>167</v>
      </c>
      <c r="G70" s="35">
        <f t="shared" si="5"/>
        <v>111250.26000000001</v>
      </c>
      <c r="H70" s="36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1" t="s">
        <v>85</v>
      </c>
      <c r="E71" s="29">
        <v>8219</v>
      </c>
      <c r="F71" s="34" t="s">
        <v>168</v>
      </c>
      <c r="G71" s="35">
        <f t="shared" si="5"/>
        <v>39944.340000000004</v>
      </c>
      <c r="H71" s="36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1" t="s">
        <v>86</v>
      </c>
      <c r="E72" s="29">
        <v>25091</v>
      </c>
      <c r="F72" s="34" t="s">
        <v>169</v>
      </c>
      <c r="G72" s="35">
        <f t="shared" si="5"/>
        <v>121942.26000000001</v>
      </c>
      <c r="H72" s="36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1" t="s">
        <v>87</v>
      </c>
      <c r="E73" s="29">
        <v>296200</v>
      </c>
      <c r="F73" s="34" t="s">
        <v>170</v>
      </c>
      <c r="G73" s="35">
        <f t="shared" si="5"/>
        <v>1439532</v>
      </c>
      <c r="H73" s="36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1" t="s">
        <v>88</v>
      </c>
      <c r="E74" s="29">
        <v>12982</v>
      </c>
      <c r="F74" s="34" t="s">
        <v>171</v>
      </c>
      <c r="G74" s="35">
        <f t="shared" si="5"/>
        <v>63092.520000000004</v>
      </c>
      <c r="H74" s="36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1" t="s">
        <v>89</v>
      </c>
      <c r="E75" s="29">
        <v>23459</v>
      </c>
      <c r="F75" s="34" t="s">
        <v>172</v>
      </c>
      <c r="G75" s="35">
        <f t="shared" si="5"/>
        <v>114010.74</v>
      </c>
      <c r="H75" s="36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1" t="s">
        <v>90</v>
      </c>
      <c r="E76" s="29">
        <v>190124</v>
      </c>
      <c r="F76" s="34" t="s">
        <v>173</v>
      </c>
      <c r="G76" s="35">
        <f t="shared" si="5"/>
        <v>924002.64</v>
      </c>
      <c r="H76" s="36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1" t="s">
        <v>99</v>
      </c>
      <c r="E77" s="29">
        <v>160383</v>
      </c>
      <c r="F77" s="34" t="s">
        <v>174</v>
      </c>
      <c r="G77" s="35">
        <f t="shared" si="5"/>
        <v>779461.38</v>
      </c>
      <c r="H77" s="36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1" t="s">
        <v>100</v>
      </c>
      <c r="E78" s="29">
        <v>60939</v>
      </c>
      <c r="F78" s="34" t="s">
        <v>175</v>
      </c>
      <c r="G78" s="35">
        <f t="shared" si="5"/>
        <v>296163.54000000004</v>
      </c>
      <c r="H78" s="36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1" t="s">
        <v>91</v>
      </c>
      <c r="E79" s="29">
        <v>40611</v>
      </c>
      <c r="F79" s="34" t="s">
        <v>176</v>
      </c>
      <c r="G79" s="35">
        <f t="shared" si="5"/>
        <v>197369.46000000002</v>
      </c>
      <c r="H79" s="36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1" t="s">
        <v>92</v>
      </c>
      <c r="E80" s="29">
        <v>8047</v>
      </c>
      <c r="F80" s="34" t="s">
        <v>177</v>
      </c>
      <c r="G80" s="35">
        <f t="shared" si="5"/>
        <v>39108.420000000006</v>
      </c>
      <c r="H80" s="36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1" t="s">
        <v>93</v>
      </c>
      <c r="E81" s="29">
        <v>68094</v>
      </c>
      <c r="F81" s="34" t="s">
        <v>178</v>
      </c>
      <c r="G81" s="35">
        <f t="shared" si="5"/>
        <v>330936.84000000003</v>
      </c>
      <c r="H81" s="36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1" t="s">
        <v>94</v>
      </c>
      <c r="E82" s="29">
        <v>53323</v>
      </c>
      <c r="F82" s="34" t="s">
        <v>179</v>
      </c>
      <c r="G82" s="35">
        <f t="shared" si="5"/>
        <v>259149.78000000003</v>
      </c>
      <c r="H82" s="36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1" t="s">
        <v>95</v>
      </c>
      <c r="E83" s="29">
        <v>75587</v>
      </c>
      <c r="F83" s="34" t="s">
        <v>180</v>
      </c>
      <c r="G83" s="35">
        <f t="shared" si="5"/>
        <v>367352.82</v>
      </c>
      <c r="H83" s="36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1" t="s">
        <v>96</v>
      </c>
      <c r="E84" s="29">
        <v>372258</v>
      </c>
      <c r="F84" s="34" t="s">
        <v>181</v>
      </c>
      <c r="G84" s="35">
        <f t="shared" si="5"/>
        <v>1809173.8800000001</v>
      </c>
      <c r="H84" s="36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1" t="s">
        <v>97</v>
      </c>
      <c r="E85" s="29">
        <v>1793561</v>
      </c>
      <c r="F85" s="34" t="s">
        <v>182</v>
      </c>
      <c r="G85" s="35">
        <f t="shared" si="5"/>
        <v>8716706.4600000009</v>
      </c>
      <c r="H85" s="36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2" t="s">
        <v>98</v>
      </c>
      <c r="E86" s="30">
        <v>33673</v>
      </c>
      <c r="F86" s="34" t="s">
        <v>183</v>
      </c>
      <c r="G86" s="35">
        <f t="shared" si="5"/>
        <v>163650.78</v>
      </c>
      <c r="H86" s="36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infopath/2007/PartnerControls"/>
    <ds:schemaRef ds:uri="538c035d-569c-47ab-a864-fdd8ae3d4516"/>
    <ds:schemaRef ds:uri="http://www.w3.org/XML/1998/namespace"/>
    <ds:schemaRef ds:uri="http://purl.org/dc/terms/"/>
    <ds:schemaRef ds:uri="4f1a833c-a938-4a5e-81e3-99cd1b92e526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03917B4-3410-45E9-AE3F-E3A06FF3FC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Reductions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Jones, Anessa</cp:lastModifiedBy>
  <cp:lastPrinted>2021-08-11T17:13:15Z</cp:lastPrinted>
  <dcterms:created xsi:type="dcterms:W3CDTF">2000-06-27T13:20:49Z</dcterms:created>
  <dcterms:modified xsi:type="dcterms:W3CDTF">2026-07-15T18:58:51Z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