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/Damage Data/Chart A's for PDA Lead Review/Ready for Table A/Entered in Table A/"/>
    </mc:Choice>
  </mc:AlternateContent>
  <xr:revisionPtr revIDLastSave="106" documentId="13_ncr:1_{4B26DC56-3104-4C3E-A816-A5885244DC2D}" xr6:coauthVersionLast="47" xr6:coauthVersionMax="47" xr10:uidLastSave="{760CC7D8-5163-47EB-B2C4-3070B090D7B8}"/>
  <bookViews>
    <workbookView xWindow="28680" yWindow="-120" windowWidth="29040" windowHeight="15720" activeTab="2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<sst xmlns="http://schemas.openxmlformats.org/spreadsheetml/2006/main" count="223" uniqueCount="217">
  <si>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</si>
  <si>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</si>
  <si>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</si>
  <si>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</si>
  <si>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</si>
  <si>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</si>
  <si>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</si>
  <si>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</si>
  <si>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</si>
  <si>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</si>
  <si>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</si>
  <si>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</si>
  <si>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</si>
  <si>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</si>
  <si>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</si>
  <si>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</si>
  <si>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</si>
  <si>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</si>
  <si>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</si>
  <si>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</si>
  <si>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</si>
  <si>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</si>
  <si>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</si>
  <si>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</si>
  <si>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</si>
  <si>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</si>
  <si>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</si>
  <si>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</si>
  <si>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</si>
  <si>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</si>
  <si>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</si>
  <si>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</si>
  <si>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</si>
  <si>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</si>
  <si>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</si>
  <si>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</si>
  <si>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</si>
  <si>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</si>
  <si>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</si>
  <si>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</si>
  <si>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</si>
  <si>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</si>
  <si>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</si>
  <si>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</si>
  <si>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</si>
  <si>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</si>
  <si>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</si>
  <si>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</si>
  <si>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</si>
  <si>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</si>
  <si>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</si>
  <si>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</si>
  <si>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</si>
  <si>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</si>
  <si>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</si>
  <si>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</si>
  <si>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</si>
  <si>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</si>
  <si>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</si>
  <si>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</si>
  <si>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</si>
  <si>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</si>
  <si>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</si>
  <si>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</si>
  <si>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</si>
  <si>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</si>
  <si>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</si>
  <si>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</si>
  <si>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</si>
  <si>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</si>
  <si>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</si>
  <si>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</si>
  <si>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</si>
  <si>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</si>
  <si>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</si>
  <si>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</si>
  <si>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</si>
  <si>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</si>
  <si>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</si>
  <si>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</si>
  <si>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</si>
  <si>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</si>
  <si>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</si>
  <si>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</si>
  <si>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</si>
  <si>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</si>
  <si>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</si>
  <si>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</si>
  <si>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</si>
  <si>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</si>
  <si>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</si>
  <si>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</si>
  <si>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</si>
  <si>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</si>
  <si>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</si>
  <si>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</si>
  <si>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</si>
  <si>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</si>
  <si>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</si>
  <si>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</si>
  <si>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</si>
  <si>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</si>
  <si>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</si>
  <si>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</si>
  <si>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</si>
  <si>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</si>
  <si>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</si>
  <si>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</si>
  <si>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</si>
  <si>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</si>
  <si>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</si>
  <si>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</si>
  <si>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</si>
  <si>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</si>
  <si>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</si>
  <si>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</si>
  <si>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</si>
  <si>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</si>
  <si>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</si>
  <si>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</si>
  <si>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</si>
  <si>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</si>
  <si>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</si>
  <si>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</si>
  <si>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</si>
  <si>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</si>
  <si>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</si>
  <si>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</si>
  <si>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</si>
  <si>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</si>
  <si>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</si>
  <si>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</si>
  <si>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</si>
  <si>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</si>
  <si>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</si>
  <si>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</si>
  <si>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</si>
  <si>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</si>
  <si>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</si>
  <si>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</si>
  <si>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</si>
  <si>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</si>
  <si>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</si>
  <si>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</si>
  <si>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</si>
  <si>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</si>
  <si>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</si>
  <si>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</si>
  <si>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</si>
  <si>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</si>
  <si>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</si>
  <si>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</si>
  <si>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</si>
  <si>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</si>
  <si>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</si>
  <si>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</si>
  <si>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</si>
  <si>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</si>
  <si>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</si>
  <si>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</si>
  <si>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</si>
  <si>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</si>
  <si>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</si>
  <si>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</si>
  <si>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</si>
  <si>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</si>
  <si>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</si>
  <si>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</si>
  <si>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</si>
  <si>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</si>
  <si>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</si>
  <si>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</si>
  <si>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</si>
  <si>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</si>
  <si>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</si>
  <si>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</si>
  <si>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</si>
  <si>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</si>
  <si>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</si>
  <si>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</si>
  <si>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</si>
  <si>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</si>
  <si>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</si>
  <si>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</si>
  <si>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</si>
  <si>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</si>
  <si>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</si>
  <si>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</si>
  <si>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</si>
  <si>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</si>
  <si>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</si>
  <si>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</si>
  <si>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</si>
  <si>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</si>
  <si>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</si>
  <si>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</si>
  <si>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</si>
  <si>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</si>
  <si>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</si>
  <si>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</si>
  <si>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</si>
  <si>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</si>
  <si>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</si>
  <si>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</si>
  <si>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</si>
  <si>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</si>
  <si>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Co Op</t>
  </si>
  <si>
    <t>County</t>
  </si>
  <si>
    <t>Presque Isle County Rd Commission</t>
  </si>
  <si>
    <t>Complete</t>
  </si>
  <si>
    <r>
      <rPr>
        <b/>
        <sz val="10"/>
        <rFont val="Arial"/>
        <family val="2"/>
      </rPr>
      <t xml:space="preserve">CAT F Estimated: $14,620 </t>
    </r>
    <r>
      <rPr>
        <sz val="10"/>
        <rFont val="Arial"/>
        <family val="2"/>
      </rPr>
      <t xml:space="preserve">for damages to underground gas mainline, gas meters and connections. </t>
    </r>
    <r>
      <rPr>
        <b/>
        <sz val="10"/>
        <rFont val="Arial"/>
        <family val="2"/>
      </rPr>
      <t>Validated $14,620</t>
    </r>
    <r>
      <rPr>
        <sz val="10"/>
        <rFont val="Arial"/>
        <family val="2"/>
      </rPr>
      <t xml:space="preserve"> utilizing Applicant provided damage descriptions and cost summary. </t>
    </r>
  </si>
  <si>
    <r>
      <rPr>
        <b/>
        <sz val="10"/>
        <rFont val="Arial"/>
        <family val="2"/>
      </rPr>
      <t>Estimated: $320,000</t>
    </r>
    <r>
      <rPr>
        <sz val="10"/>
        <rFont val="Arial"/>
        <family val="2"/>
      </rPr>
      <t xml:space="preserve"> for damages to 12 roads, sholders, and culverts. </t>
    </r>
    <r>
      <rPr>
        <b/>
        <sz val="10"/>
        <rFont val="Arial"/>
        <family val="2"/>
      </rPr>
      <t>Reduced: $215,000</t>
    </r>
    <r>
      <rPr>
        <sz val="10"/>
        <rFont val="Arial"/>
        <family val="2"/>
      </rPr>
      <t xml:space="preserve"> for FHWA roads. </t>
    </r>
    <r>
      <rPr>
        <b/>
        <sz val="10"/>
        <rFont val="Arial"/>
        <family val="2"/>
      </rPr>
      <t>Validated $105,000</t>
    </r>
    <r>
      <rPr>
        <sz val="10"/>
        <rFont val="Arial"/>
        <family val="2"/>
      </rPr>
      <t xml:space="preserve"> utilizing applicant provided damage descriptions and cost estimates.</t>
    </r>
  </si>
  <si>
    <t>Presque Isle County (12,982) - $63,092.52</t>
  </si>
  <si>
    <t>Government</t>
  </si>
  <si>
    <r>
      <t xml:space="preserve">CAT G </t>
    </r>
    <r>
      <rPr>
        <b/>
        <sz val="10"/>
        <rFont val="Arial"/>
        <family val="2"/>
      </rPr>
      <t>Estimated: $93,750 Validated $93,750.00</t>
    </r>
    <r>
      <rPr>
        <sz val="10"/>
        <rFont val="Arial"/>
        <family val="2"/>
      </rPr>
      <t xml:space="preserve"> for repairs to shoreline erosions and road washouts using applicant provided estimates.</t>
    </r>
  </si>
  <si>
    <t>MDNR - Presque Isle County</t>
  </si>
  <si>
    <t>PIE&amp;G - Presque Isle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</si>
</sst>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285750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1386840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1615440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6" sqref="E6:K8"/>
    </sheetView>
  </sheetViews>
  <sheetFormatPr defaultColWidth="16.6640625" defaultRowHeight="13.2" x14ac:dyDescent="0.25"/>
  <cols>
    <col min="1" max="1" width="1.33203125" style="51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20.100000000000001" customHeight="1" thickTop="1" thickBot="1" x14ac:dyDescent="0.3">
      <c r="A2" s="51"/>
      <c r="B2" s="65" t="s">
        <v>15</v>
      </c>
      <c r="C2" s="66"/>
      <c r="D2" s="5" t="s">
        <v>7</v>
      </c>
      <c r="E2" s="61" t="s">
        <v>9</v>
      </c>
      <c r="F2" s="62"/>
      <c r="G2" s="52" t="s">
        <v>13</v>
      </c>
      <c r="H2" s="53"/>
      <c r="I2" s="53"/>
      <c r="J2" s="53"/>
      <c r="K2" s="54"/>
      <c r="L2" s="6" t="s">
        <v>11</v>
      </c>
    </row>
    <row r="3" spans="1:12" s="1" customFormat="1" ht="31.2" customHeight="1" thickTop="1" thickBot="1" x14ac:dyDescent="0.3">
      <c r="A3" s="51"/>
      <c r="B3" s="67" t="s">
        <v>212</v>
      </c>
      <c r="C3" s="68"/>
      <c r="D3" s="14" t="s">
        <v>193</v>
      </c>
      <c r="E3" s="63">
        <f>SUM(Table6[[A]:[B]])</f>
        <v>0</v>
      </c>
      <c r="F3" s="64"/>
      <c r="G3" s="55">
        <f>SUM(Table6[[C]:[G]])</f>
        <v>213370</v>
      </c>
      <c r="H3" s="56"/>
      <c r="I3" s="56"/>
      <c r="J3" s="56"/>
      <c r="K3" s="57"/>
      <c r="L3" s="9">
        <f>SUM(Table6[Applicant Total])</f>
        <v>213370</v>
      </c>
    </row>
    <row r="4" spans="1:12" ht="14.4" thickTop="1" thickBot="1" x14ac:dyDescent="0.3">
      <c r="B4" s="58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3.8" thickBot="1" x14ac:dyDescent="0.3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216</v>
      </c>
      <c r="C6" s="10" t="s">
        <v>206</v>
      </c>
      <c r="D6" s="11" t="s">
        <v>209</v>
      </c>
      <c r="E6" s="13"/>
      <c r="F6" s="12"/>
      <c r="G6" s="12"/>
      <c r="H6" s="13"/>
      <c r="I6" s="13"/>
      <c r="J6" s="13">
        <v>14620</v>
      </c>
      <c r="K6" s="13"/>
      <c r="L6" s="15">
        <f>SUM(Table6[[#This Row],[A]:[G]])</f>
        <v>14620</v>
      </c>
    </row>
    <row r="7" spans="1:12" x14ac:dyDescent="0.25">
      <c r="B7" s="10" t="s">
        <v>208</v>
      </c>
      <c r="C7" s="10" t="s">
        <v>207</v>
      </c>
      <c r="D7" s="11" t="s">
        <v>209</v>
      </c>
      <c r="E7" s="13"/>
      <c r="F7" s="13"/>
      <c r="G7" s="12">
        <v>105000</v>
      </c>
      <c r="H7" s="12"/>
      <c r="I7" s="13"/>
      <c r="J7" s="13"/>
      <c r="K7" s="13"/>
      <c r="L7" s="15">
        <f>SUM(Table6[[#This Row],[A]:[G]])</f>
        <v>105000</v>
      </c>
    </row>
    <row r="8" spans="1:12" x14ac:dyDescent="0.25">
      <c r="B8" s="10" t="s">
        <v>215</v>
      </c>
      <c r="C8" s="10" t="s">
        <v>213</v>
      </c>
      <c r="D8" s="11" t="s">
        <v>209</v>
      </c>
      <c r="E8" s="13"/>
      <c r="F8" s="13"/>
      <c r="G8" s="13"/>
      <c r="H8" s="13"/>
      <c r="I8" s="13"/>
      <c r="J8" s="13"/>
      <c r="K8" s="13">
        <v>93750</v>
      </c>
      <c r="L8" s="15">
        <f>SUM(Table6[[#This Row],[A]:[G]])</f>
        <v>93750</v>
      </c>
    </row>
    <row r="9" spans="1:12" x14ac:dyDescent="0.25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5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2" customWidth="1"/>
    <col min="2" max="2" width="23" customWidth="1"/>
    <col min="3" max="3" width="11.33203125" bestFit="1" customWidth="1"/>
    <col min="4" max="4" width="15.33203125" customWidth="1"/>
    <col min="5" max="5" width="14.6640625" customWidth="1"/>
    <col min="6" max="6" width="12.109375" customWidth="1"/>
    <col min="7" max="7" width="23.33203125" bestFit="1" customWidth="1"/>
    <col min="8" max="8" width="106" customWidth="1"/>
    <col min="9" max="9" width="2" style="47" customWidth="1"/>
  </cols>
  <sheetData>
    <row r="1" spans="2:8" s="42" customFormat="1" ht="6.6" customHeight="1" x14ac:dyDescent="0.25"/>
    <row r="2" spans="2:8" x14ac:dyDescent="0.25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5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5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5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5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5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5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5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5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5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5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5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5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5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5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5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5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5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5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5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5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5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5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5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5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5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5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5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5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5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5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5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5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5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5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5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5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5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5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5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5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5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5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5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5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5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5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5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5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5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5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5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5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5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5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5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5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5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5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5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5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5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5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5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5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5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5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5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5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5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5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5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5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5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5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5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5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5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5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5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5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5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5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5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5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5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5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5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5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5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5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5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5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5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5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5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5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5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5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2" activePane="bottomLeft" state="frozen"/>
      <selection pane="bottomLeft" activeCell="B4" sqref="B4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PIE&amp;G - Presque Isle</v>
      </c>
      <c r="B2" s="10" t="s">
        <v>210</v>
      </c>
    </row>
    <row r="3" spans="1:2" ht="45" customHeight="1" x14ac:dyDescent="0.25">
      <c r="A3" s="28" t="str">
        <f>'County Summary'!B7</f>
        <v>Presque Isle County Rd Commission</v>
      </c>
      <c r="B3" s="49" t="s">
        <v>211</v>
      </c>
    </row>
    <row r="4" spans="1:2" ht="45" customHeight="1" x14ac:dyDescent="0.25">
      <c r="A4" s="28" t="str">
        <f>'County Summary'!B8</f>
        <v>MDNR - Presque Isle County</v>
      </c>
      <c r="B4" s="10" t="s">
        <v>214</v>
      </c>
    </row>
    <row r="5" spans="1:2" ht="45" customHeight="1" x14ac:dyDescent="0.25">
      <c r="A5" s="28">
        <f>'County Summary'!B9</f>
        <v>0</v>
      </c>
      <c r="B5" s="11"/>
    </row>
    <row r="6" spans="1:2" ht="45" customHeight="1" x14ac:dyDescent="0.25">
      <c r="A6" s="28">
        <f>'County Summary'!B10</f>
        <v>0</v>
      </c>
      <c r="B6" s="11"/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6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  <col min="11" max="12" width="8.88671875" customWidth="1"/>
  </cols>
  <sheetData>
    <row r="1" spans="1:10" x14ac:dyDescent="0.25">
      <c r="A1" s="8" t="s">
        <v>192</v>
      </c>
    </row>
    <row r="2" spans="1:10" ht="15" customHeight="1" thickBot="1" x14ac:dyDescent="0.3">
      <c r="A2" s="23"/>
    </row>
    <row r="3" spans="1:10" ht="13.8" thickBot="1" x14ac:dyDescent="0.3">
      <c r="A3" s="7" t="s">
        <v>15</v>
      </c>
      <c r="C3" s="24" t="s">
        <v>16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4.4" x14ac:dyDescent="0.3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B6618A-A1B9-4FC9-925A-722407B3AAF8}">
  <ds:schemaRefs>
    <ds:schemaRef ds:uri="538c035d-569c-47ab-a864-fdd8ae3d4516"/>
    <ds:schemaRef ds:uri="http://purl.org/dc/elements/1.1/"/>
    <ds:schemaRef ds:uri="http://www.w3.org/XML/1998/namespace"/>
    <ds:schemaRef ds:uri="http://purl.org/dc/dcmitype/"/>
    <ds:schemaRef ds:uri="4f1a833c-a938-4a5e-81e3-99cd1b92e526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162FF0E-AF7F-4C69-BD25-79856688FF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Punzalan, Eric</cp:lastModifiedBy>
  <cp:lastPrinted>2021-08-11T17:13:15Z</cp:lastPrinted>
  <dcterms:created xsi:type="dcterms:W3CDTF">2000-06-27T13:20:49Z</dcterms:created>
  <dcterms:modified xsi:type="dcterms:W3CDTF">2026-07-08T13:37:54Z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  <property fmtid="{D5CDD505-2E9C-101B-9397-08002B2CF9AE}" pid="4" name="InTableA">
    <vt:lpwstr>Complete</vt:lpwstr>
  </property>
</Properties>
</file>