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usfema.sharepoint.com/teams/R5/org/recoveryd/public/PA Yellow Pages/3. PDAs/Ongoing PDA's/MI PDA May 2026/Damage Data/Chart A's for PDA Lead Review/Ready for Table A/Entered in Table A/"/>
    </mc:Choice>
  </mc:AlternateContent>
  <xr:revisionPtr revIDLastSave="354" documentId="13_ncr:1_{4B26DC56-3104-4C3E-A816-A5885244DC2D}" xr6:coauthVersionLast="47" xr6:coauthVersionMax="47" xr10:uidLastSave="{E3410D20-7ECB-46EB-A106-EC19224AB293}"/>
  <bookViews>
    <workbookView xWindow="28680" yWindow="-120" windowWidth="29040" windowHeight="15720" activeTab="2" xr2:uid="{00000000-000D-0000-FFFF-FFFF00000000}"/>
  </bookViews>
  <sheets>
    <sheet name="County Summary" sheetId="4" r:id="rId1"/>
    <sheet name="Reductions" sheetId="12" state="hidden" r:id="rId2"/>
    <sheet name="Comments" sheetId="10" r:id="rId3"/>
    <sheet name="Notes" sheetId="11" state="hidden" r:id="rId4"/>
    <sheet name="County Population and Threshold" sheetId="9" state="hidden" r:id="rId5"/>
  </sheets>
  <externalReferences>
    <externalReference r:id="rId6"/>
  </externalReferences>
  <definedNames>
    <definedName name="_xlnm._FilterDatabase" localSheetId="4" hidden="1">'County Population and Threshold'!$C$3:$C$22</definedName>
    <definedName name="SelCounty">OFFSET('[1]County Populations'!$C$2,'[1]County Populations'!$M$6-1,0,'[1]County Populations'!$M$7-'[1]County Populations'!$M$6+1,1)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 i="10" l="1"/>
  <c r="G4" i="9"/>
  <c r="H4" i="9" s="1"/>
  <c r="G5" i="9" l="1"/>
  <c r="H5" i="9" s="1"/>
  <c r="G6" i="9"/>
  <c r="H6" i="9" s="1"/>
  <c r="G7" i="9"/>
  <c r="H7" i="9" s="1"/>
  <c r="G8" i="9"/>
  <c r="H8" i="9" s="1"/>
  <c r="G9" i="9"/>
  <c r="H9" i="9" s="1"/>
  <c r="G10" i="9"/>
  <c r="H10" i="9" s="1"/>
  <c r="G11" i="9"/>
  <c r="H11" i="9" s="1"/>
  <c r="G12" i="9"/>
  <c r="H12" i="9" s="1"/>
  <c r="G13" i="9"/>
  <c r="H13" i="9" s="1"/>
  <c r="G14" i="9"/>
  <c r="H14" i="9" s="1"/>
  <c r="G15" i="9"/>
  <c r="H15" i="9" s="1"/>
  <c r="G16" i="9"/>
  <c r="H16" i="9" s="1"/>
  <c r="G17" i="9"/>
  <c r="H17" i="9" s="1"/>
  <c r="G18" i="9"/>
  <c r="H18" i="9" s="1"/>
  <c r="G19" i="9"/>
  <c r="H19" i="9" s="1"/>
  <c r="G20" i="9"/>
  <c r="H20" i="9" s="1"/>
  <c r="G21" i="9"/>
  <c r="H21" i="9" s="1"/>
  <c r="G22" i="9"/>
  <c r="H22" i="9" s="1"/>
  <c r="G23" i="9"/>
  <c r="H23" i="9" s="1"/>
  <c r="G24" i="9"/>
  <c r="H24" i="9" s="1"/>
  <c r="G25" i="9"/>
  <c r="H25" i="9" s="1"/>
  <c r="G26" i="9"/>
  <c r="H26" i="9" s="1"/>
  <c r="G27" i="9"/>
  <c r="H27" i="9" s="1"/>
  <c r="G28" i="9"/>
  <c r="H28" i="9" s="1"/>
  <c r="G29" i="9"/>
  <c r="H29" i="9" s="1"/>
  <c r="G30" i="9"/>
  <c r="H30" i="9" s="1"/>
  <c r="G31" i="9"/>
  <c r="H31" i="9" s="1"/>
  <c r="G32" i="9"/>
  <c r="H32" i="9" s="1"/>
  <c r="G33" i="9"/>
  <c r="H33" i="9" s="1"/>
  <c r="G34" i="9"/>
  <c r="H34" i="9" s="1"/>
  <c r="G35" i="9"/>
  <c r="H35" i="9" s="1"/>
  <c r="G36" i="9"/>
  <c r="H36" i="9" s="1"/>
  <c r="G37" i="9"/>
  <c r="H37" i="9" s="1"/>
  <c r="G38" i="9"/>
  <c r="H38" i="9" s="1"/>
  <c r="G39" i="9"/>
  <c r="H39" i="9" s="1"/>
  <c r="G40" i="9"/>
  <c r="H40" i="9" s="1"/>
  <c r="G41" i="9"/>
  <c r="H41" i="9" s="1"/>
  <c r="G42" i="9"/>
  <c r="H42" i="9" s="1"/>
  <c r="G43" i="9"/>
  <c r="H43" i="9" s="1"/>
  <c r="G44" i="9"/>
  <c r="H44" i="9" s="1"/>
  <c r="G45" i="9"/>
  <c r="H45" i="9" s="1"/>
  <c r="G46" i="9"/>
  <c r="H46" i="9" s="1"/>
  <c r="G47" i="9"/>
  <c r="H47" i="9" s="1"/>
  <c r="G48" i="9"/>
  <c r="H48" i="9" s="1"/>
  <c r="G49" i="9"/>
  <c r="H49" i="9" s="1"/>
  <c r="G50" i="9"/>
  <c r="H50" i="9" s="1"/>
  <c r="G51" i="9"/>
  <c r="H51" i="9" s="1"/>
  <c r="G52" i="9"/>
  <c r="H52" i="9" s="1"/>
  <c r="G53" i="9"/>
  <c r="H53" i="9" s="1"/>
  <c r="G54" i="9"/>
  <c r="H54" i="9" s="1"/>
  <c r="G55" i="9"/>
  <c r="H55" i="9" s="1"/>
  <c r="G56" i="9"/>
  <c r="H56" i="9" s="1"/>
  <c r="G57" i="9"/>
  <c r="H57" i="9" s="1"/>
  <c r="G58" i="9"/>
  <c r="H58" i="9" s="1"/>
  <c r="G59" i="9"/>
  <c r="H59" i="9" s="1"/>
  <c r="G60" i="9"/>
  <c r="H60" i="9" s="1"/>
  <c r="G61" i="9"/>
  <c r="H61" i="9" s="1"/>
  <c r="G62" i="9"/>
  <c r="H62" i="9" s="1"/>
  <c r="G63" i="9"/>
  <c r="H63" i="9" s="1"/>
  <c r="G64" i="9"/>
  <c r="H64" i="9" s="1"/>
  <c r="G65" i="9"/>
  <c r="H65" i="9" s="1"/>
  <c r="G66" i="9"/>
  <c r="H66" i="9" s="1"/>
  <c r="G67" i="9"/>
  <c r="H67" i="9" s="1"/>
  <c r="G68" i="9"/>
  <c r="H68" i="9" s="1"/>
  <c r="G69" i="9"/>
  <c r="H69" i="9" s="1"/>
  <c r="G70" i="9"/>
  <c r="H70" i="9" s="1"/>
  <c r="G71" i="9"/>
  <c r="H71" i="9" s="1"/>
  <c r="G72" i="9"/>
  <c r="H72" i="9" s="1"/>
  <c r="G73" i="9"/>
  <c r="H73" i="9" s="1"/>
  <c r="G74" i="9"/>
  <c r="H74" i="9" s="1"/>
  <c r="G75" i="9"/>
  <c r="H75" i="9" s="1"/>
  <c r="G76" i="9"/>
  <c r="H76" i="9" s="1"/>
  <c r="G77" i="9"/>
  <c r="H77" i="9" s="1"/>
  <c r="G78" i="9"/>
  <c r="H78" i="9" s="1"/>
  <c r="G79" i="9"/>
  <c r="H79" i="9" s="1"/>
  <c r="G80" i="9"/>
  <c r="H80" i="9" s="1"/>
  <c r="G81" i="9"/>
  <c r="H81" i="9" s="1"/>
  <c r="G82" i="9"/>
  <c r="H82" i="9" s="1"/>
  <c r="G83" i="9"/>
  <c r="H83" i="9" s="1"/>
  <c r="G84" i="9"/>
  <c r="H84" i="9" s="1"/>
  <c r="G85" i="9"/>
  <c r="H85" i="9" s="1"/>
  <c r="G86" i="9"/>
  <c r="H86" i="9" s="1"/>
  <c r="F3" i="12" l="1"/>
  <c r="L6" i="4" l="1"/>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A5" i="9" l="1"/>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4" i="9"/>
  <c r="A6" i="10" l="1"/>
  <c r="A2" i="10"/>
  <c r="A3" i="10"/>
  <c r="A5"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E3" i="4"/>
  <c r="G3" i="4"/>
  <c r="L3" i="4" l="1"/>
</calcChain>
</file>

<file path=xl/sharedStrings.xml><?xml version="1.0" encoding="utf-8"?>
<sst xmlns="http://schemas.openxmlformats.org/spreadsheetml/2006/main" count="231" uniqueCount="221">
  <si>
    <t>A</t>
  </si>
  <si>
    <t>B</t>
  </si>
  <si>
    <t>C</t>
  </si>
  <si>
    <t>D</t>
  </si>
  <si>
    <t>E</t>
  </si>
  <si>
    <t>F</t>
  </si>
  <si>
    <t>G</t>
  </si>
  <si>
    <t>FEMA Inspector</t>
  </si>
  <si>
    <t>Comments</t>
  </si>
  <si>
    <t>Emergency Work</t>
  </si>
  <si>
    <t>Status</t>
  </si>
  <si>
    <t>Total</t>
  </si>
  <si>
    <t>Applicant</t>
  </si>
  <si>
    <t>Permanent Work</t>
  </si>
  <si>
    <t>Applicant Total</t>
  </si>
  <si>
    <t>County (Population) - Threshold</t>
  </si>
  <si>
    <t>Team Leads</t>
  </si>
  <si>
    <t>Created by Charles Annerino</t>
  </si>
  <si>
    <t>Charles.Annerino@fema.dhs.gov</t>
  </si>
  <si>
    <t>Jackson County</t>
  </si>
  <si>
    <t>Crawford County</t>
  </si>
  <si>
    <t>Monroe County</t>
  </si>
  <si>
    <t>Chippewa County</t>
  </si>
  <si>
    <t>Iron County</t>
  </si>
  <si>
    <t>Marquette County</t>
  </si>
  <si>
    <t>Menominee County</t>
  </si>
  <si>
    <t>Alcona County</t>
  </si>
  <si>
    <t>Alger County</t>
  </si>
  <si>
    <t>Allegan County</t>
  </si>
  <si>
    <t>Alpena County</t>
  </si>
  <si>
    <t>Antrim County</t>
  </si>
  <si>
    <t>Arenac County</t>
  </si>
  <si>
    <t>Baraga County</t>
  </si>
  <si>
    <t>Barry County</t>
  </si>
  <si>
    <t>Bay County</t>
  </si>
  <si>
    <t>Benzie County</t>
  </si>
  <si>
    <t>Berrien County</t>
  </si>
  <si>
    <t>Branch County</t>
  </si>
  <si>
    <t>Calhoun County</t>
  </si>
  <si>
    <t>Cass County</t>
  </si>
  <si>
    <t>Charlevoix County</t>
  </si>
  <si>
    <t>Cheboygan County</t>
  </si>
  <si>
    <t>Clare County</t>
  </si>
  <si>
    <t>Clinton County</t>
  </si>
  <si>
    <t>Delta County</t>
  </si>
  <si>
    <t>Dickinson County</t>
  </si>
  <si>
    <t>Eaton County</t>
  </si>
  <si>
    <t>Emmet County</t>
  </si>
  <si>
    <t>Genesee County</t>
  </si>
  <si>
    <t>Gladwin County</t>
  </si>
  <si>
    <t>Gogebic County</t>
  </si>
  <si>
    <t>Grand Traverse County</t>
  </si>
  <si>
    <t>Gratiot County</t>
  </si>
  <si>
    <t>Hillsdale County</t>
  </si>
  <si>
    <t>Houghton County</t>
  </si>
  <si>
    <t>Huron County</t>
  </si>
  <si>
    <t>Ingham County</t>
  </si>
  <si>
    <t>Ionia County</t>
  </si>
  <si>
    <t>Iosco County</t>
  </si>
  <si>
    <t>Isabella County</t>
  </si>
  <si>
    <t>Kalamazoo County</t>
  </si>
  <si>
    <t>Kalkaska County</t>
  </si>
  <si>
    <t>Kent County</t>
  </si>
  <si>
    <t>Keweenaw County</t>
  </si>
  <si>
    <t>Lake County</t>
  </si>
  <si>
    <t>Lapeer County</t>
  </si>
  <si>
    <t>Leelanau County</t>
  </si>
  <si>
    <t>Lenawee County</t>
  </si>
  <si>
    <t>Livingston County</t>
  </si>
  <si>
    <t>Luce County</t>
  </si>
  <si>
    <t>Mackinac County</t>
  </si>
  <si>
    <t>Macomb County</t>
  </si>
  <si>
    <t>Manistee County</t>
  </si>
  <si>
    <t>Mason County</t>
  </si>
  <si>
    <t>Mecosta County</t>
  </si>
  <si>
    <t>Midland County</t>
  </si>
  <si>
    <t>Missaukee County</t>
  </si>
  <si>
    <t>Montcalm County</t>
  </si>
  <si>
    <t>Montmorency County</t>
  </si>
  <si>
    <t>Muskegon County</t>
  </si>
  <si>
    <t>Newaygo County</t>
  </si>
  <si>
    <t>Oakland County</t>
  </si>
  <si>
    <t>Oceana County</t>
  </si>
  <si>
    <t>Ogemaw County</t>
  </si>
  <si>
    <t>Ontonagon County</t>
  </si>
  <si>
    <t>Osceola County</t>
  </si>
  <si>
    <t>Oscoda County</t>
  </si>
  <si>
    <t>Otsego County</t>
  </si>
  <si>
    <t>Ottawa County</t>
  </si>
  <si>
    <t>Presque Isle County</t>
  </si>
  <si>
    <t>Roscommon County</t>
  </si>
  <si>
    <t>Saginaw County</t>
  </si>
  <si>
    <t>Sanilac County</t>
  </si>
  <si>
    <t>Schoolcraft County</t>
  </si>
  <si>
    <t>Shiawassee County</t>
  </si>
  <si>
    <t>Tuscola County</t>
  </si>
  <si>
    <t>Van Buren County</t>
  </si>
  <si>
    <t>Washtenaw County</t>
  </si>
  <si>
    <t>Wayne County</t>
  </si>
  <si>
    <t>Wexford County</t>
  </si>
  <si>
    <t>St. Clair County</t>
  </si>
  <si>
    <t>St. Joseph County</t>
  </si>
  <si>
    <t>10,167</t>
  </si>
  <si>
    <t>120,502</t>
  </si>
  <si>
    <t>28,907</t>
  </si>
  <si>
    <t>23,431</t>
  </si>
  <si>
    <t>15,002</t>
  </si>
  <si>
    <t>8,158</t>
  </si>
  <si>
    <t>62,423</t>
  </si>
  <si>
    <t>103,856</t>
  </si>
  <si>
    <t>17,970</t>
  </si>
  <si>
    <t>154,316</t>
  </si>
  <si>
    <t>44,862</t>
  </si>
  <si>
    <t>134,310</t>
  </si>
  <si>
    <t>51,589</t>
  </si>
  <si>
    <t>26,054</t>
  </si>
  <si>
    <t>25,579</t>
  </si>
  <si>
    <t>36,785</t>
  </si>
  <si>
    <t>30,856</t>
  </si>
  <si>
    <t>79,128</t>
  </si>
  <si>
    <t>12,988</t>
  </si>
  <si>
    <t>36,903</t>
  </si>
  <si>
    <t>25,947</t>
  </si>
  <si>
    <t>109,175</t>
  </si>
  <si>
    <t>34,112</t>
  </si>
  <si>
    <t>406,211</t>
  </si>
  <si>
    <t>25,386</t>
  </si>
  <si>
    <t>14,380</t>
  </si>
  <si>
    <t>95,238</t>
  </si>
  <si>
    <t>41,761</t>
  </si>
  <si>
    <t>45,746</t>
  </si>
  <si>
    <t>37,361</t>
  </si>
  <si>
    <t>31,407</t>
  </si>
  <si>
    <t>284,900</t>
  </si>
  <si>
    <t>66,804</t>
  </si>
  <si>
    <t>25,237</t>
  </si>
  <si>
    <t>11,631</t>
  </si>
  <si>
    <t>64,394</t>
  </si>
  <si>
    <t>160,366</t>
  </si>
  <si>
    <t>8,842</t>
  </si>
  <si>
    <t>261,670</t>
  </si>
  <si>
    <t>17,939</t>
  </si>
  <si>
    <t>657,974</t>
  </si>
  <si>
    <t>2,046</t>
  </si>
  <si>
    <t>12,096</t>
  </si>
  <si>
    <t>88,619</t>
  </si>
  <si>
    <t>22,301</t>
  </si>
  <si>
    <t>99,423</t>
  </si>
  <si>
    <t>193,866</t>
  </si>
  <si>
    <t>5,339</t>
  </si>
  <si>
    <t>10,834</t>
  </si>
  <si>
    <t>881,217</t>
  </si>
  <si>
    <t>25,032</t>
  </si>
  <si>
    <t>66,017</t>
  </si>
  <si>
    <t>29,052</t>
  </si>
  <si>
    <t>39,714</t>
  </si>
  <si>
    <t>23,502</t>
  </si>
  <si>
    <t>83,494</t>
  </si>
  <si>
    <t>15,052</t>
  </si>
  <si>
    <t>154,809</t>
  </si>
  <si>
    <t>66,614</t>
  </si>
  <si>
    <t>9,153</t>
  </si>
  <si>
    <t>175,824</t>
  </si>
  <si>
    <t>49,978</t>
  </si>
  <si>
    <t>1,274,395</t>
  </si>
  <si>
    <t>26,659</t>
  </si>
  <si>
    <t>20,770</t>
  </si>
  <si>
    <t>5,816</t>
  </si>
  <si>
    <t>22,891</t>
  </si>
  <si>
    <t>8,219</t>
  </si>
  <si>
    <t>25,091</t>
  </si>
  <si>
    <t>296,200</t>
  </si>
  <si>
    <t>12,982</t>
  </si>
  <si>
    <t>23,459</t>
  </si>
  <si>
    <t>190,124</t>
  </si>
  <si>
    <t>160,383</t>
  </si>
  <si>
    <t>60,939</t>
  </si>
  <si>
    <t>40,611</t>
  </si>
  <si>
    <t>8,047</t>
  </si>
  <si>
    <t>68,094</t>
  </si>
  <si>
    <t>53,323</t>
  </si>
  <si>
    <t>75,587</t>
  </si>
  <si>
    <t>372,258</t>
  </si>
  <si>
    <t>1,793,561</t>
  </si>
  <si>
    <t>33,673</t>
  </si>
  <si>
    <t>Type</t>
  </si>
  <si>
    <t>Category</t>
  </si>
  <si>
    <t>Original Costs</t>
  </si>
  <si>
    <t>Eligible Costs</t>
  </si>
  <si>
    <t>Reduction</t>
  </si>
  <si>
    <t>Reduction Category</t>
  </si>
  <si>
    <t>Notes</t>
  </si>
  <si>
    <t>Michigan (10,077,331) - $19,550,022</t>
  </si>
  <si>
    <t>Catherine Waren</t>
  </si>
  <si>
    <t>Jennifer Grobe</t>
  </si>
  <si>
    <t>Bassam Efein</t>
  </si>
  <si>
    <t>Roopak Hanna</t>
  </si>
  <si>
    <t>Anessa Jones</t>
  </si>
  <si>
    <t>Connor Blevins</t>
  </si>
  <si>
    <t>Richard Chiarello</t>
  </si>
  <si>
    <t>Shawana Thomas</t>
  </si>
  <si>
    <t>Tracie Smith</t>
  </si>
  <si>
    <t>Angela Williams</t>
  </si>
  <si>
    <t>Caleb Smith</t>
  </si>
  <si>
    <t>Javon Cotton</t>
  </si>
  <si>
    <t>Eric Punzalan</t>
  </si>
  <si>
    <t>Grand Traverse County (95,238) - $462,856.68</t>
  </si>
  <si>
    <t>Garfield Township</t>
  </si>
  <si>
    <t>Government</t>
  </si>
  <si>
    <t>City</t>
  </si>
  <si>
    <t>Traverse City</t>
  </si>
  <si>
    <t>Grand Traverse County Roads</t>
  </si>
  <si>
    <t>Grand Traverse County Parks</t>
  </si>
  <si>
    <t>County</t>
  </si>
  <si>
    <t>Complete</t>
  </si>
  <si>
    <r>
      <rPr>
        <b/>
        <sz val="10"/>
        <rFont val="Arial"/>
        <family val="2"/>
      </rPr>
      <t xml:space="preserve">
Cat E: Estimated: $184,312.80</t>
    </r>
    <r>
      <rPr>
        <sz val="10"/>
        <rFont val="Arial"/>
        <family val="2"/>
      </rPr>
      <t xml:space="preserve"> ($175,967.80 and $8,345 contracts) to clean, sanitize, and remove indoor flooring at the YMCA South location. Validated with photos, invoices, and insurance denial letter. </t>
    </r>
    <r>
      <rPr>
        <b/>
        <sz val="10"/>
        <rFont val="Arial"/>
        <family val="2"/>
      </rPr>
      <t xml:space="preserve">Validated: $73,925.12 Reduced: $110,387.68 </t>
    </r>
    <r>
      <rPr>
        <sz val="10"/>
        <rFont val="Arial"/>
        <family val="2"/>
      </rPr>
      <t>because located in a floodplain for estimated NFIP proceeds Applicant would have received had been covered coverage. See attached spreadsheet for calculations.</t>
    </r>
    <r>
      <rPr>
        <b/>
        <sz val="10"/>
        <rFont val="Arial"/>
        <family val="2"/>
      </rPr>
      <t xml:space="preserve"> </t>
    </r>
    <r>
      <rPr>
        <sz val="10"/>
        <rFont val="Arial"/>
        <family val="2"/>
      </rPr>
      <t xml:space="preserve">Applicant indicates lease agreement does not put costs onto lesee entity.
</t>
    </r>
    <r>
      <rPr>
        <b/>
        <sz val="10"/>
        <rFont val="Arial"/>
        <family val="2"/>
      </rPr>
      <t>Cat G</t>
    </r>
    <r>
      <rPr>
        <sz val="10"/>
        <rFont val="Arial"/>
        <family val="2"/>
      </rPr>
      <t xml:space="preserve">: </t>
    </r>
    <r>
      <rPr>
        <b/>
        <sz val="10"/>
        <rFont val="Arial"/>
        <family val="2"/>
      </rPr>
      <t>Estimated:</t>
    </r>
    <r>
      <rPr>
        <sz val="10"/>
        <rFont val="Arial"/>
        <family val="2"/>
      </rPr>
      <t xml:space="preserve"> </t>
    </r>
    <r>
      <rPr>
        <b/>
        <sz val="10"/>
        <rFont val="Arial"/>
        <family val="2"/>
      </rPr>
      <t>$60,346.27</t>
    </r>
    <r>
      <rPr>
        <sz val="10"/>
        <rFont val="Arial"/>
        <family val="2"/>
      </rPr>
      <t xml:space="preserve"> </t>
    </r>
    <r>
      <rPr>
        <b/>
        <sz val="10"/>
        <rFont val="Arial"/>
        <family val="2"/>
      </rPr>
      <t>Validated: $60,346.27  Reduced: $0</t>
    </r>
    <r>
      <rPr>
        <sz val="10"/>
        <rFont val="Arial"/>
        <family val="2"/>
      </rPr>
      <t xml:space="preserve">
  - TC Commons Garfield Trail: FEMA eng. estimated 200 FT x 3 FT x 2 FT deep trail (45 CY x 60.33 per CY = $2,715) washout repair based on photos.</t>
    </r>
    <r>
      <rPr>
        <b/>
        <sz val="10"/>
        <rFont val="Arial"/>
        <family val="2"/>
      </rPr>
      <t xml:space="preserve"> 
  </t>
    </r>
    <r>
      <rPr>
        <sz val="10"/>
        <rFont val="Arial"/>
        <family val="2"/>
      </rPr>
      <t>-</t>
    </r>
    <r>
      <rPr>
        <b/>
        <sz val="10"/>
        <rFont val="Arial"/>
        <family val="2"/>
      </rPr>
      <t xml:space="preserve"> </t>
    </r>
    <r>
      <rPr>
        <sz val="10"/>
        <rFont val="Arial"/>
        <family val="2"/>
      </rPr>
      <t>Boardman River Trail, provided lump sum of $50,000 for mud on trails, 2 displaced bridges. Validated reasonable sum based on photos/GPS coordinates.
  - Staff costs to clean flooded pickleball court: $7,631.27
Note:</t>
    </r>
    <r>
      <rPr>
        <b/>
        <sz val="10"/>
        <rFont val="Arial"/>
        <family val="2"/>
      </rPr>
      <t xml:space="preserve"> </t>
    </r>
    <r>
      <rPr>
        <sz val="10"/>
        <rFont val="Arial"/>
        <family val="2"/>
      </rPr>
      <t xml:space="preserve">Initial spreadsheet included $65,000 several items that ended up not being damaged by the incident or will fall under Grand Traverse Parks. 
Note: Trail/Pickleball restoration will likely include both Cat A and B work, not split out. 
</t>
    </r>
  </si>
  <si>
    <t>MDNR - Grand Traverse County</t>
  </si>
  <si>
    <r>
      <rPr>
        <b/>
        <sz val="10"/>
        <rFont val="Arial"/>
        <family val="2"/>
      </rPr>
      <t>Cat G: Estimated: $1,400</t>
    </r>
    <r>
      <rPr>
        <sz val="10"/>
        <rFont val="Arial"/>
        <family val="2"/>
      </rPr>
      <t xml:space="preserve"> for repairs to parking lot, bathrooms, and roadways/access site. </t>
    </r>
    <r>
      <rPr>
        <b/>
        <sz val="10"/>
        <rFont val="Arial"/>
        <family val="2"/>
      </rPr>
      <t>Validated: $1,400</t>
    </r>
    <r>
      <rPr>
        <sz val="10"/>
        <rFont val="Arial"/>
        <family val="2"/>
      </rPr>
      <t xml:space="preserve"> using applicant provided cost estimates</t>
    </r>
  </si>
  <si>
    <r>
      <rPr>
        <b/>
        <sz val="10"/>
        <rFont val="Arial"/>
        <family val="2"/>
      </rPr>
      <t>Cat A: Estimated: $2,066.02</t>
    </r>
    <r>
      <rPr>
        <sz val="10"/>
        <rFont val="Arial"/>
        <family val="2"/>
      </rPr>
      <t xml:space="preserve"> for tree removal, removal of debris from creeks. </t>
    </r>
    <r>
      <rPr>
        <b/>
        <sz val="10"/>
        <rFont val="Arial"/>
        <family val="2"/>
      </rPr>
      <t>Reduced: $2,066.02</t>
    </r>
    <r>
      <rPr>
        <sz val="10"/>
        <rFont val="Arial"/>
        <family val="2"/>
      </rPr>
      <t xml:space="preserve"> for being below the FY 26 minimum project threshold
</t>
    </r>
    <r>
      <rPr>
        <b/>
        <sz val="10"/>
        <rFont val="Arial"/>
        <family val="2"/>
      </rPr>
      <t>Cat B: Estimated: $1,385.72</t>
    </r>
    <r>
      <rPr>
        <sz val="10"/>
        <rFont val="Arial"/>
        <family val="2"/>
      </rPr>
      <t xml:space="preserve"> for barricading, sandbagging, temporary emergency repairs, emergency response activities. </t>
    </r>
    <r>
      <rPr>
        <b/>
        <sz val="10"/>
        <rFont val="Arial"/>
        <family val="2"/>
      </rPr>
      <t>Reduced $1,385.72</t>
    </r>
    <r>
      <rPr>
        <sz val="10"/>
        <rFont val="Arial"/>
        <family val="2"/>
      </rPr>
      <t xml:space="preserve"> for being below the FR 26 minimum project threshold. 
</t>
    </r>
    <r>
      <rPr>
        <b/>
        <sz val="10"/>
        <rFont val="Arial"/>
        <family val="2"/>
      </rPr>
      <t>Cat C: Estimated: $35,750</t>
    </r>
    <r>
      <rPr>
        <sz val="10"/>
        <rFont val="Arial"/>
        <family val="2"/>
      </rPr>
      <t xml:space="preserve"> for damaged sidewalk underneath N Union St. Bridge. </t>
    </r>
    <r>
      <rPr>
        <b/>
        <sz val="10"/>
        <rFont val="Arial"/>
        <family val="2"/>
      </rPr>
      <t>Validated: $35,750</t>
    </r>
    <r>
      <rPr>
        <sz val="10"/>
        <rFont val="Arial"/>
        <family val="2"/>
      </rPr>
      <t xml:space="preserve"> using applicant provided pictures, invoices, and documents. 
</t>
    </r>
    <r>
      <rPr>
        <b/>
        <sz val="10"/>
        <rFont val="Arial"/>
        <family val="2"/>
      </rPr>
      <t>Cat G: Estimated: $294,071</t>
    </r>
    <r>
      <rPr>
        <sz val="10"/>
        <rFont val="Arial"/>
        <family val="2"/>
      </rPr>
      <t xml:space="preserve"> for a destroyed wooden footpath bridge, sink hole in parking lot, replacement of destroyed sidewalk in parking lot sink hole, and erosions of parking lot. </t>
    </r>
    <r>
      <rPr>
        <b/>
        <sz val="10"/>
        <rFont val="Arial"/>
        <family val="2"/>
      </rPr>
      <t>Validated: $294,071</t>
    </r>
    <r>
      <rPr>
        <sz val="10"/>
        <rFont val="Arial"/>
        <family val="2"/>
      </rPr>
      <t xml:space="preserve"> using applicant provided pictures, invoices, and documents. 
-Site 1 Estimated: $135,108, Grasshopper pedestrian bridge. Validated: $135,108 using applicant provided pictures and invoices
-Site 2 Estimated: $96,463</t>
    </r>
    <r>
      <rPr>
        <b/>
        <sz val="10"/>
        <rFont val="Arial"/>
        <family val="2"/>
      </rPr>
      <t xml:space="preserve"> </t>
    </r>
    <r>
      <rPr>
        <sz val="10"/>
        <rFont val="Arial"/>
        <family val="2"/>
      </rPr>
      <t>Lot A sidewalk that fell into the adjacent stream after a sinkhole formed underneath the pavement. Validated: $96,463 using applicant provided pictures and invoices, cost updated to include additional replacement of lost sidewalk that was not included in initial estimates. 
-Site 3 Estimated: $62,500 Lot K, erosion of embankment and retaining wall adjacent to a parking lot by the stream, the erosion resulted in a loss of retaining wall and fill material.</t>
    </r>
    <r>
      <rPr>
        <b/>
        <sz val="10"/>
        <rFont val="Arial"/>
        <family val="2"/>
      </rPr>
      <t xml:space="preserve"> </t>
    </r>
    <r>
      <rPr>
        <sz val="10"/>
        <rFont val="Arial"/>
        <family val="2"/>
      </rPr>
      <t>Validated: $62,500</t>
    </r>
    <r>
      <rPr>
        <b/>
        <sz val="10"/>
        <rFont val="Arial"/>
        <family val="2"/>
      </rPr>
      <t xml:space="preserve"> </t>
    </r>
    <r>
      <rPr>
        <sz val="10"/>
        <rFont val="Arial"/>
        <family val="2"/>
      </rPr>
      <t xml:space="preserve">using applicant provided invoices and pictures </t>
    </r>
  </si>
  <si>
    <r>
      <rPr>
        <b/>
        <sz val="10"/>
        <rFont val="Arial"/>
        <family val="2"/>
      </rPr>
      <t>Cat A: Estimated $198,000</t>
    </r>
    <r>
      <rPr>
        <sz val="10"/>
        <rFont val="Arial"/>
        <family val="2"/>
      </rPr>
      <t xml:space="preserve"> for debris removal on roads at 13 sites.  </t>
    </r>
    <r>
      <rPr>
        <b/>
        <sz val="10"/>
        <rFont val="Arial"/>
        <family val="2"/>
      </rPr>
      <t>Validated:</t>
    </r>
    <r>
      <rPr>
        <sz val="10"/>
        <rFont val="Arial"/>
        <family val="2"/>
      </rPr>
      <t xml:space="preserve"> </t>
    </r>
    <r>
      <rPr>
        <b/>
        <sz val="10"/>
        <rFont val="Arial"/>
        <family val="2"/>
      </rPr>
      <t>$198,000</t>
    </r>
    <r>
      <rPr>
        <sz val="10"/>
        <rFont val="Arial"/>
        <family val="2"/>
      </rPr>
      <t xml:space="preserve">, pending RFI for additional $21,000. Potential to add less than $100,000 from 1 more site.
</t>
    </r>
    <r>
      <rPr>
        <b/>
        <sz val="10"/>
        <rFont val="Arial"/>
        <family val="2"/>
      </rPr>
      <t xml:space="preserve">Cat B: Estimated: $0 </t>
    </r>
    <r>
      <rPr>
        <sz val="10"/>
        <rFont val="Arial"/>
        <family val="2"/>
      </rPr>
      <t xml:space="preserve">initially. </t>
    </r>
    <r>
      <rPr>
        <b/>
        <sz val="10"/>
        <rFont val="Arial"/>
        <family val="2"/>
      </rPr>
      <t>Validated: $138,929.52</t>
    </r>
    <r>
      <rPr>
        <sz val="10"/>
        <rFont val="Arial"/>
        <family val="2"/>
      </rPr>
      <t xml:space="preserve"> with contract invoices for emergency pumping, barricades and traffic control for FHWA roads and other facilities.
</t>
    </r>
    <r>
      <rPr>
        <b/>
        <sz val="10"/>
        <rFont val="Arial"/>
        <family val="2"/>
      </rPr>
      <t>Cat C: Estimated: $12,738,000</t>
    </r>
    <r>
      <rPr>
        <sz val="10"/>
        <rFont val="Arial"/>
        <family val="2"/>
      </rPr>
      <t xml:space="preserve"> for WC/WTBC road repairs at 173 sites. </t>
    </r>
    <r>
      <rPr>
        <b/>
        <sz val="10"/>
        <rFont val="Arial"/>
        <family val="2"/>
      </rPr>
      <t xml:space="preserve">Validated: $1,657,333.52 </t>
    </r>
    <r>
      <rPr>
        <sz val="10"/>
        <rFont val="Arial"/>
        <family val="2"/>
      </rPr>
      <t xml:space="preserve">with a sampling of cost estimates, provided invoices, F/A Labor/Equipment Summaries, and photos showing damage with reasonable lump sums. </t>
    </r>
    <r>
      <rPr>
        <b/>
        <sz val="10"/>
        <rFont val="Arial"/>
        <family val="2"/>
      </rPr>
      <t xml:space="preserve">Reduced: $11,080,666.48 </t>
    </r>
    <r>
      <rPr>
        <sz val="10"/>
        <rFont val="Arial"/>
        <family val="2"/>
      </rPr>
      <t>for repairs to FHWA roads and clarifying certain estimated costs were not in-kind. See "Grand Traverse Roads Commission Validation Sheet" for detailed information by WO.
Top-line notes:
   - Reduced $6,771,899.98 for 35 repair sites located on federal-aid roads
   - Reduced $3,855,628.50 on Brown Bridge Rd originally estimated full replacement including upgrade to spanned bridge ($4m), actual repair involves unearthing and repacking two large culverts, not bridge replacement. Applicant provided a contract quote for repairs and emergency repairs totaling $144,371.50.
   - Reduced $381,000 for other estimated repairs which are not in-kind (e.g., adding new culverts, upsizing culverts) at 9 sites
   - Reduced $72,138 after Applicant clarified SOW and provided in-kind costs for 2 sites - some of these costs were captured in the EPMs.
   - For approx 78 sites, FEMA validated either with photos with reasonable lump sum linked work orders, site visits, or cost documentation. Validated remaining 73 sites where photos were not provided or unclear which photos due to large sample. (approx. $538,000)</t>
    </r>
  </si>
  <si>
    <r>
      <rPr>
        <b/>
        <sz val="10"/>
        <rFont val="Arial"/>
        <family val="2"/>
      </rPr>
      <t>Cat A: Estimated</t>
    </r>
    <r>
      <rPr>
        <sz val="10"/>
        <rFont val="Arial"/>
        <family val="2"/>
      </rPr>
      <t xml:space="preserve">: </t>
    </r>
    <r>
      <rPr>
        <b/>
        <sz val="10"/>
        <rFont val="Arial"/>
        <family val="2"/>
      </rPr>
      <t>$0</t>
    </r>
    <r>
      <rPr>
        <sz val="10"/>
        <rFont val="Arial"/>
        <family val="2"/>
      </rPr>
      <t xml:space="preserve">, for debris removal contract labor from park facilities and pathways. </t>
    </r>
    <r>
      <rPr>
        <b/>
        <sz val="10"/>
        <rFont val="Arial"/>
        <family val="2"/>
      </rPr>
      <t xml:space="preserve">Validated: $4,500 </t>
    </r>
    <r>
      <rPr>
        <sz val="10"/>
        <rFont val="Arial"/>
        <family val="2"/>
      </rPr>
      <t xml:space="preserve">using applicant provided invoices and activity descriptions
</t>
    </r>
    <r>
      <rPr>
        <b/>
        <sz val="10"/>
        <rFont val="Arial"/>
        <family val="2"/>
      </rPr>
      <t>Cat G: Estimated: $2,255,000</t>
    </r>
    <r>
      <rPr>
        <sz val="10"/>
        <rFont val="Arial"/>
        <family val="2"/>
      </rPr>
      <t xml:space="preserve"> for washed out trail restoration at several sites, replacement of a pedestrian bridge, repairs to a service road, and replacement of a scenic overlook. See more details at "Grand Traverse Extra Notes."</t>
    </r>
    <r>
      <rPr>
        <b/>
        <sz val="10"/>
        <rFont val="Arial"/>
        <family val="2"/>
      </rPr>
      <t xml:space="preserve"> Reduced:</t>
    </r>
    <r>
      <rPr>
        <sz val="10"/>
        <rFont val="Arial"/>
        <family val="2"/>
      </rPr>
      <t xml:space="preserve"> $2,028,924.43 - unable to validate most lump sums based on site visits or provided documentation. Revised $13m cost estimate did not tie to the observed damage. </t>
    </r>
    <r>
      <rPr>
        <b/>
        <sz val="10"/>
        <rFont val="Arial"/>
        <family val="2"/>
      </rPr>
      <t>Validated: $226,075.57</t>
    </r>
    <r>
      <rPr>
        <sz val="10"/>
        <rFont val="Arial"/>
        <family val="2"/>
      </rPr>
      <t xml:space="preserve"> using applicant provided estimate and pictures. 
- Oleson Bridge: Estimated: $800,000 to replace a footbridge. Reduced: $797,500</t>
    </r>
    <r>
      <rPr>
        <b/>
        <sz val="10"/>
        <rFont val="Arial"/>
        <family val="2"/>
      </rPr>
      <t xml:space="preserve"> </t>
    </r>
    <r>
      <rPr>
        <sz val="10"/>
        <rFont val="Arial"/>
        <family val="2"/>
      </rPr>
      <t>Photos show a tree that fell on one end of the bridge and limited washout around one abutment.</t>
    </r>
    <r>
      <rPr>
        <b/>
        <sz val="10"/>
        <rFont val="Arial"/>
        <family val="2"/>
      </rPr>
      <t xml:space="preserve"> </t>
    </r>
    <r>
      <rPr>
        <sz val="10"/>
        <rFont val="Arial"/>
        <family val="2"/>
      </rPr>
      <t xml:space="preserve">Validated: $2,500 using FEMA engineer estimate for the removal of a tree and the repair/stabilization of the bridge abutment.
- Beaver Pond Trail: Estimated: $175,000, lump sum estimate provided. Reduced: $169,356.82 Validated $5,643.18 based on FEMA estimate of damaged dimensions to the trail.
- BRT service road: Estimated: $80,000 BRT service road washed out by the flood. Validated: $80,000 using applicant provided pictures and cost estimate
- Oleson trail washout: Estimated $500,000 with lump sum cost. Reduced: $ because unable to tie cost to work to restore the trail to pre-disaster conditions. Validated: $12,124.27 with FEMA eng. cost estimate to repair the trail. 
- Keystone Overlook: Estimated: $200,000.00 lump sum. Validated: $105,883.22 based on FEMA engineer estimate. Reduced. $94,116.78 - unable to tie lump sum to lump sum.
- Keystone Rapids Trail: Estimated: $500,000 with lump sum cost. Reduced: $180,075.10 due to lump sums provided not tied to trail restoration. Validated: $19,924.90 with FEMA engineer estimate to restore to predisaster conditions.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</si>
</sst>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44" formatCode="_(&quot;$&quot;* #,##0.00_);_(&quot;$&quot;* \(#,##0.00\);_(&quot;$&quot;* &quot;-&quot;??_);_(@_)"/>
    <numFmt numFmtId="164" formatCode="&quot;$&quot;#,##0"/>
  </numFmts>
  <fonts count="15" x14ac:knownFonts="1">
    <font>
      <sz val="10"/>
      <name val="Arial"/>
    </font>
    <font>
      <sz val="11"/>
      <color theme="1"/>
      <name val="Calibri"/>
      <family val="2"/>
      <scheme val="minor"/>
    </font>
    <font>
      <sz val="10"/>
      <name val="Arial"/>
      <family val="2"/>
    </font>
    <font>
      <sz val="8"/>
      <name val="Arial"/>
      <family val="2"/>
    </font>
    <font>
      <b/>
      <sz val="10"/>
      <name val="Arial"/>
      <family val="2"/>
    </font>
    <font>
      <sz val="10"/>
      <color theme="1"/>
      <name val="Arial"/>
      <family val="2"/>
    </font>
    <font>
      <b/>
      <sz val="10"/>
      <color theme="0"/>
      <name val="Arial"/>
      <family val="2"/>
    </font>
    <font>
      <b/>
      <sz val="11"/>
      <name val="Arial"/>
      <family val="2"/>
    </font>
    <font>
      <b/>
      <sz val="11"/>
      <color rgb="FF00B050"/>
      <name val="Arial"/>
      <family val="2"/>
    </font>
    <font>
      <b/>
      <sz val="12"/>
      <color theme="0"/>
      <name val="Arial"/>
      <family val="2"/>
    </font>
    <font>
      <b/>
      <sz val="14"/>
      <color theme="0"/>
      <name val="Arial"/>
      <family val="2"/>
    </font>
    <font>
      <b/>
      <sz val="12"/>
      <name val="Arial"/>
      <family val="2"/>
    </font>
    <font>
      <u/>
      <sz val="10"/>
      <color theme="10"/>
      <name val="Arial"/>
      <family val="2"/>
    </font>
    <font>
      <sz val="10"/>
      <name val="Arial"/>
      <family val="2"/>
    </font>
    <font>
      <sz val="11"/>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right/>
      <top/>
      <bottom style="thick">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ck">
        <color indexed="64"/>
      </right>
      <top style="thick">
        <color indexed="64"/>
      </top>
      <bottom style="thick">
        <color indexed="64"/>
      </bottom>
      <diagonal/>
    </border>
  </borders>
  <cellStyleXfs count="4">
    <xf numFmtId="0" fontId="0" fillId="0" borderId="0"/>
    <xf numFmtId="0" fontId="12" fillId="0" borderId="0" applyNumberFormat="0" applyFill="0" applyBorder="0" applyAlignment="0" applyProtection="0"/>
    <xf numFmtId="44" fontId="13" fillId="0" borderId="0" applyFont="0" applyFill="0" applyBorder="0" applyAlignment="0" applyProtection="0"/>
    <xf numFmtId="0" fontId="1" fillId="0" borderId="0"/>
  </cellStyleXfs>
  <cellXfs count="71">
    <xf numFmtId="0" fontId="0" fillId="0" borderId="0" xfId="0"/>
    <xf numFmtId="0" fontId="3" fillId="0" borderId="0" xfId="0" applyFont="1" applyAlignment="1">
      <alignment vertical="top"/>
    </xf>
    <xf numFmtId="0" fontId="2" fillId="0" borderId="0" xfId="0" applyFont="1"/>
    <xf numFmtId="0" fontId="2" fillId="0" borderId="0" xfId="0" quotePrefix="1" applyFont="1" applyAlignment="1">
      <alignment horizontal="left"/>
    </xf>
    <xf numFmtId="164" fontId="0" fillId="0" borderId="0" xfId="0" applyNumberFormat="1"/>
    <xf numFmtId="0" fontId="7" fillId="4" borderId="8" xfId="0" quotePrefix="1" applyFont="1" applyFill="1" applyBorder="1" applyAlignment="1">
      <alignment horizontal="center" vertical="center"/>
    </xf>
    <xf numFmtId="0" fontId="7" fillId="6" borderId="10" xfId="0" applyFont="1" applyFill="1" applyBorder="1" applyAlignment="1">
      <alignment horizontal="center" vertical="center"/>
    </xf>
    <xf numFmtId="0" fontId="2" fillId="0" borderId="1" xfId="0" applyFont="1" applyBorder="1"/>
    <xf numFmtId="0" fontId="4" fillId="4" borderId="0" xfId="0" quotePrefix="1" applyFont="1" applyFill="1" applyAlignment="1">
      <alignment horizontal="left"/>
    </xf>
    <xf numFmtId="164" fontId="8" fillId="2" borderId="10" xfId="0" applyNumberFormat="1" applyFont="1" applyFill="1" applyBorder="1" applyAlignment="1" applyProtection="1">
      <alignment horizontal="center" vertical="center"/>
    </xf>
    <xf numFmtId="0" fontId="2" fillId="0" borderId="0" xfId="0" applyFont="1" applyProtection="1">
      <protection locked="0"/>
    </xf>
    <xf numFmtId="0" fontId="0" fillId="0" borderId="0" xfId="0" applyProtection="1">
      <protection locked="0"/>
    </xf>
    <xf numFmtId="164" fontId="2" fillId="0" borderId="0" xfId="0" applyNumberFormat="1" applyFont="1" applyProtection="1">
      <protection locked="0"/>
    </xf>
    <xf numFmtId="164" fontId="0" fillId="0" borderId="0" xfId="0" applyNumberFormat="1" applyProtection="1">
      <protection locked="0"/>
    </xf>
    <xf numFmtId="0" fontId="2" fillId="2" borderId="7" xfId="0" applyFont="1" applyFill="1" applyBorder="1" applyAlignment="1" applyProtection="1">
      <alignment horizontal="center" vertical="center"/>
      <protection locked="0"/>
    </xf>
    <xf numFmtId="164" fontId="4" fillId="0" borderId="0" xfId="0" applyNumberFormat="1" applyFont="1" applyAlignment="1" applyProtection="1">
      <alignment horizontal="center"/>
    </xf>
    <xf numFmtId="0" fontId="6" fillId="5" borderId="2" xfId="0" applyFont="1" applyFill="1" applyBorder="1" applyAlignment="1" applyProtection="1">
      <alignment horizontal="center"/>
    </xf>
    <xf numFmtId="0" fontId="6" fillId="5" borderId="4" xfId="0" applyFont="1" applyFill="1" applyBorder="1" applyAlignment="1" applyProtection="1">
      <alignment horizontal="center"/>
    </xf>
    <xf numFmtId="0" fontId="4" fillId="7" borderId="2" xfId="0" applyFont="1" applyFill="1" applyBorder="1" applyAlignment="1" applyProtection="1">
      <alignment horizontal="center"/>
    </xf>
    <xf numFmtId="5" fontId="4" fillId="7" borderId="4" xfId="0" applyNumberFormat="1" applyFont="1" applyFill="1" applyBorder="1" applyAlignment="1" applyProtection="1">
      <alignment horizontal="center" vertical="center" wrapText="1"/>
    </xf>
    <xf numFmtId="0" fontId="4" fillId="8" borderId="2" xfId="0" applyFont="1" applyFill="1" applyBorder="1" applyAlignment="1" applyProtection="1">
      <alignment horizontal="center"/>
    </xf>
    <xf numFmtId="0" fontId="4" fillId="8" borderId="3" xfId="0" applyFont="1" applyFill="1" applyBorder="1" applyAlignment="1" applyProtection="1">
      <alignment horizontal="center"/>
    </xf>
    <xf numFmtId="0" fontId="4" fillId="8" borderId="4" xfId="0" applyFont="1" applyFill="1" applyBorder="1" applyAlignment="1" applyProtection="1">
      <alignment horizontal="center"/>
    </xf>
    <xf numFmtId="0" fontId="4" fillId="0" borderId="0" xfId="0" applyFont="1"/>
    <xf numFmtId="0" fontId="0" fillId="9" borderId="0" xfId="0" applyFill="1"/>
    <xf numFmtId="0" fontId="0" fillId="0" borderId="0" xfId="0" quotePrefix="1" applyAlignment="1">
      <alignment horizontal="left"/>
    </xf>
    <xf numFmtId="0" fontId="10" fillId="5" borderId="4" xfId="0" applyFont="1" applyFill="1" applyBorder="1" applyAlignment="1">
      <alignment horizontal="center" vertical="center"/>
    </xf>
    <xf numFmtId="0" fontId="9" fillId="5" borderId="2" xfId="0" applyFont="1" applyFill="1" applyBorder="1" applyAlignment="1">
      <alignment horizontal="center" vertical="center"/>
    </xf>
    <xf numFmtId="0" fontId="11" fillId="0" borderId="0" xfId="0" applyFont="1" applyAlignment="1">
      <alignment horizontal="center" vertical="center"/>
    </xf>
    <xf numFmtId="0" fontId="5" fillId="6" borderId="1" xfId="0" applyFont="1" applyFill="1" applyBorder="1" applyAlignment="1" applyProtection="1">
      <alignment horizontal="center"/>
    </xf>
    <xf numFmtId="0" fontId="12" fillId="0" borderId="0" xfId="1"/>
    <xf numFmtId="44" fontId="0" fillId="0" borderId="0" xfId="2" quotePrefix="1" applyFont="1" applyAlignment="1">
      <alignment horizontal="left"/>
    </xf>
    <xf numFmtId="3" fontId="0" fillId="0" borderId="15" xfId="0" applyNumberFormat="1" applyBorder="1" applyAlignment="1" applyProtection="1">
      <alignment horizontal="right"/>
      <protection locked="0"/>
    </xf>
    <xf numFmtId="3" fontId="0" fillId="0" borderId="16" xfId="0" applyNumberFormat="1" applyBorder="1" applyAlignment="1" applyProtection="1">
      <alignment horizontal="right"/>
      <protection locked="0"/>
    </xf>
    <xf numFmtId="0" fontId="14" fillId="0" borderId="15" xfId="0" applyFont="1" applyBorder="1" applyProtection="1">
      <protection locked="0"/>
    </xf>
    <xf numFmtId="0" fontId="14" fillId="0" borderId="16" xfId="0" applyFont="1" applyBorder="1" applyProtection="1">
      <protection locked="0"/>
    </xf>
    <xf numFmtId="0" fontId="0" fillId="0" borderId="0" xfId="0" applyFont="1"/>
    <xf numFmtId="44" fontId="0" fillId="0" borderId="0" xfId="2" quotePrefix="1" applyFont="1"/>
    <xf numFmtId="44" fontId="0" fillId="0" borderId="0" xfId="0" applyNumberFormat="1"/>
    <xf numFmtId="0" fontId="0" fillId="0" borderId="0" xfId="0" quotePrefix="1"/>
    <xf numFmtId="44" fontId="0" fillId="0" borderId="0" xfId="2" applyFont="1"/>
    <xf numFmtId="0" fontId="6" fillId="5" borderId="3" xfId="0" applyFont="1" applyFill="1" applyBorder="1" applyAlignment="1" applyProtection="1">
      <alignment horizontal="center"/>
    </xf>
    <xf numFmtId="0" fontId="0" fillId="10" borderId="0" xfId="0" applyFill="1"/>
    <xf numFmtId="0" fontId="0" fillId="5" borderId="0" xfId="0" applyFill="1"/>
    <xf numFmtId="0" fontId="0" fillId="11" borderId="0" xfId="0" applyFill="1"/>
    <xf numFmtId="0" fontId="0" fillId="12" borderId="0" xfId="0" applyFill="1"/>
    <xf numFmtId="0" fontId="0" fillId="13" borderId="0" xfId="0" applyFill="1"/>
    <xf numFmtId="0" fontId="0" fillId="3" borderId="0" xfId="0" applyFill="1"/>
    <xf numFmtId="6" fontId="0" fillId="0" borderId="0" xfId="0" applyNumberFormat="1"/>
    <xf numFmtId="0" fontId="2" fillId="0" borderId="0" xfId="0" applyFont="1" applyAlignment="1" applyProtection="1">
      <alignment wrapText="1"/>
      <protection locked="0"/>
    </xf>
    <xf numFmtId="0" fontId="2" fillId="0" borderId="0" xfId="0" applyFont="1" applyAlignment="1">
      <alignment wrapText="1"/>
    </xf>
    <xf numFmtId="0" fontId="11" fillId="0" borderId="0" xfId="0" applyFont="1" applyAlignment="1">
      <alignment horizontal="center" vertical="center" wrapText="1"/>
    </xf>
    <xf numFmtId="0" fontId="0" fillId="3" borderId="11" xfId="0" applyFill="1" applyBorder="1" applyAlignment="1">
      <alignment horizontal="center"/>
    </xf>
    <xf numFmtId="0" fontId="0" fillId="3" borderId="0" xfId="0" applyFill="1" applyAlignment="1">
      <alignment horizontal="center"/>
    </xf>
    <xf numFmtId="0" fontId="7" fillId="8" borderId="6"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wrapText="1"/>
    </xf>
    <xf numFmtId="164" fontId="7" fillId="2" borderId="5" xfId="0" applyNumberFormat="1" applyFont="1" applyFill="1" applyBorder="1" applyAlignment="1" applyProtection="1">
      <alignment horizontal="center" vertical="center" wrapText="1"/>
    </xf>
    <xf numFmtId="164" fontId="7" fillId="2" borderId="9" xfId="0" applyNumberFormat="1" applyFont="1" applyFill="1" applyBorder="1" applyAlignment="1" applyProtection="1">
      <alignment horizontal="center" vertical="center" wrapText="1"/>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7" fillId="7" borderId="6" xfId="0" applyFont="1" applyFill="1" applyBorder="1" applyAlignment="1">
      <alignment horizontal="center" vertical="center"/>
    </xf>
    <xf numFmtId="0" fontId="7" fillId="7"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xf>
    <xf numFmtId="164" fontId="7" fillId="2" borderId="9" xfId="0" applyNumberFormat="1" applyFont="1" applyFill="1" applyBorder="1" applyAlignment="1" applyProtection="1">
      <alignment horizontal="center" vertical="center"/>
    </xf>
    <xf numFmtId="0" fontId="7" fillId="4" borderId="8" xfId="0" quotePrefix="1" applyFont="1" applyFill="1" applyBorder="1" applyAlignment="1">
      <alignment horizontal="center" vertical="center"/>
    </xf>
    <xf numFmtId="0" fontId="7" fillId="4" borderId="17" xfId="0" quotePrefix="1" applyFont="1" applyFill="1" applyBorder="1" applyAlignment="1">
      <alignment horizontal="center" vertical="center"/>
    </xf>
    <xf numFmtId="0" fontId="2" fillId="2" borderId="8"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cellXfs>
  <cellStyles count="4">
    <cellStyle name="Currency" xfId="2" builtinId="4"/>
    <cellStyle name="Hyperlink" xfId="1" builtinId="8"/>
    <cellStyle name="Normal" xfId="0" builtinId="0"/>
    <cellStyle name="Normal 2" xfId="3" xr:uid="{BCCC2360-B325-4E27-9345-AB9F5035B32C}"/>
  </cellStyles>
  <dxfs count="32">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numFmt numFmtId="0" formatCode="General"/>
    </dxf>
    <dxf>
      <border>
        <bottom style="medium">
          <color indexed="64"/>
        </bottom>
      </border>
    </dxf>
    <dxf>
      <font>
        <b val="0"/>
        <i val="0"/>
        <strike val="0"/>
        <condense val="0"/>
        <extend val="0"/>
        <outline val="0"/>
        <shadow val="0"/>
        <u val="none"/>
        <vertAlign val="baseline"/>
        <sz val="10"/>
        <color auto="1"/>
        <name val="Arial"/>
        <family val="2"/>
        <scheme val="none"/>
      </font>
      <border diagonalUp="0" diagonalDown="0">
        <left/>
        <right/>
        <top/>
        <bottom/>
        <vertical/>
        <horizontal/>
      </border>
    </dxf>
    <dxf>
      <protection locked="0" hidden="0"/>
    </dxf>
    <dxf>
      <font>
        <b/>
        <i val="0"/>
        <strike val="0"/>
        <outline val="0"/>
        <shadow val="0"/>
        <u val="none"/>
        <vertAlign val="baseline"/>
        <sz val="12"/>
        <name val="Arial"/>
        <family val="2"/>
        <scheme val="none"/>
      </font>
      <alignment horizontal="center" vertical="center" textRotation="0" wrapText="0" indent="0" justifyLastLine="0" shrinkToFit="0" readingOrder="0"/>
    </dxf>
    <dxf>
      <border>
        <bottom style="medium">
          <color indexed="64"/>
        </bottom>
      </border>
    </dxf>
    <dxf>
      <font>
        <b/>
        <i val="0"/>
        <strike val="0"/>
        <outline val="0"/>
        <shadow val="0"/>
        <u val="none"/>
        <vertAlign val="baseline"/>
        <sz val="14"/>
        <color theme="0"/>
        <name val="Arial"/>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left/>
        <right/>
        <top/>
        <bottom/>
        <vertical/>
        <horizontal/>
      </border>
    </dxf>
    <dxf>
      <protection locked="0" hidden="0"/>
    </dxf>
    <dxf>
      <protection locked="0" hidden="0"/>
    </dxf>
    <dxf>
      <numFmt numFmtId="10" formatCode="&quot;$&quot;#,##0_);[Red]\(&quot;$&quot;#,##0\)"/>
      <protection locked="1" hidden="0"/>
    </dxf>
    <dxf>
      <numFmt numFmtId="164" formatCode="&quot;$&quot;#,##0"/>
      <protection locked="0" hidden="0"/>
    </dxf>
    <dxf>
      <numFmt numFmtId="164" formatCode="&quot;$&quot;#,##0"/>
      <protection locked="0" hidden="0"/>
    </dxf>
    <dxf>
      <protection locked="0" hidden="0"/>
    </dxf>
    <dxf>
      <protection locked="0" hidden="0"/>
    </dxf>
    <dxf>
      <protection locked="0" hidden="0"/>
    </dxf>
    <dxf>
      <protection locked="1" hidden="0"/>
    </dxf>
    <dxf>
      <font>
        <b/>
        <i val="0"/>
        <strike val="0"/>
        <outline val="0"/>
        <shadow val="0"/>
        <u val="none"/>
        <vertAlign val="baseline"/>
        <sz val="10"/>
        <color auto="1"/>
        <name val="Arial"/>
        <scheme val="none"/>
      </font>
      <numFmt numFmtId="164" formatCode="&quot;$&quot;#,##0"/>
      <alignment horizontal="center" vertical="bottom" textRotation="0" wrapText="0" indent="0" justifyLastLine="0" shrinkToFit="0" readingOrder="0"/>
      <protection locked="1" hidden="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val="0"/>
        <i val="0"/>
        <strike val="0"/>
        <condense val="0"/>
        <extend val="0"/>
        <outline val="0"/>
        <shadow val="0"/>
        <u val="none"/>
        <vertAlign val="baseline"/>
        <sz val="10"/>
        <color auto="1"/>
        <name val="Arial"/>
        <family val="2"/>
        <scheme val="none"/>
      </font>
      <protection locked="0" hidden="0"/>
    </dxf>
    <dxf>
      <border>
        <bottom style="medium">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4" tint="-0.249977111117893"/>
        </patternFill>
      </fill>
      <alignment horizontal="center" vertical="bottom" textRotation="0" wrapText="0" indent="0" justifyLastLine="0" shrinkToFit="0" readingOrder="0"/>
      <border diagonalUp="0" diagonalDown="0">
        <left/>
        <right/>
        <top/>
        <bottom/>
        <vertical/>
        <horizontal/>
      </border>
      <protection locked="1" hidden="0"/>
    </dxf>
  </dxfs>
  <tableStyles count="0" defaultTableStyle="TableStyleMedium9" defaultPivotStyle="PivotStyleLight16"/>
  <colors>
    <mruColors>
      <color rgb="FFFFFF99"/>
      <color rgb="FFFF00FF"/>
      <color rgb="FFFF505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619125</xdr:colOff>
      <xdr:row>1</xdr:row>
      <xdr:rowOff>0</xdr:rowOff>
    </xdr:from>
    <xdr:to>
      <xdr:col>8</xdr:col>
      <xdr:colOff>718186</xdr:colOff>
      <xdr:row>1</xdr:row>
      <xdr:rowOff>150495</xdr:rowOff>
    </xdr:to>
    <xdr:sp macro="" textlink="">
      <xdr:nvSpPr>
        <xdr:cNvPr id="6" name="Text Box 4">
          <a:extLst>
            <a:ext uri="{FF2B5EF4-FFF2-40B4-BE49-F238E27FC236}">
              <a16:creationId xmlns:a16="http://schemas.microsoft.com/office/drawing/2014/main" id="{6DEF070D-C057-4115-BE39-3F13BE9043D4}"/>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718186</xdr:colOff>
      <xdr:row>1</xdr:row>
      <xdr:rowOff>150495</xdr:rowOff>
    </xdr:to>
    <xdr:sp macro="" textlink="">
      <xdr:nvSpPr>
        <xdr:cNvPr id="7" name="Text Box 19">
          <a:extLst>
            <a:ext uri="{FF2B5EF4-FFF2-40B4-BE49-F238E27FC236}">
              <a16:creationId xmlns:a16="http://schemas.microsoft.com/office/drawing/2014/main" id="{E449E2C0-9D82-4135-9D46-E7E414D8DD75}"/>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718186</xdr:colOff>
      <xdr:row>1</xdr:row>
      <xdr:rowOff>150495</xdr:rowOff>
    </xdr:to>
    <xdr:sp macro="" textlink="">
      <xdr:nvSpPr>
        <xdr:cNvPr id="8" name="Text Box 20">
          <a:extLst>
            <a:ext uri="{FF2B5EF4-FFF2-40B4-BE49-F238E27FC236}">
              <a16:creationId xmlns:a16="http://schemas.microsoft.com/office/drawing/2014/main" id="{AD969D8F-371F-456A-B536-93443705C749}"/>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oneCellAnchor>
    <xdr:from>
      <xdr:col>8</xdr:col>
      <xdr:colOff>619125</xdr:colOff>
      <xdr:row>1</xdr:row>
      <xdr:rowOff>0</xdr:rowOff>
    </xdr:from>
    <xdr:ext cx="76200" cy="150495"/>
    <xdr:sp macro="" textlink="">
      <xdr:nvSpPr>
        <xdr:cNvPr id="9" name="Text Box 19">
          <a:extLst>
            <a:ext uri="{FF2B5EF4-FFF2-40B4-BE49-F238E27FC236}">
              <a16:creationId xmlns:a16="http://schemas.microsoft.com/office/drawing/2014/main" id="{042953F7-0919-4630-9D22-CA31DADDB61C}"/>
            </a:ext>
          </a:extLst>
        </xdr:cNvPr>
        <xdr:cNvSpPr txBox="1">
          <a:spLocks noChangeArrowheads="1"/>
        </xdr:cNvSpPr>
      </xdr:nvSpPr>
      <xdr:spPr bwMode="auto">
        <a:xfrm>
          <a:off x="9267825" y="0"/>
          <a:ext cx="76200" cy="150495"/>
        </a:xfrm>
        <a:prstGeom prst="rect">
          <a:avLst/>
        </a:prstGeom>
        <a:noFill/>
        <a:ln w="9525">
          <a:noFill/>
          <a:miter lim="800000"/>
          <a:headEnd/>
          <a:tailEnd/>
        </a:ln>
      </xdr:spPr>
    </xdr:sp>
    <xdr:clientData/>
  </xdr:oneCellAnchor>
  <xdr:twoCellAnchor editAs="oneCell">
    <xdr:from>
      <xdr:col>5</xdr:col>
      <xdr:colOff>723900</xdr:colOff>
      <xdr:row>1</xdr:row>
      <xdr:rowOff>7620</xdr:rowOff>
    </xdr:from>
    <xdr:to>
      <xdr:col>5</xdr:col>
      <xdr:colOff>952500</xdr:colOff>
      <xdr:row>2</xdr:row>
      <xdr:rowOff>0</xdr:rowOff>
    </xdr:to>
    <xdr:pic>
      <xdr:nvPicPr>
        <xdr:cNvPr id="2" name="Graphic 1" descr="Lock outline">
          <a:extLst>
            <a:ext uri="{FF2B5EF4-FFF2-40B4-BE49-F238E27FC236}">
              <a16:creationId xmlns:a16="http://schemas.microsoft.com/office/drawing/2014/main" id="{09CD7DF5-3F79-43A8-8D94-7680BC810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88380" y="175260"/>
          <a:ext cx="228600" cy="228600"/>
        </a:xfrm>
        <a:prstGeom prst="rect">
          <a:avLst/>
        </a:prstGeom>
      </xdr:spPr>
    </xdr:pic>
    <xdr:clientData/>
  </xdr:twoCellAnchor>
  <xdr:twoCellAnchor editAs="oneCell">
    <xdr:from>
      <xdr:col>9</xdr:col>
      <xdr:colOff>45720</xdr:colOff>
      <xdr:row>1</xdr:row>
      <xdr:rowOff>7620</xdr:rowOff>
    </xdr:from>
    <xdr:to>
      <xdr:col>9</xdr:col>
      <xdr:colOff>297180</xdr:colOff>
      <xdr:row>2</xdr:row>
      <xdr:rowOff>0</xdr:rowOff>
    </xdr:to>
    <xdr:pic>
      <xdr:nvPicPr>
        <xdr:cNvPr id="3" name="Graphic 2" descr="Lock outline">
          <a:extLst>
            <a:ext uri="{FF2B5EF4-FFF2-40B4-BE49-F238E27FC236}">
              <a16:creationId xmlns:a16="http://schemas.microsoft.com/office/drawing/2014/main" id="{EB91B0B6-E4A0-4626-BC30-3286BA4BD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012680" y="175260"/>
          <a:ext cx="228600" cy="228600"/>
        </a:xfrm>
        <a:prstGeom prst="rect">
          <a:avLst/>
        </a:prstGeom>
      </xdr:spPr>
    </xdr:pic>
    <xdr:clientData/>
  </xdr:twoCellAnchor>
  <xdr:twoCellAnchor editAs="oneCell">
    <xdr:from>
      <xdr:col>11</xdr:col>
      <xdr:colOff>1158240</xdr:colOff>
      <xdr:row>1</xdr:row>
      <xdr:rowOff>0</xdr:rowOff>
    </xdr:from>
    <xdr:to>
      <xdr:col>11</xdr:col>
      <xdr:colOff>1403985</xdr:colOff>
      <xdr:row>1</xdr:row>
      <xdr:rowOff>228600</xdr:rowOff>
    </xdr:to>
    <xdr:pic>
      <xdr:nvPicPr>
        <xdr:cNvPr id="4" name="Graphic 3" descr="Lock outline">
          <a:extLst>
            <a:ext uri="{FF2B5EF4-FFF2-40B4-BE49-F238E27FC236}">
              <a16:creationId xmlns:a16="http://schemas.microsoft.com/office/drawing/2014/main" id="{D2353A44-0006-44B3-9DBC-01D9EE25E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426440" y="167640"/>
          <a:ext cx="228600" cy="228600"/>
        </a:xfrm>
        <a:prstGeom prst="rect">
          <a:avLst/>
        </a:prstGeom>
      </xdr:spPr>
    </xdr:pic>
    <xdr:clientData/>
  </xdr:twoCellAnchor>
  <xdr:twoCellAnchor editAs="oneCell">
    <xdr:from>
      <xdr:col>11</xdr:col>
      <xdr:colOff>1432560</xdr:colOff>
      <xdr:row>3</xdr:row>
      <xdr:rowOff>167640</xdr:rowOff>
    </xdr:from>
    <xdr:to>
      <xdr:col>11</xdr:col>
      <xdr:colOff>1632585</xdr:colOff>
      <xdr:row>5</xdr:row>
      <xdr:rowOff>0</xdr:rowOff>
    </xdr:to>
    <xdr:pic>
      <xdr:nvPicPr>
        <xdr:cNvPr id="5" name="Graphic 4" descr="Lock outline">
          <a:extLst>
            <a:ext uri="{FF2B5EF4-FFF2-40B4-BE49-F238E27FC236}">
              <a16:creationId xmlns:a16="http://schemas.microsoft.com/office/drawing/2014/main" id="{AF5C9FE4-B85F-4EBC-8602-4DE104E34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700760" y="982980"/>
          <a:ext cx="190500" cy="190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620BDC-37EF-44D7-A55A-E82E3B8113B4}" name="Table6" displayName="Table6" ref="B5:L101" totalsRowShown="0" headerRowDxfId="31" headerRowBorderDxfId="30">
  <autoFilter ref="B5:L101" xr:uid="{A5620BDC-37EF-44D7-A55A-E82E3B8113B4}"/>
  <sortState xmlns:xlrd2="http://schemas.microsoft.com/office/spreadsheetml/2017/richdata2" ref="B6:L101">
    <sortCondition descending="1" ref="B5:B101"/>
  </sortState>
  <tableColumns count="11">
    <tableColumn id="1" xr3:uid="{58A1F626-6A37-4400-A0D7-73A4977168EE}" name="Applicant"/>
    <tableColumn id="11" xr3:uid="{3C5ED757-041B-493C-951D-ECB0E75A530D}" name="Type" dataDxfId="29"/>
    <tableColumn id="2" xr3:uid="{CEF0DEE3-5FBC-4431-8D20-44ADFA086565}" name="Status"/>
    <tableColumn id="3" xr3:uid="{6AE4775A-6962-48E5-A1C4-9FCA9AB9D84E}" name="A" dataDxfId="28"/>
    <tableColumn id="4" xr3:uid="{95329002-0451-4E1E-945B-2C92D7F26AE1}" name="B" dataDxfId="27"/>
    <tableColumn id="5" xr3:uid="{C9970892-8DCE-47CB-869D-F16FA0BD7E06}" name="C" dataDxfId="26"/>
    <tableColumn id="6" xr3:uid="{F0DCACBD-52FF-4FE4-84B1-2D6B25D65311}" name="D" dataDxfId="25"/>
    <tableColumn id="7" xr3:uid="{205919F4-D5DE-486C-90D6-F5D967AC39EC}" name="E" dataDxfId="24"/>
    <tableColumn id="8" xr3:uid="{F9D328E0-74CC-4868-B431-49B3E35EFE9D}" name="F" dataDxfId="23"/>
    <tableColumn id="9" xr3:uid="{03019066-5B79-4995-97FF-5CAED36BB984}" name="G" dataDxfId="22"/>
    <tableColumn id="10" xr3:uid="{1D74BABD-09F2-423C-A7DE-83A1A9B01B7A}" name="Applicant Total" dataDxfId="21">
      <calculatedColumnFormula>SUM(Table6[[#This Row],[A]:[G]])</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CB7466-6586-4774-914D-244C82B61CEC}" name="Table4" displayName="Table4" ref="B2:H100" totalsRowShown="0" headerRowDxfId="20" dataDxfId="19">
  <autoFilter ref="B2:H100" xr:uid="{7E05BDDB-79A8-4B8C-B3FD-30233A573046}"/>
  <tableColumns count="7">
    <tableColumn id="1" xr3:uid="{EBE6867D-ECD3-4299-939D-6AD6F148135A}" name="Applicant" dataDxfId="18"/>
    <tableColumn id="2" xr3:uid="{092AD1B9-A26D-4C65-80D4-F4E645BEDE6F}" name="Category" dataDxfId="17"/>
    <tableColumn id="5" xr3:uid="{031FC48C-8508-4F40-BBD7-A82654F3D273}" name="Original Costs" dataDxfId="16"/>
    <tableColumn id="6" xr3:uid="{F97F70D9-D148-4C4F-B22E-152C65E54617}" name="Eligible Costs" dataDxfId="15"/>
    <tableColumn id="7" xr3:uid="{ECF49F7D-97C9-4C88-B6A5-8D4FDC500808}" name="Reduction" dataDxfId="14">
      <calculatedColumnFormula>SUM(Table4[[#This Row],[Eligible Costs]]-Table4[[#This Row],[Original Costs]])</calculatedColumnFormula>
    </tableColumn>
    <tableColumn id="8" xr3:uid="{DC442A57-F585-471A-8A83-5F11592FFF28}" name="Reduction Category" dataDxfId="13"/>
    <tableColumn id="9" xr3:uid="{4D9A617B-F667-4CB9-ABB4-BC21B0DB63D3}" name="Note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1571E-2DE1-4178-B308-3670BEB5628D}" name="Table2" displayName="Table2" ref="A1:B100" totalsRowShown="0" headerRowDxfId="11" headerRowBorderDxfId="10">
  <autoFilter ref="A1:B100" xr:uid="{29F1571E-2DE1-4178-B308-3670BEB5628D}"/>
  <tableColumns count="2">
    <tableColumn id="1" xr3:uid="{511D19C6-A0F9-419D-8333-A1AF52B58914}" name="Applicant" dataDxfId="9">
      <calculatedColumnFormula>'County Summary'!B6</calculatedColumnFormula>
    </tableColumn>
    <tableColumn id="2" xr3:uid="{013B6BC0-C6D4-4D70-B3B0-8E99805BD467}" name="Comments" dataDxfId="8"/>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BA798-1650-4FBC-9431-8BD2F9AC0222}" name="Table152" displayName="Table152" ref="A3:A86" totalsRowShown="0" headerRowDxfId="7" headerRowBorderDxfId="6">
  <autoFilter ref="A3:A86" xr:uid="{28702944-4F95-47B2-ADD7-850BD65E83C4}"/>
  <sortState xmlns:xlrd2="http://schemas.microsoft.com/office/spreadsheetml/2017/richdata2" ref="A4:A75">
    <sortCondition ref="A3:A75"/>
  </sortState>
  <tableColumns count="1">
    <tableColumn id="1" xr3:uid="{4CF389FC-CECE-4192-9636-17DAFB0678D2}" name="County (Population) - Threshold" dataDxfId="5">
      <calculatedColumnFormula>D4 &amp; " (" &amp;F4&amp; ")" &amp; " - " &amp;H4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vertOverflow="overflow" horzOverflow="overflow" wrap="square" rtlCol="0" anchor="t"/>
      <a:lstStyle>
        <a:defPPr algn="l">
          <a:defRPr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Charles.Annerino@fema.dhs.gov"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2B60-4B75-4750-A216-1A9BE654E594}">
  <sheetPr>
    <tabColor theme="6" tint="0.39997558519241921"/>
  </sheetPr>
  <dimension ref="A1:L201"/>
  <sheetViews>
    <sheetView showZeros="0" workbookViewId="0">
      <pane xSplit="1" ySplit="5" topLeftCell="B6" activePane="bottomRight" state="frozen"/>
      <selection pane="topRight" activeCell="B1" sqref="B1"/>
      <selection pane="bottomLeft" activeCell="A6" sqref="A6"/>
      <selection pane="bottomRight" activeCell="B10" sqref="B10"/>
    </sheetView>
  </sheetViews>
  <sheetFormatPr defaultColWidth="16.6640625" defaultRowHeight="13.2" x14ac:dyDescent="0.25"/>
  <cols>
    <col min="1" max="1" width="1.33203125" style="53" customWidth="1"/>
    <col min="2" max="2" width="31.6640625" customWidth="1"/>
    <col min="3" max="3" width="11.88671875" customWidth="1"/>
    <col min="4" max="4" width="16.6640625" customWidth="1"/>
    <col min="12" max="12" width="27.6640625" customWidth="1"/>
  </cols>
  <sheetData>
    <row r="1" spans="1:12" ht="13.2" customHeight="1" thickBot="1" x14ac:dyDescent="0.3">
      <c r="B1" s="52"/>
      <c r="C1" s="52"/>
      <c r="D1" s="52"/>
      <c r="E1" s="52"/>
      <c r="F1" s="52"/>
      <c r="G1" s="52"/>
      <c r="H1" s="52"/>
      <c r="I1" s="52"/>
      <c r="J1" s="52"/>
      <c r="K1" s="52"/>
      <c r="L1" s="52"/>
    </row>
    <row r="2" spans="1:12" s="1" customFormat="1" ht="20.100000000000001" customHeight="1" thickTop="1" thickBot="1" x14ac:dyDescent="0.3">
      <c r="A2" s="53"/>
      <c r="B2" s="67" t="s">
        <v>15</v>
      </c>
      <c r="C2" s="68"/>
      <c r="D2" s="5" t="s">
        <v>7</v>
      </c>
      <c r="E2" s="63" t="s">
        <v>9</v>
      </c>
      <c r="F2" s="64"/>
      <c r="G2" s="54" t="s">
        <v>13</v>
      </c>
      <c r="H2" s="55"/>
      <c r="I2" s="55"/>
      <c r="J2" s="55"/>
      <c r="K2" s="56"/>
      <c r="L2" s="6" t="s">
        <v>11</v>
      </c>
    </row>
    <row r="3" spans="1:12" s="1" customFormat="1" ht="31.2" customHeight="1" thickTop="1" thickBot="1" x14ac:dyDescent="0.3">
      <c r="A3" s="53"/>
      <c r="B3" s="69" t="s">
        <v>206</v>
      </c>
      <c r="C3" s="70"/>
      <c r="D3" s="14" t="s">
        <v>198</v>
      </c>
      <c r="E3" s="65">
        <f>SUM(Table6[[A]:[B]])</f>
        <v>341429.52</v>
      </c>
      <c r="F3" s="66"/>
      <c r="G3" s="57">
        <f>SUM(Table6[[C]:[G]])</f>
        <v>2348901.48</v>
      </c>
      <c r="H3" s="58"/>
      <c r="I3" s="58"/>
      <c r="J3" s="58"/>
      <c r="K3" s="59"/>
      <c r="L3" s="9">
        <f>SUM(Table6[Applicant Total])</f>
        <v>2690331</v>
      </c>
    </row>
    <row r="4" spans="1:12" ht="14.4" thickTop="1" thickBot="1" x14ac:dyDescent="0.3">
      <c r="B4" s="60"/>
      <c r="C4" s="61"/>
      <c r="D4" s="61"/>
      <c r="E4" s="61"/>
      <c r="F4" s="61"/>
      <c r="G4" s="61"/>
      <c r="H4" s="61"/>
      <c r="I4" s="61"/>
      <c r="J4" s="61"/>
      <c r="K4" s="61"/>
      <c r="L4" s="62"/>
    </row>
    <row r="5" spans="1:12" ht="13.8" thickBot="1" x14ac:dyDescent="0.3">
      <c r="B5" s="16" t="s">
        <v>12</v>
      </c>
      <c r="C5" s="41" t="s">
        <v>185</v>
      </c>
      <c r="D5" s="17" t="s">
        <v>10</v>
      </c>
      <c r="E5" s="18" t="s">
        <v>0</v>
      </c>
      <c r="F5" s="19" t="s">
        <v>1</v>
      </c>
      <c r="G5" s="20" t="s">
        <v>2</v>
      </c>
      <c r="H5" s="21" t="s">
        <v>3</v>
      </c>
      <c r="I5" s="21" t="s">
        <v>4</v>
      </c>
      <c r="J5" s="21" t="s">
        <v>5</v>
      </c>
      <c r="K5" s="22" t="s">
        <v>6</v>
      </c>
      <c r="L5" s="29" t="s">
        <v>14</v>
      </c>
    </row>
    <row r="6" spans="1:12" x14ac:dyDescent="0.25">
      <c r="B6" s="10" t="s">
        <v>207</v>
      </c>
      <c r="C6" s="10" t="s">
        <v>208</v>
      </c>
      <c r="D6" s="11" t="s">
        <v>214</v>
      </c>
      <c r="E6" s="13"/>
      <c r="F6" s="12"/>
      <c r="G6" s="12"/>
      <c r="H6" s="13"/>
      <c r="I6" s="13">
        <v>73925.119999999995</v>
      </c>
      <c r="J6" s="13"/>
      <c r="K6" s="13">
        <v>60346.27</v>
      </c>
      <c r="L6" s="15">
        <f>SUM(Table6[[#This Row],[A]:[G]])</f>
        <v>134271.38999999998</v>
      </c>
    </row>
    <row r="7" spans="1:12" x14ac:dyDescent="0.25">
      <c r="B7" s="10" t="s">
        <v>210</v>
      </c>
      <c r="C7" s="10" t="s">
        <v>209</v>
      </c>
      <c r="D7" s="11" t="s">
        <v>214</v>
      </c>
      <c r="E7" s="13">
        <v>0</v>
      </c>
      <c r="F7" s="13">
        <v>0</v>
      </c>
      <c r="G7" s="12">
        <v>35750</v>
      </c>
      <c r="H7" s="12"/>
      <c r="I7" s="13"/>
      <c r="J7" s="13"/>
      <c r="K7" s="13">
        <v>294071</v>
      </c>
      <c r="L7" s="15">
        <f>SUM(Table6[[#This Row],[A]:[G]])</f>
        <v>329821</v>
      </c>
    </row>
    <row r="8" spans="1:12" x14ac:dyDescent="0.25">
      <c r="B8" s="10" t="s">
        <v>211</v>
      </c>
      <c r="C8" s="10" t="s">
        <v>213</v>
      </c>
      <c r="D8" s="11" t="s">
        <v>214</v>
      </c>
      <c r="E8" s="13">
        <v>198000</v>
      </c>
      <c r="F8" s="13">
        <v>138929.51999999999</v>
      </c>
      <c r="G8" s="13">
        <v>1657333.52</v>
      </c>
      <c r="H8" s="13"/>
      <c r="I8" s="13"/>
      <c r="J8" s="13"/>
      <c r="K8" s="13"/>
      <c r="L8" s="15">
        <f>SUM(Table6[[#This Row],[A]:[G]])</f>
        <v>1994263.04</v>
      </c>
    </row>
    <row r="9" spans="1:12" x14ac:dyDescent="0.25">
      <c r="B9" s="10" t="s">
        <v>212</v>
      </c>
      <c r="C9" s="10" t="s">
        <v>213</v>
      </c>
      <c r="D9" s="11" t="s">
        <v>214</v>
      </c>
      <c r="E9" s="13"/>
      <c r="F9" s="13">
        <v>4500</v>
      </c>
      <c r="G9" s="13"/>
      <c r="H9" s="13"/>
      <c r="I9" s="13"/>
      <c r="J9" s="13"/>
      <c r="K9" s="13">
        <v>226075.57</v>
      </c>
      <c r="L9" s="15">
        <f>SUM(Table6[[#This Row],[A]:[G]])</f>
        <v>230575.57</v>
      </c>
    </row>
    <row r="10" spans="1:12" x14ac:dyDescent="0.25">
      <c r="B10" s="10" t="s">
        <v>216</v>
      </c>
      <c r="C10" s="10" t="s">
        <v>208</v>
      </c>
      <c r="D10" s="11" t="s">
        <v>214</v>
      </c>
      <c r="E10" s="13"/>
      <c r="F10" s="13"/>
      <c r="G10" s="13"/>
      <c r="H10" s="13"/>
      <c r="I10" s="13"/>
      <c r="J10" s="13"/>
      <c r="K10" s="13">
        <v>1400</v>
      </c>
      <c r="L10" s="15">
        <f>SUM(Table6[[#This Row],[A]:[G]])</f>
        <v>1400</v>
      </c>
    </row>
    <row r="11" spans="1:12" x14ac:dyDescent="0.25">
      <c r="B11" s="10"/>
      <c r="C11" s="10"/>
      <c r="D11" s="11"/>
      <c r="E11" s="13"/>
      <c r="F11" s="13"/>
      <c r="G11" s="13"/>
      <c r="H11" s="13"/>
      <c r="I11" s="13"/>
      <c r="J11" s="13"/>
      <c r="K11" s="13"/>
      <c r="L11" s="15">
        <f>SUM(Table6[[#This Row],[A]:[G]])</f>
        <v>0</v>
      </c>
    </row>
    <row r="12" spans="1:12" x14ac:dyDescent="0.25">
      <c r="B12" s="10"/>
      <c r="C12" s="10"/>
      <c r="D12" s="11"/>
      <c r="E12" s="12"/>
      <c r="F12" s="13"/>
      <c r="G12" s="13"/>
      <c r="H12" s="13"/>
      <c r="I12" s="13"/>
      <c r="J12" s="13"/>
      <c r="K12" s="13"/>
      <c r="L12" s="15">
        <f>SUM(Table6[[#This Row],[A]:[G]])</f>
        <v>0</v>
      </c>
    </row>
    <row r="13" spans="1:12" x14ac:dyDescent="0.25">
      <c r="B13" s="10"/>
      <c r="C13" s="10"/>
      <c r="D13" s="11"/>
      <c r="E13" s="13"/>
      <c r="F13" s="13"/>
      <c r="G13" s="13"/>
      <c r="H13" s="13"/>
      <c r="I13" s="13"/>
      <c r="J13" s="13"/>
      <c r="K13" s="13"/>
      <c r="L13" s="15">
        <f>SUM(Table6[[#This Row],[A]:[G]])</f>
        <v>0</v>
      </c>
    </row>
    <row r="14" spans="1:12" x14ac:dyDescent="0.25">
      <c r="B14" s="10"/>
      <c r="C14" s="10"/>
      <c r="D14" s="11"/>
      <c r="E14" s="13"/>
      <c r="F14" s="13"/>
      <c r="G14" s="13"/>
      <c r="H14" s="13"/>
      <c r="I14" s="13"/>
      <c r="J14" s="13"/>
      <c r="K14" s="13"/>
      <c r="L14" s="15">
        <f>SUM(Table6[[#This Row],[A]:[G]])</f>
        <v>0</v>
      </c>
    </row>
    <row r="15" spans="1:12" x14ac:dyDescent="0.25">
      <c r="B15" s="10"/>
      <c r="C15" s="10"/>
      <c r="D15" s="11"/>
      <c r="E15" s="13"/>
      <c r="F15" s="13"/>
      <c r="G15" s="13"/>
      <c r="H15" s="13"/>
      <c r="I15" s="13"/>
      <c r="J15" s="13"/>
      <c r="K15" s="13"/>
      <c r="L15" s="15">
        <f>SUM(Table6[[#This Row],[A]:[G]])</f>
        <v>0</v>
      </c>
    </row>
    <row r="16" spans="1:12" x14ac:dyDescent="0.25">
      <c r="B16" s="10"/>
      <c r="C16" s="10"/>
      <c r="D16" s="11"/>
      <c r="E16" s="13"/>
      <c r="F16" s="13"/>
      <c r="G16" s="13"/>
      <c r="H16" s="13"/>
      <c r="I16" s="13"/>
      <c r="J16" s="13"/>
      <c r="K16" s="13"/>
      <c r="L16" s="15">
        <f>SUM(Table6[[#This Row],[A]:[G]])</f>
        <v>0</v>
      </c>
    </row>
    <row r="17" spans="2:12" x14ac:dyDescent="0.25">
      <c r="B17" s="10"/>
      <c r="C17" s="10"/>
      <c r="D17" s="11"/>
      <c r="E17" s="13"/>
      <c r="F17" s="13"/>
      <c r="G17" s="13"/>
      <c r="H17" s="13"/>
      <c r="I17" s="13"/>
      <c r="J17" s="13"/>
      <c r="K17" s="13"/>
      <c r="L17" s="15">
        <f>SUM(Table6[[#This Row],[A]:[G]])</f>
        <v>0</v>
      </c>
    </row>
    <row r="18" spans="2:12" x14ac:dyDescent="0.25">
      <c r="B18" s="10"/>
      <c r="C18" s="10"/>
      <c r="D18" s="11"/>
      <c r="E18" s="13"/>
      <c r="F18" s="13"/>
      <c r="G18" s="13"/>
      <c r="H18" s="13"/>
      <c r="I18" s="13"/>
      <c r="J18" s="13"/>
      <c r="K18" s="13"/>
      <c r="L18" s="15">
        <f>SUM(Table6[[#This Row],[A]:[G]])</f>
        <v>0</v>
      </c>
    </row>
    <row r="19" spans="2:12" x14ac:dyDescent="0.25">
      <c r="B19" s="10"/>
      <c r="C19" s="10"/>
      <c r="D19" s="11"/>
      <c r="E19" s="13"/>
      <c r="F19" s="13"/>
      <c r="G19" s="13"/>
      <c r="H19" s="13"/>
      <c r="I19" s="13"/>
      <c r="J19" s="13"/>
      <c r="K19" s="13"/>
      <c r="L19" s="15">
        <f>SUM(Table6[[#This Row],[A]:[G]])</f>
        <v>0</v>
      </c>
    </row>
    <row r="20" spans="2:12" x14ac:dyDescent="0.25">
      <c r="B20" s="10"/>
      <c r="C20" s="10"/>
      <c r="D20" s="11"/>
      <c r="E20" s="13"/>
      <c r="F20" s="13"/>
      <c r="G20" s="13"/>
      <c r="H20" s="13"/>
      <c r="I20" s="13"/>
      <c r="J20" s="13"/>
      <c r="K20" s="13"/>
      <c r="L20" s="15">
        <f>SUM(Table6[[#This Row],[A]:[G]])</f>
        <v>0</v>
      </c>
    </row>
    <row r="21" spans="2:12" x14ac:dyDescent="0.25">
      <c r="B21" s="10"/>
      <c r="C21" s="10"/>
      <c r="D21" s="11"/>
      <c r="E21" s="13"/>
      <c r="F21" s="13"/>
      <c r="G21" s="13"/>
      <c r="H21" s="13"/>
      <c r="I21" s="13"/>
      <c r="J21" s="13"/>
      <c r="K21" s="13"/>
      <c r="L21" s="15">
        <f>SUM(Table6[[#This Row],[A]:[G]])</f>
        <v>0</v>
      </c>
    </row>
    <row r="22" spans="2:12" x14ac:dyDescent="0.25">
      <c r="B22" s="10"/>
      <c r="C22" s="10"/>
      <c r="D22" s="11"/>
      <c r="E22" s="13"/>
      <c r="F22" s="13"/>
      <c r="G22" s="13"/>
      <c r="H22" s="13"/>
      <c r="I22" s="13"/>
      <c r="J22" s="13"/>
      <c r="K22" s="13"/>
      <c r="L22" s="15">
        <f>SUM(Table6[[#This Row],[A]:[G]])</f>
        <v>0</v>
      </c>
    </row>
    <row r="23" spans="2:12" x14ac:dyDescent="0.25">
      <c r="B23" s="10"/>
      <c r="C23" s="10"/>
      <c r="D23" s="11"/>
      <c r="E23" s="13"/>
      <c r="F23" s="13"/>
      <c r="G23" s="13"/>
      <c r="H23" s="13"/>
      <c r="I23" s="13"/>
      <c r="J23" s="13"/>
      <c r="K23" s="13"/>
      <c r="L23" s="15">
        <f>SUM(Table6[[#This Row],[A]:[G]])</f>
        <v>0</v>
      </c>
    </row>
    <row r="24" spans="2:12" x14ac:dyDescent="0.25">
      <c r="B24" s="10"/>
      <c r="C24" s="10"/>
      <c r="D24" s="11"/>
      <c r="E24" s="13"/>
      <c r="F24" s="13"/>
      <c r="G24" s="13"/>
      <c r="H24" s="13"/>
      <c r="I24" s="13"/>
      <c r="J24" s="13"/>
      <c r="K24" s="13"/>
      <c r="L24" s="15">
        <f>SUM(Table6[[#This Row],[A]:[G]])</f>
        <v>0</v>
      </c>
    </row>
    <row r="25" spans="2:12" x14ac:dyDescent="0.25">
      <c r="B25" s="10"/>
      <c r="C25" s="10"/>
      <c r="D25" s="11"/>
      <c r="E25" s="13"/>
      <c r="F25" s="13"/>
      <c r="G25" s="13"/>
      <c r="H25" s="13"/>
      <c r="I25" s="13"/>
      <c r="J25" s="13"/>
      <c r="K25" s="13"/>
      <c r="L25" s="15">
        <f>SUM(Table6[[#This Row],[A]:[G]])</f>
        <v>0</v>
      </c>
    </row>
    <row r="26" spans="2:12" x14ac:dyDescent="0.25">
      <c r="B26" s="10"/>
      <c r="C26" s="10"/>
      <c r="D26" s="11"/>
      <c r="E26" s="13"/>
      <c r="F26" s="13"/>
      <c r="G26" s="13"/>
      <c r="H26" s="13"/>
      <c r="I26" s="13"/>
      <c r="J26" s="13"/>
      <c r="K26" s="13"/>
      <c r="L26" s="15">
        <f>SUM(Table6[[#This Row],[A]:[G]])</f>
        <v>0</v>
      </c>
    </row>
    <row r="27" spans="2:12" x14ac:dyDescent="0.25">
      <c r="B27" s="10"/>
      <c r="C27" s="10"/>
      <c r="D27" s="11"/>
      <c r="E27" s="13"/>
      <c r="F27" s="13"/>
      <c r="G27" s="13"/>
      <c r="H27" s="13"/>
      <c r="I27" s="13"/>
      <c r="J27" s="13"/>
      <c r="K27" s="13"/>
      <c r="L27" s="15">
        <f>SUM(Table6[[#This Row],[A]:[G]])</f>
        <v>0</v>
      </c>
    </row>
    <row r="28" spans="2:12" x14ac:dyDescent="0.25">
      <c r="B28" s="10"/>
      <c r="C28" s="10"/>
      <c r="D28" s="11"/>
      <c r="E28" s="13"/>
      <c r="F28" s="13"/>
      <c r="G28" s="13"/>
      <c r="H28" s="13"/>
      <c r="I28" s="13"/>
      <c r="J28" s="13"/>
      <c r="K28" s="13"/>
      <c r="L28" s="15">
        <f>SUM(Table6[[#This Row],[A]:[G]])</f>
        <v>0</v>
      </c>
    </row>
    <row r="29" spans="2:12" x14ac:dyDescent="0.25">
      <c r="B29" s="10"/>
      <c r="C29" s="10"/>
      <c r="D29" s="11"/>
      <c r="E29" s="13"/>
      <c r="F29" s="13"/>
      <c r="G29" s="13"/>
      <c r="H29" s="13"/>
      <c r="I29" s="13"/>
      <c r="J29" s="13"/>
      <c r="K29" s="13"/>
      <c r="L29" s="15">
        <f>SUM(Table6[[#This Row],[A]:[G]])</f>
        <v>0</v>
      </c>
    </row>
    <row r="30" spans="2:12" x14ac:dyDescent="0.25">
      <c r="B30" s="10"/>
      <c r="C30" s="10"/>
      <c r="D30" s="11"/>
      <c r="E30" s="13"/>
      <c r="F30" s="13"/>
      <c r="G30" s="13"/>
      <c r="H30" s="13"/>
      <c r="I30" s="13"/>
      <c r="J30" s="13"/>
      <c r="K30" s="13"/>
      <c r="L30" s="15">
        <f>SUM(Table6[[#This Row],[A]:[G]])</f>
        <v>0</v>
      </c>
    </row>
    <row r="31" spans="2:12" x14ac:dyDescent="0.25">
      <c r="B31" s="10"/>
      <c r="C31" s="10"/>
      <c r="D31" s="11"/>
      <c r="E31" s="13"/>
      <c r="F31" s="13"/>
      <c r="G31" s="13"/>
      <c r="H31" s="13"/>
      <c r="I31" s="13"/>
      <c r="J31" s="13"/>
      <c r="K31" s="13"/>
      <c r="L31" s="15">
        <f>SUM(Table6[[#This Row],[A]:[G]])</f>
        <v>0</v>
      </c>
    </row>
    <row r="32" spans="2:12" x14ac:dyDescent="0.25">
      <c r="B32" s="10"/>
      <c r="C32" s="10"/>
      <c r="D32" s="11"/>
      <c r="E32" s="13"/>
      <c r="F32" s="13"/>
      <c r="G32" s="13"/>
      <c r="H32" s="13"/>
      <c r="I32" s="13"/>
      <c r="J32" s="13"/>
      <c r="K32" s="13"/>
      <c r="L32" s="15">
        <f>SUM(Table6[[#This Row],[A]:[G]])</f>
        <v>0</v>
      </c>
    </row>
    <row r="33" spans="2:12" x14ac:dyDescent="0.25">
      <c r="B33" s="10"/>
      <c r="C33" s="10"/>
      <c r="D33" s="11"/>
      <c r="E33" s="13"/>
      <c r="F33" s="13"/>
      <c r="G33" s="13"/>
      <c r="H33" s="13"/>
      <c r="I33" s="13"/>
      <c r="J33" s="13"/>
      <c r="K33" s="13"/>
      <c r="L33" s="15">
        <f>SUM(Table6[[#This Row],[A]:[G]])</f>
        <v>0</v>
      </c>
    </row>
    <row r="34" spans="2:12" x14ac:dyDescent="0.25">
      <c r="B34" s="10"/>
      <c r="C34" s="10"/>
      <c r="D34" s="11"/>
      <c r="E34" s="13"/>
      <c r="F34" s="13"/>
      <c r="G34" s="13"/>
      <c r="H34" s="13"/>
      <c r="I34" s="13"/>
      <c r="J34" s="13"/>
      <c r="K34" s="13"/>
      <c r="L34" s="15">
        <f>SUM(Table6[[#This Row],[A]:[G]])</f>
        <v>0</v>
      </c>
    </row>
    <row r="35" spans="2:12" x14ac:dyDescent="0.25">
      <c r="B35" s="10"/>
      <c r="C35" s="10"/>
      <c r="D35" s="11"/>
      <c r="E35" s="13"/>
      <c r="F35" s="13"/>
      <c r="G35" s="13"/>
      <c r="H35" s="13"/>
      <c r="I35" s="13"/>
      <c r="J35" s="13"/>
      <c r="K35" s="13"/>
      <c r="L35" s="15">
        <f>SUM(Table6[[#This Row],[A]:[G]])</f>
        <v>0</v>
      </c>
    </row>
    <row r="36" spans="2:12" x14ac:dyDescent="0.25">
      <c r="B36" s="10"/>
      <c r="C36" s="10"/>
      <c r="D36" s="11"/>
      <c r="E36" s="13"/>
      <c r="F36" s="13"/>
      <c r="G36" s="13"/>
      <c r="H36" s="13"/>
      <c r="I36" s="13"/>
      <c r="J36" s="13"/>
      <c r="K36" s="13"/>
      <c r="L36" s="15">
        <f>SUM(Table6[[#This Row],[A]:[G]])</f>
        <v>0</v>
      </c>
    </row>
    <row r="37" spans="2:12" x14ac:dyDescent="0.25">
      <c r="B37" s="10"/>
      <c r="C37" s="10"/>
      <c r="D37" s="11"/>
      <c r="E37" s="13"/>
      <c r="F37" s="13"/>
      <c r="G37" s="13"/>
      <c r="H37" s="13"/>
      <c r="I37" s="13"/>
      <c r="J37" s="13"/>
      <c r="K37" s="13"/>
      <c r="L37" s="15">
        <f>SUM(Table6[[#This Row],[A]:[G]])</f>
        <v>0</v>
      </c>
    </row>
    <row r="38" spans="2:12" x14ac:dyDescent="0.25">
      <c r="B38" s="10"/>
      <c r="C38" s="10"/>
      <c r="D38" s="11"/>
      <c r="E38" s="13"/>
      <c r="F38" s="13"/>
      <c r="G38" s="13"/>
      <c r="H38" s="13"/>
      <c r="I38" s="13"/>
      <c r="J38" s="13"/>
      <c r="K38" s="13"/>
      <c r="L38" s="15">
        <f>SUM(Table6[[#This Row],[A]:[G]])</f>
        <v>0</v>
      </c>
    </row>
    <row r="39" spans="2:12" x14ac:dyDescent="0.25">
      <c r="B39" s="10"/>
      <c r="C39" s="10"/>
      <c r="D39" s="11"/>
      <c r="E39" s="13"/>
      <c r="F39" s="13"/>
      <c r="G39" s="13"/>
      <c r="H39" s="13"/>
      <c r="I39" s="13"/>
      <c r="J39" s="13"/>
      <c r="K39" s="13"/>
      <c r="L39" s="15">
        <f>SUM(Table6[[#This Row],[A]:[G]])</f>
        <v>0</v>
      </c>
    </row>
    <row r="40" spans="2:12" x14ac:dyDescent="0.25">
      <c r="B40" s="10"/>
      <c r="C40" s="10"/>
      <c r="D40" s="11"/>
      <c r="E40" s="13"/>
      <c r="F40" s="13"/>
      <c r="G40" s="13"/>
      <c r="H40" s="13"/>
      <c r="I40" s="13"/>
      <c r="J40" s="13"/>
      <c r="K40" s="13"/>
      <c r="L40" s="15">
        <f>SUM(Table6[[#This Row],[A]:[G]])</f>
        <v>0</v>
      </c>
    </row>
    <row r="41" spans="2:12" x14ac:dyDescent="0.25">
      <c r="B41" s="10"/>
      <c r="C41" s="10"/>
      <c r="D41" s="11"/>
      <c r="E41" s="13"/>
      <c r="F41" s="13"/>
      <c r="G41" s="13"/>
      <c r="H41" s="13"/>
      <c r="I41" s="13"/>
      <c r="J41" s="13"/>
      <c r="K41" s="13"/>
      <c r="L41" s="15">
        <f>SUM(Table6[[#This Row],[A]:[G]])</f>
        <v>0</v>
      </c>
    </row>
    <row r="42" spans="2:12" x14ac:dyDescent="0.25">
      <c r="B42" s="10"/>
      <c r="C42" s="10"/>
      <c r="D42" s="11"/>
      <c r="E42" s="13"/>
      <c r="F42" s="13"/>
      <c r="G42" s="13"/>
      <c r="H42" s="13"/>
      <c r="I42" s="13"/>
      <c r="J42" s="13"/>
      <c r="K42" s="13"/>
      <c r="L42" s="15">
        <f>SUM(Table6[[#This Row],[A]:[G]])</f>
        <v>0</v>
      </c>
    </row>
    <row r="43" spans="2:12" x14ac:dyDescent="0.25">
      <c r="B43" s="10"/>
      <c r="C43" s="10"/>
      <c r="D43" s="11"/>
      <c r="E43" s="13"/>
      <c r="F43" s="13"/>
      <c r="G43" s="13"/>
      <c r="H43" s="13"/>
      <c r="I43" s="13"/>
      <c r="J43" s="13"/>
      <c r="K43" s="13"/>
      <c r="L43" s="15">
        <f>SUM(Table6[[#This Row],[A]:[G]])</f>
        <v>0</v>
      </c>
    </row>
    <row r="44" spans="2:12" x14ac:dyDescent="0.25">
      <c r="B44" s="10"/>
      <c r="C44" s="10"/>
      <c r="D44" s="11"/>
      <c r="E44" s="13"/>
      <c r="F44" s="13"/>
      <c r="G44" s="13"/>
      <c r="H44" s="13"/>
      <c r="I44" s="13"/>
      <c r="J44" s="13"/>
      <c r="K44" s="13"/>
      <c r="L44" s="15">
        <f>SUM(Table6[[#This Row],[A]:[G]])</f>
        <v>0</v>
      </c>
    </row>
    <row r="45" spans="2:12" x14ac:dyDescent="0.25">
      <c r="B45" s="10"/>
      <c r="C45" s="10"/>
      <c r="D45" s="11"/>
      <c r="E45" s="13"/>
      <c r="F45" s="13"/>
      <c r="G45" s="13"/>
      <c r="H45" s="13"/>
      <c r="I45" s="13"/>
      <c r="J45" s="13"/>
      <c r="K45" s="13"/>
      <c r="L45" s="15">
        <f>SUM(Table6[[#This Row],[A]:[G]])</f>
        <v>0</v>
      </c>
    </row>
    <row r="46" spans="2:12" x14ac:dyDescent="0.25">
      <c r="B46" s="10"/>
      <c r="C46" s="10"/>
      <c r="D46" s="11"/>
      <c r="E46" s="13"/>
      <c r="F46" s="13"/>
      <c r="G46" s="13"/>
      <c r="H46" s="13"/>
      <c r="I46" s="13"/>
      <c r="J46" s="13"/>
      <c r="K46" s="13"/>
      <c r="L46" s="15">
        <f>SUM(Table6[[#This Row],[A]:[G]])</f>
        <v>0</v>
      </c>
    </row>
    <row r="47" spans="2:12" x14ac:dyDescent="0.25">
      <c r="B47" s="10"/>
      <c r="C47" s="10"/>
      <c r="D47" s="11"/>
      <c r="E47" s="13"/>
      <c r="F47" s="13"/>
      <c r="G47" s="13"/>
      <c r="H47" s="13"/>
      <c r="I47" s="13"/>
      <c r="J47" s="13"/>
      <c r="K47" s="13"/>
      <c r="L47" s="15">
        <f>SUM(Table6[[#This Row],[A]:[G]])</f>
        <v>0</v>
      </c>
    </row>
    <row r="48" spans="2:12" x14ac:dyDescent="0.25">
      <c r="B48" s="10"/>
      <c r="C48" s="10"/>
      <c r="D48" s="11"/>
      <c r="E48" s="13"/>
      <c r="F48" s="13"/>
      <c r="G48" s="13"/>
      <c r="H48" s="13"/>
      <c r="I48" s="13"/>
      <c r="J48" s="13"/>
      <c r="K48" s="13"/>
      <c r="L48" s="15">
        <f>SUM(Table6[[#This Row],[A]:[G]])</f>
        <v>0</v>
      </c>
    </row>
    <row r="49" spans="2:12" x14ac:dyDescent="0.25">
      <c r="B49" s="10"/>
      <c r="C49" s="10"/>
      <c r="D49" s="11"/>
      <c r="E49" s="13"/>
      <c r="F49" s="13"/>
      <c r="G49" s="13"/>
      <c r="H49" s="13"/>
      <c r="I49" s="13"/>
      <c r="J49" s="13"/>
      <c r="K49" s="13"/>
      <c r="L49" s="15">
        <f>SUM(Table6[[#This Row],[A]:[G]])</f>
        <v>0</v>
      </c>
    </row>
    <row r="50" spans="2:12" x14ac:dyDescent="0.25">
      <c r="B50" s="10"/>
      <c r="C50" s="10"/>
      <c r="D50" s="11"/>
      <c r="E50" s="13"/>
      <c r="F50" s="13"/>
      <c r="G50" s="13"/>
      <c r="H50" s="13"/>
      <c r="I50" s="13"/>
      <c r="J50" s="13"/>
      <c r="K50" s="13"/>
      <c r="L50" s="15">
        <f>SUM(Table6[[#This Row],[A]:[G]])</f>
        <v>0</v>
      </c>
    </row>
    <row r="51" spans="2:12" x14ac:dyDescent="0.25">
      <c r="B51" s="10"/>
      <c r="C51" s="10"/>
      <c r="D51" s="11"/>
      <c r="E51" s="13"/>
      <c r="F51" s="13"/>
      <c r="G51" s="13"/>
      <c r="H51" s="13"/>
      <c r="I51" s="13"/>
      <c r="J51" s="13"/>
      <c r="K51" s="13"/>
      <c r="L51" s="15">
        <f>SUM(Table6[[#This Row],[A]:[G]])</f>
        <v>0</v>
      </c>
    </row>
    <row r="52" spans="2:12" x14ac:dyDescent="0.25">
      <c r="B52" s="10"/>
      <c r="C52" s="10"/>
      <c r="D52" s="11"/>
      <c r="E52" s="13"/>
      <c r="F52" s="13"/>
      <c r="G52" s="13"/>
      <c r="H52" s="13"/>
      <c r="I52" s="13"/>
      <c r="J52" s="13"/>
      <c r="K52" s="13"/>
      <c r="L52" s="15">
        <f>SUM(Table6[[#This Row],[A]:[G]])</f>
        <v>0</v>
      </c>
    </row>
    <row r="53" spans="2:12" x14ac:dyDescent="0.25">
      <c r="B53" s="10"/>
      <c r="C53" s="10"/>
      <c r="D53" s="11"/>
      <c r="E53" s="13"/>
      <c r="F53" s="13"/>
      <c r="G53" s="13"/>
      <c r="H53" s="13"/>
      <c r="I53" s="13"/>
      <c r="J53" s="13"/>
      <c r="K53" s="13"/>
      <c r="L53" s="15">
        <f>SUM(Table6[[#This Row],[A]:[G]])</f>
        <v>0</v>
      </c>
    </row>
    <row r="54" spans="2:12" x14ac:dyDescent="0.25">
      <c r="B54" s="10"/>
      <c r="C54" s="10"/>
      <c r="D54" s="11"/>
      <c r="E54" s="13"/>
      <c r="F54" s="13"/>
      <c r="G54" s="13"/>
      <c r="H54" s="13"/>
      <c r="I54" s="13"/>
      <c r="J54" s="13"/>
      <c r="K54" s="13"/>
      <c r="L54" s="15">
        <f>SUM(Table6[[#This Row],[A]:[G]])</f>
        <v>0</v>
      </c>
    </row>
    <row r="55" spans="2:12" x14ac:dyDescent="0.25">
      <c r="B55" s="10"/>
      <c r="C55" s="10"/>
      <c r="D55" s="11"/>
      <c r="E55" s="13"/>
      <c r="F55" s="13"/>
      <c r="G55" s="13"/>
      <c r="H55" s="13"/>
      <c r="I55" s="13"/>
      <c r="J55" s="13"/>
      <c r="K55" s="13"/>
      <c r="L55" s="15">
        <f>SUM(Table6[[#This Row],[A]:[G]])</f>
        <v>0</v>
      </c>
    </row>
    <row r="56" spans="2:12" x14ac:dyDescent="0.25">
      <c r="B56" s="10"/>
      <c r="C56" s="10"/>
      <c r="D56" s="11"/>
      <c r="E56" s="13"/>
      <c r="F56" s="13"/>
      <c r="G56" s="13"/>
      <c r="H56" s="13"/>
      <c r="I56" s="13"/>
      <c r="J56" s="13"/>
      <c r="K56" s="13"/>
      <c r="L56" s="15">
        <f>SUM(Table6[[#This Row],[A]:[G]])</f>
        <v>0</v>
      </c>
    </row>
    <row r="57" spans="2:12" x14ac:dyDescent="0.25">
      <c r="B57" s="10"/>
      <c r="C57" s="10"/>
      <c r="D57" s="11"/>
      <c r="E57" s="13"/>
      <c r="F57" s="13"/>
      <c r="G57" s="13"/>
      <c r="H57" s="13"/>
      <c r="I57" s="13"/>
      <c r="J57" s="13"/>
      <c r="K57" s="13"/>
      <c r="L57" s="15">
        <f>SUM(Table6[[#This Row],[A]:[G]])</f>
        <v>0</v>
      </c>
    </row>
    <row r="58" spans="2:12" x14ac:dyDescent="0.25">
      <c r="B58" s="10"/>
      <c r="C58" s="10"/>
      <c r="D58" s="11"/>
      <c r="E58" s="13"/>
      <c r="F58" s="13"/>
      <c r="G58" s="13"/>
      <c r="H58" s="13"/>
      <c r="I58" s="13"/>
      <c r="J58" s="13"/>
      <c r="K58" s="13"/>
      <c r="L58" s="15">
        <f>SUM(Table6[[#This Row],[A]:[G]])</f>
        <v>0</v>
      </c>
    </row>
    <row r="59" spans="2:12" x14ac:dyDescent="0.25">
      <c r="B59" s="10"/>
      <c r="C59" s="10"/>
      <c r="D59" s="11"/>
      <c r="E59" s="12"/>
      <c r="F59" s="13"/>
      <c r="G59" s="13"/>
      <c r="H59" s="13"/>
      <c r="I59" s="13"/>
      <c r="J59" s="13"/>
      <c r="K59" s="13"/>
      <c r="L59" s="15">
        <f>SUM(Table6[[#This Row],[A]:[G]])</f>
        <v>0</v>
      </c>
    </row>
    <row r="60" spans="2:12" x14ac:dyDescent="0.25">
      <c r="B60" s="10"/>
      <c r="C60" s="10"/>
      <c r="D60" s="11"/>
      <c r="E60" s="13"/>
      <c r="F60" s="13"/>
      <c r="G60" s="13"/>
      <c r="H60" s="13"/>
      <c r="I60" s="13"/>
      <c r="J60" s="13"/>
      <c r="K60" s="13"/>
      <c r="L60" s="15">
        <f>SUM(Table6[[#This Row],[A]:[G]])</f>
        <v>0</v>
      </c>
    </row>
    <row r="61" spans="2:12" x14ac:dyDescent="0.25">
      <c r="B61" s="10"/>
      <c r="C61" s="10"/>
      <c r="D61" s="11"/>
      <c r="E61" s="13"/>
      <c r="F61" s="13"/>
      <c r="G61" s="13"/>
      <c r="H61" s="13"/>
      <c r="I61" s="12"/>
      <c r="J61" s="12"/>
      <c r="K61" s="13"/>
      <c r="L61" s="15">
        <f>SUM(Table6[[#This Row],[A]:[G]])</f>
        <v>0</v>
      </c>
    </row>
    <row r="62" spans="2:12" x14ac:dyDescent="0.25">
      <c r="B62" s="10"/>
      <c r="C62" s="10"/>
      <c r="D62" s="11"/>
      <c r="E62" s="13"/>
      <c r="F62" s="13"/>
      <c r="G62" s="13"/>
      <c r="H62" s="13"/>
      <c r="I62" s="13"/>
      <c r="J62" s="13"/>
      <c r="K62" s="13"/>
      <c r="L62" s="15">
        <f>SUM(Table6[[#This Row],[A]:[G]])</f>
        <v>0</v>
      </c>
    </row>
    <row r="63" spans="2:12" x14ac:dyDescent="0.25">
      <c r="B63" s="10"/>
      <c r="C63" s="10"/>
      <c r="D63" s="11"/>
      <c r="E63" s="13"/>
      <c r="F63" s="12"/>
      <c r="G63" s="13"/>
      <c r="H63" s="13"/>
      <c r="I63" s="13"/>
      <c r="J63" s="13"/>
      <c r="K63" s="13"/>
      <c r="L63" s="15">
        <f>SUM(Table6[[#This Row],[A]:[G]])</f>
        <v>0</v>
      </c>
    </row>
    <row r="64" spans="2:12" x14ac:dyDescent="0.25">
      <c r="B64" s="10"/>
      <c r="C64" s="10"/>
      <c r="D64" s="11"/>
      <c r="E64" s="13"/>
      <c r="F64" s="13"/>
      <c r="G64" s="13"/>
      <c r="H64" s="13"/>
      <c r="I64" s="13"/>
      <c r="J64" s="13"/>
      <c r="K64" s="13"/>
      <c r="L64" s="15">
        <f>SUM(Table6[[#This Row],[A]:[G]])</f>
        <v>0</v>
      </c>
    </row>
    <row r="65" spans="2:12" x14ac:dyDescent="0.25">
      <c r="B65" s="10"/>
      <c r="C65" s="10"/>
      <c r="D65" s="11"/>
      <c r="E65" s="13"/>
      <c r="F65" s="13"/>
      <c r="G65" s="13"/>
      <c r="H65" s="13"/>
      <c r="I65" s="13"/>
      <c r="J65" s="13"/>
      <c r="K65" s="13"/>
      <c r="L65" s="15">
        <f>SUM(Table6[[#This Row],[A]:[G]])</f>
        <v>0</v>
      </c>
    </row>
    <row r="66" spans="2:12" x14ac:dyDescent="0.25">
      <c r="B66" s="10"/>
      <c r="C66" s="10"/>
      <c r="D66" s="11"/>
      <c r="E66" s="13"/>
      <c r="F66" s="13"/>
      <c r="G66" s="13"/>
      <c r="H66" s="13"/>
      <c r="I66" s="13"/>
      <c r="J66" s="13"/>
      <c r="K66" s="13"/>
      <c r="L66" s="15">
        <f>SUM(Table6[[#This Row],[A]:[G]])</f>
        <v>0</v>
      </c>
    </row>
    <row r="67" spans="2:12" x14ac:dyDescent="0.25">
      <c r="B67" s="10"/>
      <c r="C67" s="10"/>
      <c r="D67" s="11"/>
      <c r="E67" s="13"/>
      <c r="F67" s="13"/>
      <c r="G67" s="13"/>
      <c r="H67" s="13"/>
      <c r="I67" s="13"/>
      <c r="J67" s="13"/>
      <c r="K67" s="13"/>
      <c r="L67" s="15">
        <f>SUM(Table6[[#This Row],[A]:[G]])</f>
        <v>0</v>
      </c>
    </row>
    <row r="68" spans="2:12" x14ac:dyDescent="0.25">
      <c r="B68" s="10"/>
      <c r="C68" s="10"/>
      <c r="D68" s="11"/>
      <c r="E68" s="13"/>
      <c r="F68" s="13"/>
      <c r="G68" s="13"/>
      <c r="H68" s="13"/>
      <c r="I68" s="13"/>
      <c r="J68" s="13"/>
      <c r="K68" s="13"/>
      <c r="L68" s="15">
        <f>SUM(Table6[[#This Row],[A]:[G]])</f>
        <v>0</v>
      </c>
    </row>
    <row r="69" spans="2:12" x14ac:dyDescent="0.25">
      <c r="B69" s="10"/>
      <c r="C69" s="10"/>
      <c r="D69" s="11"/>
      <c r="E69" s="13"/>
      <c r="F69" s="13"/>
      <c r="G69" s="13"/>
      <c r="H69" s="13"/>
      <c r="I69" s="13"/>
      <c r="J69" s="13"/>
      <c r="K69" s="13"/>
      <c r="L69" s="15">
        <f>SUM(Table6[[#This Row],[A]:[G]])</f>
        <v>0</v>
      </c>
    </row>
    <row r="70" spans="2:12" x14ac:dyDescent="0.25">
      <c r="B70" s="10"/>
      <c r="C70" s="10"/>
      <c r="D70" s="11"/>
      <c r="E70" s="13"/>
      <c r="F70" s="13"/>
      <c r="G70" s="13"/>
      <c r="H70" s="13"/>
      <c r="I70" s="13"/>
      <c r="J70" s="13"/>
      <c r="K70" s="13"/>
      <c r="L70" s="15">
        <f>SUM(Table6[[#This Row],[A]:[G]])</f>
        <v>0</v>
      </c>
    </row>
    <row r="71" spans="2:12" x14ac:dyDescent="0.25">
      <c r="B71" s="10"/>
      <c r="C71" s="10"/>
      <c r="D71" s="11"/>
      <c r="E71" s="13"/>
      <c r="F71" s="13"/>
      <c r="G71" s="13"/>
      <c r="H71" s="13"/>
      <c r="I71" s="13"/>
      <c r="J71" s="13"/>
      <c r="K71" s="13"/>
      <c r="L71" s="15">
        <f>SUM(Table6[[#This Row],[A]:[G]])</f>
        <v>0</v>
      </c>
    </row>
    <row r="72" spans="2:12" x14ac:dyDescent="0.25">
      <c r="B72" s="10"/>
      <c r="C72" s="10"/>
      <c r="D72" s="11"/>
      <c r="E72" s="12"/>
      <c r="F72" s="13"/>
      <c r="G72" s="13"/>
      <c r="H72" s="13"/>
      <c r="I72" s="13"/>
      <c r="J72" s="13"/>
      <c r="K72" s="13"/>
      <c r="L72" s="15">
        <f>SUM(Table6[[#This Row],[A]:[G]])</f>
        <v>0</v>
      </c>
    </row>
    <row r="73" spans="2:12" x14ac:dyDescent="0.25">
      <c r="B73" s="10"/>
      <c r="C73" s="10"/>
      <c r="D73" s="11"/>
      <c r="E73" s="13"/>
      <c r="F73" s="13"/>
      <c r="G73" s="13"/>
      <c r="H73" s="13"/>
      <c r="I73" s="13"/>
      <c r="J73" s="13"/>
      <c r="K73" s="13"/>
      <c r="L73" s="15">
        <f>SUM(Table6[[#This Row],[A]:[G]])</f>
        <v>0</v>
      </c>
    </row>
    <row r="74" spans="2:12" x14ac:dyDescent="0.25">
      <c r="B74" s="10"/>
      <c r="C74" s="10"/>
      <c r="D74" s="11"/>
      <c r="E74" s="13"/>
      <c r="F74" s="13"/>
      <c r="G74" s="13"/>
      <c r="H74" s="13"/>
      <c r="I74" s="13"/>
      <c r="J74" s="13"/>
      <c r="K74" s="13"/>
      <c r="L74" s="15">
        <f>SUM(Table6[[#This Row],[A]:[G]])</f>
        <v>0</v>
      </c>
    </row>
    <row r="75" spans="2:12" x14ac:dyDescent="0.25">
      <c r="B75" s="10"/>
      <c r="C75" s="10"/>
      <c r="D75" s="11"/>
      <c r="E75" s="13"/>
      <c r="F75" s="13"/>
      <c r="G75" s="13"/>
      <c r="H75" s="13"/>
      <c r="I75" s="13"/>
      <c r="J75" s="13"/>
      <c r="K75" s="13"/>
      <c r="L75" s="15">
        <f>SUM(Table6[[#This Row],[A]:[G]])</f>
        <v>0</v>
      </c>
    </row>
    <row r="76" spans="2:12" x14ac:dyDescent="0.25">
      <c r="B76" s="10"/>
      <c r="C76" s="10"/>
      <c r="D76" s="11"/>
      <c r="E76" s="13"/>
      <c r="F76" s="13"/>
      <c r="G76" s="13"/>
      <c r="H76" s="13"/>
      <c r="I76" s="13"/>
      <c r="J76" s="13"/>
      <c r="K76" s="13"/>
      <c r="L76" s="15">
        <f>SUM(Table6[[#This Row],[A]:[G]])</f>
        <v>0</v>
      </c>
    </row>
    <row r="77" spans="2:12" x14ac:dyDescent="0.25">
      <c r="B77" s="10"/>
      <c r="C77" s="10"/>
      <c r="D77" s="11"/>
      <c r="E77" s="13"/>
      <c r="F77" s="13"/>
      <c r="G77" s="13"/>
      <c r="H77" s="13"/>
      <c r="I77" s="13"/>
      <c r="J77" s="13"/>
      <c r="K77" s="13"/>
      <c r="L77" s="15">
        <f>SUM(Table6[[#This Row],[A]:[G]])</f>
        <v>0</v>
      </c>
    </row>
    <row r="78" spans="2:12" x14ac:dyDescent="0.25">
      <c r="B78" s="10"/>
      <c r="C78" s="10"/>
      <c r="D78" s="11"/>
      <c r="E78" s="13"/>
      <c r="F78" s="12"/>
      <c r="G78" s="13"/>
      <c r="H78" s="13"/>
      <c r="I78" s="13"/>
      <c r="J78" s="13"/>
      <c r="K78" s="13"/>
      <c r="L78" s="15">
        <f>SUM(Table6[[#This Row],[A]:[G]])</f>
        <v>0</v>
      </c>
    </row>
    <row r="79" spans="2:12" x14ac:dyDescent="0.25">
      <c r="B79" s="10"/>
      <c r="C79" s="10"/>
      <c r="D79" s="11"/>
      <c r="E79" s="13"/>
      <c r="F79" s="13"/>
      <c r="G79" s="13"/>
      <c r="H79" s="13"/>
      <c r="I79" s="13"/>
      <c r="J79" s="13"/>
      <c r="K79" s="13"/>
      <c r="L79" s="15">
        <f>SUM(Table6[[#This Row],[A]:[G]])</f>
        <v>0</v>
      </c>
    </row>
    <row r="80" spans="2:12" x14ac:dyDescent="0.25">
      <c r="B80" s="10"/>
      <c r="C80" s="10"/>
      <c r="D80" s="11"/>
      <c r="E80" s="13"/>
      <c r="F80" s="13"/>
      <c r="G80" s="13"/>
      <c r="H80" s="13"/>
      <c r="I80" s="13"/>
      <c r="J80" s="13"/>
      <c r="K80" s="13"/>
      <c r="L80" s="15">
        <f>SUM(Table6[[#This Row],[A]:[G]])</f>
        <v>0</v>
      </c>
    </row>
    <row r="81" spans="2:12" x14ac:dyDescent="0.25">
      <c r="B81" s="10"/>
      <c r="C81" s="10"/>
      <c r="D81" s="11"/>
      <c r="E81" s="13"/>
      <c r="F81" s="13"/>
      <c r="G81" s="13"/>
      <c r="H81" s="13"/>
      <c r="I81" s="13"/>
      <c r="J81" s="13"/>
      <c r="K81" s="13"/>
      <c r="L81" s="15">
        <f>SUM(Table6[[#This Row],[A]:[G]])</f>
        <v>0</v>
      </c>
    </row>
    <row r="82" spans="2:12" x14ac:dyDescent="0.25">
      <c r="B82" s="10"/>
      <c r="C82" s="10"/>
      <c r="D82" s="11"/>
      <c r="E82" s="13"/>
      <c r="F82" s="13"/>
      <c r="G82" s="13"/>
      <c r="H82" s="13"/>
      <c r="I82" s="13"/>
      <c r="J82" s="13"/>
      <c r="K82" s="13"/>
      <c r="L82" s="15">
        <f>SUM(Table6[[#This Row],[A]:[G]])</f>
        <v>0</v>
      </c>
    </row>
    <row r="83" spans="2:12" x14ac:dyDescent="0.25">
      <c r="B83" s="10"/>
      <c r="C83" s="10"/>
      <c r="D83" s="11"/>
      <c r="E83" s="13"/>
      <c r="F83" s="13"/>
      <c r="G83" s="13"/>
      <c r="H83" s="13"/>
      <c r="I83" s="13"/>
      <c r="J83" s="13"/>
      <c r="K83" s="13"/>
      <c r="L83" s="15">
        <f>SUM(Table6[[#This Row],[A]:[G]])</f>
        <v>0</v>
      </c>
    </row>
    <row r="84" spans="2:12" x14ac:dyDescent="0.25">
      <c r="B84" s="10"/>
      <c r="C84" s="10"/>
      <c r="D84" s="11"/>
      <c r="E84" s="13"/>
      <c r="F84" s="13"/>
      <c r="G84" s="13"/>
      <c r="H84" s="13"/>
      <c r="I84" s="13"/>
      <c r="J84" s="13"/>
      <c r="K84" s="13"/>
      <c r="L84" s="15">
        <f>SUM(Table6[[#This Row],[A]:[G]])</f>
        <v>0</v>
      </c>
    </row>
    <row r="85" spans="2:12" x14ac:dyDescent="0.25">
      <c r="B85" s="10"/>
      <c r="C85" s="10"/>
      <c r="D85" s="11"/>
      <c r="E85" s="13"/>
      <c r="F85" s="13"/>
      <c r="G85" s="13"/>
      <c r="H85" s="13"/>
      <c r="I85" s="13"/>
      <c r="J85" s="13"/>
      <c r="K85" s="13"/>
      <c r="L85" s="15">
        <f>SUM(Table6[[#This Row],[A]:[G]])</f>
        <v>0</v>
      </c>
    </row>
    <row r="86" spans="2:12" x14ac:dyDescent="0.25">
      <c r="B86" s="10"/>
      <c r="C86" s="10"/>
      <c r="D86" s="11"/>
      <c r="E86" s="13"/>
      <c r="F86" s="13"/>
      <c r="G86" s="13"/>
      <c r="H86" s="13"/>
      <c r="I86" s="13"/>
      <c r="J86" s="13"/>
      <c r="K86" s="13"/>
      <c r="L86" s="15">
        <f>SUM(Table6[[#This Row],[A]:[G]])</f>
        <v>0</v>
      </c>
    </row>
    <row r="87" spans="2:12" x14ac:dyDescent="0.25">
      <c r="B87" s="10"/>
      <c r="C87" s="10"/>
      <c r="D87" s="11"/>
      <c r="E87" s="13"/>
      <c r="F87" s="13"/>
      <c r="G87" s="13"/>
      <c r="H87" s="13"/>
      <c r="I87" s="13"/>
      <c r="J87" s="13"/>
      <c r="K87" s="13"/>
      <c r="L87" s="15">
        <f>SUM(Table6[[#This Row],[A]:[G]])</f>
        <v>0</v>
      </c>
    </row>
    <row r="88" spans="2:12" x14ac:dyDescent="0.25">
      <c r="B88" s="10"/>
      <c r="C88" s="10"/>
      <c r="D88" s="11"/>
      <c r="E88" s="13"/>
      <c r="F88" s="13"/>
      <c r="G88" s="13"/>
      <c r="H88" s="13"/>
      <c r="I88" s="13"/>
      <c r="J88" s="13"/>
      <c r="K88" s="13"/>
      <c r="L88" s="15">
        <f>SUM(Table6[[#This Row],[A]:[G]])</f>
        <v>0</v>
      </c>
    </row>
    <row r="89" spans="2:12" x14ac:dyDescent="0.25">
      <c r="B89" s="10"/>
      <c r="C89" s="10"/>
      <c r="D89" s="11"/>
      <c r="E89" s="13"/>
      <c r="F89" s="13"/>
      <c r="G89" s="13"/>
      <c r="H89" s="13"/>
      <c r="I89" s="13"/>
      <c r="J89" s="13"/>
      <c r="K89" s="13"/>
      <c r="L89" s="15">
        <f>SUM(Table6[[#This Row],[A]:[G]])</f>
        <v>0</v>
      </c>
    </row>
    <row r="90" spans="2:12" x14ac:dyDescent="0.25">
      <c r="B90" s="10"/>
      <c r="C90" s="10"/>
      <c r="D90" s="11"/>
      <c r="E90" s="13"/>
      <c r="F90" s="13"/>
      <c r="G90" s="13"/>
      <c r="H90" s="13"/>
      <c r="I90" s="13"/>
      <c r="J90" s="13"/>
      <c r="K90" s="13"/>
      <c r="L90" s="15">
        <f>SUM(Table6[[#This Row],[A]:[G]])</f>
        <v>0</v>
      </c>
    </row>
    <row r="91" spans="2:12" x14ac:dyDescent="0.25">
      <c r="B91" s="10"/>
      <c r="C91" s="10"/>
      <c r="D91" s="11"/>
      <c r="E91" s="13"/>
      <c r="F91" s="13"/>
      <c r="G91" s="13"/>
      <c r="H91" s="13"/>
      <c r="I91" s="13"/>
      <c r="J91" s="13"/>
      <c r="K91" s="13"/>
      <c r="L91" s="15">
        <f>SUM(Table6[[#This Row],[A]:[G]])</f>
        <v>0</v>
      </c>
    </row>
    <row r="92" spans="2:12" x14ac:dyDescent="0.25">
      <c r="B92" s="10"/>
      <c r="C92" s="10"/>
      <c r="D92" s="11"/>
      <c r="E92" s="13"/>
      <c r="F92" s="13"/>
      <c r="G92" s="13"/>
      <c r="H92" s="13"/>
      <c r="I92" s="13"/>
      <c r="J92" s="13"/>
      <c r="K92" s="13"/>
      <c r="L92" s="15">
        <f>SUM(Table6[[#This Row],[A]:[G]])</f>
        <v>0</v>
      </c>
    </row>
    <row r="93" spans="2:12" x14ac:dyDescent="0.25">
      <c r="B93" s="10"/>
      <c r="C93" s="10"/>
      <c r="D93" s="11"/>
      <c r="E93" s="13"/>
      <c r="F93" s="13"/>
      <c r="G93" s="13"/>
      <c r="H93" s="13"/>
      <c r="I93" s="13"/>
      <c r="J93" s="13"/>
      <c r="K93" s="13"/>
      <c r="L93" s="15">
        <f>SUM(Table6[[#This Row],[A]:[G]])</f>
        <v>0</v>
      </c>
    </row>
    <row r="94" spans="2:12" x14ac:dyDescent="0.25">
      <c r="B94" s="10"/>
      <c r="C94" s="10"/>
      <c r="D94" s="11"/>
      <c r="E94" s="13"/>
      <c r="F94" s="13"/>
      <c r="G94" s="13"/>
      <c r="H94" s="13"/>
      <c r="I94" s="13"/>
      <c r="J94" s="13"/>
      <c r="K94" s="13"/>
      <c r="L94" s="15">
        <f>SUM(Table6[[#This Row],[A]:[G]])</f>
        <v>0</v>
      </c>
    </row>
    <row r="95" spans="2:12" x14ac:dyDescent="0.25">
      <c r="B95" s="10"/>
      <c r="C95" s="10"/>
      <c r="D95" s="11"/>
      <c r="E95" s="13"/>
      <c r="F95" s="13"/>
      <c r="G95" s="13"/>
      <c r="H95" s="13"/>
      <c r="I95" s="13"/>
      <c r="J95" s="13"/>
      <c r="K95" s="13"/>
      <c r="L95" s="15">
        <f>SUM(Table6[[#This Row],[A]:[G]])</f>
        <v>0</v>
      </c>
    </row>
    <row r="96" spans="2:12" x14ac:dyDescent="0.25">
      <c r="B96" s="10"/>
      <c r="C96" s="10"/>
      <c r="D96" s="11"/>
      <c r="E96" s="13"/>
      <c r="F96" s="13"/>
      <c r="G96" s="13"/>
      <c r="H96" s="13"/>
      <c r="I96" s="13"/>
      <c r="J96" s="13"/>
      <c r="K96" s="13"/>
      <c r="L96" s="15">
        <f>SUM(Table6[[#This Row],[A]:[G]])</f>
        <v>0</v>
      </c>
    </row>
    <row r="97" spans="2:12" x14ac:dyDescent="0.25">
      <c r="B97" s="10"/>
      <c r="C97" s="10"/>
      <c r="D97" s="11"/>
      <c r="E97" s="13"/>
      <c r="F97" s="13"/>
      <c r="G97" s="13"/>
      <c r="H97" s="13"/>
      <c r="I97" s="13"/>
      <c r="J97" s="13"/>
      <c r="K97" s="13"/>
      <c r="L97" s="15">
        <f>SUM(Table6[[#This Row],[A]:[G]])</f>
        <v>0</v>
      </c>
    </row>
    <row r="98" spans="2:12" x14ac:dyDescent="0.25">
      <c r="B98" s="10"/>
      <c r="C98" s="10"/>
      <c r="D98" s="11"/>
      <c r="E98" s="13"/>
      <c r="F98" s="13"/>
      <c r="G98" s="13"/>
      <c r="H98" s="13"/>
      <c r="I98" s="13"/>
      <c r="J98" s="13"/>
      <c r="K98" s="13"/>
      <c r="L98" s="15">
        <f>SUM(Table6[[#This Row],[A]:[G]])</f>
        <v>0</v>
      </c>
    </row>
    <row r="99" spans="2:12" x14ac:dyDescent="0.25">
      <c r="B99" s="10"/>
      <c r="C99" s="10"/>
      <c r="D99" s="11"/>
      <c r="E99" s="13"/>
      <c r="F99" s="13"/>
      <c r="G99" s="13"/>
      <c r="H99" s="13"/>
      <c r="I99" s="13"/>
      <c r="J99" s="13"/>
      <c r="K99" s="13"/>
      <c r="L99" s="15">
        <f>SUM(Table6[[#This Row],[A]:[G]])</f>
        <v>0</v>
      </c>
    </row>
    <row r="100" spans="2:12" x14ac:dyDescent="0.25">
      <c r="B100" s="10"/>
      <c r="C100" s="10"/>
      <c r="D100" s="11"/>
      <c r="E100" s="13"/>
      <c r="F100" s="13"/>
      <c r="G100" s="13"/>
      <c r="H100" s="13"/>
      <c r="I100" s="13"/>
      <c r="J100" s="13"/>
      <c r="K100" s="13"/>
      <c r="L100" s="15">
        <f>SUM(Table6[[#This Row],[A]:[G]])</f>
        <v>0</v>
      </c>
    </row>
    <row r="101" spans="2:12" x14ac:dyDescent="0.25">
      <c r="B101" s="2"/>
      <c r="C101" s="2"/>
      <c r="E101" s="4"/>
      <c r="F101" s="4"/>
      <c r="G101" s="4"/>
      <c r="H101" s="4"/>
      <c r="I101" s="4"/>
      <c r="J101" s="4"/>
      <c r="K101" s="4"/>
      <c r="L101" s="15">
        <f>SUM(Table6[[#This Row],[A]:[G]])</f>
        <v>0</v>
      </c>
    </row>
    <row r="102" spans="2:12" x14ac:dyDescent="0.25">
      <c r="E102" s="4"/>
      <c r="F102" s="4"/>
      <c r="G102" s="4"/>
      <c r="H102" s="4"/>
      <c r="I102" s="4"/>
      <c r="J102" s="4"/>
    </row>
    <row r="103" spans="2:12" x14ac:dyDescent="0.25">
      <c r="E103" s="4"/>
      <c r="F103" s="4"/>
      <c r="G103" s="4"/>
      <c r="H103" s="4"/>
      <c r="I103" s="4"/>
      <c r="J103" s="4"/>
      <c r="L103" s="4"/>
    </row>
    <row r="104" spans="2:12" x14ac:dyDescent="0.25">
      <c r="E104" s="4"/>
      <c r="F104" s="4"/>
      <c r="G104" s="4"/>
      <c r="H104" s="4"/>
      <c r="I104" s="4"/>
      <c r="J104" s="4"/>
      <c r="L104" s="4"/>
    </row>
    <row r="105" spans="2:12" x14ac:dyDescent="0.25">
      <c r="E105" s="4"/>
      <c r="F105" s="4"/>
      <c r="G105" s="4"/>
      <c r="H105" s="4"/>
      <c r="I105" s="4"/>
      <c r="J105" s="4"/>
      <c r="L105" s="4"/>
    </row>
    <row r="106" spans="2:12" x14ac:dyDescent="0.25">
      <c r="E106" s="4"/>
      <c r="F106" s="4"/>
      <c r="G106" s="4"/>
      <c r="H106" s="4"/>
      <c r="I106" s="4"/>
      <c r="J106" s="4"/>
      <c r="L106" s="4"/>
    </row>
    <row r="107" spans="2:12" x14ac:dyDescent="0.25">
      <c r="E107" s="4"/>
      <c r="F107" s="4"/>
      <c r="G107" s="4"/>
      <c r="H107" s="4"/>
      <c r="I107" s="4"/>
      <c r="J107" s="4"/>
      <c r="L107" s="4"/>
    </row>
    <row r="108" spans="2:12" x14ac:dyDescent="0.25">
      <c r="E108" s="4"/>
      <c r="F108" s="4"/>
      <c r="G108" s="4"/>
      <c r="H108" s="4"/>
      <c r="I108" s="4"/>
      <c r="J108" s="4"/>
      <c r="L108" s="4"/>
    </row>
    <row r="109" spans="2:12" x14ac:dyDescent="0.25">
      <c r="E109" s="4"/>
      <c r="F109" s="4"/>
      <c r="G109" s="4"/>
      <c r="H109" s="4"/>
      <c r="I109" s="4"/>
      <c r="J109" s="4"/>
      <c r="L109" s="4"/>
    </row>
    <row r="110" spans="2:12" x14ac:dyDescent="0.25">
      <c r="E110" s="4"/>
      <c r="F110" s="4"/>
      <c r="G110" s="4"/>
      <c r="H110" s="4"/>
      <c r="I110" s="4"/>
      <c r="J110" s="4"/>
      <c r="L110" s="4"/>
    </row>
    <row r="111" spans="2:12" x14ac:dyDescent="0.25">
      <c r="E111" s="4"/>
      <c r="F111" s="4"/>
      <c r="G111" s="4"/>
      <c r="H111" s="4"/>
      <c r="I111" s="4"/>
      <c r="J111" s="4"/>
      <c r="L111" s="4"/>
    </row>
    <row r="112" spans="2:12" x14ac:dyDescent="0.25">
      <c r="E112" s="4"/>
      <c r="F112" s="4"/>
      <c r="G112" s="4"/>
      <c r="H112" s="4"/>
      <c r="I112" s="4"/>
      <c r="J112" s="4"/>
      <c r="L112" s="4"/>
    </row>
    <row r="113" spans="5:12" x14ac:dyDescent="0.25">
      <c r="E113" s="4"/>
      <c r="F113" s="4"/>
      <c r="G113" s="4"/>
      <c r="H113" s="4"/>
      <c r="I113" s="4"/>
      <c r="J113" s="4"/>
      <c r="L113" s="4"/>
    </row>
    <row r="114" spans="5:12" x14ac:dyDescent="0.25">
      <c r="E114" s="4"/>
      <c r="F114" s="4"/>
      <c r="G114" s="4"/>
      <c r="H114" s="4"/>
      <c r="I114" s="4"/>
      <c r="J114" s="4"/>
      <c r="L114" s="4"/>
    </row>
    <row r="115" spans="5:12" x14ac:dyDescent="0.25">
      <c r="E115" s="4"/>
      <c r="F115" s="4"/>
      <c r="G115" s="4"/>
      <c r="H115" s="4"/>
      <c r="I115" s="4"/>
      <c r="J115" s="4"/>
      <c r="L115" s="4"/>
    </row>
    <row r="116" spans="5:12" x14ac:dyDescent="0.25">
      <c r="E116" s="4"/>
      <c r="F116" s="4"/>
      <c r="G116" s="4"/>
      <c r="H116" s="4"/>
      <c r="I116" s="4"/>
      <c r="J116" s="4"/>
      <c r="L116" s="4"/>
    </row>
    <row r="117" spans="5:12" x14ac:dyDescent="0.25">
      <c r="E117" s="4"/>
      <c r="F117" s="4"/>
      <c r="G117" s="4"/>
      <c r="H117" s="4"/>
      <c r="I117" s="4"/>
      <c r="J117" s="4"/>
      <c r="L117" s="4"/>
    </row>
    <row r="118" spans="5:12" x14ac:dyDescent="0.25">
      <c r="E118" s="4"/>
      <c r="F118" s="4"/>
      <c r="G118" s="4"/>
      <c r="H118" s="4"/>
      <c r="I118" s="4"/>
      <c r="J118" s="4"/>
      <c r="L118" s="4"/>
    </row>
    <row r="119" spans="5:12" x14ac:dyDescent="0.25">
      <c r="E119" s="4"/>
      <c r="F119" s="4"/>
      <c r="G119" s="4"/>
      <c r="H119" s="4"/>
      <c r="I119" s="4"/>
      <c r="J119" s="4"/>
      <c r="L119" s="4"/>
    </row>
    <row r="120" spans="5:12" x14ac:dyDescent="0.25">
      <c r="E120" s="4"/>
      <c r="F120" s="4"/>
      <c r="G120" s="4"/>
      <c r="H120" s="4"/>
      <c r="I120" s="4"/>
      <c r="J120" s="4"/>
      <c r="L120" s="4"/>
    </row>
    <row r="121" spans="5:12" x14ac:dyDescent="0.25">
      <c r="E121" s="4"/>
      <c r="F121" s="4"/>
      <c r="G121" s="4"/>
      <c r="H121" s="4"/>
      <c r="I121" s="4"/>
      <c r="J121" s="4"/>
      <c r="L121" s="4"/>
    </row>
    <row r="122" spans="5:12" x14ac:dyDescent="0.25">
      <c r="E122" s="4"/>
      <c r="F122" s="4"/>
      <c r="G122" s="4"/>
      <c r="H122" s="4"/>
      <c r="I122" s="4"/>
      <c r="J122" s="4"/>
      <c r="L122" s="4"/>
    </row>
    <row r="123" spans="5:12" x14ac:dyDescent="0.25">
      <c r="E123" s="4"/>
      <c r="F123" s="4"/>
      <c r="G123" s="4"/>
      <c r="H123" s="4"/>
      <c r="I123" s="4"/>
      <c r="J123" s="4"/>
      <c r="L123" s="4"/>
    </row>
    <row r="124" spans="5:12" x14ac:dyDescent="0.25">
      <c r="E124" s="4"/>
      <c r="F124" s="4"/>
      <c r="G124" s="4"/>
      <c r="H124" s="4"/>
      <c r="I124" s="4"/>
      <c r="J124" s="4"/>
      <c r="L124" s="4"/>
    </row>
    <row r="125" spans="5:12" x14ac:dyDescent="0.25">
      <c r="E125" s="4"/>
      <c r="F125" s="4"/>
      <c r="G125" s="4"/>
      <c r="H125" s="4"/>
      <c r="I125" s="4"/>
      <c r="J125" s="4"/>
      <c r="L125" s="4"/>
    </row>
    <row r="126" spans="5:12" x14ac:dyDescent="0.25">
      <c r="E126" s="4"/>
      <c r="F126" s="4"/>
      <c r="G126" s="4"/>
      <c r="H126" s="4"/>
      <c r="I126" s="4"/>
      <c r="J126" s="4"/>
      <c r="L126" s="4"/>
    </row>
    <row r="127" spans="5:12" x14ac:dyDescent="0.25">
      <c r="E127" s="4"/>
      <c r="F127" s="4"/>
      <c r="G127" s="4"/>
      <c r="H127" s="4"/>
      <c r="I127" s="4"/>
      <c r="J127" s="4"/>
      <c r="L127" s="4"/>
    </row>
    <row r="128" spans="5:12" x14ac:dyDescent="0.25">
      <c r="E128" s="4"/>
      <c r="F128" s="4"/>
      <c r="G128" s="4"/>
      <c r="H128" s="4"/>
      <c r="I128" s="4"/>
      <c r="J128" s="4"/>
      <c r="L128" s="4"/>
    </row>
    <row r="129" spans="5:12" x14ac:dyDescent="0.25">
      <c r="E129" s="4"/>
      <c r="F129" s="4"/>
      <c r="G129" s="4"/>
      <c r="H129" s="4"/>
      <c r="I129" s="4"/>
      <c r="J129" s="4"/>
      <c r="L129" s="4"/>
    </row>
    <row r="130" spans="5:12" x14ac:dyDescent="0.25">
      <c r="E130" s="4"/>
      <c r="F130" s="4"/>
      <c r="G130" s="4"/>
      <c r="H130" s="4"/>
      <c r="I130" s="4"/>
      <c r="J130" s="4"/>
      <c r="L130" s="4"/>
    </row>
    <row r="131" spans="5:12" x14ac:dyDescent="0.25">
      <c r="E131" s="4"/>
      <c r="F131" s="4"/>
      <c r="G131" s="4"/>
      <c r="H131" s="4"/>
      <c r="I131" s="4"/>
      <c r="J131" s="4"/>
      <c r="L131" s="4"/>
    </row>
    <row r="132" spans="5:12" x14ac:dyDescent="0.25">
      <c r="E132" s="4"/>
      <c r="F132" s="4"/>
      <c r="G132" s="4"/>
      <c r="H132" s="4"/>
      <c r="I132" s="4"/>
      <c r="J132" s="4"/>
      <c r="L132" s="4"/>
    </row>
    <row r="133" spans="5:12" x14ac:dyDescent="0.25">
      <c r="E133" s="4"/>
      <c r="F133" s="4"/>
      <c r="G133" s="4"/>
      <c r="H133" s="4"/>
      <c r="I133" s="4"/>
      <c r="J133" s="4"/>
      <c r="L133" s="4"/>
    </row>
    <row r="134" spans="5:12" x14ac:dyDescent="0.25">
      <c r="E134" s="4"/>
      <c r="F134" s="4"/>
      <c r="G134" s="4"/>
      <c r="H134" s="4"/>
      <c r="I134" s="4"/>
      <c r="J134" s="4"/>
      <c r="L134" s="4"/>
    </row>
    <row r="135" spans="5:12" x14ac:dyDescent="0.25">
      <c r="E135" s="4"/>
      <c r="F135" s="4"/>
      <c r="G135" s="4"/>
      <c r="H135" s="4"/>
      <c r="I135" s="4"/>
      <c r="J135" s="4"/>
      <c r="L135" s="4"/>
    </row>
    <row r="136" spans="5:12" x14ac:dyDescent="0.25">
      <c r="E136" s="4"/>
      <c r="F136" s="4"/>
      <c r="G136" s="4"/>
      <c r="H136" s="4"/>
      <c r="I136" s="4"/>
      <c r="J136" s="4"/>
      <c r="L136" s="4"/>
    </row>
    <row r="137" spans="5:12" x14ac:dyDescent="0.25">
      <c r="E137" s="4"/>
      <c r="F137" s="4"/>
      <c r="G137" s="4"/>
      <c r="H137" s="4"/>
      <c r="I137" s="4"/>
      <c r="J137" s="4"/>
      <c r="L137" s="4"/>
    </row>
    <row r="138" spans="5:12" x14ac:dyDescent="0.25">
      <c r="E138" s="4"/>
      <c r="F138" s="4"/>
      <c r="G138" s="4"/>
      <c r="H138" s="4"/>
      <c r="I138" s="4"/>
      <c r="J138" s="4"/>
      <c r="L138" s="4"/>
    </row>
    <row r="139" spans="5:12" x14ac:dyDescent="0.25">
      <c r="E139" s="4"/>
      <c r="F139" s="4"/>
      <c r="G139" s="4"/>
      <c r="H139" s="4"/>
      <c r="I139" s="4"/>
      <c r="J139" s="4"/>
      <c r="L139" s="4"/>
    </row>
    <row r="140" spans="5:12" x14ac:dyDescent="0.25">
      <c r="E140" s="4"/>
      <c r="F140" s="4"/>
      <c r="G140" s="4"/>
      <c r="H140" s="4"/>
      <c r="I140" s="4"/>
      <c r="J140" s="4"/>
      <c r="L140" s="4"/>
    </row>
    <row r="141" spans="5:12" x14ac:dyDescent="0.25">
      <c r="E141" s="4"/>
      <c r="F141" s="4"/>
      <c r="G141" s="4"/>
      <c r="H141" s="4"/>
      <c r="I141" s="4"/>
      <c r="J141" s="4"/>
      <c r="L141" s="4"/>
    </row>
    <row r="142" spans="5:12" x14ac:dyDescent="0.25">
      <c r="E142" s="4"/>
      <c r="F142" s="4"/>
      <c r="G142" s="4"/>
      <c r="H142" s="4"/>
      <c r="I142" s="4"/>
      <c r="J142" s="4"/>
      <c r="L142" s="4"/>
    </row>
    <row r="143" spans="5:12" x14ac:dyDescent="0.25">
      <c r="E143" s="4"/>
      <c r="F143" s="4"/>
      <c r="G143" s="4"/>
      <c r="H143" s="4"/>
      <c r="I143" s="4"/>
      <c r="J143" s="4"/>
      <c r="L143" s="4"/>
    </row>
    <row r="144" spans="5:12" x14ac:dyDescent="0.25">
      <c r="E144" s="4"/>
      <c r="F144" s="4"/>
      <c r="G144" s="4"/>
      <c r="H144" s="4"/>
      <c r="I144" s="4"/>
      <c r="J144" s="4"/>
      <c r="L144" s="4"/>
    </row>
    <row r="145" spans="5:12" x14ac:dyDescent="0.25">
      <c r="E145" s="4"/>
      <c r="F145" s="4"/>
      <c r="G145" s="4"/>
      <c r="H145" s="4"/>
      <c r="I145" s="4"/>
      <c r="J145" s="4"/>
      <c r="L145" s="4"/>
    </row>
    <row r="146" spans="5:12" x14ac:dyDescent="0.25">
      <c r="E146" s="4"/>
      <c r="F146" s="4"/>
      <c r="G146" s="4"/>
      <c r="H146" s="4"/>
      <c r="I146" s="4"/>
      <c r="J146" s="4"/>
      <c r="L146" s="4"/>
    </row>
    <row r="147" spans="5:12" x14ac:dyDescent="0.25">
      <c r="E147" s="4"/>
      <c r="F147" s="4"/>
      <c r="G147" s="4"/>
      <c r="H147" s="4"/>
      <c r="I147" s="4"/>
      <c r="J147" s="4"/>
      <c r="L147" s="4"/>
    </row>
    <row r="148" spans="5:12" x14ac:dyDescent="0.25">
      <c r="E148" s="4"/>
      <c r="F148" s="4"/>
      <c r="G148" s="4"/>
      <c r="H148" s="4"/>
      <c r="I148" s="4"/>
      <c r="J148" s="4"/>
      <c r="L148" s="4"/>
    </row>
    <row r="149" spans="5:12" x14ac:dyDescent="0.25">
      <c r="E149" s="4"/>
      <c r="F149" s="4"/>
      <c r="G149" s="4"/>
      <c r="H149" s="4"/>
      <c r="I149" s="4"/>
      <c r="J149" s="4"/>
      <c r="L149" s="4"/>
    </row>
    <row r="150" spans="5:12" x14ac:dyDescent="0.25">
      <c r="E150" s="4"/>
      <c r="F150" s="4"/>
      <c r="G150" s="4"/>
      <c r="H150" s="4"/>
      <c r="I150" s="4"/>
      <c r="J150" s="4"/>
      <c r="L150" s="4"/>
    </row>
    <row r="151" spans="5:12" x14ac:dyDescent="0.25">
      <c r="E151" s="4"/>
      <c r="F151" s="4"/>
      <c r="G151" s="4"/>
      <c r="H151" s="4"/>
      <c r="I151" s="4"/>
      <c r="J151" s="4"/>
      <c r="L151" s="4"/>
    </row>
    <row r="152" spans="5:12" x14ac:dyDescent="0.25">
      <c r="E152" s="4"/>
      <c r="F152" s="4"/>
      <c r="G152" s="4"/>
      <c r="H152" s="4"/>
      <c r="I152" s="4"/>
      <c r="J152" s="4"/>
      <c r="L152" s="4"/>
    </row>
    <row r="153" spans="5:12" x14ac:dyDescent="0.25">
      <c r="E153" s="4"/>
      <c r="F153" s="4"/>
      <c r="G153" s="4"/>
      <c r="H153" s="4"/>
      <c r="I153" s="4"/>
      <c r="J153" s="4"/>
      <c r="L153" s="4"/>
    </row>
    <row r="154" spans="5:12" x14ac:dyDescent="0.25">
      <c r="E154" s="4"/>
      <c r="F154" s="4"/>
      <c r="G154" s="4"/>
      <c r="H154" s="4"/>
      <c r="I154" s="4"/>
      <c r="J154" s="4"/>
      <c r="L154" s="4"/>
    </row>
    <row r="155" spans="5:12" x14ac:dyDescent="0.25">
      <c r="E155" s="4"/>
      <c r="F155" s="4"/>
      <c r="G155" s="4"/>
      <c r="H155" s="4"/>
      <c r="I155" s="4"/>
      <c r="J155" s="4"/>
      <c r="L155" s="4"/>
    </row>
    <row r="156" spans="5:12" x14ac:dyDescent="0.25">
      <c r="E156" s="4"/>
      <c r="F156" s="4"/>
      <c r="G156" s="4"/>
      <c r="H156" s="4"/>
      <c r="I156" s="4"/>
      <c r="J156" s="4"/>
      <c r="L156" s="4"/>
    </row>
    <row r="157" spans="5:12" x14ac:dyDescent="0.25">
      <c r="E157" s="4"/>
      <c r="F157" s="4"/>
      <c r="G157" s="4"/>
      <c r="H157" s="4"/>
      <c r="I157" s="4"/>
      <c r="J157" s="4"/>
      <c r="L157" s="4"/>
    </row>
    <row r="158" spans="5:12" x14ac:dyDescent="0.25">
      <c r="E158" s="4"/>
      <c r="F158" s="4"/>
      <c r="G158" s="4"/>
      <c r="H158" s="4"/>
      <c r="I158" s="4"/>
      <c r="J158" s="4"/>
      <c r="L158" s="4"/>
    </row>
    <row r="159" spans="5:12" x14ac:dyDescent="0.25">
      <c r="E159" s="4"/>
      <c r="F159" s="4"/>
      <c r="G159" s="4"/>
      <c r="H159" s="4"/>
      <c r="I159" s="4"/>
      <c r="J159" s="4"/>
      <c r="L159" s="4"/>
    </row>
    <row r="160" spans="5:12" x14ac:dyDescent="0.25">
      <c r="E160" s="4"/>
      <c r="F160" s="4"/>
      <c r="G160" s="4"/>
      <c r="H160" s="4"/>
      <c r="I160" s="4"/>
      <c r="J160" s="4"/>
      <c r="L160" s="4"/>
    </row>
    <row r="161" spans="5:12" x14ac:dyDescent="0.25">
      <c r="E161" s="4"/>
      <c r="F161" s="4"/>
      <c r="G161" s="4"/>
      <c r="H161" s="4"/>
      <c r="I161" s="4"/>
      <c r="J161" s="4"/>
      <c r="L161" s="4"/>
    </row>
    <row r="162" spans="5:12" x14ac:dyDescent="0.25">
      <c r="E162" s="4"/>
      <c r="F162" s="4"/>
      <c r="G162" s="4"/>
      <c r="H162" s="4"/>
      <c r="I162" s="4"/>
      <c r="J162" s="4"/>
      <c r="L162" s="4"/>
    </row>
    <row r="163" spans="5:12" x14ac:dyDescent="0.25">
      <c r="E163" s="4"/>
      <c r="F163" s="4"/>
      <c r="G163" s="4"/>
      <c r="H163" s="4"/>
      <c r="I163" s="4"/>
      <c r="J163" s="4"/>
      <c r="L163" s="4"/>
    </row>
    <row r="164" spans="5:12" x14ac:dyDescent="0.25">
      <c r="E164" s="4"/>
      <c r="F164" s="4"/>
      <c r="G164" s="4"/>
      <c r="H164" s="4"/>
      <c r="I164" s="4"/>
      <c r="J164" s="4"/>
      <c r="L164" s="4"/>
    </row>
    <row r="165" spans="5:12" x14ac:dyDescent="0.25">
      <c r="E165" s="4"/>
      <c r="F165" s="4"/>
      <c r="G165" s="4"/>
      <c r="H165" s="4"/>
      <c r="I165" s="4"/>
      <c r="J165" s="4"/>
      <c r="L165" s="4"/>
    </row>
    <row r="166" spans="5:12" x14ac:dyDescent="0.25">
      <c r="E166" s="4"/>
      <c r="F166" s="4"/>
      <c r="G166" s="4"/>
      <c r="H166" s="4"/>
      <c r="I166" s="4"/>
      <c r="J166" s="4"/>
      <c r="L166" s="4"/>
    </row>
    <row r="167" spans="5:12" x14ac:dyDescent="0.25">
      <c r="E167" s="4"/>
      <c r="F167" s="4"/>
      <c r="G167" s="4"/>
      <c r="H167" s="4"/>
      <c r="I167" s="4"/>
      <c r="J167" s="4"/>
      <c r="L167" s="4"/>
    </row>
    <row r="168" spans="5:12" x14ac:dyDescent="0.25">
      <c r="E168" s="4"/>
      <c r="F168" s="4"/>
      <c r="G168" s="4"/>
      <c r="H168" s="4"/>
      <c r="I168" s="4"/>
      <c r="J168" s="4"/>
      <c r="L168" s="4"/>
    </row>
    <row r="169" spans="5:12" x14ac:dyDescent="0.25">
      <c r="E169" s="4"/>
      <c r="F169" s="4"/>
      <c r="G169" s="4"/>
      <c r="H169" s="4"/>
      <c r="I169" s="4"/>
      <c r="J169" s="4"/>
      <c r="L169" s="4"/>
    </row>
    <row r="170" spans="5:12" x14ac:dyDescent="0.25">
      <c r="E170" s="4"/>
      <c r="F170" s="4"/>
      <c r="G170" s="4"/>
      <c r="H170" s="4"/>
      <c r="I170" s="4"/>
      <c r="J170" s="4"/>
      <c r="L170" s="4"/>
    </row>
    <row r="171" spans="5:12" x14ac:dyDescent="0.25">
      <c r="E171" s="4"/>
      <c r="F171" s="4"/>
      <c r="G171" s="4"/>
      <c r="H171" s="4"/>
      <c r="I171" s="4"/>
      <c r="J171" s="4"/>
      <c r="L171" s="4"/>
    </row>
    <row r="172" spans="5:12" x14ac:dyDescent="0.25">
      <c r="E172" s="4"/>
      <c r="F172" s="4"/>
      <c r="G172" s="4"/>
      <c r="H172" s="4"/>
      <c r="I172" s="4"/>
      <c r="J172" s="4"/>
      <c r="L172" s="4"/>
    </row>
    <row r="173" spans="5:12" x14ac:dyDescent="0.25">
      <c r="E173" s="4"/>
      <c r="F173" s="4"/>
      <c r="G173" s="4"/>
      <c r="H173" s="4"/>
      <c r="I173" s="4"/>
      <c r="J173" s="4"/>
      <c r="L173" s="4"/>
    </row>
    <row r="174" spans="5:12" x14ac:dyDescent="0.25">
      <c r="E174" s="4"/>
      <c r="F174" s="4"/>
      <c r="G174" s="4"/>
      <c r="H174" s="4"/>
      <c r="I174" s="4"/>
      <c r="J174" s="4"/>
      <c r="L174" s="4"/>
    </row>
    <row r="175" spans="5:12" x14ac:dyDescent="0.25">
      <c r="E175" s="4"/>
      <c r="F175" s="4"/>
      <c r="G175" s="4"/>
      <c r="H175" s="4"/>
      <c r="I175" s="4"/>
      <c r="J175" s="4"/>
      <c r="L175" s="4"/>
    </row>
    <row r="176" spans="5:12" x14ac:dyDescent="0.25">
      <c r="E176" s="4"/>
      <c r="F176" s="4"/>
      <c r="G176" s="4"/>
      <c r="H176" s="4"/>
      <c r="I176" s="4"/>
      <c r="J176" s="4"/>
      <c r="L176" s="4"/>
    </row>
    <row r="177" spans="5:12" x14ac:dyDescent="0.25">
      <c r="E177" s="4"/>
      <c r="F177" s="4"/>
      <c r="G177" s="4"/>
      <c r="H177" s="4"/>
      <c r="I177" s="4"/>
      <c r="J177" s="4"/>
      <c r="L177" s="4"/>
    </row>
    <row r="178" spans="5:12" x14ac:dyDescent="0.25">
      <c r="E178" s="4"/>
      <c r="F178" s="4"/>
      <c r="G178" s="4"/>
      <c r="H178" s="4"/>
      <c r="I178" s="4"/>
      <c r="J178" s="4"/>
      <c r="L178" s="4"/>
    </row>
    <row r="179" spans="5:12" x14ac:dyDescent="0.25">
      <c r="E179" s="4"/>
      <c r="F179" s="4"/>
      <c r="G179" s="4"/>
      <c r="H179" s="4"/>
      <c r="I179" s="4"/>
      <c r="J179" s="4"/>
      <c r="L179" s="4"/>
    </row>
    <row r="180" spans="5:12" x14ac:dyDescent="0.25">
      <c r="E180" s="4"/>
      <c r="F180" s="4"/>
      <c r="G180" s="4"/>
      <c r="H180" s="4"/>
      <c r="I180" s="4"/>
      <c r="J180" s="4"/>
      <c r="L180" s="4"/>
    </row>
    <row r="181" spans="5:12" x14ac:dyDescent="0.25">
      <c r="E181" s="4"/>
      <c r="F181" s="4"/>
      <c r="G181" s="4"/>
      <c r="H181" s="4"/>
      <c r="I181" s="4"/>
      <c r="J181" s="4"/>
      <c r="L181" s="4"/>
    </row>
    <row r="182" spans="5:12" x14ac:dyDescent="0.25">
      <c r="E182" s="4"/>
      <c r="F182" s="4"/>
      <c r="G182" s="4"/>
      <c r="H182" s="4"/>
      <c r="I182" s="4"/>
      <c r="J182" s="4"/>
      <c r="L182" s="4"/>
    </row>
    <row r="183" spans="5:12" x14ac:dyDescent="0.25">
      <c r="E183" s="4"/>
      <c r="F183" s="4"/>
      <c r="G183" s="4"/>
      <c r="H183" s="4"/>
      <c r="I183" s="4"/>
      <c r="J183" s="4"/>
      <c r="L183" s="4"/>
    </row>
    <row r="184" spans="5:12" x14ac:dyDescent="0.25">
      <c r="E184" s="4"/>
      <c r="F184" s="4"/>
      <c r="G184" s="4"/>
      <c r="H184" s="4"/>
      <c r="I184" s="4"/>
      <c r="J184" s="4"/>
      <c r="L184" s="4"/>
    </row>
    <row r="185" spans="5:12" x14ac:dyDescent="0.25">
      <c r="E185" s="4"/>
      <c r="F185" s="4"/>
      <c r="G185" s="4"/>
      <c r="H185" s="4"/>
      <c r="I185" s="4"/>
      <c r="J185" s="4"/>
      <c r="L185" s="4"/>
    </row>
    <row r="186" spans="5:12" x14ac:dyDescent="0.25">
      <c r="E186" s="4"/>
      <c r="F186" s="4"/>
      <c r="G186" s="4"/>
      <c r="H186" s="4"/>
      <c r="I186" s="4"/>
      <c r="J186" s="4"/>
      <c r="L186" s="4"/>
    </row>
    <row r="187" spans="5:12" x14ac:dyDescent="0.25">
      <c r="E187" s="4"/>
      <c r="F187" s="4"/>
      <c r="G187" s="4"/>
      <c r="H187" s="4"/>
      <c r="I187" s="4"/>
      <c r="J187" s="4"/>
      <c r="L187" s="4"/>
    </row>
    <row r="188" spans="5:12" x14ac:dyDescent="0.25">
      <c r="E188" s="4"/>
      <c r="F188" s="4"/>
      <c r="G188" s="4"/>
      <c r="H188" s="4"/>
      <c r="I188" s="4"/>
      <c r="J188" s="4"/>
      <c r="L188" s="4"/>
    </row>
    <row r="189" spans="5:12" x14ac:dyDescent="0.25">
      <c r="E189" s="4"/>
      <c r="F189" s="4"/>
      <c r="G189" s="4"/>
      <c r="H189" s="4"/>
      <c r="I189" s="4"/>
      <c r="J189" s="4"/>
      <c r="L189" s="4"/>
    </row>
    <row r="190" spans="5:12" x14ac:dyDescent="0.25">
      <c r="E190" s="4"/>
      <c r="F190" s="4"/>
      <c r="G190" s="4"/>
      <c r="H190" s="4"/>
      <c r="I190" s="4"/>
      <c r="J190" s="4"/>
      <c r="L190" s="4"/>
    </row>
    <row r="191" spans="5:12" x14ac:dyDescent="0.25">
      <c r="E191" s="4"/>
      <c r="F191" s="4"/>
      <c r="G191" s="4"/>
      <c r="H191" s="4"/>
      <c r="I191" s="4"/>
      <c r="J191" s="4"/>
      <c r="L191" s="4"/>
    </row>
    <row r="192" spans="5:12" x14ac:dyDescent="0.25">
      <c r="E192" s="4"/>
      <c r="F192" s="4"/>
      <c r="G192" s="4"/>
      <c r="H192" s="4"/>
      <c r="I192" s="4"/>
      <c r="J192" s="4"/>
      <c r="L192" s="4"/>
    </row>
    <row r="193" spans="5:12" x14ac:dyDescent="0.25">
      <c r="E193" s="4"/>
      <c r="F193" s="4"/>
      <c r="G193" s="4"/>
      <c r="H193" s="4"/>
      <c r="I193" s="4"/>
      <c r="J193" s="4"/>
      <c r="L193" s="4"/>
    </row>
    <row r="194" spans="5:12" x14ac:dyDescent="0.25">
      <c r="E194" s="4"/>
      <c r="F194" s="4"/>
      <c r="G194" s="4"/>
      <c r="H194" s="4"/>
      <c r="I194" s="4"/>
      <c r="J194" s="4"/>
      <c r="L194" s="4"/>
    </row>
    <row r="195" spans="5:12" x14ac:dyDescent="0.25">
      <c r="E195" s="4"/>
      <c r="F195" s="4"/>
      <c r="G195" s="4"/>
      <c r="H195" s="4"/>
      <c r="I195" s="4"/>
      <c r="J195" s="4"/>
      <c r="L195" s="4"/>
    </row>
    <row r="196" spans="5:12" x14ac:dyDescent="0.25">
      <c r="E196" s="4"/>
      <c r="F196" s="4"/>
      <c r="G196" s="4"/>
      <c r="H196" s="4"/>
      <c r="I196" s="4"/>
      <c r="J196" s="4"/>
      <c r="L196" s="4"/>
    </row>
    <row r="197" spans="5:12" x14ac:dyDescent="0.25">
      <c r="E197" s="4"/>
      <c r="F197" s="4"/>
      <c r="G197" s="4"/>
      <c r="H197" s="4"/>
      <c r="I197" s="4"/>
      <c r="J197" s="4"/>
      <c r="L197" s="4"/>
    </row>
    <row r="198" spans="5:12" x14ac:dyDescent="0.25">
      <c r="E198" s="4"/>
      <c r="F198" s="4"/>
      <c r="G198" s="4"/>
      <c r="H198" s="4"/>
      <c r="I198" s="4"/>
      <c r="J198" s="4"/>
      <c r="L198" s="4"/>
    </row>
    <row r="199" spans="5:12" x14ac:dyDescent="0.25">
      <c r="E199" s="4"/>
      <c r="F199" s="4"/>
      <c r="G199" s="4"/>
      <c r="H199" s="4"/>
      <c r="I199" s="4"/>
      <c r="J199" s="4"/>
      <c r="L199" s="4"/>
    </row>
    <row r="200" spans="5:12" x14ac:dyDescent="0.25">
      <c r="E200" s="4"/>
      <c r="F200" s="4"/>
      <c r="G200" s="4"/>
      <c r="H200" s="4"/>
      <c r="I200" s="4"/>
      <c r="J200" s="4"/>
      <c r="L200" s="4"/>
    </row>
    <row r="201" spans="5:12" x14ac:dyDescent="0.25">
      <c r="E201" s="4"/>
      <c r="F201" s="4"/>
      <c r="G201" s="4"/>
      <c r="H201" s="4"/>
      <c r="I201" s="4"/>
      <c r="J201" s="4"/>
      <c r="L201" s="4"/>
    </row>
  </sheetData>
  <sheetProtection algorithmName="SHA-512" hashValue="uDSf1BATl/l06YEAikG7jJBxPDE/iMVLuWzgNPy25Qa/1I0gotxgaibFnZFsLX89MDfL57VjO34ERsc+XQShCg==" saltValue="TEOlL6zTUTnP6jjS5Zjr2w==" spinCount="100000" sheet="1" selectLockedCells="1" sort="0" autoFilter="0"/>
  <protectedRanges>
    <protectedRange sqref="B6:L101" name="Filter"/>
  </protectedRanges>
  <mergeCells count="9">
    <mergeCell ref="B1:L1"/>
    <mergeCell ref="A1:A1048576"/>
    <mergeCell ref="G2:K2"/>
    <mergeCell ref="G3:K3"/>
    <mergeCell ref="B4:L4"/>
    <mergeCell ref="E2:F2"/>
    <mergeCell ref="E3:F3"/>
    <mergeCell ref="B2:C2"/>
    <mergeCell ref="B3:C3"/>
  </mergeCells>
  <conditionalFormatting sqref="B6:L100">
    <cfRule type="expression" dxfId="4" priority="1">
      <formula>$D6="In Progress"</formula>
    </cfRule>
    <cfRule type="expression" dxfId="3" priority="2">
      <formula>$D6="Complete"</formula>
    </cfRule>
    <cfRule type="expression" dxfId="2" priority="3">
      <formula>$D6="Not Started"</formula>
    </cfRule>
    <cfRule type="expression" dxfId="1" priority="4">
      <formula>$D6="Withdrawn"</formula>
    </cfRule>
    <cfRule type="expression" dxfId="0" priority="5">
      <formula>$D6="Ineligible"</formula>
    </cfRule>
  </conditionalFormatting>
  <dataValidations count="3">
    <dataValidation type="list" allowBlank="1" showInputMessage="1" showErrorMessage="1" sqref="D102:D202" xr:uid="{F7065B46-B286-43CD-B9E7-A0E4EEC5A613}">
      <formula1>"Complete, In Progress, Not Started"</formula1>
    </dataValidation>
    <dataValidation type="list" allowBlank="1" showInputMessage="1" showErrorMessage="1" sqref="D6:D101" xr:uid="{0E7A59CE-9C1A-4177-96FC-6792290159E4}">
      <formula1>"Complete, In Progress, Not Started, Withdrawn"</formula1>
    </dataValidation>
    <dataValidation type="list" allowBlank="1" showInputMessage="1" showErrorMessage="1" sqref="C6:C101" xr:uid="{B3F86D65-287C-4C7F-82B9-3B4EA22BD4AB}">
      <formula1>"City, County, PNP, Government, Municipality, Co Op, Other"</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4C6248B3-592C-4AD2-B25B-C2E1E253C9FF}">
          <x14:formula1>
            <xm:f>'County Population and Threshold'!$C$4:$C$16</xm:f>
          </x14:formula1>
          <xm:sqref>D3</xm:sqref>
        </x14:dataValidation>
        <x14:dataValidation type="list" allowBlank="1" showInputMessage="1" showErrorMessage="1" xr:uid="{53F447B8-57C0-45EC-B2E4-405629C8DBF8}">
          <x14:formula1>
            <xm:f>'County Population and Threshold'!$A$4:$A$86</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961B-3E8C-4C6A-A489-1AD2C2FB4B22}">
  <sheetPr>
    <tabColor theme="5" tint="0.39997558519241921"/>
  </sheetPr>
  <dimension ref="A1:I100"/>
  <sheetViews>
    <sheetView workbookViewId="0">
      <pane ySplit="2" topLeftCell="A3" activePane="bottomLeft" state="frozen"/>
      <selection pane="bottomLeft" activeCell="B3" sqref="B3"/>
    </sheetView>
  </sheetViews>
  <sheetFormatPr defaultRowHeight="13.2" x14ac:dyDescent="0.25"/>
  <cols>
    <col min="1" max="1" width="0.88671875" style="42" customWidth="1"/>
    <col min="2" max="2" width="23" customWidth="1"/>
    <col min="3" max="3" width="11.33203125" bestFit="1" customWidth="1"/>
    <col min="4" max="4" width="15.33203125" customWidth="1"/>
    <col min="5" max="5" width="14.6640625" customWidth="1"/>
    <col min="6" max="6" width="12.109375" customWidth="1"/>
    <col min="7" max="7" width="23.33203125" bestFit="1" customWidth="1"/>
    <col min="8" max="8" width="106" customWidth="1"/>
    <col min="9" max="9" width="2" style="47" customWidth="1"/>
  </cols>
  <sheetData>
    <row r="1" spans="2:8" s="42" customFormat="1" ht="6.6" customHeight="1" x14ac:dyDescent="0.25"/>
    <row r="2" spans="2:8" x14ac:dyDescent="0.25">
      <c r="B2" s="43" t="s">
        <v>12</v>
      </c>
      <c r="C2" s="43" t="s">
        <v>186</v>
      </c>
      <c r="D2" s="44" t="s">
        <v>187</v>
      </c>
      <c r="E2" s="44" t="s">
        <v>188</v>
      </c>
      <c r="F2" s="44" t="s">
        <v>189</v>
      </c>
      <c r="G2" s="45" t="s">
        <v>190</v>
      </c>
      <c r="H2" s="46" t="s">
        <v>191</v>
      </c>
    </row>
    <row r="3" spans="2:8" x14ac:dyDescent="0.25">
      <c r="B3" s="11"/>
      <c r="C3" s="11"/>
      <c r="D3" s="13"/>
      <c r="E3" s="13"/>
      <c r="F3" s="48">
        <f>SUM(Table4[[#This Row],[Eligible Costs]]-Table4[[#This Row],[Original Costs]])</f>
        <v>0</v>
      </c>
      <c r="G3" s="11"/>
      <c r="H3" s="11"/>
    </row>
    <row r="4" spans="2:8" x14ac:dyDescent="0.25">
      <c r="B4" s="11"/>
      <c r="C4" s="11"/>
      <c r="D4" s="13"/>
      <c r="E4" s="13"/>
      <c r="F4" s="48">
        <f>SUM(Table4[[#This Row],[Eligible Costs]]-Table4[[#This Row],[Original Costs]])</f>
        <v>0</v>
      </c>
      <c r="G4" s="11"/>
      <c r="H4" s="11"/>
    </row>
    <row r="5" spans="2:8" x14ac:dyDescent="0.25">
      <c r="B5" s="11"/>
      <c r="C5" s="11"/>
      <c r="D5" s="13"/>
      <c r="E5" s="13"/>
      <c r="F5" s="48">
        <f>SUM(Table4[[#This Row],[Eligible Costs]]-Table4[[#This Row],[Original Costs]])</f>
        <v>0</v>
      </c>
      <c r="G5" s="11"/>
      <c r="H5" s="11"/>
    </row>
    <row r="6" spans="2:8" x14ac:dyDescent="0.25">
      <c r="B6" s="11"/>
      <c r="C6" s="11"/>
      <c r="D6" s="13"/>
      <c r="E6" s="13"/>
      <c r="F6" s="48">
        <f>SUM(Table4[[#This Row],[Eligible Costs]]-Table4[[#This Row],[Original Costs]])</f>
        <v>0</v>
      </c>
      <c r="G6" s="11"/>
      <c r="H6" s="11"/>
    </row>
    <row r="7" spans="2:8" x14ac:dyDescent="0.25">
      <c r="B7" s="11"/>
      <c r="C7" s="11"/>
      <c r="D7" s="13"/>
      <c r="E7" s="13"/>
      <c r="F7" s="48">
        <f>SUM(Table4[[#This Row],[Eligible Costs]]-Table4[[#This Row],[Original Costs]])</f>
        <v>0</v>
      </c>
      <c r="G7" s="11"/>
      <c r="H7" s="11"/>
    </row>
    <row r="8" spans="2:8" x14ac:dyDescent="0.25">
      <c r="B8" s="11"/>
      <c r="C8" s="11"/>
      <c r="D8" s="13"/>
      <c r="E8" s="13"/>
      <c r="F8" s="48">
        <f>SUM(Table4[[#This Row],[Eligible Costs]]-Table4[[#This Row],[Original Costs]])</f>
        <v>0</v>
      </c>
      <c r="G8" s="11"/>
      <c r="H8" s="11"/>
    </row>
    <row r="9" spans="2:8" x14ac:dyDescent="0.25">
      <c r="B9" s="11"/>
      <c r="C9" s="11"/>
      <c r="D9" s="13"/>
      <c r="E9" s="13"/>
      <c r="F9" s="48">
        <f>SUM(Table4[[#This Row],[Eligible Costs]]-Table4[[#This Row],[Original Costs]])</f>
        <v>0</v>
      </c>
      <c r="G9" s="11"/>
      <c r="H9" s="11"/>
    </row>
    <row r="10" spans="2:8" x14ac:dyDescent="0.25">
      <c r="B10" s="11"/>
      <c r="C10" s="11"/>
      <c r="D10" s="13"/>
      <c r="E10" s="13"/>
      <c r="F10" s="48">
        <f>SUM(Table4[[#This Row],[Eligible Costs]]-Table4[[#This Row],[Original Costs]])</f>
        <v>0</v>
      </c>
      <c r="G10" s="11"/>
      <c r="H10" s="11"/>
    </row>
    <row r="11" spans="2:8" x14ac:dyDescent="0.25">
      <c r="B11" s="11"/>
      <c r="C11" s="11"/>
      <c r="D11" s="13"/>
      <c r="E11" s="13"/>
      <c r="F11" s="48">
        <f>SUM(Table4[[#This Row],[Eligible Costs]]-Table4[[#This Row],[Original Costs]])</f>
        <v>0</v>
      </c>
      <c r="G11" s="11"/>
      <c r="H11" s="11"/>
    </row>
    <row r="12" spans="2:8" x14ac:dyDescent="0.25">
      <c r="B12" s="11"/>
      <c r="C12" s="11"/>
      <c r="D12" s="13"/>
      <c r="E12" s="13"/>
      <c r="F12" s="48">
        <f>SUM(Table4[[#This Row],[Eligible Costs]]-Table4[[#This Row],[Original Costs]])</f>
        <v>0</v>
      </c>
      <c r="G12" s="11"/>
      <c r="H12" s="11"/>
    </row>
    <row r="13" spans="2:8" x14ac:dyDescent="0.25">
      <c r="B13" s="11"/>
      <c r="C13" s="11"/>
      <c r="D13" s="13"/>
      <c r="E13" s="13"/>
      <c r="F13" s="48">
        <f>SUM(Table4[[#This Row],[Eligible Costs]]-Table4[[#This Row],[Original Costs]])</f>
        <v>0</v>
      </c>
      <c r="G13" s="11"/>
      <c r="H13" s="11"/>
    </row>
    <row r="14" spans="2:8" x14ac:dyDescent="0.25">
      <c r="B14" s="11"/>
      <c r="C14" s="11"/>
      <c r="D14" s="13"/>
      <c r="E14" s="13"/>
      <c r="F14" s="48">
        <f>SUM(Table4[[#This Row],[Eligible Costs]]-Table4[[#This Row],[Original Costs]])</f>
        <v>0</v>
      </c>
      <c r="G14" s="11"/>
      <c r="H14" s="11"/>
    </row>
    <row r="15" spans="2:8" x14ac:dyDescent="0.25">
      <c r="B15" s="11"/>
      <c r="C15" s="11"/>
      <c r="D15" s="13"/>
      <c r="E15" s="13"/>
      <c r="F15" s="48">
        <f>SUM(Table4[[#This Row],[Eligible Costs]]-Table4[[#This Row],[Original Costs]])</f>
        <v>0</v>
      </c>
      <c r="G15" s="11"/>
      <c r="H15" s="11"/>
    </row>
    <row r="16" spans="2:8" x14ac:dyDescent="0.25">
      <c r="B16" s="11"/>
      <c r="C16" s="11"/>
      <c r="D16" s="13"/>
      <c r="E16" s="13"/>
      <c r="F16" s="48">
        <f>SUM(Table4[[#This Row],[Eligible Costs]]-Table4[[#This Row],[Original Costs]])</f>
        <v>0</v>
      </c>
      <c r="G16" s="11"/>
      <c r="H16" s="11"/>
    </row>
    <row r="17" spans="2:8" x14ac:dyDescent="0.25">
      <c r="B17" s="11"/>
      <c r="C17" s="11"/>
      <c r="D17" s="13"/>
      <c r="E17" s="13"/>
      <c r="F17" s="48">
        <f>SUM(Table4[[#This Row],[Eligible Costs]]-Table4[[#This Row],[Original Costs]])</f>
        <v>0</v>
      </c>
      <c r="G17" s="11"/>
      <c r="H17" s="11"/>
    </row>
    <row r="18" spans="2:8" x14ac:dyDescent="0.25">
      <c r="B18" s="11"/>
      <c r="C18" s="11"/>
      <c r="D18" s="13"/>
      <c r="E18" s="13"/>
      <c r="F18" s="48">
        <f>SUM(Table4[[#This Row],[Eligible Costs]]-Table4[[#This Row],[Original Costs]])</f>
        <v>0</v>
      </c>
      <c r="G18" s="11"/>
      <c r="H18" s="11"/>
    </row>
    <row r="19" spans="2:8" x14ac:dyDescent="0.25">
      <c r="B19" s="11"/>
      <c r="C19" s="11"/>
      <c r="D19" s="13"/>
      <c r="E19" s="13"/>
      <c r="F19" s="48">
        <f>SUM(Table4[[#This Row],[Eligible Costs]]-Table4[[#This Row],[Original Costs]])</f>
        <v>0</v>
      </c>
      <c r="G19" s="11"/>
      <c r="H19" s="11"/>
    </row>
    <row r="20" spans="2:8" x14ac:dyDescent="0.25">
      <c r="B20" s="11"/>
      <c r="C20" s="11"/>
      <c r="D20" s="13"/>
      <c r="E20" s="13"/>
      <c r="F20" s="48">
        <f>SUM(Table4[[#This Row],[Eligible Costs]]-Table4[[#This Row],[Original Costs]])</f>
        <v>0</v>
      </c>
      <c r="G20" s="11"/>
      <c r="H20" s="11"/>
    </row>
    <row r="21" spans="2:8" x14ac:dyDescent="0.25">
      <c r="B21" s="11"/>
      <c r="C21" s="11"/>
      <c r="D21" s="13"/>
      <c r="E21" s="13"/>
      <c r="F21" s="48">
        <f>SUM(Table4[[#This Row],[Eligible Costs]]-Table4[[#This Row],[Original Costs]])</f>
        <v>0</v>
      </c>
      <c r="G21" s="11"/>
      <c r="H21" s="11"/>
    </row>
    <row r="22" spans="2:8" x14ac:dyDescent="0.25">
      <c r="B22" s="11"/>
      <c r="C22" s="11"/>
      <c r="D22" s="13"/>
      <c r="E22" s="13"/>
      <c r="F22" s="48">
        <f>SUM(Table4[[#This Row],[Eligible Costs]]-Table4[[#This Row],[Original Costs]])</f>
        <v>0</v>
      </c>
      <c r="G22" s="11"/>
      <c r="H22" s="11"/>
    </row>
    <row r="23" spans="2:8" x14ac:dyDescent="0.25">
      <c r="B23" s="11"/>
      <c r="C23" s="11"/>
      <c r="D23" s="13"/>
      <c r="E23" s="13"/>
      <c r="F23" s="48">
        <f>SUM(Table4[[#This Row],[Eligible Costs]]-Table4[[#This Row],[Original Costs]])</f>
        <v>0</v>
      </c>
      <c r="G23" s="11"/>
      <c r="H23" s="11"/>
    </row>
    <row r="24" spans="2:8" x14ac:dyDescent="0.25">
      <c r="B24" s="11"/>
      <c r="C24" s="11"/>
      <c r="D24" s="13"/>
      <c r="E24" s="13"/>
      <c r="F24" s="48">
        <f>SUM(Table4[[#This Row],[Eligible Costs]]-Table4[[#This Row],[Original Costs]])</f>
        <v>0</v>
      </c>
      <c r="G24" s="11"/>
      <c r="H24" s="11"/>
    </row>
    <row r="25" spans="2:8" x14ac:dyDescent="0.25">
      <c r="B25" s="11"/>
      <c r="C25" s="11"/>
      <c r="D25" s="13"/>
      <c r="E25" s="13"/>
      <c r="F25" s="48">
        <f>SUM(Table4[[#This Row],[Eligible Costs]]-Table4[[#This Row],[Original Costs]])</f>
        <v>0</v>
      </c>
      <c r="G25" s="11"/>
      <c r="H25" s="11"/>
    </row>
    <row r="26" spans="2:8" x14ac:dyDescent="0.25">
      <c r="B26" s="11"/>
      <c r="C26" s="11"/>
      <c r="D26" s="13"/>
      <c r="E26" s="13"/>
      <c r="F26" s="48">
        <f>SUM(Table4[[#This Row],[Eligible Costs]]-Table4[[#This Row],[Original Costs]])</f>
        <v>0</v>
      </c>
      <c r="G26" s="11"/>
      <c r="H26" s="11"/>
    </row>
    <row r="27" spans="2:8" x14ac:dyDescent="0.25">
      <c r="B27" s="11"/>
      <c r="C27" s="11"/>
      <c r="D27" s="13"/>
      <c r="E27" s="13"/>
      <c r="F27" s="48">
        <f>SUM(Table4[[#This Row],[Eligible Costs]]-Table4[[#This Row],[Original Costs]])</f>
        <v>0</v>
      </c>
      <c r="G27" s="11"/>
      <c r="H27" s="11"/>
    </row>
    <row r="28" spans="2:8" x14ac:dyDescent="0.25">
      <c r="B28" s="11"/>
      <c r="C28" s="11"/>
      <c r="D28" s="13"/>
      <c r="E28" s="13"/>
      <c r="F28" s="48">
        <f>SUM(Table4[[#This Row],[Eligible Costs]]-Table4[[#This Row],[Original Costs]])</f>
        <v>0</v>
      </c>
      <c r="G28" s="11"/>
      <c r="H28" s="11"/>
    </row>
    <row r="29" spans="2:8" x14ac:dyDescent="0.25">
      <c r="B29" s="11"/>
      <c r="C29" s="11"/>
      <c r="D29" s="13"/>
      <c r="E29" s="13"/>
      <c r="F29" s="48">
        <f>SUM(Table4[[#This Row],[Eligible Costs]]-Table4[[#This Row],[Original Costs]])</f>
        <v>0</v>
      </c>
      <c r="G29" s="11"/>
      <c r="H29" s="11"/>
    </row>
    <row r="30" spans="2:8" x14ac:dyDescent="0.25">
      <c r="B30" s="11"/>
      <c r="C30" s="11"/>
      <c r="D30" s="13"/>
      <c r="E30" s="13"/>
      <c r="F30" s="48">
        <f>SUM(Table4[[#This Row],[Eligible Costs]]-Table4[[#This Row],[Original Costs]])</f>
        <v>0</v>
      </c>
      <c r="G30" s="11"/>
      <c r="H30" s="11"/>
    </row>
    <row r="31" spans="2:8" x14ac:dyDescent="0.25">
      <c r="B31" s="11"/>
      <c r="C31" s="11"/>
      <c r="D31" s="13"/>
      <c r="E31" s="13"/>
      <c r="F31" s="48">
        <f>SUM(Table4[[#This Row],[Eligible Costs]]-Table4[[#This Row],[Original Costs]])</f>
        <v>0</v>
      </c>
      <c r="G31" s="11"/>
      <c r="H31" s="11"/>
    </row>
    <row r="32" spans="2:8" x14ac:dyDescent="0.25">
      <c r="B32" s="11"/>
      <c r="C32" s="11"/>
      <c r="D32" s="13"/>
      <c r="E32" s="13"/>
      <c r="F32" s="48">
        <f>SUM(Table4[[#This Row],[Eligible Costs]]-Table4[[#This Row],[Original Costs]])</f>
        <v>0</v>
      </c>
      <c r="G32" s="11"/>
      <c r="H32" s="11"/>
    </row>
    <row r="33" spans="2:8" x14ac:dyDescent="0.25">
      <c r="B33" s="11"/>
      <c r="C33" s="11"/>
      <c r="D33" s="13"/>
      <c r="E33" s="13"/>
      <c r="F33" s="48">
        <f>SUM(Table4[[#This Row],[Eligible Costs]]-Table4[[#This Row],[Original Costs]])</f>
        <v>0</v>
      </c>
      <c r="G33" s="11"/>
      <c r="H33" s="11"/>
    </row>
    <row r="34" spans="2:8" x14ac:dyDescent="0.25">
      <c r="B34" s="11"/>
      <c r="C34" s="11"/>
      <c r="D34" s="13"/>
      <c r="E34" s="13"/>
      <c r="F34" s="48">
        <f>SUM(Table4[[#This Row],[Eligible Costs]]-Table4[[#This Row],[Original Costs]])</f>
        <v>0</v>
      </c>
      <c r="G34" s="11"/>
      <c r="H34" s="11"/>
    </row>
    <row r="35" spans="2:8" x14ac:dyDescent="0.25">
      <c r="B35" s="11"/>
      <c r="C35" s="11"/>
      <c r="D35" s="13"/>
      <c r="E35" s="13"/>
      <c r="F35" s="48">
        <f>SUM(Table4[[#This Row],[Eligible Costs]]-Table4[[#This Row],[Original Costs]])</f>
        <v>0</v>
      </c>
      <c r="G35" s="11"/>
      <c r="H35" s="11"/>
    </row>
    <row r="36" spans="2:8" x14ac:dyDescent="0.25">
      <c r="B36" s="11"/>
      <c r="C36" s="11"/>
      <c r="D36" s="13"/>
      <c r="E36" s="13"/>
      <c r="F36" s="48">
        <f>SUM(Table4[[#This Row],[Eligible Costs]]-Table4[[#This Row],[Original Costs]])</f>
        <v>0</v>
      </c>
      <c r="G36" s="11"/>
      <c r="H36" s="11"/>
    </row>
    <row r="37" spans="2:8" x14ac:dyDescent="0.25">
      <c r="B37" s="11"/>
      <c r="C37" s="11"/>
      <c r="D37" s="13"/>
      <c r="E37" s="13"/>
      <c r="F37" s="48">
        <f>SUM(Table4[[#This Row],[Eligible Costs]]-Table4[[#This Row],[Original Costs]])</f>
        <v>0</v>
      </c>
      <c r="G37" s="11"/>
      <c r="H37" s="11"/>
    </row>
    <row r="38" spans="2:8" x14ac:dyDescent="0.25">
      <c r="B38" s="11"/>
      <c r="C38" s="11"/>
      <c r="D38" s="13"/>
      <c r="E38" s="13"/>
      <c r="F38" s="48">
        <f>SUM(Table4[[#This Row],[Eligible Costs]]-Table4[[#This Row],[Original Costs]])</f>
        <v>0</v>
      </c>
      <c r="G38" s="11"/>
      <c r="H38" s="11"/>
    </row>
    <row r="39" spans="2:8" x14ac:dyDescent="0.25">
      <c r="B39" s="11"/>
      <c r="C39" s="11"/>
      <c r="D39" s="13"/>
      <c r="E39" s="13"/>
      <c r="F39" s="48">
        <f>SUM(Table4[[#This Row],[Eligible Costs]]-Table4[[#This Row],[Original Costs]])</f>
        <v>0</v>
      </c>
      <c r="G39" s="11"/>
      <c r="H39" s="11"/>
    </row>
    <row r="40" spans="2:8" x14ac:dyDescent="0.25">
      <c r="B40" s="11"/>
      <c r="C40" s="11"/>
      <c r="D40" s="13"/>
      <c r="E40" s="13"/>
      <c r="F40" s="48">
        <f>SUM(Table4[[#This Row],[Eligible Costs]]-Table4[[#This Row],[Original Costs]])</f>
        <v>0</v>
      </c>
      <c r="G40" s="11"/>
      <c r="H40" s="11"/>
    </row>
    <row r="41" spans="2:8" x14ac:dyDescent="0.25">
      <c r="B41" s="11"/>
      <c r="C41" s="11"/>
      <c r="D41" s="13"/>
      <c r="E41" s="13"/>
      <c r="F41" s="48">
        <f>SUM(Table4[[#This Row],[Eligible Costs]]-Table4[[#This Row],[Original Costs]])</f>
        <v>0</v>
      </c>
      <c r="G41" s="11"/>
      <c r="H41" s="11"/>
    </row>
    <row r="42" spans="2:8" x14ac:dyDescent="0.25">
      <c r="B42" s="11"/>
      <c r="C42" s="11"/>
      <c r="D42" s="13"/>
      <c r="E42" s="13"/>
      <c r="F42" s="48">
        <f>SUM(Table4[[#This Row],[Eligible Costs]]-Table4[[#This Row],[Original Costs]])</f>
        <v>0</v>
      </c>
      <c r="G42" s="11"/>
      <c r="H42" s="11"/>
    </row>
    <row r="43" spans="2:8" x14ac:dyDescent="0.25">
      <c r="B43" s="11"/>
      <c r="C43" s="11"/>
      <c r="D43" s="13"/>
      <c r="E43" s="13"/>
      <c r="F43" s="48">
        <f>SUM(Table4[[#This Row],[Eligible Costs]]-Table4[[#This Row],[Original Costs]])</f>
        <v>0</v>
      </c>
      <c r="G43" s="11"/>
      <c r="H43" s="11"/>
    </row>
    <row r="44" spans="2:8" x14ac:dyDescent="0.25">
      <c r="B44" s="11"/>
      <c r="C44" s="11"/>
      <c r="D44" s="13"/>
      <c r="E44" s="13"/>
      <c r="F44" s="48">
        <f>SUM(Table4[[#This Row],[Eligible Costs]]-Table4[[#This Row],[Original Costs]])</f>
        <v>0</v>
      </c>
      <c r="G44" s="11"/>
      <c r="H44" s="11"/>
    </row>
    <row r="45" spans="2:8" x14ac:dyDescent="0.25">
      <c r="B45" s="11"/>
      <c r="C45" s="11"/>
      <c r="D45" s="13"/>
      <c r="E45" s="13"/>
      <c r="F45" s="48">
        <f>SUM(Table4[[#This Row],[Eligible Costs]]-Table4[[#This Row],[Original Costs]])</f>
        <v>0</v>
      </c>
      <c r="G45" s="11"/>
      <c r="H45" s="11"/>
    </row>
    <row r="46" spans="2:8" x14ac:dyDescent="0.25">
      <c r="B46" s="11"/>
      <c r="C46" s="11"/>
      <c r="D46" s="13"/>
      <c r="E46" s="13"/>
      <c r="F46" s="48">
        <f>SUM(Table4[[#This Row],[Eligible Costs]]-Table4[[#This Row],[Original Costs]])</f>
        <v>0</v>
      </c>
      <c r="G46" s="11"/>
      <c r="H46" s="11"/>
    </row>
    <row r="47" spans="2:8" x14ac:dyDescent="0.25">
      <c r="B47" s="11"/>
      <c r="C47" s="11"/>
      <c r="D47" s="13"/>
      <c r="E47" s="13"/>
      <c r="F47" s="48">
        <f>SUM(Table4[[#This Row],[Eligible Costs]]-Table4[[#This Row],[Original Costs]])</f>
        <v>0</v>
      </c>
      <c r="G47" s="11"/>
      <c r="H47" s="11"/>
    </row>
    <row r="48" spans="2:8" x14ac:dyDescent="0.25">
      <c r="B48" s="11"/>
      <c r="C48" s="11"/>
      <c r="D48" s="13"/>
      <c r="E48" s="13"/>
      <c r="F48" s="48">
        <f>SUM(Table4[[#This Row],[Eligible Costs]]-Table4[[#This Row],[Original Costs]])</f>
        <v>0</v>
      </c>
      <c r="G48" s="11"/>
      <c r="H48" s="11"/>
    </row>
    <row r="49" spans="2:8" x14ac:dyDescent="0.25">
      <c r="B49" s="11"/>
      <c r="C49" s="11"/>
      <c r="D49" s="13"/>
      <c r="E49" s="13"/>
      <c r="F49" s="48">
        <f>SUM(Table4[[#This Row],[Eligible Costs]]-Table4[[#This Row],[Original Costs]])</f>
        <v>0</v>
      </c>
      <c r="G49" s="11"/>
      <c r="H49" s="11"/>
    </row>
    <row r="50" spans="2:8" x14ac:dyDescent="0.25">
      <c r="B50" s="11"/>
      <c r="C50" s="11"/>
      <c r="D50" s="13"/>
      <c r="E50" s="13"/>
      <c r="F50" s="48">
        <f>SUM(Table4[[#This Row],[Eligible Costs]]-Table4[[#This Row],[Original Costs]])</f>
        <v>0</v>
      </c>
      <c r="G50" s="11"/>
      <c r="H50" s="11"/>
    </row>
    <row r="51" spans="2:8" x14ac:dyDescent="0.25">
      <c r="B51" s="11"/>
      <c r="C51" s="11"/>
      <c r="D51" s="13"/>
      <c r="E51" s="13"/>
      <c r="F51" s="48">
        <f>SUM(Table4[[#This Row],[Eligible Costs]]-Table4[[#This Row],[Original Costs]])</f>
        <v>0</v>
      </c>
      <c r="G51" s="11"/>
      <c r="H51" s="11"/>
    </row>
    <row r="52" spans="2:8" x14ac:dyDescent="0.25">
      <c r="B52" s="11"/>
      <c r="C52" s="11"/>
      <c r="D52" s="13"/>
      <c r="E52" s="13"/>
      <c r="F52" s="48">
        <f>SUM(Table4[[#This Row],[Eligible Costs]]-Table4[[#This Row],[Original Costs]])</f>
        <v>0</v>
      </c>
      <c r="G52" s="11"/>
      <c r="H52" s="11"/>
    </row>
    <row r="53" spans="2:8" x14ac:dyDescent="0.25">
      <c r="B53" s="11"/>
      <c r="C53" s="11"/>
      <c r="D53" s="13"/>
      <c r="E53" s="13"/>
      <c r="F53" s="48">
        <f>SUM(Table4[[#This Row],[Eligible Costs]]-Table4[[#This Row],[Original Costs]])</f>
        <v>0</v>
      </c>
      <c r="G53" s="11"/>
      <c r="H53" s="11"/>
    </row>
    <row r="54" spans="2:8" x14ac:dyDescent="0.25">
      <c r="B54" s="11"/>
      <c r="C54" s="11"/>
      <c r="D54" s="13"/>
      <c r="E54" s="13"/>
      <c r="F54" s="48">
        <f>SUM(Table4[[#This Row],[Eligible Costs]]-Table4[[#This Row],[Original Costs]])</f>
        <v>0</v>
      </c>
      <c r="G54" s="11"/>
      <c r="H54" s="11"/>
    </row>
    <row r="55" spans="2:8" x14ac:dyDescent="0.25">
      <c r="B55" s="11"/>
      <c r="C55" s="11"/>
      <c r="D55" s="13"/>
      <c r="E55" s="13"/>
      <c r="F55" s="48">
        <f>SUM(Table4[[#This Row],[Eligible Costs]]-Table4[[#This Row],[Original Costs]])</f>
        <v>0</v>
      </c>
      <c r="G55" s="11"/>
      <c r="H55" s="11"/>
    </row>
    <row r="56" spans="2:8" x14ac:dyDescent="0.25">
      <c r="B56" s="11"/>
      <c r="C56" s="11"/>
      <c r="D56" s="13"/>
      <c r="E56" s="13"/>
      <c r="F56" s="48">
        <f>SUM(Table4[[#This Row],[Eligible Costs]]-Table4[[#This Row],[Original Costs]])</f>
        <v>0</v>
      </c>
      <c r="G56" s="11"/>
      <c r="H56" s="11"/>
    </row>
    <row r="57" spans="2:8" x14ac:dyDescent="0.25">
      <c r="B57" s="11"/>
      <c r="C57" s="11"/>
      <c r="D57" s="13"/>
      <c r="E57" s="13"/>
      <c r="F57" s="48">
        <f>SUM(Table4[[#This Row],[Eligible Costs]]-Table4[[#This Row],[Original Costs]])</f>
        <v>0</v>
      </c>
      <c r="G57" s="11"/>
      <c r="H57" s="11"/>
    </row>
    <row r="58" spans="2:8" x14ac:dyDescent="0.25">
      <c r="B58" s="11"/>
      <c r="C58" s="11"/>
      <c r="D58" s="13"/>
      <c r="E58" s="13"/>
      <c r="F58" s="48">
        <f>SUM(Table4[[#This Row],[Eligible Costs]]-Table4[[#This Row],[Original Costs]])</f>
        <v>0</v>
      </c>
      <c r="G58" s="11"/>
      <c r="H58" s="11"/>
    </row>
    <row r="59" spans="2:8" x14ac:dyDescent="0.25">
      <c r="B59" s="11"/>
      <c r="C59" s="11"/>
      <c r="D59" s="13"/>
      <c r="E59" s="13"/>
      <c r="F59" s="48">
        <f>SUM(Table4[[#This Row],[Eligible Costs]]-Table4[[#This Row],[Original Costs]])</f>
        <v>0</v>
      </c>
      <c r="G59" s="11"/>
      <c r="H59" s="11"/>
    </row>
    <row r="60" spans="2:8" x14ac:dyDescent="0.25">
      <c r="B60" s="11"/>
      <c r="C60" s="11"/>
      <c r="D60" s="13"/>
      <c r="E60" s="13"/>
      <c r="F60" s="48">
        <f>SUM(Table4[[#This Row],[Eligible Costs]]-Table4[[#This Row],[Original Costs]])</f>
        <v>0</v>
      </c>
      <c r="G60" s="11"/>
      <c r="H60" s="11"/>
    </row>
    <row r="61" spans="2:8" x14ac:dyDescent="0.25">
      <c r="B61" s="11"/>
      <c r="C61" s="11"/>
      <c r="D61" s="13"/>
      <c r="E61" s="13"/>
      <c r="F61" s="48">
        <f>SUM(Table4[[#This Row],[Eligible Costs]]-Table4[[#This Row],[Original Costs]])</f>
        <v>0</v>
      </c>
      <c r="G61" s="11"/>
      <c r="H61" s="11"/>
    </row>
    <row r="62" spans="2:8" x14ac:dyDescent="0.25">
      <c r="B62" s="11"/>
      <c r="C62" s="11"/>
      <c r="D62" s="13"/>
      <c r="E62" s="13"/>
      <c r="F62" s="48">
        <f>SUM(Table4[[#This Row],[Eligible Costs]]-Table4[[#This Row],[Original Costs]])</f>
        <v>0</v>
      </c>
      <c r="G62" s="11"/>
      <c r="H62" s="11"/>
    </row>
    <row r="63" spans="2:8" x14ac:dyDescent="0.25">
      <c r="B63" s="11"/>
      <c r="C63" s="11"/>
      <c r="D63" s="13"/>
      <c r="E63" s="13"/>
      <c r="F63" s="48">
        <f>SUM(Table4[[#This Row],[Eligible Costs]]-Table4[[#This Row],[Original Costs]])</f>
        <v>0</v>
      </c>
      <c r="G63" s="11"/>
      <c r="H63" s="11"/>
    </row>
    <row r="64" spans="2:8" x14ac:dyDescent="0.25">
      <c r="B64" s="11"/>
      <c r="C64" s="11"/>
      <c r="D64" s="13"/>
      <c r="E64" s="13"/>
      <c r="F64" s="48">
        <f>SUM(Table4[[#This Row],[Eligible Costs]]-Table4[[#This Row],[Original Costs]])</f>
        <v>0</v>
      </c>
      <c r="G64" s="11"/>
      <c r="H64" s="11"/>
    </row>
    <row r="65" spans="2:8" x14ac:dyDescent="0.25">
      <c r="B65" s="11"/>
      <c r="C65" s="11"/>
      <c r="D65" s="13"/>
      <c r="E65" s="13"/>
      <c r="F65" s="48">
        <f>SUM(Table4[[#This Row],[Eligible Costs]]-Table4[[#This Row],[Original Costs]])</f>
        <v>0</v>
      </c>
      <c r="G65" s="11"/>
      <c r="H65" s="11"/>
    </row>
    <row r="66" spans="2:8" x14ac:dyDescent="0.25">
      <c r="B66" s="11"/>
      <c r="C66" s="11"/>
      <c r="D66" s="13"/>
      <c r="E66" s="13"/>
      <c r="F66" s="48">
        <f>SUM(Table4[[#This Row],[Eligible Costs]]-Table4[[#This Row],[Original Costs]])</f>
        <v>0</v>
      </c>
      <c r="G66" s="11"/>
      <c r="H66" s="11"/>
    </row>
    <row r="67" spans="2:8" x14ac:dyDescent="0.25">
      <c r="B67" s="11"/>
      <c r="C67" s="11"/>
      <c r="D67" s="13"/>
      <c r="E67" s="13"/>
      <c r="F67" s="48">
        <f>SUM(Table4[[#This Row],[Eligible Costs]]-Table4[[#This Row],[Original Costs]])</f>
        <v>0</v>
      </c>
      <c r="G67" s="11"/>
      <c r="H67" s="11"/>
    </row>
    <row r="68" spans="2:8" x14ac:dyDescent="0.25">
      <c r="B68" s="11"/>
      <c r="C68" s="11"/>
      <c r="D68" s="13"/>
      <c r="E68" s="13"/>
      <c r="F68" s="48">
        <f>SUM(Table4[[#This Row],[Eligible Costs]]-Table4[[#This Row],[Original Costs]])</f>
        <v>0</v>
      </c>
      <c r="G68" s="11"/>
      <c r="H68" s="11"/>
    </row>
    <row r="69" spans="2:8" x14ac:dyDescent="0.25">
      <c r="B69" s="11"/>
      <c r="C69" s="11"/>
      <c r="D69" s="13"/>
      <c r="E69" s="13"/>
      <c r="F69" s="48">
        <f>SUM(Table4[[#This Row],[Eligible Costs]]-Table4[[#This Row],[Original Costs]])</f>
        <v>0</v>
      </c>
      <c r="G69" s="11"/>
      <c r="H69" s="11"/>
    </row>
    <row r="70" spans="2:8" x14ac:dyDescent="0.25">
      <c r="B70" s="11"/>
      <c r="C70" s="11"/>
      <c r="D70" s="13"/>
      <c r="E70" s="13"/>
      <c r="F70" s="48">
        <f>SUM(Table4[[#This Row],[Eligible Costs]]-Table4[[#This Row],[Original Costs]])</f>
        <v>0</v>
      </c>
      <c r="G70" s="11"/>
      <c r="H70" s="11"/>
    </row>
    <row r="71" spans="2:8" x14ac:dyDescent="0.25">
      <c r="B71" s="11"/>
      <c r="C71" s="11"/>
      <c r="D71" s="13"/>
      <c r="E71" s="13"/>
      <c r="F71" s="48">
        <f>SUM(Table4[[#This Row],[Eligible Costs]]-Table4[[#This Row],[Original Costs]])</f>
        <v>0</v>
      </c>
      <c r="G71" s="11"/>
      <c r="H71" s="11"/>
    </row>
    <row r="72" spans="2:8" x14ac:dyDescent="0.25">
      <c r="B72" s="11"/>
      <c r="C72" s="11"/>
      <c r="D72" s="13"/>
      <c r="E72" s="13"/>
      <c r="F72" s="48">
        <f>SUM(Table4[[#This Row],[Eligible Costs]]-Table4[[#This Row],[Original Costs]])</f>
        <v>0</v>
      </c>
      <c r="G72" s="11"/>
      <c r="H72" s="11"/>
    </row>
    <row r="73" spans="2:8" x14ac:dyDescent="0.25">
      <c r="B73" s="11"/>
      <c r="C73" s="11"/>
      <c r="D73" s="13"/>
      <c r="E73" s="13"/>
      <c r="F73" s="48">
        <f>SUM(Table4[[#This Row],[Eligible Costs]]-Table4[[#This Row],[Original Costs]])</f>
        <v>0</v>
      </c>
      <c r="G73" s="11"/>
      <c r="H73" s="11"/>
    </row>
    <row r="74" spans="2:8" x14ac:dyDescent="0.25">
      <c r="B74" s="11"/>
      <c r="C74" s="11"/>
      <c r="D74" s="13"/>
      <c r="E74" s="13"/>
      <c r="F74" s="48">
        <f>SUM(Table4[[#This Row],[Eligible Costs]]-Table4[[#This Row],[Original Costs]])</f>
        <v>0</v>
      </c>
      <c r="G74" s="11"/>
      <c r="H74" s="11"/>
    </row>
    <row r="75" spans="2:8" x14ac:dyDescent="0.25">
      <c r="B75" s="11"/>
      <c r="C75" s="11"/>
      <c r="D75" s="13"/>
      <c r="E75" s="13"/>
      <c r="F75" s="48">
        <f>SUM(Table4[[#This Row],[Eligible Costs]]-Table4[[#This Row],[Original Costs]])</f>
        <v>0</v>
      </c>
      <c r="G75" s="11"/>
      <c r="H75" s="11"/>
    </row>
    <row r="76" spans="2:8" x14ac:dyDescent="0.25">
      <c r="B76" s="11"/>
      <c r="C76" s="11"/>
      <c r="D76" s="13"/>
      <c r="E76" s="13"/>
      <c r="F76" s="48">
        <f>SUM(Table4[[#This Row],[Eligible Costs]]-Table4[[#This Row],[Original Costs]])</f>
        <v>0</v>
      </c>
      <c r="G76" s="11"/>
      <c r="H76" s="11"/>
    </row>
    <row r="77" spans="2:8" x14ac:dyDescent="0.25">
      <c r="B77" s="11"/>
      <c r="C77" s="11"/>
      <c r="D77" s="13"/>
      <c r="E77" s="13"/>
      <c r="F77" s="48">
        <f>SUM(Table4[[#This Row],[Eligible Costs]]-Table4[[#This Row],[Original Costs]])</f>
        <v>0</v>
      </c>
      <c r="G77" s="11"/>
      <c r="H77" s="11"/>
    </row>
    <row r="78" spans="2:8" x14ac:dyDescent="0.25">
      <c r="B78" s="11"/>
      <c r="C78" s="11"/>
      <c r="D78" s="13"/>
      <c r="E78" s="13"/>
      <c r="F78" s="48">
        <f>SUM(Table4[[#This Row],[Eligible Costs]]-Table4[[#This Row],[Original Costs]])</f>
        <v>0</v>
      </c>
      <c r="G78" s="11"/>
      <c r="H78" s="11"/>
    </row>
    <row r="79" spans="2:8" x14ac:dyDescent="0.25">
      <c r="B79" s="11"/>
      <c r="C79" s="11"/>
      <c r="D79" s="13"/>
      <c r="E79" s="13"/>
      <c r="F79" s="48">
        <f>SUM(Table4[[#This Row],[Eligible Costs]]-Table4[[#This Row],[Original Costs]])</f>
        <v>0</v>
      </c>
      <c r="G79" s="11"/>
      <c r="H79" s="11"/>
    </row>
    <row r="80" spans="2:8" x14ac:dyDescent="0.25">
      <c r="B80" s="11"/>
      <c r="C80" s="11"/>
      <c r="D80" s="13"/>
      <c r="E80" s="13"/>
      <c r="F80" s="48">
        <f>SUM(Table4[[#This Row],[Eligible Costs]]-Table4[[#This Row],[Original Costs]])</f>
        <v>0</v>
      </c>
      <c r="G80" s="11"/>
      <c r="H80" s="11"/>
    </row>
    <row r="81" spans="2:8" x14ac:dyDescent="0.25">
      <c r="B81" s="11"/>
      <c r="C81" s="11"/>
      <c r="D81" s="13"/>
      <c r="E81" s="13"/>
      <c r="F81" s="48">
        <f>SUM(Table4[[#This Row],[Eligible Costs]]-Table4[[#This Row],[Original Costs]])</f>
        <v>0</v>
      </c>
      <c r="G81" s="11"/>
      <c r="H81" s="11"/>
    </row>
    <row r="82" spans="2:8" x14ac:dyDescent="0.25">
      <c r="B82" s="11"/>
      <c r="C82" s="11"/>
      <c r="D82" s="13"/>
      <c r="E82" s="13"/>
      <c r="F82" s="48">
        <f>SUM(Table4[[#This Row],[Eligible Costs]]-Table4[[#This Row],[Original Costs]])</f>
        <v>0</v>
      </c>
      <c r="G82" s="11"/>
      <c r="H82" s="11"/>
    </row>
    <row r="83" spans="2:8" x14ac:dyDescent="0.25">
      <c r="B83" s="11"/>
      <c r="C83" s="11"/>
      <c r="D83" s="13"/>
      <c r="E83" s="13"/>
      <c r="F83" s="48">
        <f>SUM(Table4[[#This Row],[Eligible Costs]]-Table4[[#This Row],[Original Costs]])</f>
        <v>0</v>
      </c>
      <c r="G83" s="11"/>
      <c r="H83" s="11"/>
    </row>
    <row r="84" spans="2:8" x14ac:dyDescent="0.25">
      <c r="B84" s="11"/>
      <c r="C84" s="11"/>
      <c r="D84" s="13"/>
      <c r="E84" s="13"/>
      <c r="F84" s="48">
        <f>SUM(Table4[[#This Row],[Eligible Costs]]-Table4[[#This Row],[Original Costs]])</f>
        <v>0</v>
      </c>
      <c r="G84" s="11"/>
      <c r="H84" s="11"/>
    </row>
    <row r="85" spans="2:8" x14ac:dyDescent="0.25">
      <c r="B85" s="11"/>
      <c r="C85" s="11"/>
      <c r="D85" s="13"/>
      <c r="E85" s="13"/>
      <c r="F85" s="48">
        <f>SUM(Table4[[#This Row],[Eligible Costs]]-Table4[[#This Row],[Original Costs]])</f>
        <v>0</v>
      </c>
      <c r="G85" s="11"/>
      <c r="H85" s="11"/>
    </row>
    <row r="86" spans="2:8" x14ac:dyDescent="0.25">
      <c r="B86" s="11"/>
      <c r="C86" s="11"/>
      <c r="D86" s="13"/>
      <c r="E86" s="13"/>
      <c r="F86" s="48">
        <f>SUM(Table4[[#This Row],[Eligible Costs]]-Table4[[#This Row],[Original Costs]])</f>
        <v>0</v>
      </c>
      <c r="G86" s="11"/>
      <c r="H86" s="11"/>
    </row>
    <row r="87" spans="2:8" x14ac:dyDescent="0.25">
      <c r="B87" s="11"/>
      <c r="C87" s="11"/>
      <c r="D87" s="13"/>
      <c r="E87" s="13"/>
      <c r="F87" s="48">
        <f>SUM(Table4[[#This Row],[Eligible Costs]]-Table4[[#This Row],[Original Costs]])</f>
        <v>0</v>
      </c>
      <c r="G87" s="11"/>
      <c r="H87" s="11"/>
    </row>
    <row r="88" spans="2:8" x14ac:dyDescent="0.25">
      <c r="B88" s="11"/>
      <c r="C88" s="11"/>
      <c r="D88" s="13"/>
      <c r="E88" s="13"/>
      <c r="F88" s="48">
        <f>SUM(Table4[[#This Row],[Eligible Costs]]-Table4[[#This Row],[Original Costs]])</f>
        <v>0</v>
      </c>
      <c r="G88" s="11"/>
      <c r="H88" s="11"/>
    </row>
    <row r="89" spans="2:8" x14ac:dyDescent="0.25">
      <c r="B89" s="11"/>
      <c r="C89" s="11"/>
      <c r="D89" s="13"/>
      <c r="E89" s="13"/>
      <c r="F89" s="48">
        <f>SUM(Table4[[#This Row],[Eligible Costs]]-Table4[[#This Row],[Original Costs]])</f>
        <v>0</v>
      </c>
      <c r="G89" s="11"/>
      <c r="H89" s="11"/>
    </row>
    <row r="90" spans="2:8" x14ac:dyDescent="0.25">
      <c r="B90" s="11"/>
      <c r="C90" s="11"/>
      <c r="D90" s="13"/>
      <c r="E90" s="13"/>
      <c r="F90" s="48">
        <f>SUM(Table4[[#This Row],[Eligible Costs]]-Table4[[#This Row],[Original Costs]])</f>
        <v>0</v>
      </c>
      <c r="G90" s="11"/>
      <c r="H90" s="11"/>
    </row>
    <row r="91" spans="2:8" x14ac:dyDescent="0.25">
      <c r="B91" s="11"/>
      <c r="C91" s="11"/>
      <c r="D91" s="13"/>
      <c r="E91" s="13"/>
      <c r="F91" s="48">
        <f>SUM(Table4[[#This Row],[Eligible Costs]]-Table4[[#This Row],[Original Costs]])</f>
        <v>0</v>
      </c>
      <c r="G91" s="11"/>
      <c r="H91" s="11"/>
    </row>
    <row r="92" spans="2:8" x14ac:dyDescent="0.25">
      <c r="B92" s="11"/>
      <c r="C92" s="11"/>
      <c r="D92" s="13"/>
      <c r="E92" s="13"/>
      <c r="F92" s="48">
        <f>SUM(Table4[[#This Row],[Eligible Costs]]-Table4[[#This Row],[Original Costs]])</f>
        <v>0</v>
      </c>
      <c r="G92" s="11"/>
      <c r="H92" s="11"/>
    </row>
    <row r="93" spans="2:8" x14ac:dyDescent="0.25">
      <c r="B93" s="11"/>
      <c r="C93" s="11"/>
      <c r="D93" s="13"/>
      <c r="E93" s="13"/>
      <c r="F93" s="48">
        <f>SUM(Table4[[#This Row],[Eligible Costs]]-Table4[[#This Row],[Original Costs]])</f>
        <v>0</v>
      </c>
      <c r="G93" s="11"/>
      <c r="H93" s="11"/>
    </row>
    <row r="94" spans="2:8" x14ac:dyDescent="0.25">
      <c r="B94" s="11"/>
      <c r="C94" s="11"/>
      <c r="D94" s="13"/>
      <c r="E94" s="13"/>
      <c r="F94" s="48">
        <f>SUM(Table4[[#This Row],[Eligible Costs]]-Table4[[#This Row],[Original Costs]])</f>
        <v>0</v>
      </c>
      <c r="G94" s="11"/>
      <c r="H94" s="11"/>
    </row>
    <row r="95" spans="2:8" x14ac:dyDescent="0.25">
      <c r="B95" s="11"/>
      <c r="C95" s="11"/>
      <c r="D95" s="13"/>
      <c r="E95" s="13"/>
      <c r="F95" s="48">
        <f>SUM(Table4[[#This Row],[Eligible Costs]]-Table4[[#This Row],[Original Costs]])</f>
        <v>0</v>
      </c>
      <c r="G95" s="11"/>
      <c r="H95" s="11"/>
    </row>
    <row r="96" spans="2:8" x14ac:dyDescent="0.25">
      <c r="B96" s="11"/>
      <c r="C96" s="11"/>
      <c r="D96" s="13"/>
      <c r="E96" s="13"/>
      <c r="F96" s="48">
        <f>SUM(Table4[[#This Row],[Eligible Costs]]-Table4[[#This Row],[Original Costs]])</f>
        <v>0</v>
      </c>
      <c r="G96" s="11"/>
      <c r="H96" s="11"/>
    </row>
    <row r="97" spans="2:8" x14ac:dyDescent="0.25">
      <c r="B97" s="11"/>
      <c r="C97" s="11"/>
      <c r="D97" s="13"/>
      <c r="E97" s="13"/>
      <c r="F97" s="48">
        <f>SUM(Table4[[#This Row],[Eligible Costs]]-Table4[[#This Row],[Original Costs]])</f>
        <v>0</v>
      </c>
      <c r="G97" s="11"/>
      <c r="H97" s="11"/>
    </row>
    <row r="98" spans="2:8" x14ac:dyDescent="0.25">
      <c r="B98" s="11"/>
      <c r="C98" s="11"/>
      <c r="D98" s="13"/>
      <c r="E98" s="13"/>
      <c r="F98" s="48">
        <f>SUM(Table4[[#This Row],[Eligible Costs]]-Table4[[#This Row],[Original Costs]])</f>
        <v>0</v>
      </c>
      <c r="G98" s="11"/>
      <c r="H98" s="11"/>
    </row>
    <row r="99" spans="2:8" x14ac:dyDescent="0.25">
      <c r="B99" s="11"/>
      <c r="C99" s="11"/>
      <c r="D99" s="13"/>
      <c r="E99" s="13"/>
      <c r="F99" s="48">
        <f>SUM(Table4[[#This Row],[Eligible Costs]]-Table4[[#This Row],[Original Costs]])</f>
        <v>0</v>
      </c>
      <c r="G99" s="11"/>
      <c r="H99" s="11"/>
    </row>
    <row r="100" spans="2:8" x14ac:dyDescent="0.25">
      <c r="B100" s="11"/>
      <c r="C100" s="11"/>
      <c r="D100" s="13"/>
      <c r="E100" s="13"/>
      <c r="F100" s="48">
        <f>SUM(Table4[[#This Row],[Eligible Costs]]-Table4[[#This Row],[Original Costs]])</f>
        <v>0</v>
      </c>
      <c r="G100" s="11"/>
      <c r="H100" s="11"/>
    </row>
  </sheetData>
  <sheetProtection algorithmName="SHA-512" hashValue="GtTQKiJPxLIWycVpvI0YTCWXRs32Hl1UPxorGuiqIHQGcYkKG/YLkXZ84UdNkxejN2hHbmyehDco+6l5xxZXPA==" saltValue="mP6lMPQZW+MFVlAkGOp3zw==" spinCount="100000" sheet="1" formatColumns="0" formatRows="0" deleteRows="0" selectLockedCells="1" autoFilter="0"/>
  <dataValidations count="2">
    <dataValidation type="list" allowBlank="1" showInputMessage="1" showErrorMessage="1" sqref="C3:C100" xr:uid="{56137151-8FB0-4670-8E20-FE930CE9F47E}">
      <formula1>"A, B, C, D, E, F, G"</formula1>
    </dataValidation>
    <dataValidation type="list" allowBlank="1" showInputMessage="1" showErrorMessage="1" sqref="G3:G100" xr:uid="{30908F9A-374F-4975-95BF-37CBD33FACD1}">
      <formula1>"Lack of Maintenance, Unable to Validate Damage, Unreasonable Dimensions, Mitigation, Soft Costs, No Cost Docs, Unsubstantiated Costs, Other"</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9735-CC91-4998-986F-59F1D377B0FE}">
  <sheetPr>
    <tabColor theme="3" tint="0.59999389629810485"/>
  </sheetPr>
  <dimension ref="A1:B100"/>
  <sheetViews>
    <sheetView showZeros="0" tabSelected="1" zoomScale="70" zoomScaleNormal="70" workbookViewId="0">
      <pane ySplit="1" topLeftCell="A5" activePane="bottomLeft" state="frozen"/>
      <selection pane="bottomLeft" activeCell="B6" sqref="B6"/>
    </sheetView>
  </sheetViews>
  <sheetFormatPr defaultRowHeight="45" customHeight="1" x14ac:dyDescent="0.25"/>
  <cols>
    <col min="1" max="1" width="19.44140625" style="28" customWidth="1"/>
    <col min="2" max="2" width="151" customWidth="1"/>
  </cols>
  <sheetData>
    <row r="1" spans="1:2" ht="45" customHeight="1" thickBot="1" x14ac:dyDescent="0.3">
      <c r="A1" s="27" t="s">
        <v>12</v>
      </c>
      <c r="B1" s="26" t="s">
        <v>8</v>
      </c>
    </row>
    <row r="2" spans="1:2" ht="139.19999999999999" customHeight="1" x14ac:dyDescent="0.25">
      <c r="A2" s="51" t="str">
        <f>'County Summary'!B6</f>
        <v>Garfield Township</v>
      </c>
      <c r="B2" s="49" t="s">
        <v>215</v>
      </c>
    </row>
    <row r="3" spans="1:2" ht="148.94999999999999" customHeight="1" x14ac:dyDescent="0.25">
      <c r="A3" s="28" t="str">
        <f>'County Summary'!B7</f>
        <v>Traverse City</v>
      </c>
      <c r="B3" s="49" t="s">
        <v>218</v>
      </c>
    </row>
    <row r="4" spans="1:2" ht="216.6" customHeight="1" x14ac:dyDescent="0.25">
      <c r="A4" s="51" t="str">
        <f>'County Summary'!B8</f>
        <v>Grand Traverse County Roads</v>
      </c>
      <c r="B4" s="49" t="s">
        <v>219</v>
      </c>
    </row>
    <row r="5" spans="1:2" ht="228" customHeight="1" x14ac:dyDescent="0.25">
      <c r="A5" s="51" t="str">
        <f>'County Summary'!B9</f>
        <v>Grand Traverse County Parks</v>
      </c>
      <c r="B5" s="50" t="s">
        <v>220</v>
      </c>
    </row>
    <row r="6" spans="1:2" ht="45" customHeight="1" x14ac:dyDescent="0.25">
      <c r="A6" s="51" t="str">
        <f>'County Summary'!B10</f>
        <v>MDNR - Grand Traverse County</v>
      </c>
      <c r="B6" s="10" t="s">
        <v>217</v>
      </c>
    </row>
    <row r="7" spans="1:2" ht="45" customHeight="1" x14ac:dyDescent="0.25">
      <c r="A7" s="28">
        <f>'County Summary'!B11</f>
        <v>0</v>
      </c>
      <c r="B7" s="11"/>
    </row>
    <row r="8" spans="1:2" ht="45" customHeight="1" x14ac:dyDescent="0.25">
      <c r="A8" s="28">
        <f>'County Summary'!B12</f>
        <v>0</v>
      </c>
      <c r="B8" s="11"/>
    </row>
    <row r="9" spans="1:2" ht="45" customHeight="1" x14ac:dyDescent="0.25">
      <c r="A9" s="28">
        <f>'County Summary'!B13</f>
        <v>0</v>
      </c>
      <c r="B9" s="11"/>
    </row>
    <row r="10" spans="1:2" ht="45" customHeight="1" x14ac:dyDescent="0.25">
      <c r="A10" s="28">
        <f>'County Summary'!B14</f>
        <v>0</v>
      </c>
      <c r="B10" s="11"/>
    </row>
    <row r="11" spans="1:2" ht="45" customHeight="1" x14ac:dyDescent="0.25">
      <c r="A11" s="28">
        <f>'County Summary'!B15</f>
        <v>0</v>
      </c>
      <c r="B11" s="11"/>
    </row>
    <row r="12" spans="1:2" ht="45" customHeight="1" x14ac:dyDescent="0.25">
      <c r="A12" s="28">
        <f>'County Summary'!B16</f>
        <v>0</v>
      </c>
      <c r="B12" s="11"/>
    </row>
    <row r="13" spans="1:2" ht="45" customHeight="1" x14ac:dyDescent="0.25">
      <c r="A13" s="28">
        <f>'County Summary'!B17</f>
        <v>0</v>
      </c>
      <c r="B13" s="11"/>
    </row>
    <row r="14" spans="1:2" ht="45" customHeight="1" x14ac:dyDescent="0.25">
      <c r="A14" s="28">
        <f>'County Summary'!B18</f>
        <v>0</v>
      </c>
      <c r="B14" s="11"/>
    </row>
    <row r="15" spans="1:2" ht="45" customHeight="1" x14ac:dyDescent="0.25">
      <c r="A15" s="28">
        <f>'County Summary'!B19</f>
        <v>0</v>
      </c>
      <c r="B15" s="11"/>
    </row>
    <row r="16" spans="1:2" ht="45" customHeight="1" x14ac:dyDescent="0.25">
      <c r="A16" s="28">
        <f>'County Summary'!B20</f>
        <v>0</v>
      </c>
      <c r="B16" s="11"/>
    </row>
    <row r="17" spans="1:2" ht="45" customHeight="1" x14ac:dyDescent="0.25">
      <c r="A17" s="28">
        <f>'County Summary'!B21</f>
        <v>0</v>
      </c>
      <c r="B17" s="11"/>
    </row>
    <row r="18" spans="1:2" ht="45" customHeight="1" x14ac:dyDescent="0.25">
      <c r="A18" s="28">
        <f>'County Summary'!B22</f>
        <v>0</v>
      </c>
      <c r="B18" s="11"/>
    </row>
    <row r="19" spans="1:2" ht="45" customHeight="1" x14ac:dyDescent="0.25">
      <c r="A19" s="28">
        <f>'County Summary'!B23</f>
        <v>0</v>
      </c>
      <c r="B19" s="11"/>
    </row>
    <row r="20" spans="1:2" ht="45" customHeight="1" x14ac:dyDescent="0.25">
      <c r="A20" s="28">
        <f>'County Summary'!B24</f>
        <v>0</v>
      </c>
      <c r="B20" s="11"/>
    </row>
    <row r="21" spans="1:2" ht="45" customHeight="1" x14ac:dyDescent="0.25">
      <c r="A21" s="28">
        <f>'County Summary'!B25</f>
        <v>0</v>
      </c>
      <c r="B21" s="11"/>
    </row>
    <row r="22" spans="1:2" ht="45" customHeight="1" x14ac:dyDescent="0.25">
      <c r="A22" s="28">
        <f>'County Summary'!B26</f>
        <v>0</v>
      </c>
      <c r="B22" s="11"/>
    </row>
    <row r="23" spans="1:2" ht="45" customHeight="1" x14ac:dyDescent="0.25">
      <c r="A23" s="28">
        <f>'County Summary'!B27</f>
        <v>0</v>
      </c>
      <c r="B23" s="11"/>
    </row>
    <row r="24" spans="1:2" ht="45" customHeight="1" x14ac:dyDescent="0.25">
      <c r="A24" s="28">
        <f>'County Summary'!B28</f>
        <v>0</v>
      </c>
      <c r="B24" s="11"/>
    </row>
    <row r="25" spans="1:2" ht="45" customHeight="1" x14ac:dyDescent="0.25">
      <c r="A25" s="28">
        <f>'County Summary'!B29</f>
        <v>0</v>
      </c>
      <c r="B25" s="11"/>
    </row>
    <row r="26" spans="1:2" ht="45" customHeight="1" x14ac:dyDescent="0.25">
      <c r="A26" s="28">
        <f>'County Summary'!B30</f>
        <v>0</v>
      </c>
      <c r="B26" s="11"/>
    </row>
    <row r="27" spans="1:2" ht="45" customHeight="1" x14ac:dyDescent="0.25">
      <c r="A27" s="28">
        <f>'County Summary'!B31</f>
        <v>0</v>
      </c>
      <c r="B27" s="11"/>
    </row>
    <row r="28" spans="1:2" ht="45" customHeight="1" x14ac:dyDescent="0.25">
      <c r="A28" s="28">
        <f>'County Summary'!B32</f>
        <v>0</v>
      </c>
      <c r="B28" s="11"/>
    </row>
    <row r="29" spans="1:2" ht="45" customHeight="1" x14ac:dyDescent="0.25">
      <c r="A29" s="28">
        <f>'County Summary'!B33</f>
        <v>0</v>
      </c>
      <c r="B29" s="11"/>
    </row>
    <row r="30" spans="1:2" ht="45" customHeight="1" x14ac:dyDescent="0.25">
      <c r="A30" s="28">
        <f>'County Summary'!B34</f>
        <v>0</v>
      </c>
      <c r="B30" s="11"/>
    </row>
    <row r="31" spans="1:2" ht="45" customHeight="1" x14ac:dyDescent="0.25">
      <c r="A31" s="28">
        <f>'County Summary'!B35</f>
        <v>0</v>
      </c>
      <c r="B31" s="11"/>
    </row>
    <row r="32" spans="1:2" ht="45" customHeight="1" x14ac:dyDescent="0.25">
      <c r="A32" s="28">
        <f>'County Summary'!B36</f>
        <v>0</v>
      </c>
      <c r="B32" s="11"/>
    </row>
    <row r="33" spans="1:2" ht="45" customHeight="1" x14ac:dyDescent="0.25">
      <c r="A33" s="28">
        <f>'County Summary'!B37</f>
        <v>0</v>
      </c>
      <c r="B33" s="11"/>
    </row>
    <row r="34" spans="1:2" ht="45" customHeight="1" x14ac:dyDescent="0.25">
      <c r="A34" s="28">
        <f>'County Summary'!B38</f>
        <v>0</v>
      </c>
      <c r="B34" s="11"/>
    </row>
    <row r="35" spans="1:2" ht="45" customHeight="1" x14ac:dyDescent="0.25">
      <c r="A35" s="28">
        <f>'County Summary'!B39</f>
        <v>0</v>
      </c>
      <c r="B35" s="11"/>
    </row>
    <row r="36" spans="1:2" ht="45" customHeight="1" x14ac:dyDescent="0.25">
      <c r="A36" s="28">
        <f>'County Summary'!B40</f>
        <v>0</v>
      </c>
      <c r="B36" s="11"/>
    </row>
    <row r="37" spans="1:2" ht="45" customHeight="1" x14ac:dyDescent="0.25">
      <c r="A37" s="28">
        <f>'County Summary'!B41</f>
        <v>0</v>
      </c>
      <c r="B37" s="11"/>
    </row>
    <row r="38" spans="1:2" ht="45" customHeight="1" x14ac:dyDescent="0.25">
      <c r="A38" s="28">
        <f>'County Summary'!B42</f>
        <v>0</v>
      </c>
      <c r="B38" s="11"/>
    </row>
    <row r="39" spans="1:2" ht="45" customHeight="1" x14ac:dyDescent="0.25">
      <c r="A39" s="28">
        <f>'County Summary'!B43</f>
        <v>0</v>
      </c>
      <c r="B39" s="11"/>
    </row>
    <row r="40" spans="1:2" ht="45" customHeight="1" x14ac:dyDescent="0.25">
      <c r="A40" s="28">
        <f>'County Summary'!B44</f>
        <v>0</v>
      </c>
      <c r="B40" s="11"/>
    </row>
    <row r="41" spans="1:2" ht="45" customHeight="1" x14ac:dyDescent="0.25">
      <c r="A41" s="28">
        <f>'County Summary'!B45</f>
        <v>0</v>
      </c>
      <c r="B41" s="11"/>
    </row>
    <row r="42" spans="1:2" ht="45" customHeight="1" x14ac:dyDescent="0.25">
      <c r="A42" s="28">
        <f>'County Summary'!B46</f>
        <v>0</v>
      </c>
      <c r="B42" s="11"/>
    </row>
    <row r="43" spans="1:2" ht="45" customHeight="1" x14ac:dyDescent="0.25">
      <c r="A43" s="28">
        <f>'County Summary'!B47</f>
        <v>0</v>
      </c>
      <c r="B43" s="11"/>
    </row>
    <row r="44" spans="1:2" ht="45" customHeight="1" x14ac:dyDescent="0.25">
      <c r="A44" s="28">
        <f>'County Summary'!B48</f>
        <v>0</v>
      </c>
      <c r="B44" s="11"/>
    </row>
    <row r="45" spans="1:2" ht="45" customHeight="1" x14ac:dyDescent="0.25">
      <c r="A45" s="28">
        <f>'County Summary'!B49</f>
        <v>0</v>
      </c>
      <c r="B45" s="11"/>
    </row>
    <row r="46" spans="1:2" ht="45" customHeight="1" x14ac:dyDescent="0.25">
      <c r="A46" s="28">
        <f>'County Summary'!B50</f>
        <v>0</v>
      </c>
      <c r="B46" s="11"/>
    </row>
    <row r="47" spans="1:2" ht="45" customHeight="1" x14ac:dyDescent="0.25">
      <c r="A47" s="28">
        <f>'County Summary'!B51</f>
        <v>0</v>
      </c>
      <c r="B47" s="11"/>
    </row>
    <row r="48" spans="1:2" ht="45" customHeight="1" x14ac:dyDescent="0.25">
      <c r="A48" s="28">
        <f>'County Summary'!B52</f>
        <v>0</v>
      </c>
      <c r="B48" s="11"/>
    </row>
    <row r="49" spans="1:2" ht="45" customHeight="1" x14ac:dyDescent="0.25">
      <c r="A49" s="28">
        <f>'County Summary'!B53</f>
        <v>0</v>
      </c>
      <c r="B49" s="11"/>
    </row>
    <row r="50" spans="1:2" ht="45" customHeight="1" x14ac:dyDescent="0.25">
      <c r="A50" s="28">
        <f>'County Summary'!B54</f>
        <v>0</v>
      </c>
      <c r="B50" s="11"/>
    </row>
    <row r="51" spans="1:2" ht="45" customHeight="1" x14ac:dyDescent="0.25">
      <c r="A51" s="28">
        <f>'County Summary'!B55</f>
        <v>0</v>
      </c>
      <c r="B51" s="11"/>
    </row>
    <row r="52" spans="1:2" ht="45" customHeight="1" x14ac:dyDescent="0.25">
      <c r="A52" s="28">
        <f>'County Summary'!B56</f>
        <v>0</v>
      </c>
      <c r="B52" s="11"/>
    </row>
    <row r="53" spans="1:2" ht="45" customHeight="1" x14ac:dyDescent="0.25">
      <c r="A53" s="28">
        <f>'County Summary'!B57</f>
        <v>0</v>
      </c>
      <c r="B53" s="11"/>
    </row>
    <row r="54" spans="1:2" ht="45" customHeight="1" x14ac:dyDescent="0.25">
      <c r="A54" s="28">
        <f>'County Summary'!B58</f>
        <v>0</v>
      </c>
      <c r="B54" s="11"/>
    </row>
    <row r="55" spans="1:2" ht="45" customHeight="1" x14ac:dyDescent="0.25">
      <c r="A55" s="28">
        <f>'County Summary'!B59</f>
        <v>0</v>
      </c>
      <c r="B55" s="11"/>
    </row>
    <row r="56" spans="1:2" ht="45" customHeight="1" x14ac:dyDescent="0.25">
      <c r="A56" s="28">
        <f>'County Summary'!B60</f>
        <v>0</v>
      </c>
      <c r="B56" s="11"/>
    </row>
    <row r="57" spans="1:2" ht="45" customHeight="1" x14ac:dyDescent="0.25">
      <c r="A57" s="28">
        <f>'County Summary'!B61</f>
        <v>0</v>
      </c>
      <c r="B57" s="11"/>
    </row>
    <row r="58" spans="1:2" ht="45" customHeight="1" x14ac:dyDescent="0.25">
      <c r="A58" s="28">
        <f>'County Summary'!B62</f>
        <v>0</v>
      </c>
      <c r="B58" s="11"/>
    </row>
    <row r="59" spans="1:2" ht="45" customHeight="1" x14ac:dyDescent="0.25">
      <c r="A59" s="28">
        <f>'County Summary'!B63</f>
        <v>0</v>
      </c>
      <c r="B59" s="11"/>
    </row>
    <row r="60" spans="1:2" ht="45" customHeight="1" x14ac:dyDescent="0.25">
      <c r="A60" s="28">
        <f>'County Summary'!B64</f>
        <v>0</v>
      </c>
      <c r="B60" s="11"/>
    </row>
    <row r="61" spans="1:2" ht="45" customHeight="1" x14ac:dyDescent="0.25">
      <c r="A61" s="28">
        <f>'County Summary'!B65</f>
        <v>0</v>
      </c>
      <c r="B61" s="11"/>
    </row>
    <row r="62" spans="1:2" ht="45" customHeight="1" x14ac:dyDescent="0.25">
      <c r="A62" s="28">
        <f>'County Summary'!B66</f>
        <v>0</v>
      </c>
      <c r="B62" s="11"/>
    </row>
    <row r="63" spans="1:2" ht="45" customHeight="1" x14ac:dyDescent="0.25">
      <c r="A63" s="28">
        <f>'County Summary'!B67</f>
        <v>0</v>
      </c>
      <c r="B63" s="11"/>
    </row>
    <row r="64" spans="1:2" ht="45" customHeight="1" x14ac:dyDescent="0.25">
      <c r="A64" s="28">
        <f>'County Summary'!B68</f>
        <v>0</v>
      </c>
      <c r="B64" s="11"/>
    </row>
    <row r="65" spans="1:2" ht="45" customHeight="1" x14ac:dyDescent="0.25">
      <c r="A65" s="28">
        <f>'County Summary'!B69</f>
        <v>0</v>
      </c>
      <c r="B65" s="11"/>
    </row>
    <row r="66" spans="1:2" ht="45" customHeight="1" x14ac:dyDescent="0.25">
      <c r="A66" s="28">
        <f>'County Summary'!B70</f>
        <v>0</v>
      </c>
      <c r="B66" s="11"/>
    </row>
    <row r="67" spans="1:2" ht="45" customHeight="1" x14ac:dyDescent="0.25">
      <c r="A67" s="28">
        <f>'County Summary'!B71</f>
        <v>0</v>
      </c>
      <c r="B67" s="11"/>
    </row>
    <row r="68" spans="1:2" ht="45" customHeight="1" x14ac:dyDescent="0.25">
      <c r="A68" s="28">
        <f>'County Summary'!B72</f>
        <v>0</v>
      </c>
      <c r="B68" s="11"/>
    </row>
    <row r="69" spans="1:2" ht="45" customHeight="1" x14ac:dyDescent="0.25">
      <c r="A69" s="28">
        <f>'County Summary'!B73</f>
        <v>0</v>
      </c>
      <c r="B69" s="11"/>
    </row>
    <row r="70" spans="1:2" ht="45" customHeight="1" x14ac:dyDescent="0.25">
      <c r="A70" s="28">
        <f>'County Summary'!B74</f>
        <v>0</v>
      </c>
      <c r="B70" s="11"/>
    </row>
    <row r="71" spans="1:2" ht="45" customHeight="1" x14ac:dyDescent="0.25">
      <c r="A71" s="28">
        <f>'County Summary'!B75</f>
        <v>0</v>
      </c>
      <c r="B71" s="11"/>
    </row>
    <row r="72" spans="1:2" ht="45" customHeight="1" x14ac:dyDescent="0.25">
      <c r="A72" s="28">
        <f>'County Summary'!B76</f>
        <v>0</v>
      </c>
      <c r="B72" s="11"/>
    </row>
    <row r="73" spans="1:2" ht="45" customHeight="1" x14ac:dyDescent="0.25">
      <c r="A73" s="28">
        <f>'County Summary'!B77</f>
        <v>0</v>
      </c>
      <c r="B73" s="11"/>
    </row>
    <row r="74" spans="1:2" ht="45" customHeight="1" x14ac:dyDescent="0.25">
      <c r="A74" s="28">
        <f>'County Summary'!B78</f>
        <v>0</v>
      </c>
      <c r="B74" s="11"/>
    </row>
    <row r="75" spans="1:2" ht="45" customHeight="1" x14ac:dyDescent="0.25">
      <c r="A75" s="28">
        <f>'County Summary'!B79</f>
        <v>0</v>
      </c>
      <c r="B75" s="11"/>
    </row>
    <row r="76" spans="1:2" ht="45" customHeight="1" x14ac:dyDescent="0.25">
      <c r="A76" s="28">
        <f>'County Summary'!B80</f>
        <v>0</v>
      </c>
      <c r="B76" s="11"/>
    </row>
    <row r="77" spans="1:2" ht="45" customHeight="1" x14ac:dyDescent="0.25">
      <c r="A77" s="28">
        <f>'County Summary'!B81</f>
        <v>0</v>
      </c>
      <c r="B77" s="11"/>
    </row>
    <row r="78" spans="1:2" ht="45" customHeight="1" x14ac:dyDescent="0.25">
      <c r="A78" s="28">
        <f>'County Summary'!B82</f>
        <v>0</v>
      </c>
      <c r="B78" s="11"/>
    </row>
    <row r="79" spans="1:2" ht="45" customHeight="1" x14ac:dyDescent="0.25">
      <c r="A79" s="28">
        <f>'County Summary'!B83</f>
        <v>0</v>
      </c>
      <c r="B79" s="11"/>
    </row>
    <row r="80" spans="1:2" ht="45" customHeight="1" x14ac:dyDescent="0.25">
      <c r="A80" s="28">
        <f>'County Summary'!B84</f>
        <v>0</v>
      </c>
      <c r="B80" s="11"/>
    </row>
    <row r="81" spans="1:2" ht="45" customHeight="1" x14ac:dyDescent="0.25">
      <c r="A81" s="28">
        <f>'County Summary'!B85</f>
        <v>0</v>
      </c>
      <c r="B81" s="11"/>
    </row>
    <row r="82" spans="1:2" ht="45" customHeight="1" x14ac:dyDescent="0.25">
      <c r="A82" s="28">
        <f>'County Summary'!B86</f>
        <v>0</v>
      </c>
      <c r="B82" s="11"/>
    </row>
    <row r="83" spans="1:2" ht="45" customHeight="1" x14ac:dyDescent="0.25">
      <c r="A83" s="28">
        <f>'County Summary'!B87</f>
        <v>0</v>
      </c>
      <c r="B83" s="11"/>
    </row>
    <row r="84" spans="1:2" ht="45" customHeight="1" x14ac:dyDescent="0.25">
      <c r="A84" s="28">
        <f>'County Summary'!B88</f>
        <v>0</v>
      </c>
      <c r="B84" s="11"/>
    </row>
    <row r="85" spans="1:2" ht="45" customHeight="1" x14ac:dyDescent="0.25">
      <c r="A85" s="28">
        <f>'County Summary'!B89</f>
        <v>0</v>
      </c>
      <c r="B85" s="11"/>
    </row>
    <row r="86" spans="1:2" ht="45" customHeight="1" x14ac:dyDescent="0.25">
      <c r="A86" s="28">
        <f>'County Summary'!B90</f>
        <v>0</v>
      </c>
      <c r="B86" s="11"/>
    </row>
    <row r="87" spans="1:2" ht="45" customHeight="1" x14ac:dyDescent="0.25">
      <c r="A87" s="28">
        <f>'County Summary'!B91</f>
        <v>0</v>
      </c>
      <c r="B87" s="11"/>
    </row>
    <row r="88" spans="1:2" ht="45" customHeight="1" x14ac:dyDescent="0.25">
      <c r="A88" s="28">
        <f>'County Summary'!B92</f>
        <v>0</v>
      </c>
      <c r="B88" s="11"/>
    </row>
    <row r="89" spans="1:2" ht="45" customHeight="1" x14ac:dyDescent="0.25">
      <c r="A89" s="28">
        <f>'County Summary'!B93</f>
        <v>0</v>
      </c>
      <c r="B89" s="11"/>
    </row>
    <row r="90" spans="1:2" ht="45" customHeight="1" x14ac:dyDescent="0.25">
      <c r="A90" s="28">
        <f>'County Summary'!B94</f>
        <v>0</v>
      </c>
      <c r="B90" s="11"/>
    </row>
    <row r="91" spans="1:2" ht="45" customHeight="1" x14ac:dyDescent="0.25">
      <c r="A91" s="28">
        <f>'County Summary'!B95</f>
        <v>0</v>
      </c>
      <c r="B91" s="11"/>
    </row>
    <row r="92" spans="1:2" ht="45" customHeight="1" x14ac:dyDescent="0.25">
      <c r="A92" s="28">
        <f>'County Summary'!B96</f>
        <v>0</v>
      </c>
      <c r="B92" s="11"/>
    </row>
    <row r="93" spans="1:2" ht="45" customHeight="1" x14ac:dyDescent="0.25">
      <c r="A93" s="28">
        <f>'County Summary'!B97</f>
        <v>0</v>
      </c>
      <c r="B93" s="11"/>
    </row>
    <row r="94" spans="1:2" ht="45" customHeight="1" x14ac:dyDescent="0.25">
      <c r="A94" s="28">
        <f>'County Summary'!B98</f>
        <v>0</v>
      </c>
      <c r="B94" s="11"/>
    </row>
    <row r="95" spans="1:2" ht="45" customHeight="1" x14ac:dyDescent="0.25">
      <c r="A95" s="28">
        <f>'County Summary'!B99</f>
        <v>0</v>
      </c>
      <c r="B95" s="11"/>
    </row>
    <row r="96" spans="1:2" ht="45" customHeight="1" x14ac:dyDescent="0.25">
      <c r="A96" s="28">
        <f>'County Summary'!B100</f>
        <v>0</v>
      </c>
      <c r="B96" s="11"/>
    </row>
    <row r="97" spans="1:2" ht="45" customHeight="1" x14ac:dyDescent="0.25">
      <c r="A97" s="28">
        <f>'County Summary'!B101</f>
        <v>0</v>
      </c>
      <c r="B97" s="11"/>
    </row>
    <row r="98" spans="1:2" ht="45" customHeight="1" x14ac:dyDescent="0.25">
      <c r="A98" s="28">
        <f>'County Summary'!B102</f>
        <v>0</v>
      </c>
      <c r="B98" s="11"/>
    </row>
    <row r="99" spans="1:2" ht="45" customHeight="1" x14ac:dyDescent="0.25">
      <c r="A99" s="28">
        <f>'County Summary'!B103</f>
        <v>0</v>
      </c>
      <c r="B99" s="11"/>
    </row>
    <row r="100" spans="1:2" ht="45" customHeight="1" x14ac:dyDescent="0.25">
      <c r="A100" s="28">
        <f>'County Summary'!B104</f>
        <v>0</v>
      </c>
      <c r="B100" s="11"/>
    </row>
  </sheetData>
  <sheetProtection formatCells="0" formatRows="0" selectLockedCells="1" sort="0" autoFilter="0"/>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7327-F46E-4496-AE38-8579577A481D}">
  <dimension ref="A1:A2"/>
  <sheetViews>
    <sheetView workbookViewId="0">
      <selection activeCell="B28" sqref="B28"/>
    </sheetView>
  </sheetViews>
  <sheetFormatPr defaultRowHeight="13.2" x14ac:dyDescent="0.25"/>
  <cols>
    <col min="1" max="1" width="28.88671875" customWidth="1"/>
  </cols>
  <sheetData>
    <row r="1" spans="1:1" x14ac:dyDescent="0.25">
      <c r="A1" t="s">
        <v>17</v>
      </c>
    </row>
    <row r="2" spans="1:1" x14ac:dyDescent="0.25">
      <c r="A2" s="30" t="s">
        <v>18</v>
      </c>
    </row>
  </sheetData>
  <hyperlinks>
    <hyperlink ref="A2" r:id="rId1" xr:uid="{30E8901B-6987-473F-B8AB-274961618D9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AC0E-C031-4EE9-BE1F-3533E1862725}">
  <dimension ref="A1:J86"/>
  <sheetViews>
    <sheetView workbookViewId="0">
      <selection activeCell="C18" sqref="C18"/>
    </sheetView>
  </sheetViews>
  <sheetFormatPr defaultRowHeight="13.2" x14ac:dyDescent="0.25"/>
  <cols>
    <col min="1" max="1" width="42.44140625" customWidth="1"/>
    <col min="3" max="3" width="27" customWidth="1"/>
    <col min="4" max="4" width="28.44140625" style="36" customWidth="1"/>
    <col min="5" max="5" width="8.88671875" customWidth="1"/>
    <col min="6" max="6" width="15.109375" customWidth="1"/>
    <col min="7" max="7" width="14.109375" customWidth="1"/>
    <col min="8" max="8" width="12.6640625" customWidth="1"/>
    <col min="9" max="9" width="8.88671875" customWidth="1"/>
    <col min="10" max="10" width="15.109375" bestFit="1" customWidth="1"/>
    <col min="11" max="12" width="8.88671875" customWidth="1"/>
  </cols>
  <sheetData>
    <row r="1" spans="1:10" x14ac:dyDescent="0.25">
      <c r="A1" s="8" t="s">
        <v>192</v>
      </c>
    </row>
    <row r="2" spans="1:10" ht="15" customHeight="1" thickBot="1" x14ac:dyDescent="0.3">
      <c r="A2" s="23"/>
    </row>
    <row r="3" spans="1:10" ht="13.8" thickBot="1" x14ac:dyDescent="0.3">
      <c r="A3" s="7" t="s">
        <v>15</v>
      </c>
      <c r="C3" s="24" t="s">
        <v>16</v>
      </c>
    </row>
    <row r="4" spans="1:10" ht="14.4" x14ac:dyDescent="0.3">
      <c r="A4" s="3" t="str">
        <f>D4 &amp; " (" &amp;F4&amp; ")" &amp; " - " &amp;H4</f>
        <v>Alcona County (10,167) - $49,411.62</v>
      </c>
      <c r="C4" t="s">
        <v>197</v>
      </c>
      <c r="D4" s="34" t="s">
        <v>26</v>
      </c>
      <c r="E4" s="32">
        <v>10167</v>
      </c>
      <c r="F4" s="37" t="s">
        <v>102</v>
      </c>
      <c r="G4" s="38">
        <f t="shared" ref="G4:G35" si="0">E4*4.86</f>
        <v>49411.62</v>
      </c>
      <c r="H4" s="39" t="str">
        <f t="shared" ref="H4:H35" si="1">TEXT(G4,"$#,##0.00")</f>
        <v>$49,411.62</v>
      </c>
    </row>
    <row r="5" spans="1:10" ht="14.4" x14ac:dyDescent="0.3">
      <c r="A5" s="3" t="str">
        <f t="shared" ref="A5:A68" si="2">D5 &amp; " (" &amp;F5&amp; ")" &amp; " - " &amp;H5</f>
        <v>Alger County (8,842) - $42,972.12</v>
      </c>
      <c r="C5" t="s">
        <v>202</v>
      </c>
      <c r="D5" s="34" t="s">
        <v>27</v>
      </c>
      <c r="E5" s="32">
        <v>8842</v>
      </c>
      <c r="F5" s="37" t="s">
        <v>139</v>
      </c>
      <c r="G5" s="38">
        <f t="shared" si="0"/>
        <v>42972.12</v>
      </c>
      <c r="H5" s="39" t="str">
        <f t="shared" si="1"/>
        <v>$42,972.12</v>
      </c>
    </row>
    <row r="6" spans="1:10" ht="14.4" x14ac:dyDescent="0.3">
      <c r="A6" s="3" t="str">
        <f t="shared" si="2"/>
        <v>Allegan County (120,502) - $585,639.72</v>
      </c>
      <c r="C6" t="s">
        <v>195</v>
      </c>
      <c r="D6" s="34" t="s">
        <v>28</v>
      </c>
      <c r="E6" s="32">
        <v>120502</v>
      </c>
      <c r="F6" s="37" t="s">
        <v>103</v>
      </c>
      <c r="G6" s="38">
        <f t="shared" si="0"/>
        <v>585639.72000000009</v>
      </c>
      <c r="H6" s="39" t="str">
        <f t="shared" si="1"/>
        <v>$585,639.72</v>
      </c>
      <c r="J6" s="40"/>
    </row>
    <row r="7" spans="1:10" ht="14.4" x14ac:dyDescent="0.3">
      <c r="A7" s="3" t="str">
        <f t="shared" si="2"/>
        <v>Alpena County (28,907) - $140,488.02</v>
      </c>
      <c r="C7" s="31" t="s">
        <v>203</v>
      </c>
      <c r="D7" s="34" t="s">
        <v>29</v>
      </c>
      <c r="E7" s="32">
        <v>28907</v>
      </c>
      <c r="F7" s="37" t="s">
        <v>104</v>
      </c>
      <c r="G7" s="38">
        <f t="shared" si="0"/>
        <v>140488.02000000002</v>
      </c>
      <c r="H7" s="39" t="str">
        <f t="shared" si="1"/>
        <v>$140,488.02</v>
      </c>
    </row>
    <row r="8" spans="1:10" ht="14.4" x14ac:dyDescent="0.3">
      <c r="A8" s="3" t="str">
        <f t="shared" si="2"/>
        <v>Antrim County (23,431) - $113,874.66</v>
      </c>
      <c r="C8" t="s">
        <v>193</v>
      </c>
      <c r="D8" s="34" t="s">
        <v>30</v>
      </c>
      <c r="E8" s="32">
        <v>23431</v>
      </c>
      <c r="F8" s="37" t="s">
        <v>105</v>
      </c>
      <c r="G8" s="38">
        <f t="shared" si="0"/>
        <v>113874.66</v>
      </c>
      <c r="H8" s="39" t="str">
        <f t="shared" si="1"/>
        <v>$113,874.66</v>
      </c>
    </row>
    <row r="9" spans="1:10" ht="14.4" x14ac:dyDescent="0.3">
      <c r="A9" s="3" t="str">
        <f t="shared" si="2"/>
        <v>Arenac County (15,002) - $72,909.72</v>
      </c>
      <c r="C9" t="s">
        <v>198</v>
      </c>
      <c r="D9" s="34" t="s">
        <v>31</v>
      </c>
      <c r="E9" s="32">
        <v>15002</v>
      </c>
      <c r="F9" s="37" t="s">
        <v>106</v>
      </c>
      <c r="G9" s="38">
        <f t="shared" si="0"/>
        <v>72909.72</v>
      </c>
      <c r="H9" s="39" t="str">
        <f t="shared" si="1"/>
        <v>$72,909.72</v>
      </c>
    </row>
    <row r="10" spans="1:10" ht="14.4" x14ac:dyDescent="0.3">
      <c r="A10" s="3" t="str">
        <f t="shared" si="2"/>
        <v>Baraga County (8,158) - $39,647.88</v>
      </c>
      <c r="C10" t="s">
        <v>205</v>
      </c>
      <c r="D10" s="34" t="s">
        <v>32</v>
      </c>
      <c r="E10" s="32">
        <v>8158</v>
      </c>
      <c r="F10" s="37" t="s">
        <v>107</v>
      </c>
      <c r="G10" s="38">
        <f t="shared" si="0"/>
        <v>39647.880000000005</v>
      </c>
      <c r="H10" s="39" t="str">
        <f t="shared" si="1"/>
        <v>$39,647.88</v>
      </c>
    </row>
    <row r="11" spans="1:10" ht="14.4" x14ac:dyDescent="0.3">
      <c r="A11" s="3" t="str">
        <f t="shared" si="2"/>
        <v>Barry County (62,423) - $303,375.78</v>
      </c>
      <c r="C11" t="s">
        <v>204</v>
      </c>
      <c r="D11" s="34" t="s">
        <v>33</v>
      </c>
      <c r="E11" s="32">
        <v>62423</v>
      </c>
      <c r="F11" s="37" t="s">
        <v>108</v>
      </c>
      <c r="G11" s="38">
        <f t="shared" si="0"/>
        <v>303375.78000000003</v>
      </c>
      <c r="H11" s="39" t="str">
        <f t="shared" si="1"/>
        <v>$303,375.78</v>
      </c>
    </row>
    <row r="12" spans="1:10" ht="14.4" x14ac:dyDescent="0.3">
      <c r="A12" s="3" t="str">
        <f t="shared" si="2"/>
        <v>Bay County (103,856) - $504,740.16</v>
      </c>
      <c r="C12" t="s">
        <v>194</v>
      </c>
      <c r="D12" s="34" t="s">
        <v>34</v>
      </c>
      <c r="E12" s="32">
        <v>103856</v>
      </c>
      <c r="F12" s="37" t="s">
        <v>109</v>
      </c>
      <c r="G12" s="38">
        <f t="shared" si="0"/>
        <v>504740.16000000003</v>
      </c>
      <c r="H12" s="39" t="str">
        <f t="shared" si="1"/>
        <v>$504,740.16</v>
      </c>
    </row>
    <row r="13" spans="1:10" ht="14.4" x14ac:dyDescent="0.3">
      <c r="A13" s="3" t="str">
        <f t="shared" si="2"/>
        <v>Benzie County (17,970) - $87,334.20</v>
      </c>
      <c r="C13" t="s">
        <v>199</v>
      </c>
      <c r="D13" s="34" t="s">
        <v>35</v>
      </c>
      <c r="E13" s="32">
        <v>17970</v>
      </c>
      <c r="F13" s="37" t="s">
        <v>110</v>
      </c>
      <c r="G13" s="38">
        <f t="shared" si="0"/>
        <v>87334.200000000012</v>
      </c>
      <c r="H13" s="39" t="str">
        <f t="shared" si="1"/>
        <v>$87,334.20</v>
      </c>
    </row>
    <row r="14" spans="1:10" ht="14.4" x14ac:dyDescent="0.3">
      <c r="A14" s="3" t="str">
        <f t="shared" si="2"/>
        <v>Berrien County (154,316) - $749,975.76</v>
      </c>
      <c r="C14" t="s">
        <v>196</v>
      </c>
      <c r="D14" s="34" t="s">
        <v>36</v>
      </c>
      <c r="E14" s="32">
        <v>154316</v>
      </c>
      <c r="F14" s="37" t="s">
        <v>111</v>
      </c>
      <c r="G14" s="38">
        <f t="shared" si="0"/>
        <v>749975.76</v>
      </c>
      <c r="H14" s="39" t="str">
        <f t="shared" si="1"/>
        <v>$749,975.76</v>
      </c>
    </row>
    <row r="15" spans="1:10" ht="14.4" x14ac:dyDescent="0.3">
      <c r="A15" s="3" t="str">
        <f t="shared" si="2"/>
        <v>Branch County (44,862) - $218,029.32</v>
      </c>
      <c r="C15" t="s">
        <v>200</v>
      </c>
      <c r="D15" s="34" t="s">
        <v>37</v>
      </c>
      <c r="E15" s="32">
        <v>44862</v>
      </c>
      <c r="F15" s="37" t="s">
        <v>112</v>
      </c>
      <c r="G15" s="38">
        <f t="shared" si="0"/>
        <v>218029.32</v>
      </c>
      <c r="H15" s="39" t="str">
        <f t="shared" si="1"/>
        <v>$218,029.32</v>
      </c>
    </row>
    <row r="16" spans="1:10" ht="14.4" x14ac:dyDescent="0.3">
      <c r="A16" s="3" t="str">
        <f t="shared" si="2"/>
        <v>Calhoun County (134,310) - $652,746.60</v>
      </c>
      <c r="C16" t="s">
        <v>201</v>
      </c>
      <c r="D16" s="34" t="s">
        <v>38</v>
      </c>
      <c r="E16" s="32">
        <v>134310</v>
      </c>
      <c r="F16" s="37" t="s">
        <v>113</v>
      </c>
      <c r="G16" s="38">
        <f t="shared" si="0"/>
        <v>652746.60000000009</v>
      </c>
      <c r="H16" s="39" t="str">
        <f t="shared" si="1"/>
        <v>$652,746.60</v>
      </c>
    </row>
    <row r="17" spans="1:8" ht="14.4" x14ac:dyDescent="0.3">
      <c r="A17" s="3" t="str">
        <f t="shared" si="2"/>
        <v>Cass County (51,589) - $250,722.54</v>
      </c>
      <c r="D17" s="34" t="s">
        <v>39</v>
      </c>
      <c r="E17" s="32">
        <v>51589</v>
      </c>
      <c r="F17" s="37" t="s">
        <v>114</v>
      </c>
      <c r="G17" s="38">
        <f t="shared" si="0"/>
        <v>250722.54</v>
      </c>
      <c r="H17" s="39" t="str">
        <f t="shared" si="1"/>
        <v>$250,722.54</v>
      </c>
    </row>
    <row r="18" spans="1:8" ht="14.4" x14ac:dyDescent="0.3">
      <c r="A18" s="3" t="str">
        <f t="shared" si="2"/>
        <v>Charlevoix County (26,054) - $126,622.44</v>
      </c>
      <c r="D18" s="34" t="s">
        <v>40</v>
      </c>
      <c r="E18" s="32">
        <v>26054</v>
      </c>
      <c r="F18" s="37" t="s">
        <v>115</v>
      </c>
      <c r="G18" s="38">
        <f t="shared" si="0"/>
        <v>126622.44</v>
      </c>
      <c r="H18" s="39" t="str">
        <f t="shared" si="1"/>
        <v>$126,622.44</v>
      </c>
    </row>
    <row r="19" spans="1:8" ht="14.4" x14ac:dyDescent="0.3">
      <c r="A19" s="3" t="str">
        <f t="shared" si="2"/>
        <v>Cheboygan County (25,579) - $124,313.94</v>
      </c>
      <c r="D19" s="34" t="s">
        <v>41</v>
      </c>
      <c r="E19" s="32">
        <v>25579</v>
      </c>
      <c r="F19" s="37" t="s">
        <v>116</v>
      </c>
      <c r="G19" s="38">
        <f t="shared" si="0"/>
        <v>124313.94</v>
      </c>
      <c r="H19" s="39" t="str">
        <f t="shared" si="1"/>
        <v>$124,313.94</v>
      </c>
    </row>
    <row r="20" spans="1:8" ht="14.4" x14ac:dyDescent="0.3">
      <c r="A20" s="3" t="str">
        <f t="shared" si="2"/>
        <v>Chippewa County (36,785) - $178,775.10</v>
      </c>
      <c r="D20" s="34" t="s">
        <v>22</v>
      </c>
      <c r="E20" s="32">
        <v>36785</v>
      </c>
      <c r="F20" s="37" t="s">
        <v>117</v>
      </c>
      <c r="G20" s="38">
        <f t="shared" si="0"/>
        <v>178775.1</v>
      </c>
      <c r="H20" s="39" t="str">
        <f t="shared" si="1"/>
        <v>$178,775.10</v>
      </c>
    </row>
    <row r="21" spans="1:8" ht="14.4" x14ac:dyDescent="0.3">
      <c r="A21" s="3" t="str">
        <f t="shared" si="2"/>
        <v>Clare County (30,856) - $149,960.16</v>
      </c>
      <c r="C21" s="2"/>
      <c r="D21" s="34" t="s">
        <v>42</v>
      </c>
      <c r="E21" s="32">
        <v>30856</v>
      </c>
      <c r="F21" s="37" t="s">
        <v>118</v>
      </c>
      <c r="G21" s="38">
        <f t="shared" si="0"/>
        <v>149960.16</v>
      </c>
      <c r="H21" s="39" t="str">
        <f t="shared" si="1"/>
        <v>$149,960.16</v>
      </c>
    </row>
    <row r="22" spans="1:8" ht="14.4" x14ac:dyDescent="0.3">
      <c r="A22" s="3" t="str">
        <f t="shared" si="2"/>
        <v>Clinton County (79,128) - $384,562.08</v>
      </c>
      <c r="C22" s="25"/>
      <c r="D22" s="34" t="s">
        <v>43</v>
      </c>
      <c r="E22" s="32">
        <v>79128</v>
      </c>
      <c r="F22" s="37" t="s">
        <v>119</v>
      </c>
      <c r="G22" s="38">
        <f t="shared" si="0"/>
        <v>384562.08</v>
      </c>
      <c r="H22" s="39" t="str">
        <f t="shared" si="1"/>
        <v>$384,562.08</v>
      </c>
    </row>
    <row r="23" spans="1:8" ht="14.4" x14ac:dyDescent="0.3">
      <c r="A23" s="3" t="str">
        <f t="shared" si="2"/>
        <v>Crawford County (12,988) - $63,121.68</v>
      </c>
      <c r="D23" s="34" t="s">
        <v>20</v>
      </c>
      <c r="E23" s="32">
        <v>12988</v>
      </c>
      <c r="F23" s="37" t="s">
        <v>120</v>
      </c>
      <c r="G23" s="38">
        <f t="shared" si="0"/>
        <v>63121.680000000008</v>
      </c>
      <c r="H23" s="39" t="str">
        <f t="shared" si="1"/>
        <v>$63,121.68</v>
      </c>
    </row>
    <row r="24" spans="1:8" ht="14.4" x14ac:dyDescent="0.3">
      <c r="A24" s="3" t="str">
        <f t="shared" si="2"/>
        <v>Delta County (36,903) - $179,348.58</v>
      </c>
      <c r="D24" s="34" t="s">
        <v>44</v>
      </c>
      <c r="E24" s="32">
        <v>36903</v>
      </c>
      <c r="F24" s="37" t="s">
        <v>121</v>
      </c>
      <c r="G24" s="38">
        <f t="shared" si="0"/>
        <v>179348.58000000002</v>
      </c>
      <c r="H24" s="39" t="str">
        <f t="shared" si="1"/>
        <v>$179,348.58</v>
      </c>
    </row>
    <row r="25" spans="1:8" ht="14.4" x14ac:dyDescent="0.3">
      <c r="A25" s="3" t="str">
        <f t="shared" si="2"/>
        <v>Dickinson County (25,947) - $126,102.42</v>
      </c>
      <c r="D25" s="34" t="s">
        <v>45</v>
      </c>
      <c r="E25" s="32">
        <v>25947</v>
      </c>
      <c r="F25" s="37" t="s">
        <v>122</v>
      </c>
      <c r="G25" s="38">
        <f t="shared" si="0"/>
        <v>126102.42000000001</v>
      </c>
      <c r="H25" s="39" t="str">
        <f t="shared" si="1"/>
        <v>$126,102.42</v>
      </c>
    </row>
    <row r="26" spans="1:8" ht="14.4" x14ac:dyDescent="0.3">
      <c r="A26" s="3" t="str">
        <f t="shared" si="2"/>
        <v>Eaton County (109,175) - $530,590.50</v>
      </c>
      <c r="D26" s="34" t="s">
        <v>46</v>
      </c>
      <c r="E26" s="32">
        <v>109175</v>
      </c>
      <c r="F26" s="37" t="s">
        <v>123</v>
      </c>
      <c r="G26" s="38">
        <f t="shared" si="0"/>
        <v>530590.5</v>
      </c>
      <c r="H26" s="39" t="str">
        <f t="shared" si="1"/>
        <v>$530,590.50</v>
      </c>
    </row>
    <row r="27" spans="1:8" ht="14.4" x14ac:dyDescent="0.3">
      <c r="A27" s="3" t="str">
        <f t="shared" si="2"/>
        <v>Emmet County (34,112) - $165,784.32</v>
      </c>
      <c r="D27" s="34" t="s">
        <v>47</v>
      </c>
      <c r="E27" s="32">
        <v>34112</v>
      </c>
      <c r="F27" s="37" t="s">
        <v>124</v>
      </c>
      <c r="G27" s="38">
        <f t="shared" si="0"/>
        <v>165784.32000000001</v>
      </c>
      <c r="H27" s="39" t="str">
        <f t="shared" si="1"/>
        <v>$165,784.32</v>
      </c>
    </row>
    <row r="28" spans="1:8" ht="14.4" x14ac:dyDescent="0.3">
      <c r="A28" s="3" t="str">
        <f t="shared" si="2"/>
        <v>Genesee County (406,211) - $1,974,185.46</v>
      </c>
      <c r="D28" s="34" t="s">
        <v>48</v>
      </c>
      <c r="E28" s="32">
        <v>406211</v>
      </c>
      <c r="F28" s="37" t="s">
        <v>125</v>
      </c>
      <c r="G28" s="38">
        <f t="shared" si="0"/>
        <v>1974185.4600000002</v>
      </c>
      <c r="H28" s="39" t="str">
        <f t="shared" si="1"/>
        <v>$1,974,185.46</v>
      </c>
    </row>
    <row r="29" spans="1:8" ht="14.4" x14ac:dyDescent="0.3">
      <c r="A29" s="3" t="str">
        <f t="shared" si="2"/>
        <v>Gladwin County (25,386) - $123,375.96</v>
      </c>
      <c r="D29" s="34" t="s">
        <v>49</v>
      </c>
      <c r="E29" s="32">
        <v>25386</v>
      </c>
      <c r="F29" s="37" t="s">
        <v>126</v>
      </c>
      <c r="G29" s="38">
        <f t="shared" si="0"/>
        <v>123375.96</v>
      </c>
      <c r="H29" s="39" t="str">
        <f t="shared" si="1"/>
        <v>$123,375.96</v>
      </c>
    </row>
    <row r="30" spans="1:8" ht="14.4" x14ac:dyDescent="0.3">
      <c r="A30" s="3" t="str">
        <f t="shared" si="2"/>
        <v>Gogebic County (14,380) - $69,886.80</v>
      </c>
      <c r="D30" s="34" t="s">
        <v>50</v>
      </c>
      <c r="E30" s="32">
        <v>14380</v>
      </c>
      <c r="F30" s="37" t="s">
        <v>127</v>
      </c>
      <c r="G30" s="38">
        <f t="shared" si="0"/>
        <v>69886.8</v>
      </c>
      <c r="H30" s="39" t="str">
        <f t="shared" si="1"/>
        <v>$69,886.80</v>
      </c>
    </row>
    <row r="31" spans="1:8" ht="14.4" x14ac:dyDescent="0.3">
      <c r="A31" s="3" t="str">
        <f t="shared" si="2"/>
        <v>Grand Traverse County (95,238) - $462,856.68</v>
      </c>
      <c r="D31" s="34" t="s">
        <v>51</v>
      </c>
      <c r="E31" s="32">
        <v>95238</v>
      </c>
      <c r="F31" s="37" t="s">
        <v>128</v>
      </c>
      <c r="G31" s="38">
        <f t="shared" si="0"/>
        <v>462856.68000000005</v>
      </c>
      <c r="H31" s="39" t="str">
        <f t="shared" si="1"/>
        <v>$462,856.68</v>
      </c>
    </row>
    <row r="32" spans="1:8" ht="14.4" x14ac:dyDescent="0.3">
      <c r="A32" s="3" t="str">
        <f t="shared" si="2"/>
        <v>Gratiot County (41,761) - $202,958.46</v>
      </c>
      <c r="D32" s="34" t="s">
        <v>52</v>
      </c>
      <c r="E32" s="32">
        <v>41761</v>
      </c>
      <c r="F32" s="37" t="s">
        <v>129</v>
      </c>
      <c r="G32" s="38">
        <f t="shared" si="0"/>
        <v>202958.46000000002</v>
      </c>
      <c r="H32" s="39" t="str">
        <f t="shared" si="1"/>
        <v>$202,958.46</v>
      </c>
    </row>
    <row r="33" spans="1:8" ht="14.4" x14ac:dyDescent="0.3">
      <c r="A33" s="3" t="str">
        <f t="shared" si="2"/>
        <v>Hillsdale County (45,746) - $222,325.56</v>
      </c>
      <c r="D33" s="34" t="s">
        <v>53</v>
      </c>
      <c r="E33" s="32">
        <v>45746</v>
      </c>
      <c r="F33" s="37" t="s">
        <v>130</v>
      </c>
      <c r="G33" s="38">
        <f t="shared" si="0"/>
        <v>222325.56000000003</v>
      </c>
      <c r="H33" s="39" t="str">
        <f t="shared" si="1"/>
        <v>$222,325.56</v>
      </c>
    </row>
    <row r="34" spans="1:8" ht="14.4" x14ac:dyDescent="0.3">
      <c r="A34" s="3" t="str">
        <f t="shared" si="2"/>
        <v>Houghton County (37,361) - $181,574.46</v>
      </c>
      <c r="D34" s="34" t="s">
        <v>54</v>
      </c>
      <c r="E34" s="32">
        <v>37361</v>
      </c>
      <c r="F34" s="37" t="s">
        <v>131</v>
      </c>
      <c r="G34" s="38">
        <f t="shared" si="0"/>
        <v>181574.46000000002</v>
      </c>
      <c r="H34" s="39" t="str">
        <f t="shared" si="1"/>
        <v>$181,574.46</v>
      </c>
    </row>
    <row r="35" spans="1:8" ht="14.4" x14ac:dyDescent="0.3">
      <c r="A35" s="3" t="str">
        <f t="shared" si="2"/>
        <v>Huron County (31,407) - $152,638.02</v>
      </c>
      <c r="D35" s="34" t="s">
        <v>55</v>
      </c>
      <c r="E35" s="32">
        <v>31407</v>
      </c>
      <c r="F35" s="37" t="s">
        <v>132</v>
      </c>
      <c r="G35" s="38">
        <f t="shared" si="0"/>
        <v>152638.02000000002</v>
      </c>
      <c r="H35" s="39" t="str">
        <f t="shared" si="1"/>
        <v>$152,638.02</v>
      </c>
    </row>
    <row r="36" spans="1:8" ht="14.4" x14ac:dyDescent="0.3">
      <c r="A36" s="3" t="str">
        <f t="shared" si="2"/>
        <v>Ingham County (284,900) - $1,384,614.00</v>
      </c>
      <c r="D36" s="34" t="s">
        <v>56</v>
      </c>
      <c r="E36" s="32">
        <v>284900</v>
      </c>
      <c r="F36" s="37" t="s">
        <v>133</v>
      </c>
      <c r="G36" s="38">
        <f t="shared" ref="G36:G67" si="3">E36*4.86</f>
        <v>1384614</v>
      </c>
      <c r="H36" s="39" t="str">
        <f t="shared" ref="H36:H67" si="4">TEXT(G36,"$#,##0.00")</f>
        <v>$1,384,614.00</v>
      </c>
    </row>
    <row r="37" spans="1:8" ht="14.4" x14ac:dyDescent="0.3">
      <c r="A37" s="3" t="str">
        <f t="shared" si="2"/>
        <v>Ionia County (66,804) - $324,667.44</v>
      </c>
      <c r="D37" s="34" t="s">
        <v>57</v>
      </c>
      <c r="E37" s="32">
        <v>66804</v>
      </c>
      <c r="F37" s="37" t="s">
        <v>134</v>
      </c>
      <c r="G37" s="38">
        <f t="shared" si="3"/>
        <v>324667.44</v>
      </c>
      <c r="H37" s="39" t="str">
        <f t="shared" si="4"/>
        <v>$324,667.44</v>
      </c>
    </row>
    <row r="38" spans="1:8" ht="14.4" x14ac:dyDescent="0.3">
      <c r="A38" s="3" t="str">
        <f t="shared" si="2"/>
        <v>Iosco County (25,237) - $122,651.82</v>
      </c>
      <c r="D38" s="34" t="s">
        <v>58</v>
      </c>
      <c r="E38" s="32">
        <v>25237</v>
      </c>
      <c r="F38" s="37" t="s">
        <v>135</v>
      </c>
      <c r="G38" s="38">
        <f t="shared" si="3"/>
        <v>122651.82</v>
      </c>
      <c r="H38" s="39" t="str">
        <f t="shared" si="4"/>
        <v>$122,651.82</v>
      </c>
    </row>
    <row r="39" spans="1:8" ht="14.4" x14ac:dyDescent="0.3">
      <c r="A39" s="3" t="str">
        <f t="shared" si="2"/>
        <v>Iron County (11,631) - $56,526.66</v>
      </c>
      <c r="D39" s="34" t="s">
        <v>23</v>
      </c>
      <c r="E39" s="32">
        <v>11631</v>
      </c>
      <c r="F39" s="37" t="s">
        <v>136</v>
      </c>
      <c r="G39" s="38">
        <f t="shared" si="3"/>
        <v>56526.66</v>
      </c>
      <c r="H39" s="39" t="str">
        <f t="shared" si="4"/>
        <v>$56,526.66</v>
      </c>
    </row>
    <row r="40" spans="1:8" ht="14.4" x14ac:dyDescent="0.3">
      <c r="A40" s="3" t="str">
        <f t="shared" si="2"/>
        <v>Isabella County (64,394) - $312,954.84</v>
      </c>
      <c r="D40" s="34" t="s">
        <v>59</v>
      </c>
      <c r="E40" s="32">
        <v>64394</v>
      </c>
      <c r="F40" s="37" t="s">
        <v>137</v>
      </c>
      <c r="G40" s="38">
        <f t="shared" si="3"/>
        <v>312954.84000000003</v>
      </c>
      <c r="H40" s="39" t="str">
        <f t="shared" si="4"/>
        <v>$312,954.84</v>
      </c>
    </row>
    <row r="41" spans="1:8" ht="14.4" x14ac:dyDescent="0.3">
      <c r="A41" s="3" t="str">
        <f t="shared" si="2"/>
        <v>Jackson County (160,366) - $779,378.76</v>
      </c>
      <c r="D41" s="34" t="s">
        <v>19</v>
      </c>
      <c r="E41" s="32">
        <v>160366</v>
      </c>
      <c r="F41" s="37" t="s">
        <v>138</v>
      </c>
      <c r="G41" s="38">
        <f t="shared" si="3"/>
        <v>779378.76</v>
      </c>
      <c r="H41" s="39" t="str">
        <f t="shared" si="4"/>
        <v>$779,378.76</v>
      </c>
    </row>
    <row r="42" spans="1:8" ht="14.4" x14ac:dyDescent="0.3">
      <c r="A42" s="3" t="str">
        <f t="shared" si="2"/>
        <v>Kalamazoo County (261,670) - $1,271,716.20</v>
      </c>
      <c r="D42" s="34" t="s">
        <v>60</v>
      </c>
      <c r="E42" s="32">
        <v>261670</v>
      </c>
      <c r="F42" s="37" t="s">
        <v>140</v>
      </c>
      <c r="G42" s="38">
        <f t="shared" si="3"/>
        <v>1271716.2000000002</v>
      </c>
      <c r="H42" s="39" t="str">
        <f t="shared" si="4"/>
        <v>$1,271,716.20</v>
      </c>
    </row>
    <row r="43" spans="1:8" ht="14.4" x14ac:dyDescent="0.3">
      <c r="A43" s="3" t="str">
        <f t="shared" si="2"/>
        <v>Kalkaska County (17,939) - $87,183.54</v>
      </c>
      <c r="D43" s="34" t="s">
        <v>61</v>
      </c>
      <c r="E43" s="32">
        <v>17939</v>
      </c>
      <c r="F43" s="37" t="s">
        <v>141</v>
      </c>
      <c r="G43" s="38">
        <f t="shared" si="3"/>
        <v>87183.540000000008</v>
      </c>
      <c r="H43" s="39" t="str">
        <f t="shared" si="4"/>
        <v>$87,183.54</v>
      </c>
    </row>
    <row r="44" spans="1:8" ht="14.4" x14ac:dyDescent="0.3">
      <c r="A44" s="3" t="str">
        <f t="shared" si="2"/>
        <v>Kent County (657,974) - $3,197,753.64</v>
      </c>
      <c r="D44" s="34" t="s">
        <v>62</v>
      </c>
      <c r="E44" s="32">
        <v>657974</v>
      </c>
      <c r="F44" s="37" t="s">
        <v>142</v>
      </c>
      <c r="G44" s="38">
        <f t="shared" si="3"/>
        <v>3197753.64</v>
      </c>
      <c r="H44" s="39" t="str">
        <f t="shared" si="4"/>
        <v>$3,197,753.64</v>
      </c>
    </row>
    <row r="45" spans="1:8" ht="14.4" x14ac:dyDescent="0.3">
      <c r="A45" s="3" t="str">
        <f t="shared" si="2"/>
        <v>Keweenaw County (2,046) - $9,943.56</v>
      </c>
      <c r="D45" s="34" t="s">
        <v>63</v>
      </c>
      <c r="E45" s="32">
        <v>2046</v>
      </c>
      <c r="F45" s="37" t="s">
        <v>143</v>
      </c>
      <c r="G45" s="38">
        <f t="shared" si="3"/>
        <v>9943.5600000000013</v>
      </c>
      <c r="H45" s="39" t="str">
        <f t="shared" si="4"/>
        <v>$9,943.56</v>
      </c>
    </row>
    <row r="46" spans="1:8" ht="14.4" x14ac:dyDescent="0.3">
      <c r="A46" s="3" t="str">
        <f t="shared" si="2"/>
        <v>Lake County (12,096) - $58,786.56</v>
      </c>
      <c r="D46" s="34" t="s">
        <v>64</v>
      </c>
      <c r="E46" s="32">
        <v>12096</v>
      </c>
      <c r="F46" s="37" t="s">
        <v>144</v>
      </c>
      <c r="G46" s="38">
        <f t="shared" si="3"/>
        <v>58786.560000000005</v>
      </c>
      <c r="H46" s="39" t="str">
        <f t="shared" si="4"/>
        <v>$58,786.56</v>
      </c>
    </row>
    <row r="47" spans="1:8" ht="14.4" x14ac:dyDescent="0.3">
      <c r="A47" s="3" t="str">
        <f t="shared" si="2"/>
        <v>Lapeer County (88,619) - $430,688.34</v>
      </c>
      <c r="D47" s="34" t="s">
        <v>65</v>
      </c>
      <c r="E47" s="32">
        <v>88619</v>
      </c>
      <c r="F47" s="37" t="s">
        <v>145</v>
      </c>
      <c r="G47" s="38">
        <f t="shared" si="3"/>
        <v>430688.34</v>
      </c>
      <c r="H47" s="39" t="str">
        <f t="shared" si="4"/>
        <v>$430,688.34</v>
      </c>
    </row>
    <row r="48" spans="1:8" ht="14.4" x14ac:dyDescent="0.3">
      <c r="A48" s="3" t="str">
        <f t="shared" si="2"/>
        <v>Leelanau County (22,301) - $108,382.86</v>
      </c>
      <c r="D48" s="34" t="s">
        <v>66</v>
      </c>
      <c r="E48" s="32">
        <v>22301</v>
      </c>
      <c r="F48" s="37" t="s">
        <v>146</v>
      </c>
      <c r="G48" s="38">
        <f t="shared" si="3"/>
        <v>108382.86</v>
      </c>
      <c r="H48" s="39" t="str">
        <f t="shared" si="4"/>
        <v>$108,382.86</v>
      </c>
    </row>
    <row r="49" spans="1:8" ht="14.4" x14ac:dyDescent="0.3">
      <c r="A49" s="3" t="str">
        <f t="shared" si="2"/>
        <v>Lenawee County (99,423) - $483,195.78</v>
      </c>
      <c r="D49" s="34" t="s">
        <v>67</v>
      </c>
      <c r="E49" s="32">
        <v>99423</v>
      </c>
      <c r="F49" s="37" t="s">
        <v>147</v>
      </c>
      <c r="G49" s="38">
        <f t="shared" si="3"/>
        <v>483195.78</v>
      </c>
      <c r="H49" s="39" t="str">
        <f t="shared" si="4"/>
        <v>$483,195.78</v>
      </c>
    </row>
    <row r="50" spans="1:8" ht="14.4" x14ac:dyDescent="0.3">
      <c r="A50" s="3" t="str">
        <f t="shared" si="2"/>
        <v>Livingston County (193,866) - $942,188.76</v>
      </c>
      <c r="D50" s="34" t="s">
        <v>68</v>
      </c>
      <c r="E50" s="32">
        <v>193866</v>
      </c>
      <c r="F50" s="37" t="s">
        <v>148</v>
      </c>
      <c r="G50" s="38">
        <f t="shared" si="3"/>
        <v>942188.76</v>
      </c>
      <c r="H50" s="39" t="str">
        <f t="shared" si="4"/>
        <v>$942,188.76</v>
      </c>
    </row>
    <row r="51" spans="1:8" ht="14.4" x14ac:dyDescent="0.3">
      <c r="A51" s="3" t="str">
        <f t="shared" si="2"/>
        <v>Luce County (5,339) - $25,947.54</v>
      </c>
      <c r="D51" s="34" t="s">
        <v>69</v>
      </c>
      <c r="E51" s="32">
        <v>5339</v>
      </c>
      <c r="F51" s="37" t="s">
        <v>149</v>
      </c>
      <c r="G51" s="38">
        <f t="shared" si="3"/>
        <v>25947.54</v>
      </c>
      <c r="H51" s="39" t="str">
        <f t="shared" si="4"/>
        <v>$25,947.54</v>
      </c>
    </row>
    <row r="52" spans="1:8" ht="14.4" x14ac:dyDescent="0.3">
      <c r="A52" s="3" t="str">
        <f t="shared" si="2"/>
        <v>Mackinac County (10,834) - $52,653.24</v>
      </c>
      <c r="D52" s="34" t="s">
        <v>70</v>
      </c>
      <c r="E52" s="32">
        <v>10834</v>
      </c>
      <c r="F52" s="37" t="s">
        <v>150</v>
      </c>
      <c r="G52" s="38">
        <f t="shared" si="3"/>
        <v>52653.240000000005</v>
      </c>
      <c r="H52" s="39" t="str">
        <f t="shared" si="4"/>
        <v>$52,653.24</v>
      </c>
    </row>
    <row r="53" spans="1:8" ht="14.4" x14ac:dyDescent="0.3">
      <c r="A53" s="3" t="str">
        <f t="shared" si="2"/>
        <v>Macomb County (881,217) - $4,282,714.62</v>
      </c>
      <c r="D53" s="34" t="s">
        <v>71</v>
      </c>
      <c r="E53" s="32">
        <v>881217</v>
      </c>
      <c r="F53" s="37" t="s">
        <v>151</v>
      </c>
      <c r="G53" s="38">
        <f t="shared" si="3"/>
        <v>4282714.62</v>
      </c>
      <c r="H53" s="39" t="str">
        <f t="shared" si="4"/>
        <v>$4,282,714.62</v>
      </c>
    </row>
    <row r="54" spans="1:8" ht="14.4" x14ac:dyDescent="0.3">
      <c r="A54" s="3" t="str">
        <f t="shared" si="2"/>
        <v>Manistee County (25,032) - $121,655.52</v>
      </c>
      <c r="D54" s="34" t="s">
        <v>72</v>
      </c>
      <c r="E54" s="32">
        <v>25032</v>
      </c>
      <c r="F54" s="37" t="s">
        <v>152</v>
      </c>
      <c r="G54" s="38">
        <f t="shared" si="3"/>
        <v>121655.52</v>
      </c>
      <c r="H54" s="39" t="str">
        <f t="shared" si="4"/>
        <v>$121,655.52</v>
      </c>
    </row>
    <row r="55" spans="1:8" ht="14.4" x14ac:dyDescent="0.3">
      <c r="A55" s="3" t="str">
        <f t="shared" si="2"/>
        <v>Marquette County (66,017) - $320,842.62</v>
      </c>
      <c r="D55" s="34" t="s">
        <v>24</v>
      </c>
      <c r="E55" s="32">
        <v>66017</v>
      </c>
      <c r="F55" s="37" t="s">
        <v>153</v>
      </c>
      <c r="G55" s="38">
        <f t="shared" si="3"/>
        <v>320842.62</v>
      </c>
      <c r="H55" s="39" t="str">
        <f t="shared" si="4"/>
        <v>$320,842.62</v>
      </c>
    </row>
    <row r="56" spans="1:8" ht="14.4" x14ac:dyDescent="0.3">
      <c r="A56" s="3" t="str">
        <f t="shared" si="2"/>
        <v>Mason County (29,052) - $141,192.72</v>
      </c>
      <c r="D56" s="34" t="s">
        <v>73</v>
      </c>
      <c r="E56" s="32">
        <v>29052</v>
      </c>
      <c r="F56" s="37" t="s">
        <v>154</v>
      </c>
      <c r="G56" s="38">
        <f t="shared" si="3"/>
        <v>141192.72</v>
      </c>
      <c r="H56" s="39" t="str">
        <f t="shared" si="4"/>
        <v>$141,192.72</v>
      </c>
    </row>
    <row r="57" spans="1:8" ht="14.4" x14ac:dyDescent="0.3">
      <c r="A57" s="3" t="str">
        <f t="shared" si="2"/>
        <v>Mecosta County (39,714) - $193,010.04</v>
      </c>
      <c r="D57" s="34" t="s">
        <v>74</v>
      </c>
      <c r="E57" s="32">
        <v>39714</v>
      </c>
      <c r="F57" s="37" t="s">
        <v>155</v>
      </c>
      <c r="G57" s="38">
        <f t="shared" si="3"/>
        <v>193010.04</v>
      </c>
      <c r="H57" s="39" t="str">
        <f t="shared" si="4"/>
        <v>$193,010.04</v>
      </c>
    </row>
    <row r="58" spans="1:8" ht="14.4" x14ac:dyDescent="0.3">
      <c r="A58" s="3" t="str">
        <f t="shared" si="2"/>
        <v>Menominee County (23,502) - $114,219.72</v>
      </c>
      <c r="D58" s="34" t="s">
        <v>25</v>
      </c>
      <c r="E58" s="32">
        <v>23502</v>
      </c>
      <c r="F58" s="37" t="s">
        <v>156</v>
      </c>
      <c r="G58" s="38">
        <f t="shared" si="3"/>
        <v>114219.72</v>
      </c>
      <c r="H58" s="39" t="str">
        <f t="shared" si="4"/>
        <v>$114,219.72</v>
      </c>
    </row>
    <row r="59" spans="1:8" ht="14.4" x14ac:dyDescent="0.3">
      <c r="A59" s="3" t="str">
        <f t="shared" si="2"/>
        <v>Midland County (83,494) - $405,780.84</v>
      </c>
      <c r="D59" s="34" t="s">
        <v>75</v>
      </c>
      <c r="E59" s="32">
        <v>83494</v>
      </c>
      <c r="F59" s="37" t="s">
        <v>157</v>
      </c>
      <c r="G59" s="38">
        <f t="shared" si="3"/>
        <v>405780.84</v>
      </c>
      <c r="H59" s="39" t="str">
        <f t="shared" si="4"/>
        <v>$405,780.84</v>
      </c>
    </row>
    <row r="60" spans="1:8" ht="14.4" x14ac:dyDescent="0.3">
      <c r="A60" s="3" t="str">
        <f t="shared" si="2"/>
        <v>Missaukee County (15,052) - $73,152.72</v>
      </c>
      <c r="D60" s="34" t="s">
        <v>76</v>
      </c>
      <c r="E60" s="32">
        <v>15052</v>
      </c>
      <c r="F60" s="37" t="s">
        <v>158</v>
      </c>
      <c r="G60" s="38">
        <f t="shared" si="3"/>
        <v>73152.72</v>
      </c>
      <c r="H60" s="39" t="str">
        <f t="shared" si="4"/>
        <v>$73,152.72</v>
      </c>
    </row>
    <row r="61" spans="1:8" ht="14.4" x14ac:dyDescent="0.3">
      <c r="A61" s="3" t="str">
        <f t="shared" si="2"/>
        <v>Monroe County (154,809) - $752,371.74</v>
      </c>
      <c r="D61" s="34" t="s">
        <v>21</v>
      </c>
      <c r="E61" s="32">
        <v>154809</v>
      </c>
      <c r="F61" s="37" t="s">
        <v>159</v>
      </c>
      <c r="G61" s="38">
        <f t="shared" si="3"/>
        <v>752371.74000000011</v>
      </c>
      <c r="H61" s="39" t="str">
        <f t="shared" si="4"/>
        <v>$752,371.74</v>
      </c>
    </row>
    <row r="62" spans="1:8" ht="14.4" x14ac:dyDescent="0.3">
      <c r="A62" s="3" t="str">
        <f t="shared" si="2"/>
        <v>Montcalm County (66,614) - $323,744.04</v>
      </c>
      <c r="D62" s="34" t="s">
        <v>77</v>
      </c>
      <c r="E62" s="32">
        <v>66614</v>
      </c>
      <c r="F62" s="37" t="s">
        <v>160</v>
      </c>
      <c r="G62" s="38">
        <f t="shared" si="3"/>
        <v>323744.04000000004</v>
      </c>
      <c r="H62" s="39" t="str">
        <f t="shared" si="4"/>
        <v>$323,744.04</v>
      </c>
    </row>
    <row r="63" spans="1:8" ht="14.4" x14ac:dyDescent="0.3">
      <c r="A63" s="3" t="str">
        <f t="shared" si="2"/>
        <v>Montmorency County (9,153) - $44,483.58</v>
      </c>
      <c r="D63" s="34" t="s">
        <v>78</v>
      </c>
      <c r="E63" s="32">
        <v>9153</v>
      </c>
      <c r="F63" s="37" t="s">
        <v>161</v>
      </c>
      <c r="G63" s="38">
        <f t="shared" si="3"/>
        <v>44483.58</v>
      </c>
      <c r="H63" s="39" t="str">
        <f t="shared" si="4"/>
        <v>$44,483.58</v>
      </c>
    </row>
    <row r="64" spans="1:8" ht="14.4" x14ac:dyDescent="0.3">
      <c r="A64" s="3" t="str">
        <f t="shared" si="2"/>
        <v>Muskegon County (175,824) - $854,504.64</v>
      </c>
      <c r="D64" s="34" t="s">
        <v>79</v>
      </c>
      <c r="E64" s="32">
        <v>175824</v>
      </c>
      <c r="F64" s="37" t="s">
        <v>162</v>
      </c>
      <c r="G64" s="38">
        <f t="shared" si="3"/>
        <v>854504.64</v>
      </c>
      <c r="H64" s="39" t="str">
        <f t="shared" si="4"/>
        <v>$854,504.64</v>
      </c>
    </row>
    <row r="65" spans="1:8" ht="14.4" x14ac:dyDescent="0.3">
      <c r="A65" s="3" t="str">
        <f t="shared" si="2"/>
        <v>Newaygo County (49,978) - $242,893.08</v>
      </c>
      <c r="D65" s="34" t="s">
        <v>80</v>
      </c>
      <c r="E65" s="32">
        <v>49978</v>
      </c>
      <c r="F65" s="37" t="s">
        <v>163</v>
      </c>
      <c r="G65" s="38">
        <f t="shared" si="3"/>
        <v>242893.08000000002</v>
      </c>
      <c r="H65" s="39" t="str">
        <f t="shared" si="4"/>
        <v>$242,893.08</v>
      </c>
    </row>
    <row r="66" spans="1:8" ht="14.4" x14ac:dyDescent="0.3">
      <c r="A66" s="3" t="str">
        <f t="shared" si="2"/>
        <v>Oakland County (1,274,395) - $6,193,559.70</v>
      </c>
      <c r="D66" s="34" t="s">
        <v>81</v>
      </c>
      <c r="E66" s="32">
        <v>1274395</v>
      </c>
      <c r="F66" s="37" t="s">
        <v>164</v>
      </c>
      <c r="G66" s="38">
        <f t="shared" si="3"/>
        <v>6193559.7000000002</v>
      </c>
      <c r="H66" s="39" t="str">
        <f t="shared" si="4"/>
        <v>$6,193,559.70</v>
      </c>
    </row>
    <row r="67" spans="1:8" ht="14.4" x14ac:dyDescent="0.3">
      <c r="A67" s="3" t="str">
        <f t="shared" si="2"/>
        <v>Oceana County (26,659) - $129,562.74</v>
      </c>
      <c r="D67" s="34" t="s">
        <v>82</v>
      </c>
      <c r="E67" s="32">
        <v>26659</v>
      </c>
      <c r="F67" s="37" t="s">
        <v>165</v>
      </c>
      <c r="G67" s="38">
        <f t="shared" si="3"/>
        <v>129562.74</v>
      </c>
      <c r="H67" s="39" t="str">
        <f t="shared" si="4"/>
        <v>$129,562.74</v>
      </c>
    </row>
    <row r="68" spans="1:8" ht="14.4" x14ac:dyDescent="0.3">
      <c r="A68" s="3" t="str">
        <f t="shared" si="2"/>
        <v>Ogemaw County (20,770) - $100,942.20</v>
      </c>
      <c r="D68" s="34" t="s">
        <v>83</v>
      </c>
      <c r="E68" s="32">
        <v>20770</v>
      </c>
      <c r="F68" s="37" t="s">
        <v>166</v>
      </c>
      <c r="G68" s="38">
        <f t="shared" ref="G68:G86" si="5">E68*4.86</f>
        <v>100942.20000000001</v>
      </c>
      <c r="H68" s="39" t="str">
        <f t="shared" ref="H68:H86" si="6">TEXT(G68,"$#,##0.00")</f>
        <v>$100,942.20</v>
      </c>
    </row>
    <row r="69" spans="1:8" ht="14.4" x14ac:dyDescent="0.3">
      <c r="A69" s="3" t="str">
        <f t="shared" ref="A69:A86" si="7">D69 &amp; " (" &amp;F69&amp; ")" &amp; " - " &amp;H69</f>
        <v>Ontonagon County (5,816) - $28,265.76</v>
      </c>
      <c r="D69" s="34" t="s">
        <v>84</v>
      </c>
      <c r="E69" s="32">
        <v>5816</v>
      </c>
      <c r="F69" s="37" t="s">
        <v>167</v>
      </c>
      <c r="G69" s="38">
        <f t="shared" si="5"/>
        <v>28265.760000000002</v>
      </c>
      <c r="H69" s="39" t="str">
        <f t="shared" si="6"/>
        <v>$28,265.76</v>
      </c>
    </row>
    <row r="70" spans="1:8" ht="14.4" x14ac:dyDescent="0.3">
      <c r="A70" s="3" t="str">
        <f t="shared" si="7"/>
        <v>Osceola County (22,891) - $111,250.26</v>
      </c>
      <c r="D70" s="34" t="s">
        <v>85</v>
      </c>
      <c r="E70" s="32">
        <v>22891</v>
      </c>
      <c r="F70" s="37" t="s">
        <v>168</v>
      </c>
      <c r="G70" s="38">
        <f t="shared" si="5"/>
        <v>111250.26000000001</v>
      </c>
      <c r="H70" s="39" t="str">
        <f t="shared" si="6"/>
        <v>$111,250.26</v>
      </c>
    </row>
    <row r="71" spans="1:8" ht="14.4" x14ac:dyDescent="0.3">
      <c r="A71" s="3" t="str">
        <f t="shared" si="7"/>
        <v>Oscoda County (8,219) - $39,944.34</v>
      </c>
      <c r="D71" s="34" t="s">
        <v>86</v>
      </c>
      <c r="E71" s="32">
        <v>8219</v>
      </c>
      <c r="F71" s="37" t="s">
        <v>169</v>
      </c>
      <c r="G71" s="38">
        <f t="shared" si="5"/>
        <v>39944.340000000004</v>
      </c>
      <c r="H71" s="39" t="str">
        <f t="shared" si="6"/>
        <v>$39,944.34</v>
      </c>
    </row>
    <row r="72" spans="1:8" ht="14.4" x14ac:dyDescent="0.3">
      <c r="A72" s="3" t="str">
        <f t="shared" si="7"/>
        <v>Otsego County (25,091) - $121,942.26</v>
      </c>
      <c r="D72" s="34" t="s">
        <v>87</v>
      </c>
      <c r="E72" s="32">
        <v>25091</v>
      </c>
      <c r="F72" s="37" t="s">
        <v>170</v>
      </c>
      <c r="G72" s="38">
        <f t="shared" si="5"/>
        <v>121942.26000000001</v>
      </c>
      <c r="H72" s="39" t="str">
        <f t="shared" si="6"/>
        <v>$121,942.26</v>
      </c>
    </row>
    <row r="73" spans="1:8" ht="14.4" x14ac:dyDescent="0.3">
      <c r="A73" s="3" t="str">
        <f t="shared" si="7"/>
        <v>Ottawa County (296,200) - $1,439,532.00</v>
      </c>
      <c r="D73" s="34" t="s">
        <v>88</v>
      </c>
      <c r="E73" s="32">
        <v>296200</v>
      </c>
      <c r="F73" s="37" t="s">
        <v>171</v>
      </c>
      <c r="G73" s="38">
        <f t="shared" si="5"/>
        <v>1439532</v>
      </c>
      <c r="H73" s="39" t="str">
        <f t="shared" si="6"/>
        <v>$1,439,532.00</v>
      </c>
    </row>
    <row r="74" spans="1:8" ht="14.4" x14ac:dyDescent="0.3">
      <c r="A74" s="3" t="str">
        <f t="shared" si="7"/>
        <v>Presque Isle County (12,982) - $63,092.52</v>
      </c>
      <c r="D74" s="34" t="s">
        <v>89</v>
      </c>
      <c r="E74" s="32">
        <v>12982</v>
      </c>
      <c r="F74" s="37" t="s">
        <v>172</v>
      </c>
      <c r="G74" s="38">
        <f t="shared" si="5"/>
        <v>63092.520000000004</v>
      </c>
      <c r="H74" s="39" t="str">
        <f t="shared" si="6"/>
        <v>$63,092.52</v>
      </c>
    </row>
    <row r="75" spans="1:8" ht="14.4" x14ac:dyDescent="0.3">
      <c r="A75" s="3" t="str">
        <f t="shared" si="7"/>
        <v>Roscommon County (23,459) - $114,010.74</v>
      </c>
      <c r="D75" s="34" t="s">
        <v>90</v>
      </c>
      <c r="E75" s="32">
        <v>23459</v>
      </c>
      <c r="F75" s="37" t="s">
        <v>173</v>
      </c>
      <c r="G75" s="38">
        <f t="shared" si="5"/>
        <v>114010.74</v>
      </c>
      <c r="H75" s="39" t="str">
        <f t="shared" si="6"/>
        <v>$114,010.74</v>
      </c>
    </row>
    <row r="76" spans="1:8" ht="14.4" x14ac:dyDescent="0.3">
      <c r="A76" s="3" t="str">
        <f t="shared" si="7"/>
        <v>Saginaw County (190,124) - $924,002.64</v>
      </c>
      <c r="D76" s="34" t="s">
        <v>91</v>
      </c>
      <c r="E76" s="32">
        <v>190124</v>
      </c>
      <c r="F76" s="37" t="s">
        <v>174</v>
      </c>
      <c r="G76" s="38">
        <f t="shared" si="5"/>
        <v>924002.64</v>
      </c>
      <c r="H76" s="39" t="str">
        <f t="shared" si="6"/>
        <v>$924,002.64</v>
      </c>
    </row>
    <row r="77" spans="1:8" ht="14.4" x14ac:dyDescent="0.3">
      <c r="A77" s="3" t="str">
        <f t="shared" si="7"/>
        <v>St. Clair County (160,383) - $779,461.38</v>
      </c>
      <c r="D77" s="34" t="s">
        <v>100</v>
      </c>
      <c r="E77" s="32">
        <v>160383</v>
      </c>
      <c r="F77" s="37" t="s">
        <v>175</v>
      </c>
      <c r="G77" s="38">
        <f t="shared" si="5"/>
        <v>779461.38</v>
      </c>
      <c r="H77" s="39" t="str">
        <f t="shared" si="6"/>
        <v>$779,461.38</v>
      </c>
    </row>
    <row r="78" spans="1:8" ht="14.4" x14ac:dyDescent="0.3">
      <c r="A78" s="3" t="str">
        <f t="shared" si="7"/>
        <v>St. Joseph County (60,939) - $296,163.54</v>
      </c>
      <c r="D78" s="34" t="s">
        <v>101</v>
      </c>
      <c r="E78" s="32">
        <v>60939</v>
      </c>
      <c r="F78" s="37" t="s">
        <v>176</v>
      </c>
      <c r="G78" s="38">
        <f t="shared" si="5"/>
        <v>296163.54000000004</v>
      </c>
      <c r="H78" s="39" t="str">
        <f t="shared" si="6"/>
        <v>$296,163.54</v>
      </c>
    </row>
    <row r="79" spans="1:8" ht="14.4" x14ac:dyDescent="0.3">
      <c r="A79" s="3" t="str">
        <f t="shared" si="7"/>
        <v>Sanilac County (40,611) - $197,369.46</v>
      </c>
      <c r="D79" s="34" t="s">
        <v>92</v>
      </c>
      <c r="E79" s="32">
        <v>40611</v>
      </c>
      <c r="F79" s="37" t="s">
        <v>177</v>
      </c>
      <c r="G79" s="38">
        <f t="shared" si="5"/>
        <v>197369.46000000002</v>
      </c>
      <c r="H79" s="39" t="str">
        <f t="shared" si="6"/>
        <v>$197,369.46</v>
      </c>
    </row>
    <row r="80" spans="1:8" ht="14.4" x14ac:dyDescent="0.3">
      <c r="A80" s="3" t="str">
        <f t="shared" si="7"/>
        <v>Schoolcraft County (8,047) - $39,108.42</v>
      </c>
      <c r="D80" s="34" t="s">
        <v>93</v>
      </c>
      <c r="E80" s="32">
        <v>8047</v>
      </c>
      <c r="F80" s="37" t="s">
        <v>178</v>
      </c>
      <c r="G80" s="38">
        <f t="shared" si="5"/>
        <v>39108.420000000006</v>
      </c>
      <c r="H80" s="39" t="str">
        <f t="shared" si="6"/>
        <v>$39,108.42</v>
      </c>
    </row>
    <row r="81" spans="1:8" ht="14.4" x14ac:dyDescent="0.3">
      <c r="A81" s="3" t="str">
        <f t="shared" si="7"/>
        <v>Shiawassee County (68,094) - $330,936.84</v>
      </c>
      <c r="D81" s="34" t="s">
        <v>94</v>
      </c>
      <c r="E81" s="32">
        <v>68094</v>
      </c>
      <c r="F81" s="37" t="s">
        <v>179</v>
      </c>
      <c r="G81" s="38">
        <f t="shared" si="5"/>
        <v>330936.84000000003</v>
      </c>
      <c r="H81" s="39" t="str">
        <f t="shared" si="6"/>
        <v>$330,936.84</v>
      </c>
    </row>
    <row r="82" spans="1:8" ht="14.4" x14ac:dyDescent="0.3">
      <c r="A82" s="3" t="str">
        <f t="shared" si="7"/>
        <v>Tuscola County (53,323) - $259,149.78</v>
      </c>
      <c r="D82" s="34" t="s">
        <v>95</v>
      </c>
      <c r="E82" s="32">
        <v>53323</v>
      </c>
      <c r="F82" s="37" t="s">
        <v>180</v>
      </c>
      <c r="G82" s="38">
        <f t="shared" si="5"/>
        <v>259149.78000000003</v>
      </c>
      <c r="H82" s="39" t="str">
        <f t="shared" si="6"/>
        <v>$259,149.78</v>
      </c>
    </row>
    <row r="83" spans="1:8" ht="14.4" x14ac:dyDescent="0.3">
      <c r="A83" s="3" t="str">
        <f t="shared" si="7"/>
        <v>Van Buren County (75,587) - $367,352.82</v>
      </c>
      <c r="D83" s="34" t="s">
        <v>96</v>
      </c>
      <c r="E83" s="32">
        <v>75587</v>
      </c>
      <c r="F83" s="37" t="s">
        <v>181</v>
      </c>
      <c r="G83" s="38">
        <f t="shared" si="5"/>
        <v>367352.82</v>
      </c>
      <c r="H83" s="39" t="str">
        <f t="shared" si="6"/>
        <v>$367,352.82</v>
      </c>
    </row>
    <row r="84" spans="1:8" ht="14.4" x14ac:dyDescent="0.3">
      <c r="A84" s="3" t="str">
        <f t="shared" si="7"/>
        <v>Washtenaw County (372,258) - $1,809,173.88</v>
      </c>
      <c r="D84" s="34" t="s">
        <v>97</v>
      </c>
      <c r="E84" s="32">
        <v>372258</v>
      </c>
      <c r="F84" s="37" t="s">
        <v>182</v>
      </c>
      <c r="G84" s="38">
        <f t="shared" si="5"/>
        <v>1809173.8800000001</v>
      </c>
      <c r="H84" s="39" t="str">
        <f t="shared" si="6"/>
        <v>$1,809,173.88</v>
      </c>
    </row>
    <row r="85" spans="1:8" ht="14.4" x14ac:dyDescent="0.3">
      <c r="A85" s="3" t="str">
        <f t="shared" si="7"/>
        <v>Wayne County (1,793,561) - $8,716,706.46</v>
      </c>
      <c r="D85" s="34" t="s">
        <v>98</v>
      </c>
      <c r="E85" s="32">
        <v>1793561</v>
      </c>
      <c r="F85" s="37" t="s">
        <v>183</v>
      </c>
      <c r="G85" s="38">
        <f t="shared" si="5"/>
        <v>8716706.4600000009</v>
      </c>
      <c r="H85" s="39" t="str">
        <f t="shared" si="6"/>
        <v>$8,716,706.46</v>
      </c>
    </row>
    <row r="86" spans="1:8" ht="14.4" x14ac:dyDescent="0.3">
      <c r="A86" s="3" t="str">
        <f t="shared" si="7"/>
        <v>Wexford County (33,673) - $163,650.78</v>
      </c>
      <c r="D86" s="35" t="s">
        <v>99</v>
      </c>
      <c r="E86" s="33">
        <v>33673</v>
      </c>
      <c r="F86" s="37" t="s">
        <v>184</v>
      </c>
      <c r="G86" s="38">
        <f t="shared" si="5"/>
        <v>163650.78</v>
      </c>
      <c r="H86" s="39" t="str">
        <f t="shared" si="6"/>
        <v>$163,650.78</v>
      </c>
    </row>
  </sheetData>
  <autoFilter ref="C3:C22" xr:uid="{39375668-CE9B-46F3-A62C-31156637A2D1}">
    <sortState xmlns:xlrd2="http://schemas.microsoft.com/office/spreadsheetml/2017/richdata2" ref="C4:C24">
      <sortCondition ref="C3:C22"/>
    </sortState>
  </autoFilter>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B6618A-A1B9-4FC9-925A-722407B3AAF8}">
  <ds:schemaRefs>
    <ds:schemaRef ds:uri="http://schemas.microsoft.com/office/2006/documentManagement/types"/>
    <ds:schemaRef ds:uri="http://schemas.microsoft.com/office/2006/metadata/properties"/>
    <ds:schemaRef ds:uri="http://schemas.openxmlformats.org/package/2006/metadata/core-properties"/>
    <ds:schemaRef ds:uri="4f1a833c-a938-4a5e-81e3-99cd1b92e526"/>
    <ds:schemaRef ds:uri="http://www.w3.org/XML/1998/namespace"/>
    <ds:schemaRef ds:uri="http://purl.org/dc/terms/"/>
    <ds:schemaRef ds:uri="http://purl.org/dc/dcmitype/"/>
    <ds:schemaRef ds:uri="http://schemas.microsoft.com/office/infopath/2007/PartnerControls"/>
    <ds:schemaRef ds:uri="538c035d-569c-47ab-a864-fdd8ae3d4516"/>
    <ds:schemaRef ds:uri="http://purl.org/dc/elements/1.1/"/>
  </ds:schemaRefs>
</ds:datastoreItem>
</file>

<file path=customXml/itemProps2.xml><?xml version="1.0" encoding="utf-8"?>
<ds:datastoreItem xmlns:ds="http://schemas.openxmlformats.org/officeDocument/2006/customXml" ds:itemID="{2D0072BA-0B71-41E0-874C-F0CA5E54E1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1a833c-a938-4a5e-81e3-99cd1b92e526"/>
    <ds:schemaRef ds:uri="538c035d-569c-47ab-a864-fdd8ae3d4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7D2BC2-5E07-4C2F-BF77-6651C4886E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County Summary</vt:lpstr>
      <vt:lpstr>Reductions</vt:lpstr>
      <vt:lpstr>Comments</vt:lpstr>
      <vt:lpstr>Notes</vt:lpstr>
      <vt:lpstr>County Population and Threshold</vt:lpstr>
    </vt:vector>
  </TitlesOfParts>
  <Company>FEMA Region VII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FEMA</dc:creator>
  <cp:lastModifiedBy>Punzalan, Eric</cp:lastModifiedBy>
  <cp:lastPrinted>2021-08-11T17:13:15Z</cp:lastPrinted>
  <dcterms:created xsi:type="dcterms:W3CDTF">2000-06-27T13:20:49Z</dcterms:created>
  <dcterms:modified xsi:type="dcterms:W3CDTF">2026-07-08T13:36:10Z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