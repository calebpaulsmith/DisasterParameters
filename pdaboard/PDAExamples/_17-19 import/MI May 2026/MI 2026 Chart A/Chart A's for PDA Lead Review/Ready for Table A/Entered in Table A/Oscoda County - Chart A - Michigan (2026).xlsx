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00" documentId="13_ncr:1_{4B26DC56-3104-4C3E-A816-A5885244DC2D}" xr6:coauthVersionLast="47" xr6:coauthVersionMax="47" xr10:uidLastSave="{2A517B41-4394-4FBA-9BF0-0E88E87C3DD0}"/>
  <bookViews>
    <workbookView xWindow="2868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<sst xmlns="http://schemas.openxmlformats.org/spreadsheetml/2006/main" count="219" uniqueCount="214">
  <si>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</si>
  <si>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</si>
  <si>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</si>
  <si>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</si>
  <si>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</si>
  <si>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</si>
  <si>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</si>
  <si>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</si>
  <si>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</si>
  <si>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</si>
  <si>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</si>
  <si>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</si>
  <si>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</si>
  <si>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</si>
  <si>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</si>
  <si>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</si>
  <si>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</si>
  <si>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</si>
  <si>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</si>
  <si>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</si>
  <si>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</si>
  <si>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</si>
  <si>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</si>
  <si>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</si>
  <si>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</si>
  <si>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</si>
  <si>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</si>
  <si>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</si>
  <si>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</si>
  <si>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</si>
  <si>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</si>
  <si>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</si>
  <si>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</si>
  <si>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</si>
  <si>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</si>
  <si>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</si>
  <si>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</si>
  <si>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</si>
  <si>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</si>
  <si>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</si>
  <si>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</si>
  <si>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</si>
  <si>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</si>
  <si>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</si>
  <si>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</si>
  <si>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</si>
  <si>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</si>
  <si>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</si>
  <si>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</si>
  <si>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</si>
  <si>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</si>
  <si>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</si>
  <si>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</si>
  <si>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</si>
  <si>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</si>
  <si>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</si>
  <si>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</si>
  <si>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</si>
  <si>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</si>
  <si>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</si>
  <si>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</si>
  <si>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</si>
  <si>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</si>
  <si>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</si>
  <si>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</si>
  <si>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</si>
  <si>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</si>
  <si>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</si>
  <si>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</si>
  <si>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</si>
  <si>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</si>
  <si>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</si>
  <si>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</si>
  <si>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</si>
  <si>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</si>
  <si>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</si>
  <si>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</si>
  <si>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</si>
  <si>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</si>
  <si>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</si>
  <si>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</si>
  <si>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</si>
  <si>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</si>
  <si>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</si>
  <si>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</si>
  <si>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</si>
  <si>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</si>
  <si>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</si>
  <si>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</si>
  <si>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</si>
  <si>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</si>
  <si>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</si>
  <si>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</si>
  <si>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</si>
  <si>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</si>
  <si>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</si>
  <si>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</si>
  <si>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</si>
  <si>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</si>
  <si>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</si>
  <si>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</si>
  <si>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</si>
  <si>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</si>
  <si>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</si>
  <si>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</si>
  <si>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</si>
  <si>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</si>
  <si>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</si>
  <si>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</si>
  <si>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</si>
  <si>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</si>
  <si>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</si>
  <si>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</si>
  <si>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</si>
  <si>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</si>
  <si>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</si>
  <si>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</si>
  <si>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</si>
  <si>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</si>
  <si>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</si>
  <si>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</si>
  <si>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</si>
  <si>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</si>
  <si>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</si>
  <si>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</si>
  <si>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</si>
  <si>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</si>
  <si>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</si>
  <si>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</si>
  <si>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</si>
  <si>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</si>
  <si>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</si>
  <si>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</si>
  <si>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</si>
  <si>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</si>
  <si>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</si>
  <si>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</si>
  <si>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</si>
  <si>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</si>
  <si>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</si>
  <si>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</si>
  <si>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</si>
  <si>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</si>
  <si>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</si>
  <si>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</si>
  <si>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</si>
  <si>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</si>
  <si>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</si>
  <si>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</si>
  <si>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</si>
  <si>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</si>
  <si>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</si>
  <si>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</si>
  <si>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</si>
  <si>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</si>
  <si>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</si>
  <si>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</si>
  <si>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</si>
  <si>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</si>
  <si>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</si>
  <si>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</si>
  <si>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</si>
  <si>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</si>
  <si>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</si>
  <si>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</si>
  <si>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</si>
  <si>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</si>
  <si>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</si>
  <si>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</si>
  <si>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</si>
  <si>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</si>
  <si>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</si>
  <si>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</si>
  <si>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</si>
  <si>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</si>
  <si>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</si>
  <si>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</si>
  <si>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</si>
  <si>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</si>
  <si>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</si>
  <si>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</si>
  <si>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</si>
  <si>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</si>
  <si>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</si>
  <si>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</si>
  <si>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</si>
  <si>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</si>
  <si>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</si>
  <si>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</si>
  <si>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</si>
  <si>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</si>
  <si>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</si>
  <si>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</si>
  <si>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</si>
  <si>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</si>
  <si>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</si>
  <si>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</si>
  <si>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</si>
  <si>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</si>
  <si>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</si>
  <si>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</si>
  <si>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</si>
  <si>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</si>
  <si>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</si>
  <si>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</si>
  <si>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</si>
  <si>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Oscoda County (8,219) - $39,944.34</t>
  </si>
  <si>
    <t>Oscoda County Road Commission</t>
  </si>
  <si>
    <t>County</t>
  </si>
  <si>
    <r>
      <rPr>
        <b/>
        <sz val="10"/>
        <rFont val="Arial"/>
        <family val="2"/>
      </rPr>
      <t>Cat B - Estimated $7,058.07</t>
    </r>
    <r>
      <rPr>
        <sz val="10"/>
        <rFont val="Arial"/>
        <family val="2"/>
      </rPr>
      <t xml:space="preserve"> for emergency response measures and emergency signage.</t>
    </r>
    <r>
      <rPr>
        <b/>
        <sz val="10"/>
        <rFont val="Arial"/>
        <family val="2"/>
      </rPr>
      <t xml:space="preserve"> Validated: $7,058.07</t>
    </r>
    <r>
      <rPr>
        <sz val="10"/>
        <rFont val="Arial"/>
        <family val="2"/>
      </rPr>
      <t xml:space="preserve"> from applicant documentation. 
</t>
    </r>
    <r>
      <rPr>
        <b/>
        <sz val="10"/>
        <rFont val="Arial"/>
        <family val="2"/>
      </rPr>
      <t>Cat C - Estimated $97,537.24</t>
    </r>
    <r>
      <rPr>
        <sz val="10"/>
        <rFont val="Arial"/>
        <family val="2"/>
      </rPr>
      <t xml:space="preserve"> for road repairs including labor, materials and equipment. RFI sent to applicant verify the name of the claimed facility </t>
    </r>
    <r>
      <rPr>
        <b/>
        <sz val="10"/>
        <rFont val="Arial"/>
        <family val="2"/>
      </rPr>
      <t>Reduced: $15,189.19</t>
    </r>
    <r>
      <rPr>
        <sz val="10"/>
        <rFont val="Arial"/>
        <family val="2"/>
      </rPr>
      <t xml:space="preserve"> for claimed damages that are on FHWA roads. </t>
    </r>
    <r>
      <rPr>
        <b/>
        <sz val="10"/>
        <rFont val="Arial"/>
        <family val="2"/>
      </rPr>
      <t>Validated: $82,348.05</t>
    </r>
    <r>
      <rPr>
        <sz val="10"/>
        <rFont val="Arial"/>
        <family val="2"/>
      </rPr>
      <t xml:space="preserve"> based on applicant documentation</t>
    </r>
  </si>
  <si>
    <t>Complete</t>
  </si>
  <si>
    <t>Government</t>
  </si>
  <si>
    <r>
      <t>Cat G - Estimated $1,036 Validated $1,036</t>
    </r>
    <r>
      <rPr>
        <sz val="10"/>
        <rFont val="Arial"/>
        <family val="2"/>
      </rPr>
      <t xml:space="preserve"> for gravel road washout repairs applicant provided estimates</t>
    </r>
  </si>
  <si>
    <t>MDNR - Oscoda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</si>
</sst>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K7"/>
    </sheetView>
  </sheetViews>
  <sheetFormatPr defaultColWidth="16.6640625" defaultRowHeight="13.2" x14ac:dyDescent="0.25"/>
  <cols>
    <col min="1" max="1" width="1.33203125" style="52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1" customFormat="1" ht="20.100000000000001" customHeight="1" thickTop="1" thickBot="1" x14ac:dyDescent="0.3">
      <c r="A2" s="52"/>
      <c r="B2" s="66" t="s">
        <v>15</v>
      </c>
      <c r="C2" s="67"/>
      <c r="D2" s="5" t="s">
        <v>7</v>
      </c>
      <c r="E2" s="62" t="s">
        <v>9</v>
      </c>
      <c r="F2" s="63"/>
      <c r="G2" s="53" t="s">
        <v>13</v>
      </c>
      <c r="H2" s="54"/>
      <c r="I2" s="54"/>
      <c r="J2" s="54"/>
      <c r="K2" s="55"/>
      <c r="L2" s="6" t="s">
        <v>11</v>
      </c>
    </row>
    <row r="3" spans="1:12" s="1" customFormat="1" ht="31.2" customHeight="1" thickTop="1" thickBot="1" x14ac:dyDescent="0.3">
      <c r="A3" s="52"/>
      <c r="B3" s="68" t="s">
        <v>206</v>
      </c>
      <c r="C3" s="69"/>
      <c r="D3" s="14" t="s">
        <v>201</v>
      </c>
      <c r="E3" s="64">
        <f>SUM(Table6[[A]:[B]])</f>
        <v>7058.07</v>
      </c>
      <c r="F3" s="65"/>
      <c r="G3" s="56">
        <f>SUM(Table6[[C]:[G]])</f>
        <v>83384.05</v>
      </c>
      <c r="H3" s="57"/>
      <c r="I3" s="57"/>
      <c r="J3" s="57"/>
      <c r="K3" s="58"/>
      <c r="L3" s="9">
        <f>SUM(Table6[Applicant Total])</f>
        <v>90442.12</v>
      </c>
    </row>
    <row r="4" spans="1:12" ht="14.4" thickTop="1" thickBot="1" x14ac:dyDescent="0.3">
      <c r="B4" s="59"/>
      <c r="C4" s="60"/>
      <c r="D4" s="60"/>
      <c r="E4" s="60"/>
      <c r="F4" s="60"/>
      <c r="G4" s="60"/>
      <c r="H4" s="60"/>
      <c r="I4" s="60"/>
      <c r="J4" s="60"/>
      <c r="K4" s="60"/>
      <c r="L4" s="61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210</v>
      </c>
      <c r="E6" s="13"/>
      <c r="F6" s="12">
        <v>7058.07</v>
      </c>
      <c r="G6" s="12">
        <v>82348.05</v>
      </c>
      <c r="H6" s="13"/>
      <c r="I6" s="13"/>
      <c r="J6" s="13"/>
      <c r="K6" s="13"/>
      <c r="L6" s="15">
        <f>SUM(Table6[[#This Row],[A]:[G]])</f>
        <v>89406.12</v>
      </c>
    </row>
    <row r="7" spans="1:12" x14ac:dyDescent="0.25">
      <c r="B7" s="10" t="s">
        <v>213</v>
      </c>
      <c r="C7" s="10" t="s">
        <v>211</v>
      </c>
      <c r="D7" s="11" t="s">
        <v>210</v>
      </c>
      <c r="E7" s="13"/>
      <c r="F7" s="13"/>
      <c r="G7" s="12"/>
      <c r="H7" s="12"/>
      <c r="I7" s="13"/>
      <c r="J7" s="13"/>
      <c r="K7" s="13">
        <v>1036</v>
      </c>
      <c r="L7" s="15">
        <f>SUM(Table6[[#This Row],[A]:[G]])</f>
        <v>1036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3" sqref="B3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Oscoda County Road Commission</v>
      </c>
      <c r="B2" s="49" t="s">
        <v>209</v>
      </c>
    </row>
    <row r="3" spans="1:2" ht="45" customHeight="1" x14ac:dyDescent="0.25">
      <c r="A3" s="28" t="str">
        <f>'County Summary'!B7</f>
        <v>MDNR - Oscoda County</v>
      </c>
      <c r="B3" s="50" t="s">
        <v>212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605350B-5DB5-49F5-AB98-1FF769EAC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http://purl.org/dc/dcmitype/"/>
    <ds:schemaRef ds:uri="4f1a833c-a938-4a5e-81e3-99cd1b92e526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38c035d-569c-47ab-a864-fdd8ae3d451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