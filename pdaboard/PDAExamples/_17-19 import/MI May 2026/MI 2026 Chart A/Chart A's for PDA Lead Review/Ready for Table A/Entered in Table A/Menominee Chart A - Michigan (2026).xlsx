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20" documentId="8_{73949C89-D379-4C9D-8E9C-95BEC0910866}" xr6:coauthVersionLast="47" xr6:coauthVersionMax="47" xr10:uidLastSave="{751098C2-3B8F-4831-BEE0-14F1ADA782F5}"/>
  <bookViews>
    <workbookView xWindow="-108" yWindow="-108" windowWidth="23256" windowHeight="12456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<sst xmlns="http://schemas.openxmlformats.org/spreadsheetml/2006/main" count="215" uniqueCount="210">
  <si>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</si>
  <si>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</si>
  <si>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</si>
  <si>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</si>
  <si>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</si>
  <si>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</si>
  <si>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</si>
  <si>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</si>
  <si>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</si>
  <si>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</si>
  <si>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</si>
  <si>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</si>
  <si>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</si>
  <si>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</si>
  <si>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</si>
  <si>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</si>
  <si>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</si>
  <si>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</si>
  <si>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</si>
  <si>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</si>
  <si>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</si>
  <si>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</si>
  <si>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</si>
  <si>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</si>
  <si>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</si>
  <si>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</si>
  <si>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</si>
  <si>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</si>
  <si>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</si>
  <si>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</si>
  <si>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</si>
  <si>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</si>
  <si>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</si>
  <si>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</si>
  <si>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</si>
  <si>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</si>
  <si>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</si>
  <si>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</si>
  <si>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</si>
  <si>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</si>
  <si>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</si>
  <si>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</si>
  <si>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</si>
  <si>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</si>
  <si>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</si>
  <si>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</si>
  <si>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</si>
  <si>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</si>
  <si>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</si>
  <si>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</si>
  <si>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</si>
  <si>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</si>
  <si>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</si>
  <si>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</si>
  <si>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</si>
  <si>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</si>
  <si>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</si>
  <si>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</si>
  <si>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</si>
  <si>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</si>
  <si>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</si>
  <si>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</si>
  <si>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</si>
  <si>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</si>
  <si>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</si>
  <si>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</si>
  <si>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</si>
  <si>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</si>
  <si>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</si>
  <si>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</si>
  <si>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</si>
  <si>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</si>
  <si>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</si>
  <si>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</si>
  <si>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</si>
  <si>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</si>
  <si>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</si>
  <si>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</si>
  <si>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</si>
  <si>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</si>
  <si>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</si>
  <si>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</si>
  <si>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</si>
  <si>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</si>
  <si>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</si>
  <si>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</si>
  <si>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</si>
  <si>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</si>
  <si>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</si>
  <si>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</si>
  <si>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</si>
  <si>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</si>
  <si>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</si>
  <si>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</si>
  <si>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</si>
  <si>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</si>
  <si>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</si>
  <si>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</si>
  <si>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</si>
  <si>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</si>
  <si>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</si>
  <si>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</si>
  <si>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</si>
  <si>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</si>
  <si>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</si>
  <si>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</si>
  <si>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</si>
  <si>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</si>
  <si>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</si>
  <si>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</si>
  <si>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</si>
  <si>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</si>
  <si>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</si>
  <si>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</si>
  <si>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</si>
  <si>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</si>
  <si>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</si>
  <si>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</si>
  <si>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</si>
  <si>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</si>
  <si>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</si>
  <si>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</si>
  <si>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</si>
  <si>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</si>
  <si>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</si>
  <si>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</si>
  <si>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</si>
  <si>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</si>
  <si>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</si>
  <si>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</si>
  <si>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</si>
  <si>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</si>
  <si>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</si>
  <si>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</si>
  <si>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</si>
  <si>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</si>
  <si>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</si>
  <si>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</si>
  <si>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</si>
  <si>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</si>
  <si>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</si>
  <si>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</si>
  <si>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</si>
  <si>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</si>
  <si>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</si>
  <si>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</si>
  <si>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</si>
  <si>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</si>
  <si>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</si>
  <si>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</si>
  <si>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</si>
  <si>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</si>
  <si>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</si>
  <si>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</si>
  <si>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</si>
  <si>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</si>
  <si>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</si>
  <si>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</si>
  <si>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</si>
  <si>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</si>
  <si>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</si>
  <si>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</si>
  <si>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</si>
  <si>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</si>
  <si>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</si>
  <si>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</si>
  <si>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</si>
  <si>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</si>
  <si>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</si>
  <si>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</si>
  <si>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</si>
  <si>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</si>
  <si>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</si>
  <si>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</si>
  <si>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</si>
  <si>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</si>
  <si>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</si>
  <si>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</si>
  <si>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</si>
  <si>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</si>
  <si>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</si>
  <si>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</si>
  <si>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</si>
  <si>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</si>
  <si>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</si>
  <si>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</si>
  <si>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</si>
  <si>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</si>
  <si>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</si>
  <si>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</si>
  <si>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</si>
  <si>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</si>
  <si>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</si>
  <si>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</si>
  <si>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</si>
  <si>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</si>
  <si>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</si>
  <si>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</si>
  <si>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</si>
  <si>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</si>
  <si>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</si>
  <si>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</si>
  <si>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</si>
  <si>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</si>
  <si>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</si>
  <si>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</si>
  <si>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Menominee County (23,502) - $114,219.72</t>
  </si>
  <si>
    <t>County</t>
  </si>
  <si>
    <r>
      <rPr>
        <b/>
        <sz val="10"/>
        <rFont val="Arial"/>
        <family val="2"/>
      </rPr>
      <t>Cat C</t>
    </r>
    <r>
      <rPr>
        <sz val="10"/>
        <rFont val="Arial"/>
        <family val="2"/>
      </rPr>
      <t xml:space="preserve">: 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 $470,574.00 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  $67,100.00 for being FHWA roads not eligible for FEMA PA 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 $403,474.00 using applicant provided descriptions, maps/photos, and cost estimates.  Original photos supplied showed #5 Lane submerged under water. Photos provided 5/26/2026 show the water has  receded  and damages were confirmed.  </t>
    </r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</si>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</sst>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1386840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1615440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4" sqref="G14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206</v>
      </c>
      <c r="C3" s="68"/>
      <c r="D3" s="14" t="s">
        <v>202</v>
      </c>
      <c r="E3" s="63">
        <f>SUM(Table6[[A]:[B]])</f>
        <v>0</v>
      </c>
      <c r="F3" s="64"/>
      <c r="G3" s="55">
        <f>SUM(Table6[[C]:[G]])</f>
        <v>403474</v>
      </c>
      <c r="H3" s="56"/>
      <c r="I3" s="56"/>
      <c r="J3" s="56"/>
      <c r="K3" s="57"/>
      <c r="L3" s="9">
        <f>SUM(Table6[Applicant Total])</f>
        <v>403474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25</v>
      </c>
      <c r="C6" s="10" t="s">
        <v>207</v>
      </c>
      <c r="D6" s="11" t="s">
        <v>209</v>
      </c>
      <c r="E6" s="13"/>
      <c r="F6" s="12"/>
      <c r="G6" s="12">
        <v>403474</v>
      </c>
      <c r="H6" s="13"/>
      <c r="I6" s="13"/>
      <c r="J6" s="13"/>
      <c r="K6" s="13"/>
      <c r="L6" s="15">
        <f>SUM(Table6[[#This Row],[A]:[G]])</f>
        <v>403474</v>
      </c>
    </row>
    <row r="7" spans="1:12" x14ac:dyDescent="0.25">
      <c r="B7" s="10"/>
      <c r="C7" s="10"/>
      <c r="D7" s="11"/>
      <c r="E7" s="13"/>
      <c r="F7" s="13"/>
      <c r="G7" s="12"/>
      <c r="H7" s="12"/>
      <c r="I7" s="13"/>
      <c r="J7" s="13"/>
      <c r="K7" s="13"/>
      <c r="L7" s="15">
        <f>SUM(Table6[[#This Row],[A]:[G]])</f>
        <v>0</v>
      </c>
    </row>
    <row r="8" spans="1:12" x14ac:dyDescent="0.25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2" sqref="B2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Menominee County</v>
      </c>
      <c r="B2" s="49" t="s">
        <v>208</v>
      </c>
    </row>
    <row r="3" spans="1:2" ht="45" customHeight="1" x14ac:dyDescent="0.25">
      <c r="A3" s="28">
        <f>'County Summary'!B7</f>
        <v>0</v>
      </c>
      <c r="B3" s="11"/>
    </row>
    <row r="4" spans="1:2" ht="45" customHeight="1" x14ac:dyDescent="0.25">
      <c r="A4" s="28">
        <f>'County Summary'!B8</f>
        <v>0</v>
      </c>
      <c r="B4" s="11"/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Q33" sqref="P33:Q3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8E64C151-CA61-4483-9281-E804C3B5E5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B6618A-A1B9-4FC9-925A-722407B3AAF8}">
  <ds:schemaRefs>
    <ds:schemaRef ds:uri="538c035d-569c-47ab-a864-fdd8ae3d4516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4f1a833c-a938-4a5e-81e3-99cd1b92e526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Annerino, Charles</cp:lastModifiedBy>
  <cp:lastPrinted>2021-08-11T17:13:15Z</cp:lastPrinted>
  <dcterms:created xsi:type="dcterms:W3CDTF">2000-06-27T13:20:49Z</dcterms:created>
  <dcterms:modified xsi:type="dcterms:W3CDTF">2026-07-07T15:25:37Z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