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 🍒/Damage Data/Chart A's for PDA Lead Review/Ready for Table A/Entered in Table A/"/>
    </mc:Choice>
  </mc:AlternateContent>
  <xr:revisionPtr revIDLastSave="90" documentId="13_ncr:1_{4B26DC56-3104-4C3E-A816-A5885244DC2D}" xr6:coauthVersionLast="47" xr6:coauthVersionMax="47" xr10:uidLastSave="{8A85B98C-BC37-4378-9ECC-5DA11E11804E}"/>
  <bookViews>
    <workbookView minimized="1" xWindow="768" yWindow="768" windowWidth="17280" windowHeight="8880"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<sst xmlns="http://schemas.openxmlformats.org/spreadsheetml/2006/main" count="215" uniqueCount="211">
  <si>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</si>
  <si>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</si>
  <si>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</si>
  <si>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</si>
  <si>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</si>
  <si>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</si>
  <si>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</si>
  <si>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</si>
  <si>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</si>
  <si>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</si>
  <si>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</si>
  <si>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</si>
  <si>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</si>
  <si>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</si>
  <si>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</si>
  <si>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</si>
  <si>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</si>
  <si>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</si>
  <si>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</si>
  <si>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</si>
  <si>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</si>
  <si>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</si>
  <si>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</si>
  <si>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</si>
  <si>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</si>
  <si>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</si>
  <si>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</si>
  <si>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</si>
  <si>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</si>
  <si>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</si>
  <si>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</si>
  <si>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</si>
  <si>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</si>
  <si>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</si>
  <si>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</si>
  <si>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</si>
  <si>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</si>
  <si>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</si>
  <si>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</si>
  <si>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</si>
  <si>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</si>
  <si>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</si>
  <si>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</si>
  <si>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</si>
  <si>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</si>
  <si>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</si>
  <si>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</si>
  <si>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</si>
  <si>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</si>
  <si>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</si>
  <si>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</si>
  <si>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</si>
  <si>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</si>
  <si>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</si>
  <si>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</si>
  <si>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</si>
  <si>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</si>
  <si>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</si>
  <si>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</si>
  <si>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</si>
  <si>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</si>
  <si>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</si>
  <si>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</si>
  <si>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</si>
  <si>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</si>
  <si>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</si>
  <si>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</si>
  <si>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</si>
  <si>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</si>
  <si>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</si>
  <si>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</si>
  <si>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</si>
  <si>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</si>
  <si>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</si>
  <si>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</si>
  <si>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</si>
  <si>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</si>
  <si>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</si>
  <si>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</si>
  <si>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</si>
  <si>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</si>
  <si>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</si>
  <si>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</si>
  <si>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</si>
  <si>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</si>
  <si>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</si>
  <si>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</si>
  <si>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</si>
  <si>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</si>
  <si>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</si>
  <si>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</si>
  <si>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</si>
  <si>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</si>
  <si>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</si>
  <si>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</si>
  <si>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</si>
  <si>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</si>
  <si>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</si>
  <si>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</si>
  <si>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</si>
  <si>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</si>
  <si>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</si>
  <si>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</si>
  <si>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</si>
  <si>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</si>
  <si>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</si>
  <si>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</si>
  <si>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</si>
  <si>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</si>
  <si>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</si>
  <si>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</si>
  <si>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</si>
  <si>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</si>
  <si>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</si>
  <si>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</si>
  <si>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</si>
  <si>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</si>
  <si>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</si>
  <si>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</si>
  <si>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</si>
  <si>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</si>
  <si>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</si>
  <si>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</si>
  <si>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</si>
  <si>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</si>
  <si>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</si>
  <si>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</si>
  <si>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</si>
  <si>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</si>
  <si>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</si>
  <si>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</si>
  <si>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</si>
  <si>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</si>
  <si>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</si>
  <si>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</si>
  <si>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</si>
  <si>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</si>
  <si>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</si>
  <si>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</si>
  <si>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</si>
  <si>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</si>
  <si>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</si>
  <si>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</si>
  <si>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</si>
  <si>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</si>
  <si>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</si>
  <si>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</si>
  <si>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</si>
  <si>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</si>
  <si>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</si>
  <si>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</si>
  <si>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</si>
  <si>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</si>
  <si>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</si>
  <si>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</si>
  <si>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</si>
  <si>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</si>
  <si>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</si>
  <si>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</si>
  <si>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</si>
  <si>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</si>
  <si>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</si>
  <si>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</si>
  <si>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</si>
  <si>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</si>
  <si>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</si>
  <si>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</si>
  <si>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</si>
  <si>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</si>
  <si>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</si>
  <si>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</si>
  <si>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</si>
  <si>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</si>
  <si>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</si>
  <si>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</si>
  <si>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</si>
  <si>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</si>
  <si>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</si>
  <si>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</si>
  <si>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</si>
  <si>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</si>
  <si>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</si>
  <si>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</si>
  <si>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</si>
  <si>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</si>
  <si>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</si>
  <si>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</si>
  <si>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</si>
  <si>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</si>
  <si>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</si>
  <si>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</si>
  <si>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</si>
  <si>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</si>
  <si>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</si>
  <si>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</si>
  <si>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</si>
  <si>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</si>
  <si>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</si>
  <si>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</si>
  <si>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</si>
  <si>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</si>
  <si>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</si>
  <si>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</si>
  <si>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</si>
  <si>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</si>
  <si>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</si>
  <si>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Mecosta County (39,714) - $193,010.04</t>
  </si>
  <si>
    <t>Mecosta County Parks Commission</t>
  </si>
  <si>
    <t>County</t>
  </si>
  <si>
    <t>Complete</t>
  </si>
  <si>
    <r>
      <rPr>
        <b/>
        <sz val="10"/>
        <rFont val="Arial"/>
        <family val="2"/>
      </rPr>
      <t>Cat G: Estimated $835,245.00</t>
    </r>
    <r>
      <rPr>
        <sz val="10"/>
        <rFont val="Arial"/>
        <family val="2"/>
      </rPr>
      <t xml:space="preserve"> for trail repairs to site.</t>
    </r>
    <r>
      <rPr>
        <b/>
        <sz val="10"/>
        <rFont val="Arial"/>
        <family val="2"/>
      </rPr>
      <t xml:space="preserve"> Reduced $172,945.00</t>
    </r>
    <r>
      <rPr>
        <sz val="10"/>
        <rFont val="Arial"/>
        <family val="2"/>
      </rPr>
      <t xml:space="preserve"> ($14,000 for geotextile fabric, $50,000 for contingency costs, and $108,945.00 for engineering fees) </t>
    </r>
    <r>
      <rPr>
        <b/>
        <sz val="10"/>
        <rFont val="Arial"/>
        <family val="2"/>
      </rPr>
      <t xml:space="preserve">Validated $632,000.00 </t>
    </r>
    <r>
      <rPr>
        <sz val="10"/>
        <rFont val="Arial"/>
        <family val="2"/>
      </rPr>
      <t xml:space="preserve">based off site inspection showing measurements are consistent with estimates, observation that the trail system had boulder retaining walls in place prior to the disaster to support the trail sidleslopes, and review of photos and costs estimates provided by the applicant. FEMA engineer advised that steel Sheetpiles are appropriate as a method of repair to restore the damages to this site that were caused by the event.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</si>
</sst>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9">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707391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707391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707391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279400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1393190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1621790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B6" sqref="B6"/>
    </sheetView>
  </sheetViews>
  <sheetFormatPr defaultColWidth="16.6640625" defaultRowHeight="13.2" x14ac:dyDescent="0.25"/>
  <cols>
    <col min="1" max="1" width="1.33203125" style="51" customWidth="1"/>
    <col min="2" max="2" width="31.6640625" customWidth="1"/>
    <col min="3" max="3" width="11.88671875" customWidth="1"/>
    <col min="4" max="4" width="16.6640625" customWidth="1"/>
    <col min="12" max="12" width="27.6640625" customWidth="1"/>
  </cols>
  <sheetData>
    <row r="1" spans="1:12" ht="13.2" customHeight="1" thickBot="1" x14ac:dyDescent="0.3">
      <c r="B1" s="50"/>
      <c r="C1" s="50"/>
      <c r="D1" s="50"/>
      <c r="E1" s="50"/>
      <c r="F1" s="50"/>
      <c r="G1" s="50"/>
      <c r="H1" s="50"/>
      <c r="I1" s="50"/>
      <c r="J1" s="50"/>
      <c r="K1" s="50"/>
      <c r="L1" s="50"/>
    </row>
    <row r="2" spans="1:12" s="1" customFormat="1" ht="20.100000000000001" customHeight="1" thickTop="1" thickBot="1" x14ac:dyDescent="0.3">
      <c r="A2" s="51"/>
      <c r="B2" s="65" t="s">
        <v>15</v>
      </c>
      <c r="C2" s="66"/>
      <c r="D2" s="5" t="s">
        <v>7</v>
      </c>
      <c r="E2" s="61" t="s">
        <v>9</v>
      </c>
      <c r="F2" s="62"/>
      <c r="G2" s="52" t="s">
        <v>13</v>
      </c>
      <c r="H2" s="53"/>
      <c r="I2" s="53"/>
      <c r="J2" s="53"/>
      <c r="K2" s="54"/>
      <c r="L2" s="6" t="s">
        <v>11</v>
      </c>
    </row>
    <row r="3" spans="1:12" s="1" customFormat="1" ht="31.2" customHeight="1" thickTop="1" thickBot="1" x14ac:dyDescent="0.3">
      <c r="A3" s="51"/>
      <c r="B3" s="67" t="s">
        <v>206</v>
      </c>
      <c r="C3" s="68"/>
      <c r="D3" s="14" t="s">
        <v>193</v>
      </c>
      <c r="E3" s="63">
        <f>SUM(Table6[[A]:[B]])</f>
        <v>0</v>
      </c>
      <c r="F3" s="64"/>
      <c r="G3" s="55">
        <f>SUM(Table6[[C]:[G]])</f>
        <v>632000</v>
      </c>
      <c r="H3" s="56"/>
      <c r="I3" s="56"/>
      <c r="J3" s="56"/>
      <c r="K3" s="57"/>
      <c r="L3" s="9">
        <f>SUM(Table6[Applicant Total])</f>
        <v>632000</v>
      </c>
    </row>
    <row r="4" spans="1:12" ht="14.4" thickTop="1" thickBot="1" x14ac:dyDescent="0.3">
      <c r="B4" s="58"/>
      <c r="C4" s="59"/>
      <c r="D4" s="59"/>
      <c r="E4" s="59"/>
      <c r="F4" s="59"/>
      <c r="G4" s="59"/>
      <c r="H4" s="59"/>
      <c r="I4" s="59"/>
      <c r="J4" s="59"/>
      <c r="K4" s="59"/>
      <c r="L4" s="60"/>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207</v>
      </c>
      <c r="C6" s="10" t="s">
        <v>208</v>
      </c>
      <c r="D6" s="11" t="s">
        <v>209</v>
      </c>
      <c r="E6" s="13"/>
      <c r="F6" s="12"/>
      <c r="G6" s="12"/>
      <c r="H6" s="13"/>
      <c r="I6" s="13"/>
      <c r="J6" s="13"/>
      <c r="K6" s="13">
        <v>632000</v>
      </c>
      <c r="L6" s="15">
        <f>SUM(Table6[[#This Row],[A]:[G]])</f>
        <v>632000</v>
      </c>
    </row>
    <row r="7" spans="1:12" x14ac:dyDescent="0.25">
      <c r="B7" s="10"/>
      <c r="C7" s="10"/>
      <c r="D7" s="11"/>
      <c r="E7" s="13"/>
      <c r="F7" s="13"/>
      <c r="G7" s="12"/>
      <c r="H7" s="12"/>
      <c r="I7" s="13"/>
      <c r="J7" s="13"/>
      <c r="K7" s="13"/>
      <c r="L7" s="15">
        <f>SUM(Table6[[#This Row],[A]:[G]])</f>
        <v>0</v>
      </c>
    </row>
    <row r="8" spans="1:12" x14ac:dyDescent="0.25">
      <c r="B8" s="10"/>
      <c r="C8" s="10"/>
      <c r="D8" s="11"/>
      <c r="E8" s="13"/>
      <c r="F8" s="13"/>
      <c r="G8" s="13"/>
      <c r="H8" s="13"/>
      <c r="I8" s="13"/>
      <c r="J8" s="13"/>
      <c r="K8" s="13"/>
      <c r="L8" s="15">
        <f>SUM(Table6[[#This Row],[A]:[G]])</f>
        <v>0</v>
      </c>
    </row>
    <row r="9" spans="1:12" x14ac:dyDescent="0.25">
      <c r="B9" s="10"/>
      <c r="C9" s="10"/>
      <c r="D9" s="11"/>
      <c r="E9" s="13"/>
      <c r="F9" s="13"/>
      <c r="G9" s="13"/>
      <c r="H9" s="13"/>
      <c r="I9" s="13"/>
      <c r="J9" s="13"/>
      <c r="K9" s="13"/>
      <c r="L9" s="15">
        <f>SUM(Table6[[#This Row],[A]:[G]])</f>
        <v>0</v>
      </c>
    </row>
    <row r="10" spans="1:12" x14ac:dyDescent="0.25">
      <c r="B10" s="10"/>
      <c r="C10" s="10"/>
      <c r="D10" s="11"/>
      <c r="E10" s="13"/>
      <c r="F10" s="13"/>
      <c r="G10" s="13"/>
      <c r="H10" s="13"/>
      <c r="I10" s="13"/>
      <c r="J10" s="13"/>
      <c r="K10" s="13"/>
      <c r="L10" s="15">
        <f>SUM(Table6[[#This Row],[A]:[G]])</f>
        <v>0</v>
      </c>
    </row>
    <row r="11" spans="1:12" x14ac:dyDescent="0.25">
      <c r="B11" s="10"/>
      <c r="C11" s="10"/>
      <c r="D11" s="11"/>
      <c r="E11" s="13"/>
      <c r="F11" s="13"/>
      <c r="G11" s="13"/>
      <c r="H11" s="13"/>
      <c r="I11" s="13"/>
      <c r="J11" s="13"/>
      <c r="K11" s="13"/>
      <c r="L11" s="15">
        <f>SUM(Table6[[#This Row],[A]:[G]])</f>
        <v>0</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workbookViewId="0">
      <pane ySplit="1" topLeftCell="A2" activePane="bottomLeft" state="frozen"/>
      <selection pane="bottomLeft" activeCell="B2" sqref="B2"/>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90" customHeight="1" x14ac:dyDescent="0.25">
      <c r="A2" s="28" t="str">
        <f>'County Summary'!B6</f>
        <v>Mecosta County Parks Commission</v>
      </c>
      <c r="B2" s="49" t="s">
        <v>210</v>
      </c>
    </row>
    <row r="3" spans="1:2" ht="45" customHeight="1" x14ac:dyDescent="0.25">
      <c r="A3" s="28">
        <f>'County Summary'!B7</f>
        <v>0</v>
      </c>
      <c r="B3" s="11"/>
    </row>
    <row r="4" spans="1:2" ht="45" customHeight="1" x14ac:dyDescent="0.25">
      <c r="A4" s="28">
        <f>'County Summary'!B8</f>
        <v>0</v>
      </c>
      <c r="B4" s="11"/>
    </row>
    <row r="5" spans="1:2" ht="45" customHeight="1" x14ac:dyDescent="0.25">
      <c r="A5" s="28">
        <f>'County Summary'!B9</f>
        <v>0</v>
      </c>
      <c r="B5" s="11"/>
    </row>
    <row r="6" spans="1:2" ht="45" customHeight="1" x14ac:dyDescent="0.25">
      <c r="A6" s="28">
        <f>'County Summary'!B10</f>
        <v>0</v>
      </c>
      <c r="B6" s="11"/>
    </row>
    <row r="7" spans="1:2" ht="45" customHeight="1" x14ac:dyDescent="0.25">
      <c r="A7" s="28">
        <f>'County Summary'!B11</f>
        <v>0</v>
      </c>
      <c r="B7" s="11"/>
    </row>
    <row r="8" spans="1:2" ht="45" customHeight="1" x14ac:dyDescent="0.25">
      <c r="A8" s="28">
        <f>'County Summary'!B12</f>
        <v>0</v>
      </c>
      <c r="B8" s="11"/>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4A498B-06D0-44E4-A31C-C021D6AC1514}"/>
</file>

<file path=customXml/itemProps2.xml><?xml version="1.0" encoding="utf-8"?>
<ds:datastoreItem xmlns:ds="http://schemas.openxmlformats.org/officeDocument/2006/customXml" ds:itemID="{48B6618A-A1B9-4FC9-925A-722407B3AAF8}">
  <ds:schemaRefs>
    <ds:schemaRef ds:uri="http://www.w3.org/XML/1998/namespace"/>
    <ds:schemaRef ds:uri="http://purl.org/dc/terms/"/>
    <ds:schemaRef ds:uri="http://purl.org/dc/elements/1.1/"/>
    <ds:schemaRef ds:uri="http://purl.org/dc/dcmitype/"/>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538c035d-569c-47ab-a864-fdd8ae3d4516"/>
    <ds:schemaRef ds:uri="4f1a833c-a938-4a5e-81e3-99cd1b92e526"/>
  </ds:schemaRefs>
</ds:datastoreItem>
</file>

<file path=customXml/itemProps3.xml><?xml version="1.0" encoding="utf-8"?>
<ds:datastoreItem xmlns:ds="http://schemas.openxmlformats.org/officeDocument/2006/customXml" ds:itemID="{F37D2BC2-5E07-4C2F-BF77-6651C4886E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Annerino, Charles</cp:lastModifiedBy>
  <cp:lastPrinted>2021-08-11T17:13:15Z</cp:lastPrinted>
  <dcterms:created xsi:type="dcterms:W3CDTF">2000-06-27T13:20:49Z</dcterms:created>
  <dcterms:modified xsi:type="dcterms:W3CDTF">2026-05-27T13:54:03Z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