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Ready for Table A/"/>
    </mc:Choice>
  </mc:AlternateContent>
  <xr:revisionPtr revIDLastSave="182" documentId="13_ncr:1_{4B26DC56-3104-4C3E-A816-A5885244DC2D}" xr6:coauthVersionLast="47" xr6:coauthVersionMax="47" xr10:uidLastSave="{BCFD5F16-B220-4D0C-BE10-E24C190A50AC}"/>
  <bookViews>
    <workbookView xWindow="28680" yWindow="-120" windowWidth="29040" windowHeight="15720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<sst xmlns="http://schemas.openxmlformats.org/spreadsheetml/2006/main" count="239" uniqueCount="225">
  <si>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</si>
  <si>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</si>
  <si>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</si>
  <si>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</si>
  <si>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</si>
  <si>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</si>
  <si>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</si>
  <si>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</si>
  <si>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</si>
  <si>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</si>
  <si>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</si>
  <si>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</si>
  <si>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</si>
  <si>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</si>
  <si>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</si>
  <si>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</si>
  <si>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</si>
  <si>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</si>
  <si>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</si>
  <si>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</si>
  <si>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</si>
  <si>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</si>
  <si>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</si>
  <si>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</si>
  <si>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</si>
  <si>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</si>
  <si>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</si>
  <si>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</si>
  <si>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</si>
  <si>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</si>
  <si>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</si>
  <si>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</si>
  <si>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</si>
  <si>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</si>
  <si>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</si>
  <si>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</si>
  <si>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</si>
  <si>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</si>
  <si>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</si>
  <si>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</si>
  <si>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</si>
  <si>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</si>
  <si>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</si>
  <si>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</si>
  <si>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</si>
  <si>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</si>
  <si>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</si>
  <si>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</si>
  <si>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</si>
  <si>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</si>
  <si>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</si>
  <si>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</si>
  <si>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</si>
  <si>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</si>
  <si>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</si>
  <si>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</si>
  <si>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</si>
  <si>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</si>
  <si>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</si>
  <si>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</si>
  <si>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</si>
  <si>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</si>
  <si>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</si>
  <si>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</si>
  <si>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</si>
  <si>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</si>
  <si>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</si>
  <si>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</si>
  <si>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</si>
  <si>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</si>
  <si>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</si>
  <si>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</si>
  <si>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</si>
  <si>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</si>
  <si>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</si>
  <si>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</si>
  <si>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</si>
  <si>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</si>
  <si>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</si>
  <si>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</si>
  <si>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</si>
  <si>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</si>
  <si>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</si>
  <si>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</si>
  <si>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</si>
  <si>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</si>
  <si>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</si>
  <si>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</si>
  <si>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</si>
  <si>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</si>
  <si>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</si>
  <si>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</si>
  <si>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</si>
  <si>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</si>
  <si>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</si>
  <si>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</si>
  <si>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</si>
  <si>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</si>
  <si>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</si>
  <si>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</si>
  <si>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</si>
  <si>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</si>
  <si>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</si>
  <si>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</si>
  <si>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</si>
  <si>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</si>
  <si>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</si>
  <si>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</si>
  <si>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</si>
  <si>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</si>
  <si>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</si>
  <si>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</si>
  <si>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</si>
  <si>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</si>
  <si>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</si>
  <si>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</si>
  <si>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</si>
  <si>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</si>
  <si>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</si>
  <si>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</si>
  <si>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</si>
  <si>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</si>
  <si>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</si>
  <si>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</si>
  <si>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</si>
  <si>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</si>
  <si>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</si>
  <si>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</si>
  <si>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</si>
  <si>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</si>
  <si>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</si>
  <si>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</si>
  <si>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</si>
  <si>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</si>
  <si>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</si>
  <si>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</si>
  <si>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</si>
  <si>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</si>
  <si>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</si>
  <si>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</si>
  <si>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</si>
  <si>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</si>
  <si>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</si>
  <si>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</si>
  <si>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</si>
  <si>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</si>
  <si>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</si>
  <si>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</si>
  <si>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</si>
  <si>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</si>
  <si>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</si>
  <si>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</si>
  <si>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</si>
  <si>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</si>
  <si>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</si>
  <si>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</si>
  <si>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</si>
  <si>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</si>
  <si>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</si>
  <si>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</si>
  <si>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</si>
  <si>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</si>
  <si>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</si>
  <si>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</si>
  <si>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</si>
  <si>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</si>
  <si>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</si>
  <si>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</si>
  <si>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</si>
  <si>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</si>
  <si>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</si>
  <si>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</si>
  <si>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</si>
  <si>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</si>
  <si>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</si>
  <si>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</si>
  <si>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</si>
  <si>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</si>
  <si>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</si>
  <si>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</si>
  <si>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</si>
  <si>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</si>
  <si>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</si>
  <si>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</si>
  <si>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</si>
  <si>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</si>
  <si>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</si>
  <si>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</si>
  <si>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</si>
  <si>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</si>
  <si>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</si>
  <si>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</si>
  <si>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</si>
  <si>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</si>
  <si>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</si>
  <si>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</si>
  <si>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</si>
  <si>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</si>
  <si>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</si>
  <si>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</si>
  <si>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</si>
  <si>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</si>
  <si>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</si>
  <si>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</si>
  <si>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</si>
  <si>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</si>
  <si>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Newaygo County (49,978) - $242,893.08</t>
  </si>
  <si>
    <t>Bridgeton Township</t>
  </si>
  <si>
    <t>City of Grant</t>
  </si>
  <si>
    <t>City of Newaygo</t>
  </si>
  <si>
    <t>County of Newaygo</t>
  </si>
  <si>
    <t>Village of Hesperia</t>
  </si>
  <si>
    <t>County</t>
  </si>
  <si>
    <t>Complete</t>
  </si>
  <si>
    <r>
      <rPr>
        <b/>
        <sz val="10"/>
        <rFont val="Arial"/>
        <family val="2"/>
      </rPr>
      <t>Cat A: Estimated: $1,842.00</t>
    </r>
    <r>
      <rPr>
        <sz val="10"/>
        <rFont val="Arial"/>
        <family val="2"/>
      </rPr>
      <t xml:space="preserve"> for debris removal (mud) from boat launch drive. </t>
    </r>
    <r>
      <rPr>
        <b/>
        <sz val="10"/>
        <rFont val="Arial"/>
        <family val="2"/>
      </rPr>
      <t>Reduced: $1,842.00</t>
    </r>
    <r>
      <rPr>
        <sz val="10"/>
        <rFont val="Arial"/>
        <family val="2"/>
      </rPr>
      <t xml:space="preserve"> for not meeting FY26 minimum threshold of $4,100.
</t>
    </r>
    <r>
      <rPr>
        <b/>
        <sz val="10"/>
        <rFont val="Arial"/>
        <family val="2"/>
      </rPr>
      <t>Cat B: Estimated: $54.00</t>
    </r>
    <r>
      <rPr>
        <sz val="10"/>
        <rFont val="Arial"/>
        <family val="2"/>
      </rPr>
      <t xml:space="preserve"> for damaged warning sign. </t>
    </r>
    <r>
      <rPr>
        <b/>
        <sz val="10"/>
        <rFont val="Arial"/>
        <family val="2"/>
      </rPr>
      <t xml:space="preserve">Reduced: $54.00 </t>
    </r>
    <r>
      <rPr>
        <sz val="10"/>
        <rFont val="Arial"/>
        <family val="2"/>
      </rPr>
      <t xml:space="preserve">for not meeting FY26 minimum threshold of $4,100.
</t>
    </r>
    <r>
      <rPr>
        <b/>
        <sz val="10"/>
        <rFont val="Arial"/>
        <family val="2"/>
      </rPr>
      <t xml:space="preserve">Cat C: Estimated: $342.00 </t>
    </r>
    <r>
      <rPr>
        <sz val="10"/>
        <rFont val="Arial"/>
        <family val="2"/>
      </rPr>
      <t xml:space="preserve">for boat launch drive washed out from flood. </t>
    </r>
    <r>
      <rPr>
        <b/>
        <sz val="10"/>
        <rFont val="Arial"/>
        <family val="2"/>
      </rPr>
      <t>Reduced: $342.00</t>
    </r>
    <r>
      <rPr>
        <sz val="10"/>
        <rFont val="Arial"/>
        <family val="2"/>
      </rPr>
      <t xml:space="preserve"> for not meeting FY26 minimum threshold of $4,100.</t>
    </r>
  </si>
  <si>
    <r>
      <rPr>
        <b/>
        <sz val="10"/>
        <rFont val="Arial"/>
        <family val="2"/>
      </rPr>
      <t xml:space="preserve">Cat B: Estimated: $3,159.00 </t>
    </r>
    <r>
      <rPr>
        <sz val="10"/>
        <rFont val="Arial"/>
        <family val="2"/>
      </rPr>
      <t xml:space="preserve">for emergency protective measures. Ashland Grant Fire Department conducted emergency response operations due to flooding conditions. </t>
    </r>
    <r>
      <rPr>
        <b/>
        <sz val="10"/>
        <rFont val="Arial"/>
        <family val="2"/>
      </rPr>
      <t>Reduced: $3,159.00</t>
    </r>
    <r>
      <rPr>
        <sz val="10"/>
        <rFont val="Arial"/>
        <family val="2"/>
      </rPr>
      <t xml:space="preserve"> for not meeting FY26 minimum threshold of $4,100.</t>
    </r>
  </si>
  <si>
    <r>
      <rPr>
        <b/>
        <sz val="10"/>
        <rFont val="Arial"/>
        <family val="2"/>
      </rPr>
      <t>Cat B: Estimated: $5,422.40</t>
    </r>
    <r>
      <rPr>
        <sz val="10"/>
        <rFont val="Arial"/>
        <family val="2"/>
      </rPr>
      <t xml:space="preserve"> for emergency protective measures. Newaygo Fire Department conducted emergency response operations due to flooding conditions. </t>
    </r>
    <r>
      <rPr>
        <b/>
        <sz val="10"/>
        <rFont val="Arial"/>
        <family val="2"/>
      </rPr>
      <t xml:space="preserve">Validated: $5,422.40 </t>
    </r>
    <r>
      <rPr>
        <sz val="10"/>
        <rFont val="Arial"/>
        <family val="2"/>
      </rPr>
      <t>utilizing Applicant provided cost summary.</t>
    </r>
  </si>
  <si>
    <r>
      <t>Cat B: Estimated: $32,534</t>
    </r>
    <r>
      <rPr>
        <sz val="10"/>
        <rFont val="Arial"/>
        <family val="2"/>
      </rPr>
      <t xml:space="preserve"> for emergency protective measures at Hesperia Dam, including sandbagging and excavation operations necessary to mitigate immediate threats due to flooding. </t>
    </r>
    <r>
      <rPr>
        <b/>
        <sz val="10"/>
        <rFont val="Arial"/>
        <family val="2"/>
      </rPr>
      <t>Validated: $32,534.25</t>
    </r>
    <r>
      <rPr>
        <sz val="10"/>
        <rFont val="Arial"/>
        <family val="2"/>
      </rPr>
      <t xml:space="preserve"> utilizing Applicant provide cost summary and photos.</t>
    </r>
  </si>
  <si>
    <t>Great Lakes Energy Co-Op</t>
  </si>
  <si>
    <r>
      <t xml:space="preserve">CAT F: 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$11,697.36   for power outage and restoration due to flooding. </t>
    </r>
    <r>
      <rPr>
        <b/>
        <sz val="10"/>
        <rFont val="Arial"/>
        <family val="2"/>
      </rPr>
      <t xml:space="preserve"> Validated:</t>
    </r>
    <r>
      <rPr>
        <sz val="10"/>
        <rFont val="Arial"/>
        <family val="2"/>
      </rPr>
      <t xml:space="preserve"> $11,697.36  utilizing applicant provided cost summaries.</t>
    </r>
  </si>
  <si>
    <r>
      <rPr>
        <b/>
        <sz val="10"/>
        <rFont val="Arial"/>
        <family val="2"/>
      </rPr>
      <t>Cat A: Estimated: $879.00</t>
    </r>
    <r>
      <rPr>
        <sz val="10"/>
        <rFont val="Arial"/>
        <family val="2"/>
      </rPr>
      <t xml:space="preserve"> for debris removal from 5 drains.</t>
    </r>
    <r>
      <rPr>
        <b/>
        <sz val="10"/>
        <rFont val="Arial"/>
        <family val="2"/>
      </rPr>
      <t xml:space="preserve"> Reduced: $879.00</t>
    </r>
    <r>
      <rPr>
        <sz val="10"/>
        <rFont val="Arial"/>
        <family val="2"/>
      </rPr>
      <t xml:space="preserve"> for not meeting FY26 minimum threshold of $4,100.
</t>
    </r>
    <r>
      <rPr>
        <b/>
        <sz val="10"/>
        <rFont val="Arial"/>
        <family val="2"/>
      </rPr>
      <t>Cat B: Estimated: $11,142.00</t>
    </r>
    <r>
      <rPr>
        <sz val="10"/>
        <rFont val="Arial"/>
        <family val="2"/>
      </rPr>
      <t xml:space="preserve"> for emergency protective measures. Due to flooding conditions, the Emergency Operations Center was activated and Newaygo County Sheriff's office performed evacuations and hazard remediation. </t>
    </r>
    <r>
      <rPr>
        <b/>
        <sz val="10"/>
        <rFont val="Arial"/>
        <family val="2"/>
      </rPr>
      <t>Validated: $11,142.00</t>
    </r>
    <r>
      <rPr>
        <sz val="10"/>
        <rFont val="Arial"/>
        <family val="2"/>
      </rPr>
      <t xml:space="preserve"> utilizing Applicant provided damage inventory and cost summary reports.
</t>
    </r>
    <r>
      <rPr>
        <b/>
        <sz val="10"/>
        <rFont val="Arial"/>
        <family val="2"/>
      </rPr>
      <t>Cat C: Estimated: 254,395.78</t>
    </r>
    <r>
      <rPr>
        <sz val="10"/>
        <rFont val="Arial"/>
        <family val="2"/>
      </rPr>
      <t xml:space="preserve"> for culvert wash out and riprap replacement. </t>
    </r>
    <r>
      <rPr>
        <b/>
        <sz val="10"/>
        <rFont val="Arial"/>
        <family val="2"/>
      </rPr>
      <t>Reduced: $6,021.94</t>
    </r>
    <r>
      <rPr>
        <sz val="10"/>
        <rFont val="Arial"/>
        <family val="2"/>
      </rPr>
      <t xml:space="preserve"> for including FHWA road. (Spruce north of 1 Mile).Validated: </t>
    </r>
    <r>
      <rPr>
        <b/>
        <sz val="10"/>
        <rFont val="Arial"/>
        <family val="2"/>
      </rPr>
      <t xml:space="preserve">$248,373.84 </t>
    </r>
    <r>
      <rPr>
        <sz val="10"/>
        <rFont val="Arial"/>
        <family val="2"/>
      </rPr>
      <t xml:space="preserve">utilizing applicant provided estimates and invoices provided. 
</t>
    </r>
    <r>
      <rPr>
        <b/>
        <sz val="10"/>
        <rFont val="Arial"/>
        <family val="2"/>
      </rPr>
      <t>Cat G: Estimated: $230.00</t>
    </r>
    <r>
      <rPr>
        <sz val="10"/>
        <rFont val="Arial"/>
        <family val="2"/>
      </rPr>
      <t xml:space="preserve"> for 12' footbridge at White Cloud County Park Trail washed out downstream. </t>
    </r>
    <r>
      <rPr>
        <b/>
        <sz val="10"/>
        <rFont val="Arial"/>
        <family val="2"/>
      </rPr>
      <t>Reduced: $230.00</t>
    </r>
    <r>
      <rPr>
        <sz val="10"/>
        <rFont val="Arial"/>
        <family val="2"/>
      </rPr>
      <t xml:space="preserve"> for not meeting FY26 minimum threshold of $4,100.  
</t>
    </r>
  </si>
  <si>
    <t>Government</t>
  </si>
  <si>
    <t>PNP</t>
  </si>
  <si>
    <r>
      <rPr>
        <b/>
        <sz val="10"/>
        <rFont val="Arial"/>
        <family val="2"/>
      </rPr>
      <t>CAT G: Estimated $4,515  Validated $4,515</t>
    </r>
    <r>
      <rPr>
        <sz val="10"/>
        <rFont val="Arial"/>
        <family val="2"/>
      </rPr>
      <t xml:space="preserve"> to repair washout around vault, and pumping vault using applicant provided estimates.</t>
    </r>
  </si>
  <si>
    <t>MDNR - Newaygo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</si>
</sst>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CE6F1"/>
        <bgColor rgb="FFDCE6F1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15" fillId="14" borderId="18" xfId="0" applyFont="1" applyFill="1" applyBorder="1" applyProtection="1">
      <protection locked="0"/>
    </xf>
    <xf numFmtId="0" fontId="16" fillId="15" borderId="18" xfId="0" applyFont="1" applyFill="1" applyBorder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3" sqref="B13"/>
    </sheetView>
  </sheetViews>
  <sheetFormatPr defaultColWidth="16.7109375" defaultRowHeight="12.75" x14ac:dyDescent="0.2"/>
  <cols>
    <col min="1" max="1" width="1.28515625" style="56" customWidth="1"/>
    <col min="2" max="2" width="31.7109375" customWidth="1"/>
    <col min="3" max="3" width="11.85546875" customWidth="1"/>
    <col min="4" max="4" width="16.7109375" customWidth="1"/>
    <col min="12" max="12" width="27.7109375" customWidth="1"/>
  </cols>
  <sheetData>
    <row r="1" spans="1:12" ht="13.15" customHeight="1" thickBot="1" x14ac:dyDescent="0.25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s="1" customFormat="1" ht="20.100000000000001" customHeight="1" thickTop="1" thickBot="1" x14ac:dyDescent="0.25">
      <c r="A2" s="56"/>
      <c r="B2" s="70" t="s">
        <v>15</v>
      </c>
      <c r="C2" s="71"/>
      <c r="D2" s="5" t="s">
        <v>7</v>
      </c>
      <c r="E2" s="66" t="s">
        <v>9</v>
      </c>
      <c r="F2" s="67"/>
      <c r="G2" s="57" t="s">
        <v>13</v>
      </c>
      <c r="H2" s="58"/>
      <c r="I2" s="58"/>
      <c r="J2" s="58"/>
      <c r="K2" s="59"/>
      <c r="L2" s="6" t="s">
        <v>11</v>
      </c>
    </row>
    <row r="3" spans="1:12" s="1" customFormat="1" ht="31.15" customHeight="1" thickTop="1" thickBot="1" x14ac:dyDescent="0.25">
      <c r="A3" s="56"/>
      <c r="B3" s="72" t="s">
        <v>206</v>
      </c>
      <c r="C3" s="73"/>
      <c r="D3" s="14" t="s">
        <v>200</v>
      </c>
      <c r="E3" s="68">
        <f>SUM(Table6[[A]:[B]])</f>
        <v>49098.400000000001</v>
      </c>
      <c r="F3" s="69"/>
      <c r="G3" s="60">
        <f>SUM(Table6[[C]:[G]])</f>
        <v>264586.19999999995</v>
      </c>
      <c r="H3" s="61"/>
      <c r="I3" s="61"/>
      <c r="J3" s="61"/>
      <c r="K3" s="62"/>
      <c r="L3" s="9">
        <f>SUM(Table6[Applicant Total])</f>
        <v>313684.59999999998</v>
      </c>
    </row>
    <row r="4" spans="1:12" ht="14.25" thickTop="1" thickBot="1" x14ac:dyDescent="0.25">
      <c r="B4" s="63"/>
      <c r="C4" s="64"/>
      <c r="D4" s="64"/>
      <c r="E4" s="64"/>
      <c r="F4" s="64"/>
      <c r="G4" s="64"/>
      <c r="H4" s="64"/>
      <c r="I4" s="64"/>
      <c r="J4" s="64"/>
      <c r="K4" s="64"/>
      <c r="L4" s="65"/>
    </row>
    <row r="5" spans="1:12" ht="13.5" thickBot="1" x14ac:dyDescent="0.25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">
      <c r="B6" s="10" t="s">
        <v>207</v>
      </c>
      <c r="C6" s="10" t="s">
        <v>221</v>
      </c>
      <c r="D6" s="11" t="s">
        <v>213</v>
      </c>
      <c r="E6" s="13"/>
      <c r="F6" s="12"/>
      <c r="G6" s="12"/>
      <c r="H6" s="13"/>
      <c r="I6" s="13"/>
      <c r="J6" s="13"/>
      <c r="K6" s="13"/>
      <c r="L6" s="15">
        <f>SUM(Table6[[#This Row],[A]:[G]])</f>
        <v>0</v>
      </c>
    </row>
    <row r="7" spans="1:12" x14ac:dyDescent="0.2">
      <c r="B7" s="10" t="s">
        <v>208</v>
      </c>
      <c r="C7" s="10" t="s">
        <v>221</v>
      </c>
      <c r="D7" s="11" t="s">
        <v>213</v>
      </c>
      <c r="E7" s="13"/>
      <c r="F7" s="13"/>
      <c r="G7" s="12"/>
      <c r="H7" s="12"/>
      <c r="I7" s="13"/>
      <c r="J7" s="13"/>
      <c r="K7" s="13"/>
      <c r="L7" s="15">
        <f>SUM(Table6[[#This Row],[A]:[G]])</f>
        <v>0</v>
      </c>
    </row>
    <row r="8" spans="1:12" x14ac:dyDescent="0.2">
      <c r="B8" s="10" t="s">
        <v>209</v>
      </c>
      <c r="C8" s="10" t="s">
        <v>221</v>
      </c>
      <c r="D8" s="11" t="s">
        <v>213</v>
      </c>
      <c r="E8" s="13"/>
      <c r="F8" s="13">
        <v>5422.4</v>
      </c>
      <c r="G8" s="13"/>
      <c r="H8" s="13"/>
      <c r="I8" s="13"/>
      <c r="J8" s="13"/>
      <c r="K8" s="13"/>
      <c r="L8" s="15">
        <f>SUM(Table6[[#This Row],[A]:[G]])</f>
        <v>5422.4</v>
      </c>
    </row>
    <row r="9" spans="1:12" x14ac:dyDescent="0.2">
      <c r="B9" s="10" t="s">
        <v>210</v>
      </c>
      <c r="C9" s="10" t="s">
        <v>212</v>
      </c>
      <c r="D9" s="11" t="s">
        <v>213</v>
      </c>
      <c r="E9" s="13"/>
      <c r="F9" s="13">
        <v>11142</v>
      </c>
      <c r="G9" s="13">
        <v>248373.84</v>
      </c>
      <c r="H9" s="13"/>
      <c r="I9" s="13"/>
      <c r="J9" s="13"/>
      <c r="K9" s="13"/>
      <c r="L9" s="15">
        <f>SUM(Table6[[#This Row],[A]:[G]])</f>
        <v>259515.84</v>
      </c>
    </row>
    <row r="10" spans="1:12" x14ac:dyDescent="0.2">
      <c r="B10" s="10" t="s">
        <v>211</v>
      </c>
      <c r="C10" s="10" t="s">
        <v>221</v>
      </c>
      <c r="D10" s="11" t="s">
        <v>213</v>
      </c>
      <c r="E10" s="13"/>
      <c r="F10" s="13">
        <v>32534</v>
      </c>
      <c r="G10" s="13"/>
      <c r="H10" s="13"/>
      <c r="I10" s="13"/>
      <c r="J10" s="13"/>
      <c r="K10" s="13"/>
      <c r="L10" s="15">
        <f>SUM(Table6[[#This Row],[A]:[G]])</f>
        <v>32534</v>
      </c>
    </row>
    <row r="11" spans="1:12" x14ac:dyDescent="0.2">
      <c r="B11" s="53" t="s">
        <v>218</v>
      </c>
      <c r="C11" s="10" t="s">
        <v>222</v>
      </c>
      <c r="D11" s="11" t="s">
        <v>213</v>
      </c>
      <c r="E11" s="13"/>
      <c r="F11" s="13"/>
      <c r="G11" s="13"/>
      <c r="H11" s="13"/>
      <c r="I11" s="13"/>
      <c r="J11" s="13">
        <v>11697.359999999999</v>
      </c>
      <c r="K11" s="13"/>
      <c r="L11" s="15">
        <f>SUM(Table6[[#This Row],[A]:[G]])</f>
        <v>11697.359999999999</v>
      </c>
    </row>
    <row r="12" spans="1:12" x14ac:dyDescent="0.2">
      <c r="B12" s="10" t="s">
        <v>224</v>
      </c>
      <c r="C12" s="10" t="s">
        <v>221</v>
      </c>
      <c r="D12" s="11" t="s">
        <v>213</v>
      </c>
      <c r="E12" s="12"/>
      <c r="F12" s="13"/>
      <c r="G12" s="13"/>
      <c r="H12" s="13"/>
      <c r="I12" s="13"/>
      <c r="J12" s="13"/>
      <c r="K12" s="13">
        <v>4515</v>
      </c>
      <c r="L12" s="15">
        <f>SUM(Table6[[#This Row],[A]:[G]])</f>
        <v>4515</v>
      </c>
    </row>
    <row r="13" spans="1:12" x14ac:dyDescent="0.2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2.75" x14ac:dyDescent="0.2"/>
  <cols>
    <col min="1" max="1" width="0.85546875" style="42" customWidth="1"/>
    <col min="2" max="2" width="23" customWidth="1"/>
    <col min="3" max="3" width="11.28515625" bestFit="1" customWidth="1"/>
    <col min="4" max="4" width="15.28515625" customWidth="1"/>
    <col min="5" max="5" width="14.7109375" customWidth="1"/>
    <col min="6" max="6" width="12.140625" customWidth="1"/>
    <col min="7" max="7" width="23.28515625" bestFit="1" customWidth="1"/>
    <col min="8" max="8" width="106" customWidth="1"/>
    <col min="9" max="9" width="2" style="47" customWidth="1"/>
  </cols>
  <sheetData>
    <row r="1" spans="2:8" s="42" customFormat="1" ht="6.6" customHeight="1" x14ac:dyDescent="0.2"/>
    <row r="2" spans="2:8" x14ac:dyDescent="0.2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5" activePane="bottomLeft" state="frozen"/>
      <selection pane="bottomLeft" activeCell="B8" sqref="B8"/>
    </sheetView>
  </sheetViews>
  <sheetFormatPr defaultRowHeight="45" customHeight="1" x14ac:dyDescent="0.2"/>
  <cols>
    <col min="1" max="1" width="55.7109375" style="28" customWidth="1"/>
    <col min="2" max="2" width="151" customWidth="1"/>
  </cols>
  <sheetData>
    <row r="1" spans="1:2" ht="45" customHeight="1" thickBot="1" x14ac:dyDescent="0.25">
      <c r="A1" s="27" t="s">
        <v>12</v>
      </c>
      <c r="B1" s="26" t="s">
        <v>8</v>
      </c>
    </row>
    <row r="2" spans="1:2" ht="45" customHeight="1" x14ac:dyDescent="0.2">
      <c r="A2" s="28" t="str">
        <f>'County Summary'!B6</f>
        <v>Bridgeton Township</v>
      </c>
      <c r="B2" s="49" t="s">
        <v>214</v>
      </c>
    </row>
    <row r="3" spans="1:2" ht="45" customHeight="1" x14ac:dyDescent="0.2">
      <c r="A3" s="28" t="str">
        <f>'County Summary'!B7</f>
        <v>City of Grant</v>
      </c>
      <c r="B3" s="51" t="s">
        <v>215</v>
      </c>
    </row>
    <row r="4" spans="1:2" ht="45" customHeight="1" x14ac:dyDescent="0.2">
      <c r="A4" s="28" t="str">
        <f>'County Summary'!B8</f>
        <v>City of Newaygo</v>
      </c>
      <c r="B4" s="50" t="s">
        <v>216</v>
      </c>
    </row>
    <row r="5" spans="1:2" ht="78.75" customHeight="1" x14ac:dyDescent="0.2">
      <c r="A5" s="28" t="str">
        <f>'County Summary'!B9</f>
        <v>County of Newaygo</v>
      </c>
      <c r="B5" s="50" t="s">
        <v>220</v>
      </c>
    </row>
    <row r="6" spans="1:2" ht="45" customHeight="1" x14ac:dyDescent="0.2">
      <c r="A6" s="28" t="str">
        <f>'County Summary'!B10</f>
        <v>Village of Hesperia</v>
      </c>
      <c r="B6" s="52" t="s">
        <v>217</v>
      </c>
    </row>
    <row r="7" spans="1:2" ht="45" customHeight="1" x14ac:dyDescent="0.2">
      <c r="A7" s="28" t="str">
        <f>'County Summary'!B11</f>
        <v>Great Lakes Energy Co-Op</v>
      </c>
      <c r="B7" s="54" t="s">
        <v>219</v>
      </c>
    </row>
    <row r="8" spans="1:2" ht="45" customHeight="1" x14ac:dyDescent="0.2">
      <c r="A8" s="28" t="str">
        <f>'County Summary'!B12</f>
        <v>MDNR - Newaygo County</v>
      </c>
      <c r="B8" s="10" t="s">
        <v>223</v>
      </c>
    </row>
    <row r="9" spans="1:2" ht="45" customHeight="1" x14ac:dyDescent="0.2">
      <c r="A9" s="28">
        <f>'County Summary'!B13</f>
        <v>0</v>
      </c>
      <c r="B9" s="11"/>
    </row>
    <row r="10" spans="1:2" ht="45" customHeight="1" x14ac:dyDescent="0.2">
      <c r="A10" s="28">
        <f>'County Summary'!B14</f>
        <v>0</v>
      </c>
      <c r="B10" s="11"/>
    </row>
    <row r="11" spans="1:2" ht="45" customHeight="1" x14ac:dyDescent="0.2">
      <c r="A11" s="28">
        <f>'County Summary'!B15</f>
        <v>0</v>
      </c>
      <c r="B11" s="11"/>
    </row>
    <row r="12" spans="1:2" ht="45" customHeight="1" x14ac:dyDescent="0.2">
      <c r="A12" s="28">
        <f>'County Summary'!B16</f>
        <v>0</v>
      </c>
      <c r="B12" s="11"/>
    </row>
    <row r="13" spans="1:2" ht="45" customHeight="1" x14ac:dyDescent="0.2">
      <c r="A13" s="28">
        <f>'County Summary'!B17</f>
        <v>0</v>
      </c>
      <c r="B13" s="11"/>
    </row>
    <row r="14" spans="1:2" ht="45" customHeight="1" x14ac:dyDescent="0.2">
      <c r="A14" s="28">
        <f>'County Summary'!B18</f>
        <v>0</v>
      </c>
      <c r="B14" s="11"/>
    </row>
    <row r="15" spans="1:2" ht="45" customHeight="1" x14ac:dyDescent="0.2">
      <c r="A15" s="28">
        <f>'County Summary'!B19</f>
        <v>0</v>
      </c>
      <c r="B15" s="11"/>
    </row>
    <row r="16" spans="1:2" ht="45" customHeight="1" x14ac:dyDescent="0.2">
      <c r="A16" s="28">
        <f>'County Summary'!B20</f>
        <v>0</v>
      </c>
      <c r="B16" s="11"/>
    </row>
    <row r="17" spans="1:2" ht="45" customHeight="1" x14ac:dyDescent="0.2">
      <c r="A17" s="28">
        <f>'County Summary'!B21</f>
        <v>0</v>
      </c>
      <c r="B17" s="11"/>
    </row>
    <row r="18" spans="1:2" ht="45" customHeight="1" x14ac:dyDescent="0.2">
      <c r="A18" s="28">
        <f>'County Summary'!B22</f>
        <v>0</v>
      </c>
      <c r="B18" s="11"/>
    </row>
    <row r="19" spans="1:2" ht="45" customHeight="1" x14ac:dyDescent="0.2">
      <c r="A19" s="28">
        <f>'County Summary'!B23</f>
        <v>0</v>
      </c>
      <c r="B19" s="11"/>
    </row>
    <row r="20" spans="1:2" ht="45" customHeight="1" x14ac:dyDescent="0.2">
      <c r="A20" s="28">
        <f>'County Summary'!B24</f>
        <v>0</v>
      </c>
      <c r="B20" s="11"/>
    </row>
    <row r="21" spans="1:2" ht="45" customHeight="1" x14ac:dyDescent="0.2">
      <c r="A21" s="28">
        <f>'County Summary'!B25</f>
        <v>0</v>
      </c>
      <c r="B21" s="11"/>
    </row>
    <row r="22" spans="1:2" ht="45" customHeight="1" x14ac:dyDescent="0.2">
      <c r="A22" s="28">
        <f>'County Summary'!B26</f>
        <v>0</v>
      </c>
      <c r="B22" s="11"/>
    </row>
    <row r="23" spans="1:2" ht="45" customHeight="1" x14ac:dyDescent="0.2">
      <c r="A23" s="28">
        <f>'County Summary'!B27</f>
        <v>0</v>
      </c>
      <c r="B23" s="11"/>
    </row>
    <row r="24" spans="1:2" ht="45" customHeight="1" x14ac:dyDescent="0.2">
      <c r="A24" s="28">
        <f>'County Summary'!B28</f>
        <v>0</v>
      </c>
      <c r="B24" s="11"/>
    </row>
    <row r="25" spans="1:2" ht="45" customHeight="1" x14ac:dyDescent="0.2">
      <c r="A25" s="28">
        <f>'County Summary'!B29</f>
        <v>0</v>
      </c>
      <c r="B25" s="11"/>
    </row>
    <row r="26" spans="1:2" ht="45" customHeight="1" x14ac:dyDescent="0.2">
      <c r="A26" s="28">
        <f>'County Summary'!B30</f>
        <v>0</v>
      </c>
      <c r="B26" s="11"/>
    </row>
    <row r="27" spans="1:2" ht="45" customHeight="1" x14ac:dyDescent="0.2">
      <c r="A27" s="28">
        <f>'County Summary'!B31</f>
        <v>0</v>
      </c>
      <c r="B27" s="11"/>
    </row>
    <row r="28" spans="1:2" ht="45" customHeight="1" x14ac:dyDescent="0.2">
      <c r="A28" s="28">
        <f>'County Summary'!B32</f>
        <v>0</v>
      </c>
      <c r="B28" s="11"/>
    </row>
    <row r="29" spans="1:2" ht="45" customHeight="1" x14ac:dyDescent="0.2">
      <c r="A29" s="28">
        <f>'County Summary'!B33</f>
        <v>0</v>
      </c>
      <c r="B29" s="11"/>
    </row>
    <row r="30" spans="1:2" ht="45" customHeight="1" x14ac:dyDescent="0.2">
      <c r="A30" s="28">
        <f>'County Summary'!B34</f>
        <v>0</v>
      </c>
      <c r="B30" s="11"/>
    </row>
    <row r="31" spans="1:2" ht="45" customHeight="1" x14ac:dyDescent="0.2">
      <c r="A31" s="28">
        <f>'County Summary'!B35</f>
        <v>0</v>
      </c>
      <c r="B31" s="11"/>
    </row>
    <row r="32" spans="1:2" ht="45" customHeight="1" x14ac:dyDescent="0.2">
      <c r="A32" s="28">
        <f>'County Summary'!B36</f>
        <v>0</v>
      </c>
      <c r="B32" s="11"/>
    </row>
    <row r="33" spans="1:2" ht="45" customHeight="1" x14ac:dyDescent="0.2">
      <c r="A33" s="28">
        <f>'County Summary'!B37</f>
        <v>0</v>
      </c>
      <c r="B33" s="11"/>
    </row>
    <row r="34" spans="1:2" ht="45" customHeight="1" x14ac:dyDescent="0.2">
      <c r="A34" s="28">
        <f>'County Summary'!B38</f>
        <v>0</v>
      </c>
      <c r="B34" s="11"/>
    </row>
    <row r="35" spans="1:2" ht="45" customHeight="1" x14ac:dyDescent="0.2">
      <c r="A35" s="28">
        <f>'County Summary'!B39</f>
        <v>0</v>
      </c>
      <c r="B35" s="11"/>
    </row>
    <row r="36" spans="1:2" ht="45" customHeight="1" x14ac:dyDescent="0.2">
      <c r="A36" s="28">
        <f>'County Summary'!B40</f>
        <v>0</v>
      </c>
      <c r="B36" s="11"/>
    </row>
    <row r="37" spans="1:2" ht="45" customHeight="1" x14ac:dyDescent="0.2">
      <c r="A37" s="28">
        <f>'County Summary'!B41</f>
        <v>0</v>
      </c>
      <c r="B37" s="11"/>
    </row>
    <row r="38" spans="1:2" ht="45" customHeight="1" x14ac:dyDescent="0.2">
      <c r="A38" s="28">
        <f>'County Summary'!B42</f>
        <v>0</v>
      </c>
      <c r="B38" s="11"/>
    </row>
    <row r="39" spans="1:2" ht="45" customHeight="1" x14ac:dyDescent="0.2">
      <c r="A39" s="28">
        <f>'County Summary'!B43</f>
        <v>0</v>
      </c>
      <c r="B39" s="11"/>
    </row>
    <row r="40" spans="1:2" ht="45" customHeight="1" x14ac:dyDescent="0.2">
      <c r="A40" s="28">
        <f>'County Summary'!B44</f>
        <v>0</v>
      </c>
      <c r="B40" s="11"/>
    </row>
    <row r="41" spans="1:2" ht="45" customHeight="1" x14ac:dyDescent="0.2">
      <c r="A41" s="28">
        <f>'County Summary'!B45</f>
        <v>0</v>
      </c>
      <c r="B41" s="11"/>
    </row>
    <row r="42" spans="1:2" ht="45" customHeight="1" x14ac:dyDescent="0.2">
      <c r="A42" s="28">
        <f>'County Summary'!B46</f>
        <v>0</v>
      </c>
      <c r="B42" s="11"/>
    </row>
    <row r="43" spans="1:2" ht="45" customHeight="1" x14ac:dyDescent="0.2">
      <c r="A43" s="28">
        <f>'County Summary'!B47</f>
        <v>0</v>
      </c>
      <c r="B43" s="11"/>
    </row>
    <row r="44" spans="1:2" ht="45" customHeight="1" x14ac:dyDescent="0.2">
      <c r="A44" s="28">
        <f>'County Summary'!B48</f>
        <v>0</v>
      </c>
      <c r="B44" s="11"/>
    </row>
    <row r="45" spans="1:2" ht="45" customHeight="1" x14ac:dyDescent="0.2">
      <c r="A45" s="28">
        <f>'County Summary'!B49</f>
        <v>0</v>
      </c>
      <c r="B45" s="11"/>
    </row>
    <row r="46" spans="1:2" ht="45" customHeight="1" x14ac:dyDescent="0.2">
      <c r="A46" s="28">
        <f>'County Summary'!B50</f>
        <v>0</v>
      </c>
      <c r="B46" s="11"/>
    </row>
    <row r="47" spans="1:2" ht="45" customHeight="1" x14ac:dyDescent="0.2">
      <c r="A47" s="28">
        <f>'County Summary'!B51</f>
        <v>0</v>
      </c>
      <c r="B47" s="11"/>
    </row>
    <row r="48" spans="1:2" ht="45" customHeight="1" x14ac:dyDescent="0.2">
      <c r="A48" s="28">
        <f>'County Summary'!B52</f>
        <v>0</v>
      </c>
      <c r="B48" s="11"/>
    </row>
    <row r="49" spans="1:2" ht="45" customHeight="1" x14ac:dyDescent="0.2">
      <c r="A49" s="28">
        <f>'County Summary'!B53</f>
        <v>0</v>
      </c>
      <c r="B49" s="11"/>
    </row>
    <row r="50" spans="1:2" ht="45" customHeight="1" x14ac:dyDescent="0.2">
      <c r="A50" s="28">
        <f>'County Summary'!B54</f>
        <v>0</v>
      </c>
      <c r="B50" s="11"/>
    </row>
    <row r="51" spans="1:2" ht="45" customHeight="1" x14ac:dyDescent="0.2">
      <c r="A51" s="28">
        <f>'County Summary'!B55</f>
        <v>0</v>
      </c>
      <c r="B51" s="11"/>
    </row>
    <row r="52" spans="1:2" ht="45" customHeight="1" x14ac:dyDescent="0.2">
      <c r="A52" s="28">
        <f>'County Summary'!B56</f>
        <v>0</v>
      </c>
      <c r="B52" s="11"/>
    </row>
    <row r="53" spans="1:2" ht="45" customHeight="1" x14ac:dyDescent="0.2">
      <c r="A53" s="28">
        <f>'County Summary'!B57</f>
        <v>0</v>
      </c>
      <c r="B53" s="11"/>
    </row>
    <row r="54" spans="1:2" ht="45" customHeight="1" x14ac:dyDescent="0.2">
      <c r="A54" s="28">
        <f>'County Summary'!B58</f>
        <v>0</v>
      </c>
      <c r="B54" s="11"/>
    </row>
    <row r="55" spans="1:2" ht="45" customHeight="1" x14ac:dyDescent="0.2">
      <c r="A55" s="28">
        <f>'County Summary'!B59</f>
        <v>0</v>
      </c>
      <c r="B55" s="11"/>
    </row>
    <row r="56" spans="1:2" ht="45" customHeight="1" x14ac:dyDescent="0.2">
      <c r="A56" s="28">
        <f>'County Summary'!B60</f>
        <v>0</v>
      </c>
      <c r="B56" s="11"/>
    </row>
    <row r="57" spans="1:2" ht="45" customHeight="1" x14ac:dyDescent="0.2">
      <c r="A57" s="28">
        <f>'County Summary'!B61</f>
        <v>0</v>
      </c>
      <c r="B57" s="11"/>
    </row>
    <row r="58" spans="1:2" ht="45" customHeight="1" x14ac:dyDescent="0.2">
      <c r="A58" s="28">
        <f>'County Summary'!B62</f>
        <v>0</v>
      </c>
      <c r="B58" s="11"/>
    </row>
    <row r="59" spans="1:2" ht="45" customHeight="1" x14ac:dyDescent="0.2">
      <c r="A59" s="28">
        <f>'County Summary'!B63</f>
        <v>0</v>
      </c>
      <c r="B59" s="11"/>
    </row>
    <row r="60" spans="1:2" ht="45" customHeight="1" x14ac:dyDescent="0.2">
      <c r="A60" s="28">
        <f>'County Summary'!B64</f>
        <v>0</v>
      </c>
      <c r="B60" s="11"/>
    </row>
    <row r="61" spans="1:2" ht="45" customHeight="1" x14ac:dyDescent="0.2">
      <c r="A61" s="28">
        <f>'County Summary'!B65</f>
        <v>0</v>
      </c>
      <c r="B61" s="11"/>
    </row>
    <row r="62" spans="1:2" ht="45" customHeight="1" x14ac:dyDescent="0.2">
      <c r="A62" s="28">
        <f>'County Summary'!B66</f>
        <v>0</v>
      </c>
      <c r="B62" s="11"/>
    </row>
    <row r="63" spans="1:2" ht="45" customHeight="1" x14ac:dyDescent="0.2">
      <c r="A63" s="28">
        <f>'County Summary'!B67</f>
        <v>0</v>
      </c>
      <c r="B63" s="11"/>
    </row>
    <row r="64" spans="1:2" ht="45" customHeight="1" x14ac:dyDescent="0.2">
      <c r="A64" s="28">
        <f>'County Summary'!B68</f>
        <v>0</v>
      </c>
      <c r="B64" s="11"/>
    </row>
    <row r="65" spans="1:2" ht="45" customHeight="1" x14ac:dyDescent="0.2">
      <c r="A65" s="28">
        <f>'County Summary'!B69</f>
        <v>0</v>
      </c>
      <c r="B65" s="11"/>
    </row>
    <row r="66" spans="1:2" ht="45" customHeight="1" x14ac:dyDescent="0.2">
      <c r="A66" s="28">
        <f>'County Summary'!B70</f>
        <v>0</v>
      </c>
      <c r="B66" s="11"/>
    </row>
    <row r="67" spans="1:2" ht="45" customHeight="1" x14ac:dyDescent="0.2">
      <c r="A67" s="28">
        <f>'County Summary'!B71</f>
        <v>0</v>
      </c>
      <c r="B67" s="11"/>
    </row>
    <row r="68" spans="1:2" ht="45" customHeight="1" x14ac:dyDescent="0.2">
      <c r="A68" s="28">
        <f>'County Summary'!B72</f>
        <v>0</v>
      </c>
      <c r="B68" s="11"/>
    </row>
    <row r="69" spans="1:2" ht="45" customHeight="1" x14ac:dyDescent="0.2">
      <c r="A69" s="28">
        <f>'County Summary'!B73</f>
        <v>0</v>
      </c>
      <c r="B69" s="11"/>
    </row>
    <row r="70" spans="1:2" ht="45" customHeight="1" x14ac:dyDescent="0.2">
      <c r="A70" s="28">
        <f>'County Summary'!B74</f>
        <v>0</v>
      </c>
      <c r="B70" s="11"/>
    </row>
    <row r="71" spans="1:2" ht="45" customHeight="1" x14ac:dyDescent="0.2">
      <c r="A71" s="28">
        <f>'County Summary'!B75</f>
        <v>0</v>
      </c>
      <c r="B71" s="11"/>
    </row>
    <row r="72" spans="1:2" ht="45" customHeight="1" x14ac:dyDescent="0.2">
      <c r="A72" s="28">
        <f>'County Summary'!B76</f>
        <v>0</v>
      </c>
      <c r="B72" s="11"/>
    </row>
    <row r="73" spans="1:2" ht="45" customHeight="1" x14ac:dyDescent="0.2">
      <c r="A73" s="28">
        <f>'County Summary'!B77</f>
        <v>0</v>
      </c>
      <c r="B73" s="11"/>
    </row>
    <row r="74" spans="1:2" ht="45" customHeight="1" x14ac:dyDescent="0.2">
      <c r="A74" s="28">
        <f>'County Summary'!B78</f>
        <v>0</v>
      </c>
      <c r="B74" s="11"/>
    </row>
    <row r="75" spans="1:2" ht="45" customHeight="1" x14ac:dyDescent="0.2">
      <c r="A75" s="28">
        <f>'County Summary'!B79</f>
        <v>0</v>
      </c>
      <c r="B75" s="11"/>
    </row>
    <row r="76" spans="1:2" ht="45" customHeight="1" x14ac:dyDescent="0.2">
      <c r="A76" s="28">
        <f>'County Summary'!B80</f>
        <v>0</v>
      </c>
      <c r="B76" s="11"/>
    </row>
    <row r="77" spans="1:2" ht="45" customHeight="1" x14ac:dyDescent="0.2">
      <c r="A77" s="28">
        <f>'County Summary'!B81</f>
        <v>0</v>
      </c>
      <c r="B77" s="11"/>
    </row>
    <row r="78" spans="1:2" ht="45" customHeight="1" x14ac:dyDescent="0.2">
      <c r="A78" s="28">
        <f>'County Summary'!B82</f>
        <v>0</v>
      </c>
      <c r="B78" s="11"/>
    </row>
    <row r="79" spans="1:2" ht="45" customHeight="1" x14ac:dyDescent="0.2">
      <c r="A79" s="28">
        <f>'County Summary'!B83</f>
        <v>0</v>
      </c>
      <c r="B79" s="11"/>
    </row>
    <row r="80" spans="1:2" ht="45" customHeight="1" x14ac:dyDescent="0.2">
      <c r="A80" s="28">
        <f>'County Summary'!B84</f>
        <v>0</v>
      </c>
      <c r="B80" s="11"/>
    </row>
    <row r="81" spans="1:2" ht="45" customHeight="1" x14ac:dyDescent="0.2">
      <c r="A81" s="28">
        <f>'County Summary'!B85</f>
        <v>0</v>
      </c>
      <c r="B81" s="11"/>
    </row>
    <row r="82" spans="1:2" ht="45" customHeight="1" x14ac:dyDescent="0.2">
      <c r="A82" s="28">
        <f>'County Summary'!B86</f>
        <v>0</v>
      </c>
      <c r="B82" s="11"/>
    </row>
    <row r="83" spans="1:2" ht="45" customHeight="1" x14ac:dyDescent="0.2">
      <c r="A83" s="28">
        <f>'County Summary'!B87</f>
        <v>0</v>
      </c>
      <c r="B83" s="11"/>
    </row>
    <row r="84" spans="1:2" ht="45" customHeight="1" x14ac:dyDescent="0.2">
      <c r="A84" s="28">
        <f>'County Summary'!B88</f>
        <v>0</v>
      </c>
      <c r="B84" s="11"/>
    </row>
    <row r="85" spans="1:2" ht="45" customHeight="1" x14ac:dyDescent="0.2">
      <c r="A85" s="28">
        <f>'County Summary'!B89</f>
        <v>0</v>
      </c>
      <c r="B85" s="11"/>
    </row>
    <row r="86" spans="1:2" ht="45" customHeight="1" x14ac:dyDescent="0.2">
      <c r="A86" s="28">
        <f>'County Summary'!B90</f>
        <v>0</v>
      </c>
      <c r="B86" s="11"/>
    </row>
    <row r="87" spans="1:2" ht="45" customHeight="1" x14ac:dyDescent="0.2">
      <c r="A87" s="28">
        <f>'County Summary'!B91</f>
        <v>0</v>
      </c>
      <c r="B87" s="11"/>
    </row>
    <row r="88" spans="1:2" ht="45" customHeight="1" x14ac:dyDescent="0.2">
      <c r="A88" s="28">
        <f>'County Summary'!B92</f>
        <v>0</v>
      </c>
      <c r="B88" s="11"/>
    </row>
    <row r="89" spans="1:2" ht="45" customHeight="1" x14ac:dyDescent="0.2">
      <c r="A89" s="28">
        <f>'County Summary'!B93</f>
        <v>0</v>
      </c>
      <c r="B89" s="11"/>
    </row>
    <row r="90" spans="1:2" ht="45" customHeight="1" x14ac:dyDescent="0.2">
      <c r="A90" s="28">
        <f>'County Summary'!B94</f>
        <v>0</v>
      </c>
      <c r="B90" s="11"/>
    </row>
    <row r="91" spans="1:2" ht="45" customHeight="1" x14ac:dyDescent="0.2">
      <c r="A91" s="28">
        <f>'County Summary'!B95</f>
        <v>0</v>
      </c>
      <c r="B91" s="11"/>
    </row>
    <row r="92" spans="1:2" ht="45" customHeight="1" x14ac:dyDescent="0.2">
      <c r="A92" s="28">
        <f>'County Summary'!B96</f>
        <v>0</v>
      </c>
      <c r="B92" s="11"/>
    </row>
    <row r="93" spans="1:2" ht="45" customHeight="1" x14ac:dyDescent="0.2">
      <c r="A93" s="28">
        <f>'County Summary'!B97</f>
        <v>0</v>
      </c>
      <c r="B93" s="11"/>
    </row>
    <row r="94" spans="1:2" ht="45" customHeight="1" x14ac:dyDescent="0.2">
      <c r="A94" s="28">
        <f>'County Summary'!B98</f>
        <v>0</v>
      </c>
      <c r="B94" s="11"/>
    </row>
    <row r="95" spans="1:2" ht="45" customHeight="1" x14ac:dyDescent="0.2">
      <c r="A95" s="28">
        <f>'County Summary'!B99</f>
        <v>0</v>
      </c>
      <c r="B95" s="11"/>
    </row>
    <row r="96" spans="1:2" ht="45" customHeight="1" x14ac:dyDescent="0.2">
      <c r="A96" s="28">
        <f>'County Summary'!B100</f>
        <v>0</v>
      </c>
      <c r="B96" s="11"/>
    </row>
    <row r="97" spans="1:2" ht="45" customHeight="1" x14ac:dyDescent="0.2">
      <c r="A97" s="28">
        <f>'County Summary'!B101</f>
        <v>0</v>
      </c>
      <c r="B97" s="11"/>
    </row>
    <row r="98" spans="1:2" ht="45" customHeight="1" x14ac:dyDescent="0.2">
      <c r="A98" s="28">
        <f>'County Summary'!B102</f>
        <v>0</v>
      </c>
      <c r="B98" s="11"/>
    </row>
    <row r="99" spans="1:2" ht="45" customHeight="1" x14ac:dyDescent="0.2">
      <c r="A99" s="28">
        <f>'County Summary'!B103</f>
        <v>0</v>
      </c>
      <c r="B99" s="11"/>
    </row>
    <row r="100" spans="1:2" ht="45" customHeight="1" x14ac:dyDescent="0.2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17</v>
      </c>
    </row>
    <row r="2" spans="1:1" x14ac:dyDescent="0.2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2.75" x14ac:dyDescent="0.2"/>
  <cols>
    <col min="1" max="1" width="42.42578125" customWidth="1"/>
    <col min="3" max="3" width="27" customWidth="1"/>
    <col min="4" max="4" width="28.42578125" style="36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9" width="8.85546875" customWidth="1"/>
    <col min="10" max="10" width="15.140625" bestFit="1" customWidth="1"/>
    <col min="11" max="12" width="8.85546875" customWidth="1"/>
  </cols>
  <sheetData>
    <row r="1" spans="1:10" x14ac:dyDescent="0.2">
      <c r="A1" s="8" t="s">
        <v>192</v>
      </c>
    </row>
    <row r="2" spans="1:10" ht="15" customHeight="1" thickBot="1" x14ac:dyDescent="0.25">
      <c r="A2" s="23"/>
    </row>
    <row r="3" spans="1:10" ht="13.5" thickBot="1" x14ac:dyDescent="0.25">
      <c r="A3" s="7" t="s">
        <v>15</v>
      </c>
      <c r="C3" s="24" t="s">
        <v>16</v>
      </c>
    </row>
    <row r="4" spans="1:10" ht="15" x14ac:dyDescent="0.25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5" x14ac:dyDescent="0.25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5" x14ac:dyDescent="0.25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5" x14ac:dyDescent="0.25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5" x14ac:dyDescent="0.25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5" x14ac:dyDescent="0.25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5" x14ac:dyDescent="0.25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5" x14ac:dyDescent="0.25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5" x14ac:dyDescent="0.25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5" x14ac:dyDescent="0.25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5" x14ac:dyDescent="0.25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5" x14ac:dyDescent="0.25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5" x14ac:dyDescent="0.25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5" x14ac:dyDescent="0.25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5" x14ac:dyDescent="0.25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5" x14ac:dyDescent="0.25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5" x14ac:dyDescent="0.25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5" x14ac:dyDescent="0.25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5" x14ac:dyDescent="0.25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5" x14ac:dyDescent="0.25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5" x14ac:dyDescent="0.25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5" x14ac:dyDescent="0.25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5" x14ac:dyDescent="0.25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5" x14ac:dyDescent="0.25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5" x14ac:dyDescent="0.25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5" x14ac:dyDescent="0.25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5" x14ac:dyDescent="0.25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5" x14ac:dyDescent="0.25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5" x14ac:dyDescent="0.25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5" x14ac:dyDescent="0.25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5" x14ac:dyDescent="0.25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5" x14ac:dyDescent="0.25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5" x14ac:dyDescent="0.25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5" x14ac:dyDescent="0.25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5" x14ac:dyDescent="0.25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5" x14ac:dyDescent="0.25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5" x14ac:dyDescent="0.25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5" x14ac:dyDescent="0.25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5" x14ac:dyDescent="0.25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5" x14ac:dyDescent="0.25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5" x14ac:dyDescent="0.25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5" x14ac:dyDescent="0.25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5" x14ac:dyDescent="0.25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5" x14ac:dyDescent="0.25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5" x14ac:dyDescent="0.25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5" x14ac:dyDescent="0.25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5" x14ac:dyDescent="0.25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5" x14ac:dyDescent="0.25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5" x14ac:dyDescent="0.25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5" x14ac:dyDescent="0.25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5" x14ac:dyDescent="0.25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5" x14ac:dyDescent="0.25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5" x14ac:dyDescent="0.25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5" x14ac:dyDescent="0.25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5" x14ac:dyDescent="0.25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5" x14ac:dyDescent="0.25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5" x14ac:dyDescent="0.25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5" x14ac:dyDescent="0.25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5" x14ac:dyDescent="0.25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5" x14ac:dyDescent="0.25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5" x14ac:dyDescent="0.25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5" x14ac:dyDescent="0.25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5" x14ac:dyDescent="0.25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5" x14ac:dyDescent="0.25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5" x14ac:dyDescent="0.25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5" x14ac:dyDescent="0.25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5" x14ac:dyDescent="0.25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5" x14ac:dyDescent="0.25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5" x14ac:dyDescent="0.25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5" x14ac:dyDescent="0.25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5" x14ac:dyDescent="0.25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5" x14ac:dyDescent="0.25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5" x14ac:dyDescent="0.25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5" x14ac:dyDescent="0.25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5" x14ac:dyDescent="0.25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5" x14ac:dyDescent="0.25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5" x14ac:dyDescent="0.25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5" x14ac:dyDescent="0.25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5" x14ac:dyDescent="0.25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5" x14ac:dyDescent="0.25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5" x14ac:dyDescent="0.25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5" x14ac:dyDescent="0.25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5" x14ac:dyDescent="0.25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A6E1E4-772C-4D78-8E82-BC24111B527D}"/>
</file>

<file path=customXml/itemProps3.xml><?xml version="1.0" encoding="utf-8"?>
<ds:datastoreItem xmlns:ds="http://schemas.openxmlformats.org/officeDocument/2006/customXml" ds:itemID="{48B6618A-A1B9-4FC9-925A-722407B3AAF8}">
  <ds:schemaRefs>
    <ds:schemaRef ds:uri="http://www.w3.org/XML/1998/namespace"/>
    <ds:schemaRef ds:uri="4f1a833c-a938-4a5e-81e3-99cd1b92e526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538c035d-569c-47ab-a864-fdd8ae3d451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Novoselac, Maxwell</cp:lastModifiedBy>
  <cp:lastPrinted>2021-08-11T17:13:15Z</cp:lastPrinted>
  <dcterms:created xsi:type="dcterms:W3CDTF">2000-06-27T13:20:49Z</dcterms:created>
  <dcterms:modified xsi:type="dcterms:W3CDTF">2026-05-29T14:07:40Z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