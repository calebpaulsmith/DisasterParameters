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"/>
    </mc:Choice>
  </mc:AlternateContent>
  <xr:revisionPtr revIDLastSave="104" documentId="13_ncr:1_{4B26DC56-3104-4C3E-A816-A5885244DC2D}" xr6:coauthVersionLast="47" xr6:coauthVersionMax="47" xr10:uidLastSave="{16EBEC6F-2D16-423B-A3B4-C219F5ACE0B2}"/>
  <bookViews>
    <workbookView xWindow="-108" yWindow="-108" windowWidth="23256" windowHeight="12456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<sst xmlns="http://schemas.openxmlformats.org/spreadsheetml/2006/main" count="218" uniqueCount="214">
  <si>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</si>
  <si>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</si>
  <si>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</si>
  <si>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</si>
  <si>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</si>
  <si>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</si>
  <si>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</si>
  <si>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</si>
  <si>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</si>
  <si>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</si>
  <si>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</si>
  <si>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</si>
  <si>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</si>
  <si>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</si>
  <si>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</si>
  <si>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</si>
  <si>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</si>
  <si>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</si>
  <si>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</si>
  <si>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</si>
  <si>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</si>
  <si>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</si>
  <si>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</si>
  <si>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</si>
  <si>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</si>
  <si>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</si>
  <si>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</si>
  <si>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</si>
  <si>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</si>
  <si>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</si>
  <si>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</si>
  <si>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</si>
  <si>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</si>
  <si>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</si>
  <si>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</si>
  <si>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</si>
  <si>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</si>
  <si>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</si>
  <si>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</si>
  <si>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</si>
  <si>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</si>
  <si>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</si>
  <si>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</si>
  <si>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</si>
  <si>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</si>
  <si>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</si>
  <si>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</si>
  <si>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</si>
  <si>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</si>
  <si>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</si>
  <si>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</si>
  <si>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</si>
  <si>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</si>
  <si>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</si>
  <si>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</si>
  <si>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</si>
  <si>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</si>
  <si>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</si>
  <si>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</si>
  <si>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</si>
  <si>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</si>
  <si>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</si>
  <si>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</si>
  <si>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</si>
  <si>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</si>
  <si>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</si>
  <si>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</si>
  <si>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</si>
  <si>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</si>
  <si>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</si>
  <si>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</si>
  <si>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</si>
  <si>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</si>
  <si>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</si>
  <si>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</si>
  <si>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</si>
  <si>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</si>
  <si>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</si>
  <si>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</si>
  <si>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</si>
  <si>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</si>
  <si>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</si>
  <si>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</si>
  <si>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</si>
  <si>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</si>
  <si>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</si>
  <si>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</si>
  <si>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</si>
  <si>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</si>
  <si>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</si>
  <si>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</si>
  <si>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</si>
  <si>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</si>
  <si>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</si>
  <si>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</si>
  <si>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</si>
  <si>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</si>
  <si>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</si>
  <si>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</si>
  <si>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</si>
  <si>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</si>
  <si>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</si>
  <si>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</si>
  <si>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</si>
  <si>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</si>
  <si>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</si>
  <si>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</si>
  <si>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</si>
  <si>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</si>
  <si>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</si>
  <si>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</si>
  <si>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</si>
  <si>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</si>
  <si>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</si>
  <si>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</si>
  <si>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</si>
  <si>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</si>
  <si>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</si>
  <si>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</si>
  <si>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</si>
  <si>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</si>
  <si>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</si>
  <si>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</si>
  <si>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</si>
  <si>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</si>
  <si>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</si>
  <si>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</si>
  <si>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</si>
  <si>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</si>
  <si>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</si>
  <si>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</si>
  <si>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</si>
  <si>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</si>
  <si>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</si>
  <si>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</si>
  <si>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</si>
  <si>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</si>
  <si>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</si>
  <si>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</si>
  <si>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</si>
  <si>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</si>
  <si>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</si>
  <si>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</si>
  <si>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</si>
  <si>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</si>
  <si>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</si>
  <si>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</si>
  <si>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</si>
  <si>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</si>
  <si>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</si>
  <si>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</si>
  <si>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</si>
  <si>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</si>
  <si>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</si>
  <si>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</si>
  <si>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</si>
  <si>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</si>
  <si>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</si>
  <si>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</si>
  <si>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</si>
  <si>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</si>
  <si>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</si>
  <si>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</si>
  <si>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</si>
  <si>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</si>
  <si>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</si>
  <si>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</si>
  <si>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</si>
  <si>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</si>
  <si>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</si>
  <si>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</si>
  <si>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</si>
  <si>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</si>
  <si>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</si>
  <si>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</si>
  <si>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</si>
  <si>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</si>
  <si>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</si>
  <si>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</si>
  <si>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</si>
  <si>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</si>
  <si>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</si>
  <si>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</si>
  <si>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</si>
  <si>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</si>
  <si>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</si>
  <si>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</si>
  <si>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</si>
  <si>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</si>
  <si>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</si>
  <si>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</si>
  <si>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</si>
  <si>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</si>
  <si>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</si>
  <si>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</si>
  <si>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</si>
  <si>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</si>
  <si>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</si>
  <si>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</si>
  <si>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</si>
  <si>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</si>
  <si>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</si>
  <si>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</si>
  <si>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</si>
  <si>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</si>
  <si>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</si>
  <si>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Montmorency County (9,153) - $44,483.58</t>
  </si>
  <si>
    <t>PIE&amp;G</t>
  </si>
  <si>
    <t>Co Op</t>
  </si>
  <si>
    <t>Complete</t>
  </si>
  <si>
    <r>
      <rPr>
        <b/>
        <sz val="10"/>
        <rFont val="Arial"/>
        <family val="2"/>
      </rPr>
      <t xml:space="preserve">CAT B Estimated: $2,852.51 </t>
    </r>
    <r>
      <rPr>
        <sz val="10"/>
        <rFont val="Arial"/>
        <family val="2"/>
      </rPr>
      <t xml:space="preserve">for EOC operations to monitor high risk areas. </t>
    </r>
    <r>
      <rPr>
        <b/>
        <sz val="10"/>
        <rFont val="Arial"/>
        <family val="2"/>
      </rPr>
      <t>Validated $2,852.510</t>
    </r>
    <r>
      <rPr>
        <sz val="10"/>
        <rFont val="Arial"/>
        <family val="2"/>
      </rPr>
      <t xml:space="preserve"> utilizing Applicant activity description and cost summary. </t>
    </r>
  </si>
  <si>
    <t>Montmorency County Road Commission</t>
  </si>
  <si>
    <t>Government</t>
  </si>
  <si>
    <r>
      <rPr>
        <b/>
        <sz val="10"/>
        <rFont val="Arial"/>
        <family val="2"/>
      </rPr>
      <t>CAT C Estimated: $69,097</t>
    </r>
    <r>
      <rPr>
        <sz val="10"/>
        <rFont val="Arial"/>
        <family val="2"/>
      </rPr>
      <t xml:space="preserve"> gravel road repairs on local and primary roads. </t>
    </r>
    <r>
      <rPr>
        <b/>
        <sz val="10"/>
        <rFont val="Arial"/>
        <family val="2"/>
      </rPr>
      <t>Reduced: $11,969</t>
    </r>
    <r>
      <rPr>
        <sz val="10"/>
        <rFont val="Arial"/>
        <family val="2"/>
      </rPr>
      <t xml:space="preserve"> for major collector and primary roads, these road classifications are ineligible for assistance under FEMA's PA program. </t>
    </r>
    <r>
      <rPr>
        <b/>
        <sz val="10"/>
        <rFont val="Arial"/>
        <family val="2"/>
      </rPr>
      <t xml:space="preserve">Validated: $57,128 </t>
    </r>
    <r>
      <rPr>
        <sz val="10"/>
        <rFont val="Arial"/>
        <family val="2"/>
      </rPr>
      <t>utilizing applicant supplied invoices and labor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</si>
</sst>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8" sqref="G8"/>
    </sheetView>
  </sheetViews>
  <sheetFormatPr defaultColWidth="16.77734375" defaultRowHeight="13.2" x14ac:dyDescent="0.25"/>
  <cols>
    <col min="1" max="1" width="1.2187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/>
      <c r="E3" s="63">
        <f>SUM(Table6[[A]:[B]])</f>
        <v>2852.51</v>
      </c>
      <c r="F3" s="64"/>
      <c r="G3" s="55">
        <f>SUM(Table6[[C]:[G]])</f>
        <v>57128</v>
      </c>
      <c r="H3" s="56"/>
      <c r="I3" s="56"/>
      <c r="J3" s="56"/>
      <c r="K3" s="57"/>
      <c r="L3" s="9">
        <f>SUM(Table6[Applicant Total])</f>
        <v>59980.51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209</v>
      </c>
      <c r="E6" s="13"/>
      <c r="F6" s="12">
        <v>2852.51</v>
      </c>
      <c r="G6" s="12"/>
      <c r="H6" s="13"/>
      <c r="I6" s="13"/>
      <c r="J6" s="13"/>
      <c r="K6" s="13"/>
      <c r="L6" s="15">
        <f>SUM(Table6[[#This Row],[A]:[G]])</f>
        <v>2852.51</v>
      </c>
    </row>
    <row r="7" spans="1:12" x14ac:dyDescent="0.25">
      <c r="B7" s="10" t="s">
        <v>211</v>
      </c>
      <c r="C7" s="10" t="s">
        <v>212</v>
      </c>
      <c r="D7" s="11" t="s">
        <v>209</v>
      </c>
      <c r="E7" s="13"/>
      <c r="F7" s="13"/>
      <c r="G7" s="12">
        <v>57128</v>
      </c>
      <c r="H7" s="12"/>
      <c r="I7" s="13"/>
      <c r="J7" s="13"/>
      <c r="K7" s="13"/>
      <c r="L7" s="15">
        <f>SUM(Table6[[#This Row],[A]:[G]])</f>
        <v>57128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21875" bestFit="1" customWidth="1"/>
    <col min="4" max="4" width="15.33203125" customWidth="1"/>
    <col min="5" max="5" width="14.77734375" customWidth="1"/>
    <col min="6" max="6" width="12.109375" customWidth="1"/>
    <col min="7" max="7" width="23.2187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PIE&amp;G</v>
      </c>
      <c r="B2" s="10" t="s">
        <v>210</v>
      </c>
    </row>
    <row r="3" spans="1:2" ht="45" customHeight="1" x14ac:dyDescent="0.25">
      <c r="A3" s="28" t="str">
        <f>'County Summary'!B7</f>
        <v>Montmorency County Road Commission</v>
      </c>
      <c r="B3" s="49" t="s">
        <v>213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6618A-A1B9-4FC9-925A-722407B3AAF8}">
  <ds:schemaRefs>
    <ds:schemaRef ds:uri="4f1a833c-a938-4a5e-81e3-99cd1b92e526"/>
    <ds:schemaRef ds:uri="http://schemas.microsoft.com/office/infopath/2007/PartnerControls"/>
    <ds:schemaRef ds:uri="http://schemas.microsoft.com/office/2006/documentManagement/types"/>
    <ds:schemaRef ds:uri="538c035d-569c-47ab-a864-fdd8ae3d4516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594C749-3CF4-419C-BB70-F478F5333409}"/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2026-05-27T12:24:54Z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