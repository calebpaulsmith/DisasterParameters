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124" documentId="13_ncr:1_{4B26DC56-3104-4C3E-A816-A5885244DC2D}" xr6:coauthVersionLast="47" xr6:coauthVersionMax="47" xr10:uidLastSave="{17874AAA-E934-4CFA-A988-43057BB96CA8}"/>
  <bookViews>
    <workbookView xWindow="2868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<sst xmlns="http://schemas.openxmlformats.org/spreadsheetml/2006/main" count="231" uniqueCount="221">
  <si>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</si>
  <si>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</si>
  <si>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</si>
  <si>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</si>
  <si>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</si>
  <si>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</si>
  <si>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</si>
  <si>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</si>
  <si>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</si>
  <si>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</si>
  <si>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</si>
  <si>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</si>
  <si>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</si>
  <si>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</si>
  <si>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</si>
  <si>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</si>
  <si>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</si>
  <si>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</si>
  <si>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</si>
  <si>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</si>
  <si>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</si>
  <si>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</si>
  <si>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</si>
  <si>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</si>
  <si>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</si>
  <si>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</si>
  <si>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</si>
  <si>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</si>
  <si>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</si>
  <si>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</si>
  <si>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</si>
  <si>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</si>
  <si>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</si>
  <si>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</si>
  <si>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</si>
  <si>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</si>
  <si>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</si>
  <si>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</si>
  <si>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</si>
  <si>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</si>
  <si>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</si>
  <si>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</si>
  <si>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</si>
  <si>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</si>
  <si>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</si>
  <si>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</si>
  <si>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</si>
  <si>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</si>
  <si>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</si>
  <si>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</si>
  <si>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</si>
  <si>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</si>
  <si>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</si>
  <si>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</si>
  <si>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</si>
  <si>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</si>
  <si>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</si>
  <si>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</si>
  <si>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</si>
  <si>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</si>
  <si>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</si>
  <si>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</si>
  <si>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</si>
  <si>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</si>
  <si>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</si>
  <si>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</si>
  <si>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</si>
  <si>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</si>
  <si>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</si>
  <si>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</si>
  <si>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</si>
  <si>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</si>
  <si>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</si>
  <si>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</si>
  <si>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</si>
  <si>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</si>
  <si>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</si>
  <si>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</si>
  <si>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</si>
  <si>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</si>
  <si>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</si>
  <si>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</si>
  <si>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</si>
  <si>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</si>
  <si>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</si>
  <si>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</si>
  <si>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</si>
  <si>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</si>
  <si>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</si>
  <si>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</si>
  <si>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</si>
  <si>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</si>
  <si>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</si>
  <si>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</si>
  <si>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</si>
  <si>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</si>
  <si>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</si>
  <si>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</si>
  <si>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</si>
  <si>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</si>
  <si>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</si>
  <si>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</si>
  <si>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</si>
  <si>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</si>
  <si>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</si>
  <si>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</si>
  <si>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</si>
  <si>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</si>
  <si>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</si>
  <si>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</si>
  <si>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</si>
  <si>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</si>
  <si>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</si>
  <si>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</si>
  <si>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</si>
  <si>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</si>
  <si>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</si>
  <si>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</si>
  <si>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</si>
  <si>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</si>
  <si>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</si>
  <si>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</si>
  <si>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</si>
  <si>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</si>
  <si>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</si>
  <si>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</si>
  <si>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</si>
  <si>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</si>
  <si>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</si>
  <si>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</si>
  <si>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</si>
  <si>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</si>
  <si>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</si>
  <si>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</si>
  <si>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</si>
  <si>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</si>
  <si>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</si>
  <si>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</si>
  <si>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</si>
  <si>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</si>
  <si>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</si>
  <si>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</si>
  <si>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</si>
  <si>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</si>
  <si>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</si>
  <si>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</si>
  <si>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</si>
  <si>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</si>
  <si>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</si>
  <si>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</si>
  <si>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</si>
  <si>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</si>
  <si>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</si>
  <si>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</si>
  <si>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</si>
  <si>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</si>
  <si>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</si>
  <si>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</si>
  <si>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</si>
  <si>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</si>
  <si>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</si>
  <si>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</si>
  <si>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</si>
  <si>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</si>
  <si>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</si>
  <si>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</si>
  <si>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</si>
  <si>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</si>
  <si>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</si>
  <si>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</si>
  <si>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</si>
  <si>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</si>
  <si>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</si>
  <si>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</si>
  <si>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</si>
  <si>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</si>
  <si>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</si>
  <si>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</si>
  <si>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</si>
  <si>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</si>
  <si>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</si>
  <si>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</si>
  <si>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</si>
  <si>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</si>
  <si>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</si>
  <si>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</si>
  <si>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</si>
  <si>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</si>
  <si>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</si>
  <si>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</si>
  <si>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</si>
  <si>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</si>
  <si>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</si>
  <si>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</si>
  <si>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</si>
  <si>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</si>
  <si>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</si>
  <si>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</si>
  <si>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</si>
  <si>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</si>
  <si>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</si>
  <si>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</si>
  <si>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</si>
  <si>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</si>
  <si>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</si>
  <si>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</si>
  <si>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Roscommon County (23,459) - $114,010.74</t>
  </si>
  <si>
    <t>Beacon Assembly of God</t>
  </si>
  <si>
    <t>Road Commission</t>
  </si>
  <si>
    <t>Roscommon Township -Sperry Park</t>
  </si>
  <si>
    <t>Village of Roscommon</t>
  </si>
  <si>
    <r>
      <t>Cat C: Estimated: $47,713.27</t>
    </r>
    <r>
      <rPr>
        <sz val="10"/>
        <rFont val="Arial"/>
        <family val="2"/>
      </rPr>
      <t xml:space="preserve"> for </t>
    </r>
    <r>
      <rPr>
        <sz val="10"/>
        <color rgb="FF000000"/>
        <rFont val="Arial"/>
        <family val="2"/>
      </rPr>
      <t xml:space="preserve">damage to the roadway and associated drainage infrastructure. Flood debris plugged the culvert, resulting in water overtopping the road and leading to culvert failure and a washout of the road surface in 5 locations. </t>
    </r>
    <r>
      <rPr>
        <b/>
        <sz val="10"/>
        <rFont val="Arial"/>
        <family val="2"/>
      </rPr>
      <t>Reduced: $2,765.00</t>
    </r>
    <r>
      <rPr>
        <sz val="10"/>
        <rFont val="Arial"/>
        <family val="2"/>
      </rPr>
      <t xml:space="preserve"> for engineering costs included in estimate. </t>
    </r>
    <r>
      <rPr>
        <b/>
        <sz val="10"/>
        <rFont val="Arial"/>
        <family val="2"/>
      </rPr>
      <t>Validated: $44,948.27</t>
    </r>
    <r>
      <rPr>
        <sz val="10"/>
        <rFont val="Arial"/>
        <family val="2"/>
      </rPr>
      <t xml:space="preserve"> utilizing Applicant provided estimates and detailed photos.</t>
    </r>
  </si>
  <si>
    <t>Complete</t>
  </si>
  <si>
    <r>
      <t>Cat G: Estimated: $8,500.00</t>
    </r>
    <r>
      <rPr>
        <sz val="10"/>
        <rFont val="Arial"/>
        <family val="2"/>
      </rPr>
      <t xml:space="preserve"> for the replacement of 200 yards of beach sand, installation of a weed barrier, and damage repair to seawall caused by the flooding event. </t>
    </r>
    <r>
      <rPr>
        <b/>
        <sz val="10"/>
        <rFont val="Arial"/>
        <family val="2"/>
      </rPr>
      <t>Validated: $8,500.00</t>
    </r>
    <r>
      <rPr>
        <sz val="10"/>
        <rFont val="Arial"/>
        <family val="2"/>
      </rPr>
      <t xml:space="preserve"> utilizing Applicant provided cost estimate.</t>
    </r>
  </si>
  <si>
    <r>
      <t>Cat A: Estimated: $2,100</t>
    </r>
    <r>
      <rPr>
        <sz val="10"/>
        <rFont val="Arial"/>
        <family val="2"/>
      </rPr>
      <t xml:space="preserve"> for dumpsters used to clear debris from flooded homes. </t>
    </r>
    <r>
      <rPr>
        <b/>
        <sz val="10"/>
        <rFont val="Arial"/>
        <family val="2"/>
      </rPr>
      <t>Reduced: $2,100</t>
    </r>
    <r>
      <rPr>
        <sz val="10"/>
        <rFont val="Arial"/>
        <family val="2"/>
      </rPr>
      <t xml:space="preserve"> for not meeting FY26 minimum threshold of $4,100, work is also not eligible under PA.</t>
    </r>
    <r>
      <rPr>
        <b/>
        <sz val="10"/>
        <rFont val="Arial"/>
        <family val="2"/>
      </rPr>
      <t xml:space="preserve">
Cat B: Estimated: $600.00 </t>
    </r>
    <r>
      <rPr>
        <sz val="10"/>
        <rFont val="Arial"/>
        <family val="2"/>
      </rPr>
      <t>for field inspections of 3 culverts on Robinson creek.</t>
    </r>
    <r>
      <rPr>
        <b/>
        <sz val="10"/>
        <rFont val="Arial"/>
        <family val="2"/>
      </rPr>
      <t xml:space="preserve"> Reduced: $600.00</t>
    </r>
    <r>
      <rPr>
        <sz val="10"/>
        <rFont val="Arial"/>
        <family val="2"/>
      </rPr>
      <t xml:space="preserve"> for not meeting FY26 minimum threshold of $4,100.</t>
    </r>
  </si>
  <si>
    <r>
      <rPr>
        <b/>
        <sz val="10"/>
        <rFont val="Arial"/>
        <family val="2"/>
      </rPr>
      <t>Cat E: Estimated $2,500</t>
    </r>
    <r>
      <rPr>
        <sz val="10"/>
        <rFont val="Arial"/>
        <family val="2"/>
      </rPr>
      <t xml:space="preserve"> for insurance deductible to repair damages to church building. </t>
    </r>
    <r>
      <rPr>
        <b/>
        <sz val="10"/>
        <rFont val="Arial"/>
        <family val="2"/>
      </rPr>
      <t xml:space="preserve">Reduced: $2,500 </t>
    </r>
    <r>
      <rPr>
        <sz val="10"/>
        <rFont val="Arial"/>
        <family val="2"/>
      </rPr>
      <t>for not meeting FY26 minimum threshold of $4,100.</t>
    </r>
  </si>
  <si>
    <t>Other</t>
  </si>
  <si>
    <t>Government</t>
  </si>
  <si>
    <t>Municipality</t>
  </si>
  <si>
    <r>
      <t xml:space="preserve">Cat. G Estimated: $25,124.81 Validated $25,124.81 </t>
    </r>
    <r>
      <rPr>
        <sz val="10"/>
        <rFont val="Arial"/>
        <family val="2"/>
      </rPr>
      <t xml:space="preserve">for repairs to campground and clogged draines, seawall, ramps ,dock, and canoe/kayak infrastructure using applicant provided estimates. </t>
    </r>
  </si>
  <si>
    <t>MDNR - Roscommon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</si>
</sst>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K10"/>
    </sheetView>
  </sheetViews>
  <sheetFormatPr defaultColWidth="16.7109375" defaultRowHeight="12.75" x14ac:dyDescent="0.2"/>
  <cols>
    <col min="1" max="1" width="1.28515625" style="54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s="1" customFormat="1" ht="20.100000000000001" customHeight="1" thickTop="1" thickBot="1" x14ac:dyDescent="0.25">
      <c r="A2" s="54"/>
      <c r="B2" s="68" t="s">
        <v>15</v>
      </c>
      <c r="C2" s="69"/>
      <c r="D2" s="5" t="s">
        <v>7</v>
      </c>
      <c r="E2" s="64" t="s">
        <v>9</v>
      </c>
      <c r="F2" s="65"/>
      <c r="G2" s="55" t="s">
        <v>13</v>
      </c>
      <c r="H2" s="56"/>
      <c r="I2" s="56"/>
      <c r="J2" s="56"/>
      <c r="K2" s="57"/>
      <c r="L2" s="6" t="s">
        <v>11</v>
      </c>
    </row>
    <row r="3" spans="1:12" s="1" customFormat="1" ht="31.15" customHeight="1" thickTop="1" thickBot="1" x14ac:dyDescent="0.25">
      <c r="A3" s="54"/>
      <c r="B3" s="70" t="s">
        <v>206</v>
      </c>
      <c r="C3" s="71"/>
      <c r="D3" s="14" t="s">
        <v>200</v>
      </c>
      <c r="E3" s="66">
        <f>SUM(Table6[[A]:[B]])</f>
        <v>0</v>
      </c>
      <c r="F3" s="67"/>
      <c r="G3" s="58">
        <f>SUM(Table6[[C]:[G]])</f>
        <v>78573.08</v>
      </c>
      <c r="H3" s="59"/>
      <c r="I3" s="59"/>
      <c r="J3" s="59"/>
      <c r="K3" s="60"/>
      <c r="L3" s="9">
        <f>SUM(Table6[Applicant Total])</f>
        <v>78573.08</v>
      </c>
    </row>
    <row r="4" spans="1:12" ht="14.25" thickTop="1" thickBot="1" x14ac:dyDescent="0.25">
      <c r="B4" s="61"/>
      <c r="C4" s="62"/>
      <c r="D4" s="62"/>
      <c r="E4" s="62"/>
      <c r="F4" s="62"/>
      <c r="G4" s="62"/>
      <c r="H4" s="62"/>
      <c r="I4" s="62"/>
      <c r="J4" s="62"/>
      <c r="K4" s="62"/>
      <c r="L4" s="63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216</v>
      </c>
      <c r="D6" s="11" t="s">
        <v>212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">
      <c r="B7" s="10" t="s">
        <v>208</v>
      </c>
      <c r="C7" s="10" t="s">
        <v>217</v>
      </c>
      <c r="D7" s="11" t="s">
        <v>212</v>
      </c>
      <c r="E7" s="13"/>
      <c r="F7" s="13"/>
      <c r="G7" s="12">
        <v>44948.27</v>
      </c>
      <c r="H7" s="12"/>
      <c r="I7" s="13"/>
      <c r="J7" s="13"/>
      <c r="K7" s="13"/>
      <c r="L7" s="15">
        <f>SUM(Table6[[#This Row],[A]:[G]])</f>
        <v>44948.27</v>
      </c>
    </row>
    <row r="8" spans="1:12" x14ac:dyDescent="0.2">
      <c r="B8" s="10" t="s">
        <v>209</v>
      </c>
      <c r="C8" s="10" t="s">
        <v>216</v>
      </c>
      <c r="D8" s="11" t="s">
        <v>212</v>
      </c>
      <c r="E8" s="13"/>
      <c r="F8" s="13"/>
      <c r="G8" s="13"/>
      <c r="H8" s="13"/>
      <c r="I8" s="13"/>
      <c r="J8" s="13"/>
      <c r="K8" s="13">
        <v>8500</v>
      </c>
      <c r="L8" s="15">
        <f>SUM(Table6[[#This Row],[A]:[G]])</f>
        <v>8500</v>
      </c>
    </row>
    <row r="9" spans="1:12" x14ac:dyDescent="0.2">
      <c r="B9" s="10" t="s">
        <v>210</v>
      </c>
      <c r="C9" s="10" t="s">
        <v>218</v>
      </c>
      <c r="D9" s="11" t="s">
        <v>212</v>
      </c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 t="s">
        <v>220</v>
      </c>
      <c r="C10" s="10" t="s">
        <v>217</v>
      </c>
      <c r="D10" s="11" t="s">
        <v>212</v>
      </c>
      <c r="E10" s="13"/>
      <c r="F10" s="13"/>
      <c r="G10" s="13"/>
      <c r="H10" s="13"/>
      <c r="I10" s="13"/>
      <c r="J10" s="13"/>
      <c r="K10" s="13">
        <v>25124.81</v>
      </c>
      <c r="L10" s="15">
        <f>SUM(Table6[[#This Row],[A]:[G]])</f>
        <v>25124.81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6" sqref="B6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Beacon Assembly of God</v>
      </c>
      <c r="B2" s="52" t="s">
        <v>215</v>
      </c>
    </row>
    <row r="3" spans="1:2" ht="45" customHeight="1" x14ac:dyDescent="0.2">
      <c r="A3" s="28" t="str">
        <f>'County Summary'!B7</f>
        <v>Road Commission</v>
      </c>
      <c r="B3" s="49" t="s">
        <v>211</v>
      </c>
    </row>
    <row r="4" spans="1:2" ht="45" customHeight="1" x14ac:dyDescent="0.2">
      <c r="A4" s="28" t="str">
        <f>'County Summary'!B8</f>
        <v>Roscommon Township -Sperry Park</v>
      </c>
      <c r="B4" s="49" t="s">
        <v>213</v>
      </c>
    </row>
    <row r="5" spans="1:2" ht="45" customHeight="1" x14ac:dyDescent="0.2">
      <c r="A5" s="28" t="str">
        <f>'County Summary'!B9</f>
        <v>Village of Roscommon</v>
      </c>
      <c r="B5" s="51" t="s">
        <v>214</v>
      </c>
    </row>
    <row r="6" spans="1:2" ht="45" customHeight="1" x14ac:dyDescent="0.2">
      <c r="A6" s="28" t="str">
        <f>'County Summary'!B10</f>
        <v>MDNR - Roscommon</v>
      </c>
      <c r="B6" s="50" t="s">
        <v>219</v>
      </c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FDF1A1-D57F-4228-9532-916C6A3722E1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schemas.microsoft.com/office/2006/metadata/properties"/>
    <ds:schemaRef ds:uri="4f1a833c-a938-4a5e-81e3-99cd1b92e526"/>
    <ds:schemaRef ds:uri="http://purl.org/dc/dcmitype/"/>
    <ds:schemaRef ds:uri="538c035d-569c-47ab-a864-fdd8ae3d4516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Novoselac, Maxwell</cp:lastModifiedBy>
  <cp:lastPrinted>2021-08-11T17:13:15Z</cp:lastPrinted>
  <dcterms:created xsi:type="dcterms:W3CDTF">2000-06-27T13:20:49Z</dcterms:created>
  <dcterms:modified xsi:type="dcterms:W3CDTF">2026-05-29T14:19:10Z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