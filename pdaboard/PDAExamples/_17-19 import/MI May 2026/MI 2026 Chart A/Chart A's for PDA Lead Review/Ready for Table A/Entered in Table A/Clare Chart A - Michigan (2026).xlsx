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hart A's for PDA Lead Review/"/>
    </mc:Choice>
  </mc:AlternateContent>
  <xr:revisionPtr revIDLastSave="104" documentId="13_ncr:1_{4B26DC56-3104-4C3E-A816-A5885244DC2D}" xr6:coauthVersionLast="47" xr6:coauthVersionMax="47" xr10:uidLastSave="{C911268F-F4A0-40A3-AD9D-652143B1AB23}"/>
  <bookViews>
    <workbookView xWindow="-108" yWindow="-108" windowWidth="23256" windowHeight="12456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<sst xmlns="http://schemas.openxmlformats.org/spreadsheetml/2006/main" count="218" uniqueCount="213">
  <si>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</si>
  <si>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</si>
  <si>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</si>
  <si>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</si>
  <si>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</si>
  <si>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</si>
  <si>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</si>
  <si>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</si>
  <si>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</si>
  <si>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</si>
  <si>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</si>
  <si>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</si>
  <si>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</si>
  <si>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</si>
  <si>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</si>
  <si>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</si>
  <si>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</si>
  <si>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</si>
  <si>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</si>
  <si>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</si>
  <si>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</si>
  <si>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</si>
  <si>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</si>
  <si>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</si>
  <si>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</si>
  <si>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</si>
  <si>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</si>
  <si>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</si>
  <si>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</si>
  <si>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</si>
  <si>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</si>
  <si>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</si>
  <si>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</si>
  <si>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</si>
  <si>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</si>
  <si>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</si>
  <si>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</si>
  <si>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</si>
  <si>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</si>
  <si>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</si>
  <si>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</si>
  <si>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</si>
  <si>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</si>
  <si>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</si>
  <si>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</si>
  <si>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</si>
  <si>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</si>
  <si>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</si>
  <si>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</si>
  <si>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</si>
  <si>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</si>
  <si>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</si>
  <si>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</si>
  <si>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</si>
  <si>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</si>
  <si>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</si>
  <si>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</si>
  <si>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</si>
  <si>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</si>
  <si>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</si>
  <si>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</si>
  <si>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</si>
  <si>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</si>
  <si>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</si>
  <si>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</si>
  <si>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</si>
  <si>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</si>
  <si>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</si>
  <si>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</si>
  <si>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</si>
  <si>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</si>
  <si>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</si>
  <si>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</si>
  <si>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</si>
  <si>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</si>
  <si>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</si>
  <si>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</si>
  <si>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</si>
  <si>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</si>
  <si>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</si>
  <si>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</si>
  <si>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</si>
  <si>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</si>
  <si>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</si>
  <si>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</si>
  <si>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</si>
  <si>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</si>
  <si>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</si>
  <si>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</si>
  <si>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</si>
  <si>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</si>
  <si>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</si>
  <si>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</si>
  <si>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</si>
  <si>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</si>
  <si>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</si>
  <si>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</si>
  <si>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</si>
  <si>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</si>
  <si>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</si>
  <si>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</si>
  <si>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</si>
  <si>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</si>
  <si>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</si>
  <si>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</si>
  <si>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</si>
  <si>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</si>
  <si>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</si>
  <si>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</si>
  <si>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</si>
  <si>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</si>
  <si>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</si>
  <si>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</si>
  <si>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</si>
  <si>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</si>
  <si>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</si>
  <si>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</si>
  <si>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</si>
  <si>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</si>
  <si>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</si>
  <si>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</si>
  <si>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</si>
  <si>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</si>
  <si>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</si>
  <si>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</si>
  <si>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</si>
  <si>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</si>
  <si>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</si>
  <si>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</si>
  <si>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</si>
  <si>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</si>
  <si>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</si>
  <si>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</si>
  <si>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</si>
  <si>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</si>
  <si>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</si>
  <si>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</si>
  <si>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</si>
  <si>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</si>
  <si>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</si>
  <si>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</si>
  <si>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</si>
  <si>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</si>
  <si>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</si>
  <si>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</si>
  <si>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</si>
  <si>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</si>
  <si>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</si>
  <si>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</si>
  <si>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</si>
  <si>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</si>
  <si>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</si>
  <si>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</si>
  <si>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</si>
  <si>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</si>
  <si>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</si>
  <si>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</si>
  <si>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</si>
  <si>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</si>
  <si>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</si>
  <si>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</si>
  <si>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</si>
  <si>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</si>
  <si>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</si>
  <si>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</si>
  <si>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</si>
  <si>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</si>
  <si>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</si>
  <si>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</si>
  <si>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</si>
  <si>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</si>
  <si>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</si>
  <si>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</si>
  <si>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</si>
  <si>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</si>
  <si>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</si>
  <si>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</si>
  <si>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</si>
  <si>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</si>
  <si>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</si>
  <si>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</si>
  <si>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</si>
  <si>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</si>
  <si>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</si>
  <si>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</si>
  <si>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</si>
  <si>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</si>
  <si>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</si>
  <si>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</si>
  <si>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</si>
  <si>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</si>
  <si>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</si>
  <si>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</si>
  <si>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</si>
  <si>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</si>
  <si>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</si>
  <si>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</si>
  <si>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</si>
  <si>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</si>
  <si>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</si>
  <si>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</si>
  <si>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</si>
  <si>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</si>
  <si>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</si>
  <si>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</si>
  <si>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</si>
  <si>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Clare County (30,856) - $149,960.16</t>
  </si>
  <si>
    <t>Clare County Road Commission</t>
  </si>
  <si>
    <t>County</t>
  </si>
  <si>
    <t>Complete</t>
  </si>
  <si>
    <r>
      <rPr>
        <b/>
        <sz val="10"/>
        <rFont val="Arial"/>
        <family val="2"/>
      </rPr>
      <t xml:space="preserve">CAT C: 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 xml:space="preserve">Estimated:  $38,906.37 </t>
    </r>
    <r>
      <rPr>
        <sz val="10"/>
        <rFont val="Arial"/>
        <family val="2"/>
      </rPr>
      <t xml:space="preserve">for damages emergency repairs to washed-out culverts and roads. </t>
    </r>
    <r>
      <rPr>
        <b/>
        <sz val="10"/>
        <rFont val="Arial"/>
        <family val="2"/>
      </rPr>
      <t xml:space="preserve"> Validated:  $38,906.37 </t>
    </r>
    <r>
      <rPr>
        <sz val="10"/>
        <rFont val="Arial"/>
        <family val="2"/>
      </rPr>
      <t xml:space="preserve">utilizing applicant provided descriptions and cost estimates </t>
    </r>
  </si>
  <si>
    <t>Great Lakes Energy Co-Op</t>
  </si>
  <si>
    <r>
      <rPr>
        <b/>
        <sz val="10"/>
        <rFont val="Arial"/>
        <family val="2"/>
      </rPr>
      <t xml:space="preserve">CAT F: 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 xml:space="preserve">Estimated: </t>
    </r>
    <r>
      <rPr>
        <sz val="10"/>
        <rFont val="Arial"/>
        <family val="2"/>
      </rPr>
      <t xml:space="preserve">$4,075 for power outage and restoration due to flooding. </t>
    </r>
    <r>
      <rPr>
        <b/>
        <sz val="10"/>
        <rFont val="Arial"/>
        <family val="2"/>
      </rPr>
      <t xml:space="preserve"> Validated:</t>
    </r>
    <r>
      <rPr>
        <sz val="10"/>
        <rFont val="Arial"/>
        <family val="2"/>
      </rPr>
      <t xml:space="preserve"> $4,075 costs will be a part of a larger Great Lake Engergy Project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</si>
</sst>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281940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1390650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1619250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8" sqref="J8"/>
    </sheetView>
  </sheetViews>
  <sheetFormatPr defaultColWidth="16.6640625" defaultRowHeight="13.2" x14ac:dyDescent="0.25"/>
  <cols>
    <col min="1" max="1" width="1.33203125" style="51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3">
      <c r="A2" s="51"/>
      <c r="B2" s="65" t="s">
        <v>15</v>
      </c>
      <c r="C2" s="66"/>
      <c r="D2" s="5" t="s">
        <v>7</v>
      </c>
      <c r="E2" s="61" t="s">
        <v>9</v>
      </c>
      <c r="F2" s="62"/>
      <c r="G2" s="52" t="s">
        <v>13</v>
      </c>
      <c r="H2" s="53"/>
      <c r="I2" s="53"/>
      <c r="J2" s="53"/>
      <c r="K2" s="54"/>
      <c r="L2" s="6" t="s">
        <v>11</v>
      </c>
    </row>
    <row r="3" spans="1:12" s="1" customFormat="1" ht="31.2" customHeight="1" thickTop="1" thickBot="1" x14ac:dyDescent="0.3">
      <c r="A3" s="51"/>
      <c r="B3" s="67" t="s">
        <v>206</v>
      </c>
      <c r="C3" s="68"/>
      <c r="D3" s="14" t="s">
        <v>202</v>
      </c>
      <c r="E3" s="63">
        <f>SUM(Table6[[A]:[B]])</f>
        <v>0</v>
      </c>
      <c r="F3" s="64"/>
      <c r="G3" s="55">
        <f>SUM(Table6[[C]:[G]])</f>
        <v>42981.37</v>
      </c>
      <c r="H3" s="56"/>
      <c r="I3" s="56"/>
      <c r="J3" s="56"/>
      <c r="K3" s="57"/>
      <c r="L3" s="9">
        <f>SUM(Table6[Applicant Total])</f>
        <v>42981.37</v>
      </c>
    </row>
    <row r="4" spans="1:12" ht="14.4" thickTop="1" thickBot="1" x14ac:dyDescent="0.3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207</v>
      </c>
      <c r="C6" s="10" t="s">
        <v>208</v>
      </c>
      <c r="D6" s="11" t="s">
        <v>209</v>
      </c>
      <c r="E6" s="13"/>
      <c r="F6" s="12"/>
      <c r="G6" s="12">
        <v>38906.370000000003</v>
      </c>
      <c r="H6" s="13"/>
      <c r="I6" s="13"/>
      <c r="J6" s="13"/>
      <c r="K6" s="13"/>
      <c r="L6" s="15">
        <f>SUM(Table6[[#This Row],[A]:[G]])</f>
        <v>38906.370000000003</v>
      </c>
    </row>
    <row r="7" spans="1:12" x14ac:dyDescent="0.25">
      <c r="B7" s="10" t="s">
        <v>211</v>
      </c>
      <c r="C7" s="10"/>
      <c r="D7" s="11" t="s">
        <v>209</v>
      </c>
      <c r="E7" s="13"/>
      <c r="F7" s="13"/>
      <c r="G7" s="12"/>
      <c r="H7" s="12"/>
      <c r="I7" s="13"/>
      <c r="J7" s="13">
        <v>4075</v>
      </c>
      <c r="K7" s="13"/>
      <c r="L7" s="15">
        <f>SUM(Table6[[#This Row],[A]:[G]])</f>
        <v>4075</v>
      </c>
    </row>
    <row r="8" spans="1:12" x14ac:dyDescent="0.25">
      <c r="B8" s="10"/>
      <c r="C8" s="10"/>
      <c r="D8" s="11"/>
      <c r="E8" s="13"/>
      <c r="F8" s="13"/>
      <c r="G8" s="13"/>
      <c r="H8" s="13"/>
      <c r="I8" s="13"/>
      <c r="J8" s="13"/>
      <c r="K8" s="13"/>
      <c r="L8" s="15">
        <f>SUM(Table6[[#This Row],[A]:[G]])</f>
        <v>0</v>
      </c>
    </row>
    <row r="9" spans="1:12" x14ac:dyDescent="0.25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33203125" bestFit="1" customWidth="1"/>
    <col min="4" max="4" width="15.33203125" customWidth="1"/>
    <col min="5" max="5" width="14.6640625" customWidth="1"/>
    <col min="6" max="6" width="12.109375" customWidth="1"/>
    <col min="7" max="7" width="23.3320312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2" activePane="bottomLeft" state="frozen"/>
      <selection pane="bottomLeft" activeCell="B4" sqref="B4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Clare County Road Commission</v>
      </c>
      <c r="B2" s="49" t="s">
        <v>210</v>
      </c>
    </row>
    <row r="3" spans="1:2" ht="45" customHeight="1" x14ac:dyDescent="0.25">
      <c r="A3" s="28" t="str">
        <f>'County Summary'!B7</f>
        <v>Great Lakes Energy Co-Op</v>
      </c>
      <c r="B3" s="49" t="s">
        <v>212</v>
      </c>
    </row>
    <row r="4" spans="1:2" ht="45" customHeight="1" x14ac:dyDescent="0.25">
      <c r="A4" s="28">
        <f>'County Summary'!B8</f>
        <v>0</v>
      </c>
      <c r="B4" s="11"/>
    </row>
    <row r="5" spans="1:2" ht="45" customHeight="1" x14ac:dyDescent="0.25">
      <c r="A5" s="28">
        <f>'County Summary'!B9</f>
        <v>0</v>
      </c>
      <c r="B5" s="11"/>
    </row>
    <row r="6" spans="1:2" ht="45" customHeight="1" x14ac:dyDescent="0.25">
      <c r="A6" s="28">
        <f>'County Summary'!B10</f>
        <v>0</v>
      </c>
      <c r="B6" s="11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B6618A-A1B9-4FC9-925A-722407B3AAF8}">
  <ds:schemaRefs>
    <ds:schemaRef ds:uri="http://schemas.microsoft.com/office/2006/documentManagement/types"/>
    <ds:schemaRef ds:uri="4f1a833c-a938-4a5e-81e3-99cd1b92e526"/>
    <ds:schemaRef ds:uri="http://www.w3.org/XML/1998/namespace"/>
    <ds:schemaRef ds:uri="538c035d-569c-47ab-a864-fdd8ae3d4516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8DAA3CD-133F-4683-9331-1837918BE0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Grobe, Jennifer</cp:lastModifiedBy>
  <cp:lastPrinted>2021-08-11T17:13:15Z</cp:lastPrinted>
  <dcterms:created xsi:type="dcterms:W3CDTF">2000-06-27T13:20:49Z</dcterms:created>
  <dcterms:modified xsi:type="dcterms:W3CDTF">2026-05-28T21:28:10Z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