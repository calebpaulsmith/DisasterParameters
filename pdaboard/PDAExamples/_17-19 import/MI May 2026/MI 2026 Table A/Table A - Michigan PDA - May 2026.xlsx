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https://usfema.sharepoint.com/teams/R5/org/recoveryd/public/PA Yellow Pages/3. PDAs/Ongoing PDA's/MI PDA May 2026/Final Products/Table A/"/>
    </mc:Choice>
  </mc:AlternateContent>
  <xr:revisionPtr revIDLastSave="171" documentId="101_S{51CE5A4E-C57C-51F3-A8D3-B495BB256E45}" xr6:coauthVersionLast="47" xr6:coauthVersionMax="47" xr10:uidLastSave="{6DC8A533-CA57-4E77-A00F-26652DF7C4A0}"/>
  <bookViews>
    <workbookView xWindow="-108" yWindow="-108" windowWidth="23256" windowHeight="12456" activeTab="5" xr2:uid="{00000000-000D-0000-FFFF-FFFF00000000}"/>
  </bookViews>
  <sheets>
    <sheet name="SummaryPage" sheetId="4" r:id="rId1"/>
    <sheet name="Input Sheet" sheetId="1" r:id="rId2"/>
    <sheet name="Applicants" sheetId="21" state="hidden" r:id="rId3"/>
    <sheet name="Reductions" sheetId="12" state="hidden" r:id="rId4"/>
    <sheet name="Summary" sheetId="18" r:id="rId5"/>
    <sheet name="PCI Indicator" sheetId="20" r:id="rId6"/>
    <sheet name="County Populations" sheetId="2" state="hidden" r:id="rId7"/>
    <sheet name="Programming Notes" sheetId="6" state="hidden" r:id="rId8"/>
  </sheets>
  <externalReferences>
    <externalReference r:id="rId9"/>
  </externalReferences>
  <definedNames>
    <definedName name="_xlnm._FilterDatabase" localSheetId="5" hidden="1">'PCI Indicator'!$A$13:$G$13</definedName>
    <definedName name="_xlnm.Print_Area" localSheetId="0">OFFSET(SummaryPage!$A$1,0,0,MATCH("Grand Total",SummaryPage!XFD:XFD,0),14)</definedName>
    <definedName name="_xlnm.Print_Titles" localSheetId="0">SummaryPage!$14:$14</definedName>
    <definedName name="SelCounty" localSheetId="3">OFFSET('[1]County Populations'!$C$2,'[1]County Populations'!$M$6-1,0,'[1]County Populations'!$M$7-'[1]County Populations'!$M$6+1,1)</definedName>
    <definedName name="SelCounty">OFFSET('County Populations'!$C$2,'County Populations'!$M$6-1,0,'County Populations'!$M$7-'County Populations'!$M$6+1,1)</definedName>
    <definedName name="SelState">OFFSET('County Populations'!$G$2,'County Populations'!$M$3-1,0,'County Populations'!$M$4-'County Populations'!$M$3+1,1)</definedName>
  </definedNames>
  <calcPr calcId="191028"/>
  <pivotCaches>
    <pivotCache cacheId="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8" l="1"/>
  <c r="B24" i="18"/>
  <c r="K51" i="4"/>
  <c r="L51" i="4" s="1"/>
  <c r="B121" i="21"/>
  <c r="K3" i="1" a="1"/>
  <c r="K3" i="1" s="1"/>
  <c r="D10" i="4" l="1"/>
  <c r="E10" i="4"/>
  <c r="F10" i="4"/>
  <c r="G10" i="4"/>
  <c r="H10" i="4"/>
  <c r="I10" i="4"/>
  <c r="C10" i="4"/>
  <c r="J9" i="4"/>
  <c r="C23" i="20" l="1"/>
  <c r="G23" i="20" s="1"/>
  <c r="E56" i="18"/>
  <c r="E57" i="18"/>
  <c r="E58" i="18"/>
  <c r="E59" i="18"/>
  <c r="E40" i="20"/>
  <c r="E15" i="20"/>
  <c r="E41" i="20"/>
  <c r="E42" i="20"/>
  <c r="E43" i="20"/>
  <c r="E16" i="20"/>
  <c r="E17" i="20"/>
  <c r="E18" i="20"/>
  <c r="E44" i="20"/>
  <c r="E19" i="20"/>
  <c r="E20" i="20"/>
  <c r="E21" i="20"/>
  <c r="E22" i="20"/>
  <c r="E23" i="20"/>
  <c r="E45" i="20"/>
  <c r="E24" i="20"/>
  <c r="E46" i="20"/>
  <c r="E47" i="20"/>
  <c r="E25" i="20"/>
  <c r="E26" i="20"/>
  <c r="E48" i="20"/>
  <c r="E27" i="20"/>
  <c r="E28" i="20"/>
  <c r="E29" i="20"/>
  <c r="E30" i="20"/>
  <c r="E31" i="20"/>
  <c r="E49" i="20"/>
  <c r="E32" i="20"/>
  <c r="E50" i="20"/>
  <c r="E33" i="20"/>
  <c r="E51" i="20"/>
  <c r="E52" i="20"/>
  <c r="E34" i="20"/>
  <c r="E35" i="20"/>
  <c r="E36" i="20"/>
  <c r="E37" i="20"/>
  <c r="E53" i="20"/>
  <c r="E54" i="20"/>
  <c r="E55" i="20"/>
  <c r="E38" i="20"/>
  <c r="E56" i="20"/>
  <c r="E39" i="20"/>
  <c r="E14" i="20"/>
  <c r="C51" i="20"/>
  <c r="F51" i="20" s="1"/>
  <c r="C52" i="20"/>
  <c r="F52" i="20" s="1"/>
  <c r="C34" i="20"/>
  <c r="F34" i="20" s="1"/>
  <c r="C35" i="20"/>
  <c r="C36" i="20"/>
  <c r="F36" i="20" s="1"/>
  <c r="C37" i="20"/>
  <c r="F37" i="20" s="1"/>
  <c r="C53" i="20"/>
  <c r="F53" i="20" s="1"/>
  <c r="C54" i="20"/>
  <c r="F54" i="20" s="1"/>
  <c r="C55" i="20"/>
  <c r="C38" i="20"/>
  <c r="F38" i="20" s="1"/>
  <c r="C56" i="20"/>
  <c r="C39" i="20"/>
  <c r="F39" i="20" s="1"/>
  <c r="C40" i="20"/>
  <c r="F40" i="20" s="1"/>
  <c r="C15" i="20"/>
  <c r="F15" i="20" s="1"/>
  <c r="C41" i="20"/>
  <c r="F41" i="20" s="1"/>
  <c r="C42" i="20"/>
  <c r="G42" i="20" s="1"/>
  <c r="C43" i="20"/>
  <c r="F43" i="20" s="1"/>
  <c r="C16" i="20"/>
  <c r="G16" i="20" s="1"/>
  <c r="C17" i="20"/>
  <c r="F17" i="20" s="1"/>
  <c r="C18" i="20"/>
  <c r="F18" i="20" s="1"/>
  <c r="C44" i="20"/>
  <c r="G44" i="20" s="1"/>
  <c r="C19" i="20"/>
  <c r="G19" i="20" s="1"/>
  <c r="C20" i="20"/>
  <c r="F20" i="20" s="1"/>
  <c r="C21" i="20"/>
  <c r="C22" i="20"/>
  <c r="F22" i="20" s="1"/>
  <c r="C45" i="20"/>
  <c r="F45" i="20" s="1"/>
  <c r="C24" i="20"/>
  <c r="F24" i="20" s="1"/>
  <c r="C46" i="20"/>
  <c r="G46" i="20" s="1"/>
  <c r="C47" i="20"/>
  <c r="F47" i="20" s="1"/>
  <c r="C25" i="20"/>
  <c r="G25" i="20" s="1"/>
  <c r="C26" i="20"/>
  <c r="F26" i="20" s="1"/>
  <c r="C48" i="20"/>
  <c r="F48" i="20" s="1"/>
  <c r="C27" i="20"/>
  <c r="G27" i="20" s="1"/>
  <c r="C28" i="20"/>
  <c r="G28" i="20" s="1"/>
  <c r="C29" i="20"/>
  <c r="F29" i="20" s="1"/>
  <c r="C30" i="20"/>
  <c r="F30" i="20" s="1"/>
  <c r="C31" i="20"/>
  <c r="F31" i="20" s="1"/>
  <c r="C49" i="20"/>
  <c r="F49" i="20" s="1"/>
  <c r="C32" i="20"/>
  <c r="F32" i="20" s="1"/>
  <c r="C50" i="20"/>
  <c r="G50" i="20" s="1"/>
  <c r="C33" i="20"/>
  <c r="F33" i="20" s="1"/>
  <c r="C14" i="20"/>
  <c r="G14" i="20" s="1"/>
  <c r="F21" i="20" l="1"/>
  <c r="F14" i="20"/>
  <c r="F27" i="20"/>
  <c r="F25" i="20"/>
  <c r="F44" i="20"/>
  <c r="F16" i="20"/>
  <c r="F50" i="20"/>
  <c r="F28" i="20"/>
  <c r="F46" i="20"/>
  <c r="F19" i="20"/>
  <c r="F42" i="20"/>
  <c r="G32" i="20"/>
  <c r="G24" i="20"/>
  <c r="G41" i="20"/>
  <c r="G49" i="20"/>
  <c r="G48" i="20"/>
  <c r="G45" i="20"/>
  <c r="G18" i="20"/>
  <c r="G15" i="20"/>
  <c r="G31" i="20"/>
  <c r="G26" i="20"/>
  <c r="G22" i="20"/>
  <c r="G17" i="20"/>
  <c r="G40" i="20"/>
  <c r="G30" i="20"/>
  <c r="G21" i="20"/>
  <c r="G33" i="20"/>
  <c r="G29" i="20"/>
  <c r="G47" i="20"/>
  <c r="G20" i="20"/>
  <c r="G43" i="20"/>
  <c r="F23" i="20"/>
  <c r="F56" i="20"/>
  <c r="F55" i="20"/>
  <c r="F35" i="20"/>
  <c r="G39" i="20"/>
  <c r="G37" i="20"/>
  <c r="G56" i="20"/>
  <c r="G36" i="20"/>
  <c r="G38" i="20"/>
  <c r="G35" i="20"/>
  <c r="G55" i="20"/>
  <c r="G34" i="20"/>
  <c r="G54" i="20"/>
  <c r="G52" i="20"/>
  <c r="G53" i="20"/>
  <c r="G51" i="20"/>
  <c r="B10" i="20" l="1"/>
  <c r="C11" i="20"/>
  <c r="E11" i="20" s="1"/>
  <c r="B11" i="20"/>
  <c r="G11" i="20" l="1"/>
  <c r="C7" i="4" a="1"/>
  <c r="C7" i="4" s="1"/>
  <c r="E17" i="18"/>
  <c r="I3" i="4" l="1"/>
  <c r="I5" i="4" s="1"/>
  <c r="C10" i="20" l="1"/>
  <c r="E10" i="20" s="1"/>
  <c r="G10" i="20"/>
  <c r="E7" i="20"/>
  <c r="D7" i="20"/>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G86" i="12"/>
  <c r="G87" i="12"/>
  <c r="G88" i="12"/>
  <c r="G89" i="12"/>
  <c r="G90" i="12"/>
  <c r="G1" i="12"/>
  <c r="C2" i="4"/>
  <c r="C1" i="4"/>
  <c r="A1450" i="2"/>
  <c r="A1447"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3" i="2"/>
  <c r="A1434" i="2"/>
  <c r="A1435" i="2"/>
  <c r="A1436" i="2"/>
  <c r="A1437" i="2"/>
  <c r="A1438" i="2"/>
  <c r="A1439" i="2"/>
  <c r="A1440" i="2"/>
  <c r="A1441" i="2"/>
  <c r="A1442" i="2"/>
  <c r="A1443" i="2"/>
  <c r="A1444" i="2"/>
  <c r="A1445" i="2"/>
  <c r="A1446" i="2"/>
  <c r="A1448" i="2"/>
  <c r="A1449"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P125" i="4"/>
  <c r="P134" i="4"/>
  <c r="P137" i="4"/>
  <c r="P138" i="4"/>
  <c r="P141" i="4"/>
  <c r="P144" i="4"/>
  <c r="P148" i="4"/>
  <c r="P150" i="4"/>
  <c r="P151" i="4"/>
  <c r="P154" i="4"/>
  <c r="P156" i="4"/>
  <c r="P160" i="4"/>
  <c r="P162" i="4"/>
  <c r="P165"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L125" i="4"/>
  <c r="L132" i="4"/>
  <c r="O132" i="4" s="1"/>
  <c r="L141" i="4"/>
  <c r="O141" i="4" s="1"/>
  <c r="M141" i="4" s="1"/>
  <c r="L144" i="4"/>
  <c r="O144" i="4" s="1"/>
  <c r="M144" i="4" s="1"/>
  <c r="L148" i="4"/>
  <c r="O148" i="4" s="1"/>
  <c r="M148" i="4" s="1"/>
  <c r="L150" i="4"/>
  <c r="L154" i="4"/>
  <c r="O154" i="4" s="1"/>
  <c r="M154" i="4" s="1"/>
  <c r="L156" i="4"/>
  <c r="L160" i="4"/>
  <c r="O160" i="4" s="1"/>
  <c r="M160" i="4" s="1"/>
  <c r="L165" i="4"/>
  <c r="O165" i="4" s="1"/>
  <c r="M165" i="4" s="1"/>
  <c r="L167" i="4"/>
  <c r="O167" i="4" s="1"/>
  <c r="M167" i="4" s="1"/>
  <c r="L169" i="4"/>
  <c r="L170" i="4"/>
  <c r="L172" i="4"/>
  <c r="O172" i="4" s="1"/>
  <c r="M172" i="4" s="1"/>
  <c r="L173" i="4"/>
  <c r="O173" i="4" s="1"/>
  <c r="M173" i="4" s="1"/>
  <c r="L174" i="4"/>
  <c r="L175" i="4"/>
  <c r="L176" i="4"/>
  <c r="O176" i="4" s="1"/>
  <c r="M176" i="4" s="1"/>
  <c r="L177" i="4"/>
  <c r="O177" i="4" s="1"/>
  <c r="M177" i="4" s="1"/>
  <c r="L178" i="4"/>
  <c r="O178" i="4" s="1"/>
  <c r="M178" i="4" s="1"/>
  <c r="L179" i="4"/>
  <c r="O179" i="4" s="1"/>
  <c r="M179" i="4" s="1"/>
  <c r="L180" i="4"/>
  <c r="O180" i="4" s="1"/>
  <c r="M180" i="4" s="1"/>
  <c r="L181" i="4"/>
  <c r="L182" i="4"/>
  <c r="O182" i="4" s="1"/>
  <c r="M182" i="4" s="1"/>
  <c r="L183" i="4"/>
  <c r="L184" i="4"/>
  <c r="O184" i="4" s="1"/>
  <c r="M184" i="4" s="1"/>
  <c r="L185" i="4"/>
  <c r="O185" i="4" s="1"/>
  <c r="M185" i="4" s="1"/>
  <c r="L186" i="4"/>
  <c r="L187" i="4"/>
  <c r="L188" i="4"/>
  <c r="L189" i="4"/>
  <c r="O189" i="4" s="1"/>
  <c r="M189" i="4" s="1"/>
  <c r="L190" i="4"/>
  <c r="O190" i="4" s="1"/>
  <c r="M190" i="4" s="1"/>
  <c r="L191" i="4"/>
  <c r="O191" i="4" s="1"/>
  <c r="M191" i="4" s="1"/>
  <c r="L192" i="4"/>
  <c r="O192" i="4" s="1"/>
  <c r="M192" i="4" s="1"/>
  <c r="L193" i="4"/>
  <c r="O193" i="4" s="1"/>
  <c r="M193" i="4" s="1"/>
  <c r="L194" i="4"/>
  <c r="O194" i="4" s="1"/>
  <c r="M194" i="4" s="1"/>
  <c r="L195" i="4"/>
  <c r="O195" i="4" s="1"/>
  <c r="M195" i="4" s="1"/>
  <c r="L196" i="4"/>
  <c r="O196" i="4" s="1"/>
  <c r="M196" i="4" s="1"/>
  <c r="L197" i="4"/>
  <c r="O197" i="4" s="1"/>
  <c r="M197" i="4" s="1"/>
  <c r="L198" i="4"/>
  <c r="O198" i="4" s="1"/>
  <c r="M198" i="4" s="1"/>
  <c r="L199" i="4"/>
  <c r="O199" i="4" s="1"/>
  <c r="M199" i="4" s="1"/>
  <c r="L200" i="4"/>
  <c r="O200" i="4" s="1"/>
  <c r="M200" i="4" s="1"/>
  <c r="L201" i="4"/>
  <c r="O201" i="4" s="1"/>
  <c r="M201" i="4" s="1"/>
  <c r="L202" i="4"/>
  <c r="L203" i="4"/>
  <c r="O203" i="4" s="1"/>
  <c r="M203" i="4" s="1"/>
  <c r="L204" i="4"/>
  <c r="L205" i="4"/>
  <c r="L206" i="4"/>
  <c r="L207" i="4"/>
  <c r="L208" i="4"/>
  <c r="O208" i="4" s="1"/>
  <c r="M208" i="4" s="1"/>
  <c r="L209" i="4"/>
  <c r="O209" i="4" s="1"/>
  <c r="M209" i="4" s="1"/>
  <c r="L210" i="4"/>
  <c r="O210" i="4" s="1"/>
  <c r="M210" i="4" s="1"/>
  <c r="L211" i="4"/>
  <c r="O211" i="4" s="1"/>
  <c r="M211" i="4" s="1"/>
  <c r="L212" i="4"/>
  <c r="O212" i="4" s="1"/>
  <c r="M212" i="4" s="1"/>
  <c r="L213" i="4"/>
  <c r="O213" i="4" s="1"/>
  <c r="M213" i="4" s="1"/>
  <c r="L214" i="4"/>
  <c r="O214" i="4" s="1"/>
  <c r="M214" i="4" s="1"/>
  <c r="L215" i="4"/>
  <c r="L216" i="4"/>
  <c r="L217" i="4"/>
  <c r="O217" i="4" s="1"/>
  <c r="M217" i="4" s="1"/>
  <c r="L218" i="4"/>
  <c r="O218" i="4" s="1"/>
  <c r="M218" i="4" s="1"/>
  <c r="L219" i="4"/>
  <c r="L220" i="4"/>
  <c r="L221" i="4"/>
  <c r="L222" i="4"/>
  <c r="L223" i="4"/>
  <c r="L224" i="4"/>
  <c r="O224" i="4" s="1"/>
  <c r="M224" i="4" s="1"/>
  <c r="L225" i="4"/>
  <c r="O225" i="4" s="1"/>
  <c r="M225" i="4" s="1"/>
  <c r="L226" i="4"/>
  <c r="O226" i="4" s="1"/>
  <c r="M226" i="4" s="1"/>
  <c r="L227" i="4"/>
  <c r="O227" i="4" s="1"/>
  <c r="M227" i="4" s="1"/>
  <c r="L228" i="4"/>
  <c r="O228" i="4" s="1"/>
  <c r="M228" i="4" s="1"/>
  <c r="L229" i="4"/>
  <c r="L230" i="4"/>
  <c r="O230" i="4" s="1"/>
  <c r="M230" i="4" s="1"/>
  <c r="L231" i="4"/>
  <c r="O231" i="4" s="1"/>
  <c r="M231" i="4" s="1"/>
  <c r="L232" i="4"/>
  <c r="L233" i="4"/>
  <c r="O233" i="4" s="1"/>
  <c r="M233" i="4" s="1"/>
  <c r="L234" i="4"/>
  <c r="L235" i="4"/>
  <c r="O235" i="4" s="1"/>
  <c r="M235" i="4" s="1"/>
  <c r="L236" i="4"/>
  <c r="L237" i="4"/>
  <c r="O237" i="4" s="1"/>
  <c r="M237" i="4" s="1"/>
  <c r="L238" i="4"/>
  <c r="L239" i="4"/>
  <c r="O239" i="4" s="1"/>
  <c r="M239" i="4" s="1"/>
  <c r="L240" i="4"/>
  <c r="O240" i="4" s="1"/>
  <c r="M240" i="4" s="1"/>
  <c r="L241" i="4"/>
  <c r="O241" i="4" s="1"/>
  <c r="M241" i="4" s="1"/>
  <c r="L242" i="4"/>
  <c r="O242" i="4" s="1"/>
  <c r="M242" i="4" s="1"/>
  <c r="L243" i="4"/>
  <c r="O243" i="4" s="1"/>
  <c r="M243" i="4" s="1"/>
  <c r="L244" i="4"/>
  <c r="O244" i="4" s="1"/>
  <c r="M244" i="4" s="1"/>
  <c r="L245" i="4"/>
  <c r="O245" i="4" s="1"/>
  <c r="M245" i="4" s="1"/>
  <c r="L246" i="4"/>
  <c r="O246" i="4" s="1"/>
  <c r="M246" i="4" s="1"/>
  <c r="L247" i="4"/>
  <c r="O247" i="4" s="1"/>
  <c r="M247" i="4" s="1"/>
  <c r="L248" i="4"/>
  <c r="L249" i="4"/>
  <c r="O249" i="4" s="1"/>
  <c r="M249" i="4" s="1"/>
  <c r="L250" i="4"/>
  <c r="L251" i="4"/>
  <c r="L252" i="4"/>
  <c r="L253" i="4"/>
  <c r="O253" i="4" s="1"/>
  <c r="M253" i="4" s="1"/>
  <c r="L254" i="4"/>
  <c r="L255" i="4"/>
  <c r="L256" i="4"/>
  <c r="O256" i="4" s="1"/>
  <c r="M256" i="4" s="1"/>
  <c r="L257" i="4"/>
  <c r="O257" i="4" s="1"/>
  <c r="M257" i="4" s="1"/>
  <c r="L258" i="4"/>
  <c r="O258" i="4" s="1"/>
  <c r="M258" i="4" s="1"/>
  <c r="L259" i="4"/>
  <c r="O259" i="4" s="1"/>
  <c r="M259" i="4" s="1"/>
  <c r="L260" i="4"/>
  <c r="O260" i="4" s="1"/>
  <c r="M260" i="4" s="1"/>
  <c r="L261" i="4"/>
  <c r="O261" i="4" s="1"/>
  <c r="M261" i="4" s="1"/>
  <c r="L262" i="4"/>
  <c r="O262" i="4" s="1"/>
  <c r="M262" i="4" s="1"/>
  <c r="L263" i="4"/>
  <c r="O263" i="4" s="1"/>
  <c r="M263" i="4" s="1"/>
  <c r="L264" i="4"/>
  <c r="L265" i="4"/>
  <c r="L266" i="4"/>
  <c r="L267" i="4"/>
  <c r="O267" i="4" s="1"/>
  <c r="M267" i="4" s="1"/>
  <c r="L268" i="4"/>
  <c r="O268" i="4" s="1"/>
  <c r="M268" i="4" s="1"/>
  <c r="L269" i="4"/>
  <c r="L270" i="4"/>
  <c r="L271" i="4"/>
  <c r="O271" i="4" s="1"/>
  <c r="M271" i="4" s="1"/>
  <c r="L272" i="4"/>
  <c r="O272" i="4" s="1"/>
  <c r="M272" i="4" s="1"/>
  <c r="L273" i="4"/>
  <c r="O273" i="4" s="1"/>
  <c r="M273" i="4" s="1"/>
  <c r="L274" i="4"/>
  <c r="O274" i="4" s="1"/>
  <c r="M274" i="4" s="1"/>
  <c r="L275" i="4"/>
  <c r="O275" i="4" s="1"/>
  <c r="M275" i="4" s="1"/>
  <c r="L276" i="4"/>
  <c r="O276" i="4" s="1"/>
  <c r="M276" i="4" s="1"/>
  <c r="L277" i="4"/>
  <c r="O277" i="4" s="1"/>
  <c r="M277" i="4" s="1"/>
  <c r="L278" i="4"/>
  <c r="O278" i="4" s="1"/>
  <c r="M278" i="4" s="1"/>
  <c r="L279" i="4"/>
  <c r="O279" i="4" s="1"/>
  <c r="M279" i="4" s="1"/>
  <c r="L280" i="4"/>
  <c r="O280" i="4" s="1"/>
  <c r="M280" i="4" s="1"/>
  <c r="L281" i="4"/>
  <c r="O281" i="4" s="1"/>
  <c r="M281" i="4" s="1"/>
  <c r="L282" i="4"/>
  <c r="L283" i="4"/>
  <c r="L284" i="4"/>
  <c r="L285" i="4"/>
  <c r="L286" i="4"/>
  <c r="L287" i="4"/>
  <c r="L288" i="4"/>
  <c r="O288" i="4" s="1"/>
  <c r="M288" i="4" s="1"/>
  <c r="L289" i="4"/>
  <c r="O289" i="4" s="1"/>
  <c r="M289" i="4" s="1"/>
  <c r="L290" i="4"/>
  <c r="O290" i="4" s="1"/>
  <c r="M290" i="4" s="1"/>
  <c r="L291" i="4"/>
  <c r="O291" i="4" s="1"/>
  <c r="M291" i="4" s="1"/>
  <c r="L292" i="4"/>
  <c r="O292" i="4" s="1"/>
  <c r="M292" i="4" s="1"/>
  <c r="L293" i="4"/>
  <c r="O293" i="4" s="1"/>
  <c r="M293" i="4" s="1"/>
  <c r="L294" i="4"/>
  <c r="O294" i="4" s="1"/>
  <c r="M294" i="4" s="1"/>
  <c r="L295" i="4"/>
  <c r="L296" i="4"/>
  <c r="L297" i="4"/>
  <c r="O297" i="4" s="1"/>
  <c r="M297" i="4" s="1"/>
  <c r="L298" i="4"/>
  <c r="L299" i="4"/>
  <c r="O299" i="4" s="1"/>
  <c r="M299" i="4" s="1"/>
  <c r="L300" i="4"/>
  <c r="O300" i="4" s="1"/>
  <c r="M300" i="4" s="1"/>
  <c r="L301" i="4"/>
  <c r="O301" i="4" s="1"/>
  <c r="M301" i="4" s="1"/>
  <c r="L302" i="4"/>
  <c r="L303" i="4"/>
  <c r="O303" i="4" s="1"/>
  <c r="M303" i="4" s="1"/>
  <c r="L304" i="4"/>
  <c r="O304" i="4" s="1"/>
  <c r="M304" i="4" s="1"/>
  <c r="L305" i="4"/>
  <c r="O305" i="4" s="1"/>
  <c r="M305" i="4" s="1"/>
  <c r="L306" i="4"/>
  <c r="O306" i="4" s="1"/>
  <c r="M306" i="4" s="1"/>
  <c r="L307" i="4"/>
  <c r="O307" i="4" s="1"/>
  <c r="M307" i="4" s="1"/>
  <c r="L308" i="4"/>
  <c r="O308" i="4" s="1"/>
  <c r="M308" i="4" s="1"/>
  <c r="L309" i="4"/>
  <c r="O309" i="4" s="1"/>
  <c r="M309" i="4" s="1"/>
  <c r="L310" i="4"/>
  <c r="O310" i="4" s="1"/>
  <c r="M310" i="4" s="1"/>
  <c r="L311" i="4"/>
  <c r="L312" i="4"/>
  <c r="L313" i="4"/>
  <c r="L314" i="4"/>
  <c r="L315" i="4"/>
  <c r="L316" i="4"/>
  <c r="L317" i="4"/>
  <c r="L318" i="4"/>
  <c r="O318" i="4" s="1"/>
  <c r="M318" i="4" s="1"/>
  <c r="L319" i="4"/>
  <c r="L320" i="4"/>
  <c r="O320" i="4" s="1"/>
  <c r="M320" i="4" s="1"/>
  <c r="L321" i="4"/>
  <c r="O321" i="4" s="1"/>
  <c r="M321" i="4" s="1"/>
  <c r="L322" i="4"/>
  <c r="O322" i="4" s="1"/>
  <c r="M322" i="4" s="1"/>
  <c r="L323" i="4"/>
  <c r="O323" i="4" s="1"/>
  <c r="M323" i="4" s="1"/>
  <c r="L324" i="4"/>
  <c r="O324" i="4" s="1"/>
  <c r="M324" i="4" s="1"/>
  <c r="L325" i="4"/>
  <c r="L326" i="4"/>
  <c r="O326" i="4" s="1"/>
  <c r="M326" i="4" s="1"/>
  <c r="L327" i="4"/>
  <c r="L328" i="4"/>
  <c r="O328" i="4" s="1"/>
  <c r="M328" i="4" s="1"/>
  <c r="L329" i="4"/>
  <c r="O329" i="4" s="1"/>
  <c r="M329" i="4" s="1"/>
  <c r="L330" i="4"/>
  <c r="O330" i="4" s="1"/>
  <c r="M330" i="4" s="1"/>
  <c r="L331" i="4"/>
  <c r="O331" i="4" s="1"/>
  <c r="M331" i="4" s="1"/>
  <c r="L332" i="4"/>
  <c r="L333" i="4"/>
  <c r="L334" i="4"/>
  <c r="O334" i="4" s="1"/>
  <c r="M334" i="4" s="1"/>
  <c r="L335" i="4"/>
  <c r="L336" i="4"/>
  <c r="L337" i="4"/>
  <c r="O337" i="4" s="1"/>
  <c r="M337" i="4" s="1"/>
  <c r="L338" i="4"/>
  <c r="O338" i="4" s="1"/>
  <c r="M338" i="4" s="1"/>
  <c r="L339" i="4"/>
  <c r="O339" i="4" s="1"/>
  <c r="M339" i="4" s="1"/>
  <c r="L340" i="4"/>
  <c r="O340" i="4" s="1"/>
  <c r="M340" i="4" s="1"/>
  <c r="L341" i="4"/>
  <c r="O341" i="4" s="1"/>
  <c r="M341" i="4" s="1"/>
  <c r="L342" i="4"/>
  <c r="L343" i="4"/>
  <c r="L344" i="4"/>
  <c r="O344" i="4" s="1"/>
  <c r="M344" i="4" s="1"/>
  <c r="L345" i="4"/>
  <c r="O345" i="4" s="1"/>
  <c r="M345" i="4" s="1"/>
  <c r="L346" i="4"/>
  <c r="O346" i="4" s="1"/>
  <c r="M346" i="4" s="1"/>
  <c r="L347" i="4"/>
  <c r="L348" i="4"/>
  <c r="O348" i="4" s="1"/>
  <c r="M348" i="4" s="1"/>
  <c r="L349" i="4"/>
  <c r="O349" i="4" s="1"/>
  <c r="M349" i="4" s="1"/>
  <c r="L350" i="4"/>
  <c r="L351" i="4"/>
  <c r="L352" i="4"/>
  <c r="O352" i="4" s="1"/>
  <c r="M352" i="4" s="1"/>
  <c r="L353" i="4"/>
  <c r="O353" i="4" s="1"/>
  <c r="M353" i="4" s="1"/>
  <c r="L354" i="4"/>
  <c r="O354" i="4" s="1"/>
  <c r="M354" i="4" s="1"/>
  <c r="L355" i="4"/>
  <c r="O355" i="4" s="1"/>
  <c r="M355" i="4" s="1"/>
  <c r="L356" i="4"/>
  <c r="O356" i="4" s="1"/>
  <c r="M356" i="4" s="1"/>
  <c r="L357" i="4"/>
  <c r="L358" i="4"/>
  <c r="O358" i="4" s="1"/>
  <c r="M358" i="4" s="1"/>
  <c r="L359" i="4"/>
  <c r="O359" i="4" s="1"/>
  <c r="M359" i="4" s="1"/>
  <c r="L360" i="4"/>
  <c r="O360" i="4" s="1"/>
  <c r="M360" i="4" s="1"/>
  <c r="L361" i="4"/>
  <c r="O361" i="4" s="1"/>
  <c r="M361" i="4" s="1"/>
  <c r="L362" i="4"/>
  <c r="O362" i="4" s="1"/>
  <c r="M362" i="4" s="1"/>
  <c r="L363" i="4"/>
  <c r="L364" i="4"/>
  <c r="O364" i="4" s="1"/>
  <c r="M364" i="4" s="1"/>
  <c r="L365" i="4"/>
  <c r="O365" i="4" s="1"/>
  <c r="M365" i="4" s="1"/>
  <c r="L366" i="4"/>
  <c r="L367" i="4"/>
  <c r="O367" i="4" s="1"/>
  <c r="M367" i="4" s="1"/>
  <c r="L368" i="4"/>
  <c r="O368" i="4" s="1"/>
  <c r="M368" i="4" s="1"/>
  <c r="L369" i="4"/>
  <c r="O369" i="4" s="1"/>
  <c r="M369" i="4" s="1"/>
  <c r="L370" i="4"/>
  <c r="O370" i="4" s="1"/>
  <c r="M370" i="4" s="1"/>
  <c r="L371" i="4"/>
  <c r="O371" i="4" s="1"/>
  <c r="M371" i="4" s="1"/>
  <c r="L372" i="4"/>
  <c r="O372" i="4" s="1"/>
  <c r="M372" i="4" s="1"/>
  <c r="L373" i="4"/>
  <c r="L374" i="4"/>
  <c r="O374" i="4" s="1"/>
  <c r="M374" i="4" s="1"/>
  <c r="L375" i="4"/>
  <c r="L376" i="4"/>
  <c r="L377" i="4"/>
  <c r="L378" i="4"/>
  <c r="L379" i="4"/>
  <c r="L380" i="4"/>
  <c r="O380" i="4" s="1"/>
  <c r="M380" i="4" s="1"/>
  <c r="L381" i="4"/>
  <c r="O381" i="4" s="1"/>
  <c r="M381" i="4" s="1"/>
  <c r="L382" i="4"/>
  <c r="L383" i="4"/>
  <c r="O383" i="4" s="1"/>
  <c r="M383" i="4" s="1"/>
  <c r="L384" i="4"/>
  <c r="O384" i="4" s="1"/>
  <c r="M384" i="4" s="1"/>
  <c r="L385" i="4"/>
  <c r="O385" i="4" s="1"/>
  <c r="M385" i="4" s="1"/>
  <c r="L386" i="4"/>
  <c r="O386" i="4" s="1"/>
  <c r="M386" i="4" s="1"/>
  <c r="L387" i="4"/>
  <c r="O387" i="4" s="1"/>
  <c r="M387" i="4" s="1"/>
  <c r="L388" i="4"/>
  <c r="O388" i="4" s="1"/>
  <c r="M388" i="4" s="1"/>
  <c r="L389" i="4"/>
  <c r="O389" i="4" s="1"/>
  <c r="M389" i="4" s="1"/>
  <c r="L390" i="4"/>
  <c r="O390" i="4" s="1"/>
  <c r="M390" i="4" s="1"/>
  <c r="L391" i="4"/>
  <c r="O391" i="4" s="1"/>
  <c r="M391" i="4" s="1"/>
  <c r="L392" i="4"/>
  <c r="L393" i="4"/>
  <c r="L394" i="4"/>
  <c r="L395" i="4"/>
  <c r="L396" i="4"/>
  <c r="O396" i="4" s="1"/>
  <c r="M396" i="4" s="1"/>
  <c r="L397" i="4"/>
  <c r="L398" i="4"/>
  <c r="O398" i="4" s="1"/>
  <c r="M398" i="4" s="1"/>
  <c r="L399" i="4"/>
  <c r="O399" i="4" s="1"/>
  <c r="M399" i="4" s="1"/>
  <c r="L400" i="4"/>
  <c r="O400" i="4" s="1"/>
  <c r="M400" i="4" s="1"/>
  <c r="L401" i="4"/>
  <c r="O401" i="4" s="1"/>
  <c r="M401" i="4" s="1"/>
  <c r="L402" i="4"/>
  <c r="O402" i="4" s="1"/>
  <c r="M402" i="4" s="1"/>
  <c r="L403" i="4"/>
  <c r="O403" i="4" s="1"/>
  <c r="M403" i="4" s="1"/>
  <c r="L404" i="4"/>
  <c r="O404" i="4" s="1"/>
  <c r="M404" i="4" s="1"/>
  <c r="L405" i="4"/>
  <c r="L406" i="4"/>
  <c r="O406" i="4" s="1"/>
  <c r="M406" i="4" s="1"/>
  <c r="L407" i="4"/>
  <c r="O407" i="4" s="1"/>
  <c r="M407" i="4" s="1"/>
  <c r="L408" i="4"/>
  <c r="O408" i="4" s="1"/>
  <c r="M408" i="4" s="1"/>
  <c r="L409" i="4"/>
  <c r="O409" i="4" s="1"/>
  <c r="M409" i="4" s="1"/>
  <c r="L410" i="4"/>
  <c r="O410" i="4" s="1"/>
  <c r="M410" i="4" s="1"/>
  <c r="L411" i="4"/>
  <c r="L412" i="4"/>
  <c r="L413" i="4"/>
  <c r="L414" i="4"/>
  <c r="O414" i="4" s="1"/>
  <c r="M414" i="4" s="1"/>
  <c r="L415" i="4"/>
  <c r="L416" i="4"/>
  <c r="O416" i="4" s="1"/>
  <c r="M416" i="4" s="1"/>
  <c r="L417" i="4"/>
  <c r="O417" i="4" s="1"/>
  <c r="M417" i="4" s="1"/>
  <c r="L418" i="4"/>
  <c r="O418" i="4" s="1"/>
  <c r="M418" i="4" s="1"/>
  <c r="L419" i="4"/>
  <c r="O419" i="4" s="1"/>
  <c r="M419" i="4" s="1"/>
  <c r="L420" i="4"/>
  <c r="O420" i="4" s="1"/>
  <c r="M420" i="4" s="1"/>
  <c r="L421" i="4"/>
  <c r="L422" i="4"/>
  <c r="L423" i="4"/>
  <c r="L424" i="4"/>
  <c r="L425" i="4"/>
  <c r="L426" i="4"/>
  <c r="O426" i="4" s="1"/>
  <c r="M426" i="4" s="1"/>
  <c r="L427" i="4"/>
  <c r="L428" i="4"/>
  <c r="L429" i="4"/>
  <c r="L430" i="4"/>
  <c r="O430" i="4" s="1"/>
  <c r="M430" i="4" s="1"/>
  <c r="L431" i="4"/>
  <c r="O431" i="4" s="1"/>
  <c r="M431" i="4" s="1"/>
  <c r="L432" i="4"/>
  <c r="O432" i="4" s="1"/>
  <c r="M432" i="4" s="1"/>
  <c r="L433" i="4"/>
  <c r="O433" i="4" s="1"/>
  <c r="M433" i="4" s="1"/>
  <c r="L434" i="4"/>
  <c r="O434" i="4" s="1"/>
  <c r="M434" i="4" s="1"/>
  <c r="L435" i="4"/>
  <c r="O435" i="4" s="1"/>
  <c r="M435" i="4" s="1"/>
  <c r="L436" i="4"/>
  <c r="O436" i="4" s="1"/>
  <c r="M436" i="4" s="1"/>
  <c r="L437" i="4"/>
  <c r="O437" i="4" s="1"/>
  <c r="M437" i="4" s="1"/>
  <c r="L438" i="4"/>
  <c r="L439" i="4"/>
  <c r="O439" i="4" s="1"/>
  <c r="M439" i="4" s="1"/>
  <c r="L440" i="4"/>
  <c r="L441" i="4"/>
  <c r="L442" i="4"/>
  <c r="L443" i="4"/>
  <c r="L444" i="4"/>
  <c r="L445" i="4"/>
  <c r="L446" i="4"/>
  <c r="O446" i="4" s="1"/>
  <c r="M446" i="4" s="1"/>
  <c r="L447" i="4"/>
  <c r="L448" i="4"/>
  <c r="O448" i="4" s="1"/>
  <c r="M448" i="4" s="1"/>
  <c r="L449" i="4"/>
  <c r="O449" i="4" s="1"/>
  <c r="M449" i="4" s="1"/>
  <c r="L450" i="4"/>
  <c r="O450" i="4" s="1"/>
  <c r="M450" i="4" s="1"/>
  <c r="L451" i="4"/>
  <c r="O451" i="4" s="1"/>
  <c r="M451" i="4" s="1"/>
  <c r="L452" i="4"/>
  <c r="O452" i="4" s="1"/>
  <c r="M452" i="4" s="1"/>
  <c r="L453" i="4"/>
  <c r="L454" i="4"/>
  <c r="L455" i="4"/>
  <c r="O455" i="4" s="1"/>
  <c r="M455" i="4" s="1"/>
  <c r="L456" i="4"/>
  <c r="O456" i="4" s="1"/>
  <c r="M456" i="4" s="1"/>
  <c r="L457" i="4"/>
  <c r="L458" i="4"/>
  <c r="L459" i="4"/>
  <c r="L460" i="4"/>
  <c r="L461" i="4"/>
  <c r="O461" i="4" s="1"/>
  <c r="M461" i="4" s="1"/>
  <c r="L462" i="4"/>
  <c r="L463" i="4"/>
  <c r="L464" i="4"/>
  <c r="O464" i="4" s="1"/>
  <c r="M464" i="4" s="1"/>
  <c r="L465" i="4"/>
  <c r="O465" i="4" s="1"/>
  <c r="M465" i="4" s="1"/>
  <c r="L466" i="4"/>
  <c r="O466" i="4" s="1"/>
  <c r="M466" i="4" s="1"/>
  <c r="L467" i="4"/>
  <c r="O467" i="4" s="1"/>
  <c r="M467" i="4" s="1"/>
  <c r="L468" i="4"/>
  <c r="O468" i="4" s="1"/>
  <c r="M468" i="4" s="1"/>
  <c r="L469" i="4"/>
  <c r="O469" i="4" s="1"/>
  <c r="M469" i="4" s="1"/>
  <c r="L470" i="4"/>
  <c r="O470" i="4" s="1"/>
  <c r="M470" i="4" s="1"/>
  <c r="L471" i="4"/>
  <c r="L472" i="4"/>
  <c r="L473" i="4"/>
  <c r="L474" i="4"/>
  <c r="O474" i="4" s="1"/>
  <c r="M474" i="4" s="1"/>
  <c r="L475" i="4"/>
  <c r="L476" i="4"/>
  <c r="O476" i="4" s="1"/>
  <c r="M476" i="4" s="1"/>
  <c r="L477" i="4"/>
  <c r="L478" i="4"/>
  <c r="L479" i="4"/>
  <c r="L480" i="4"/>
  <c r="O480" i="4" s="1"/>
  <c r="M480" i="4" s="1"/>
  <c r="L481" i="4"/>
  <c r="O481" i="4" s="1"/>
  <c r="M481" i="4" s="1"/>
  <c r="L482" i="4"/>
  <c r="O482" i="4" s="1"/>
  <c r="M482" i="4" s="1"/>
  <c r="L483" i="4"/>
  <c r="O483" i="4" s="1"/>
  <c r="M483" i="4" s="1"/>
  <c r="L484" i="4"/>
  <c r="O484" i="4" s="1"/>
  <c r="M484" i="4" s="1"/>
  <c r="L485" i="4"/>
  <c r="L486" i="4"/>
  <c r="O486" i="4" s="1"/>
  <c r="M486" i="4" s="1"/>
  <c r="L487" i="4"/>
  <c r="O487" i="4" s="1"/>
  <c r="M487" i="4" s="1"/>
  <c r="L488" i="4"/>
  <c r="O488" i="4" s="1"/>
  <c r="M488" i="4" s="1"/>
  <c r="L489" i="4"/>
  <c r="L490" i="4"/>
  <c r="L491" i="4"/>
  <c r="O491" i="4" s="1"/>
  <c r="M491" i="4" s="1"/>
  <c r="L492" i="4"/>
  <c r="O492" i="4" s="1"/>
  <c r="M492" i="4" s="1"/>
  <c r="L493" i="4"/>
  <c r="L494" i="4"/>
  <c r="L495" i="4"/>
  <c r="O495" i="4" s="1"/>
  <c r="M495" i="4" s="1"/>
  <c r="L496" i="4"/>
  <c r="O496" i="4" s="1"/>
  <c r="M496" i="4" s="1"/>
  <c r="L497" i="4"/>
  <c r="O497" i="4" s="1"/>
  <c r="M497" i="4" s="1"/>
  <c r="L498" i="4"/>
  <c r="O498" i="4" s="1"/>
  <c r="M498" i="4" s="1"/>
  <c r="L499" i="4"/>
  <c r="O499" i="4" s="1"/>
  <c r="M499" i="4" s="1"/>
  <c r="L500" i="4"/>
  <c r="O500" i="4" s="1"/>
  <c r="M500" i="4" s="1"/>
  <c r="L501" i="4"/>
  <c r="L502" i="4"/>
  <c r="O502" i="4" s="1"/>
  <c r="M502" i="4" s="1"/>
  <c r="L503" i="4"/>
  <c r="O503" i="4" s="1"/>
  <c r="M503" i="4" s="1"/>
  <c r="L504" i="4"/>
  <c r="L505" i="4"/>
  <c r="O505" i="4" s="1"/>
  <c r="M505" i="4" s="1"/>
  <c r="L506" i="4"/>
  <c r="L507" i="4"/>
  <c r="O507" i="4" s="1"/>
  <c r="M507" i="4" s="1"/>
  <c r="L508" i="4"/>
  <c r="O508" i="4" s="1"/>
  <c r="M508" i="4" s="1"/>
  <c r="L509" i="4"/>
  <c r="L510" i="4"/>
  <c r="O510" i="4" s="1"/>
  <c r="M510" i="4" s="1"/>
  <c r="L511" i="4"/>
  <c r="L512" i="4"/>
  <c r="O512" i="4" s="1"/>
  <c r="M512" i="4" s="1"/>
  <c r="L513" i="4"/>
  <c r="O513" i="4" s="1"/>
  <c r="M513" i="4" s="1"/>
  <c r="L514" i="4"/>
  <c r="O514" i="4" s="1"/>
  <c r="M514" i="4" s="1"/>
  <c r="L515" i="4"/>
  <c r="O515" i="4" s="1"/>
  <c r="M515" i="4" s="1"/>
  <c r="L516" i="4"/>
  <c r="O516" i="4" s="1"/>
  <c r="M516" i="4" s="1"/>
  <c r="L517" i="4"/>
  <c r="O517" i="4" s="1"/>
  <c r="M517" i="4" s="1"/>
  <c r="L518" i="4"/>
  <c r="O518" i="4" s="1"/>
  <c r="M518" i="4" s="1"/>
  <c r="L519" i="4"/>
  <c r="L520" i="4"/>
  <c r="L521" i="4"/>
  <c r="O521" i="4" s="1"/>
  <c r="M521" i="4" s="1"/>
  <c r="L522" i="4"/>
  <c r="L523" i="4"/>
  <c r="L524" i="4"/>
  <c r="L525" i="4"/>
  <c r="O525" i="4" s="1"/>
  <c r="M525" i="4" s="1"/>
  <c r="L526" i="4"/>
  <c r="L527" i="4"/>
  <c r="L528" i="4"/>
  <c r="O528" i="4" s="1"/>
  <c r="M528" i="4" s="1"/>
  <c r="L529" i="4"/>
  <c r="O529" i="4" s="1"/>
  <c r="M529" i="4" s="1"/>
  <c r="L530" i="4"/>
  <c r="O530" i="4" s="1"/>
  <c r="M530" i="4" s="1"/>
  <c r="L531" i="4"/>
  <c r="O531" i="4" s="1"/>
  <c r="M531" i="4" s="1"/>
  <c r="L532" i="4"/>
  <c r="O532" i="4" s="1"/>
  <c r="M532" i="4" s="1"/>
  <c r="L533" i="4"/>
  <c r="O533" i="4" s="1"/>
  <c r="M533" i="4" s="1"/>
  <c r="L534" i="4"/>
  <c r="O534" i="4" s="1"/>
  <c r="M534" i="4" s="1"/>
  <c r="L535" i="4"/>
  <c r="L536" i="4"/>
  <c r="L537" i="4"/>
  <c r="L538" i="4"/>
  <c r="L539" i="4"/>
  <c r="L540" i="4"/>
  <c r="L541" i="4"/>
  <c r="O541" i="4" s="1"/>
  <c r="M541" i="4" s="1"/>
  <c r="L542" i="4"/>
  <c r="O542" i="4" s="1"/>
  <c r="M542" i="4" s="1"/>
  <c r="L543" i="4"/>
  <c r="L544" i="4"/>
  <c r="O544" i="4" s="1"/>
  <c r="M544" i="4" s="1"/>
  <c r="L545" i="4"/>
  <c r="O545" i="4" s="1"/>
  <c r="M545" i="4" s="1"/>
  <c r="L546" i="4"/>
  <c r="O546" i="4" s="1"/>
  <c r="M546" i="4" s="1"/>
  <c r="L547" i="4"/>
  <c r="O547" i="4" s="1"/>
  <c r="M547" i="4" s="1"/>
  <c r="L548" i="4"/>
  <c r="O548" i="4" s="1"/>
  <c r="M548" i="4" s="1"/>
  <c r="L549" i="4"/>
  <c r="O549" i="4" s="1"/>
  <c r="M549" i="4" s="1"/>
  <c r="L550" i="4"/>
  <c r="O550" i="4" s="1"/>
  <c r="M550" i="4" s="1"/>
  <c r="L551" i="4"/>
  <c r="O551" i="4" s="1"/>
  <c r="M551" i="4" s="1"/>
  <c r="L552" i="4"/>
  <c r="O552" i="4" s="1"/>
  <c r="M552" i="4" s="1"/>
  <c r="L553" i="4"/>
  <c r="L554" i="4"/>
  <c r="O554" i="4" s="1"/>
  <c r="M554" i="4" s="1"/>
  <c r="L555" i="4"/>
  <c r="L556" i="4"/>
  <c r="O556" i="4" s="1"/>
  <c r="M556" i="4" s="1"/>
  <c r="L557" i="4"/>
  <c r="L558" i="4"/>
  <c r="L559" i="4"/>
  <c r="L560" i="4"/>
  <c r="O560" i="4" s="1"/>
  <c r="M560" i="4" s="1"/>
  <c r="L561" i="4"/>
  <c r="O561" i="4" s="1"/>
  <c r="M561" i="4" s="1"/>
  <c r="L562" i="4"/>
  <c r="O562" i="4" s="1"/>
  <c r="M562" i="4" s="1"/>
  <c r="L563" i="4"/>
  <c r="O563" i="4" s="1"/>
  <c r="M563" i="4" s="1"/>
  <c r="L564" i="4"/>
  <c r="O564" i="4" s="1"/>
  <c r="M564" i="4" s="1"/>
  <c r="L565" i="4"/>
  <c r="L566" i="4"/>
  <c r="O566" i="4" s="1"/>
  <c r="M566" i="4" s="1"/>
  <c r="L567" i="4"/>
  <c r="O567" i="4" s="1"/>
  <c r="M567" i="4" s="1"/>
  <c r="L568" i="4"/>
  <c r="O568" i="4" s="1"/>
  <c r="M568" i="4" s="1"/>
  <c r="L569" i="4"/>
  <c r="O569" i="4" s="1"/>
  <c r="M569" i="4" s="1"/>
  <c r="L570" i="4"/>
  <c r="L571" i="4"/>
  <c r="L572" i="4"/>
  <c r="L573" i="4"/>
  <c r="L574" i="4"/>
  <c r="L575" i="4"/>
  <c r="O575" i="4" s="1"/>
  <c r="M575" i="4" s="1"/>
  <c r="L576" i="4"/>
  <c r="O576" i="4" s="1"/>
  <c r="M576" i="4" s="1"/>
  <c r="L577" i="4"/>
  <c r="O577" i="4" s="1"/>
  <c r="M577" i="4" s="1"/>
  <c r="L578" i="4"/>
  <c r="O578" i="4" s="1"/>
  <c r="M578" i="4" s="1"/>
  <c r="L579" i="4"/>
  <c r="O579" i="4" s="1"/>
  <c r="M579" i="4" s="1"/>
  <c r="L580" i="4"/>
  <c r="O580" i="4" s="1"/>
  <c r="M580" i="4" s="1"/>
  <c r="L581" i="4"/>
  <c r="O581" i="4" s="1"/>
  <c r="M581" i="4" s="1"/>
  <c r="L582" i="4"/>
  <c r="O582" i="4" s="1"/>
  <c r="M582" i="4" s="1"/>
  <c r="L583" i="4"/>
  <c r="O583" i="4" s="1"/>
  <c r="M583" i="4" s="1"/>
  <c r="L584" i="4"/>
  <c r="O584" i="4" s="1"/>
  <c r="M584" i="4" s="1"/>
  <c r="L585" i="4"/>
  <c r="O585" i="4" s="1"/>
  <c r="M585" i="4" s="1"/>
  <c r="L586" i="4"/>
  <c r="L587" i="4"/>
  <c r="L588" i="4"/>
  <c r="L589" i="4"/>
  <c r="L590" i="4"/>
  <c r="L591" i="4"/>
  <c r="O591" i="4" s="1"/>
  <c r="M591" i="4" s="1"/>
  <c r="L592" i="4"/>
  <c r="O592" i="4" s="1"/>
  <c r="M592" i="4" s="1"/>
  <c r="L593" i="4"/>
  <c r="O593" i="4" s="1"/>
  <c r="M593" i="4" s="1"/>
  <c r="L594" i="4"/>
  <c r="O594" i="4" s="1"/>
  <c r="M594" i="4" s="1"/>
  <c r="L595" i="4"/>
  <c r="O595" i="4" s="1"/>
  <c r="M595" i="4" s="1"/>
  <c r="L596" i="4"/>
  <c r="O596" i="4" s="1"/>
  <c r="M596" i="4" s="1"/>
  <c r="L597" i="4"/>
  <c r="L598" i="4"/>
  <c r="L599" i="4"/>
  <c r="O599" i="4" s="1"/>
  <c r="M599" i="4" s="1"/>
  <c r="L600" i="4"/>
  <c r="L601" i="4"/>
  <c r="L602" i="4"/>
  <c r="L603" i="4"/>
  <c r="O603" i="4" s="1"/>
  <c r="M603" i="4" s="1"/>
  <c r="L604" i="4"/>
  <c r="O604" i="4" s="1"/>
  <c r="M604" i="4" s="1"/>
  <c r="L605" i="4"/>
  <c r="L606" i="4"/>
  <c r="L607" i="4"/>
  <c r="L608" i="4"/>
  <c r="O608" i="4" s="1"/>
  <c r="M608" i="4" s="1"/>
  <c r="L609" i="4"/>
  <c r="O609" i="4" s="1"/>
  <c r="M609" i="4" s="1"/>
  <c r="L610" i="4"/>
  <c r="O610" i="4" s="1"/>
  <c r="M610" i="4" s="1"/>
  <c r="L611" i="4"/>
  <c r="O611" i="4" s="1"/>
  <c r="M611" i="4" s="1"/>
  <c r="L612" i="4"/>
  <c r="O612" i="4" s="1"/>
  <c r="M612" i="4" s="1"/>
  <c r="L613" i="4"/>
  <c r="O613" i="4" s="1"/>
  <c r="M613" i="4" s="1"/>
  <c r="L614" i="4"/>
  <c r="L615" i="4"/>
  <c r="L616" i="4"/>
  <c r="L617" i="4"/>
  <c r="O617" i="4" s="1"/>
  <c r="M617" i="4" s="1"/>
  <c r="L618" i="4"/>
  <c r="L619" i="4"/>
  <c r="O619" i="4" s="1"/>
  <c r="M619" i="4" s="1"/>
  <c r="L620" i="4"/>
  <c r="L621" i="4"/>
  <c r="L622" i="4"/>
  <c r="L623" i="4"/>
  <c r="L624" i="4"/>
  <c r="O624" i="4" s="1"/>
  <c r="M624" i="4" s="1"/>
  <c r="L625" i="4"/>
  <c r="O625" i="4" s="1"/>
  <c r="M625" i="4" s="1"/>
  <c r="L626" i="4"/>
  <c r="O626" i="4" s="1"/>
  <c r="M626" i="4" s="1"/>
  <c r="L627" i="4"/>
  <c r="O627" i="4" s="1"/>
  <c r="M627" i="4" s="1"/>
  <c r="L628" i="4"/>
  <c r="O628" i="4" s="1"/>
  <c r="M628" i="4" s="1"/>
  <c r="L629" i="4"/>
  <c r="O629" i="4" s="1"/>
  <c r="M629" i="4" s="1"/>
  <c r="L630" i="4"/>
  <c r="L631" i="4"/>
  <c r="O631" i="4" s="1"/>
  <c r="M631" i="4" s="1"/>
  <c r="L632" i="4"/>
  <c r="L633" i="4"/>
  <c r="O633" i="4" s="1"/>
  <c r="M633" i="4" s="1"/>
  <c r="L634" i="4"/>
  <c r="O634" i="4" s="1"/>
  <c r="M634" i="4" s="1"/>
  <c r="L635" i="4"/>
  <c r="O635" i="4" s="1"/>
  <c r="M635" i="4" s="1"/>
  <c r="L636" i="4"/>
  <c r="O636" i="4" s="1"/>
  <c r="M636" i="4" s="1"/>
  <c r="L637" i="4"/>
  <c r="L638" i="4"/>
  <c r="O638" i="4" s="1"/>
  <c r="M638" i="4" s="1"/>
  <c r="L639" i="4"/>
  <c r="O639" i="4" s="1"/>
  <c r="M639" i="4" s="1"/>
  <c r="L640" i="4"/>
  <c r="O640" i="4" s="1"/>
  <c r="M640" i="4" s="1"/>
  <c r="L641" i="4"/>
  <c r="O641" i="4" s="1"/>
  <c r="M641" i="4" s="1"/>
  <c r="L642" i="4"/>
  <c r="O642" i="4" s="1"/>
  <c r="M642" i="4" s="1"/>
  <c r="L643" i="4"/>
  <c r="O643" i="4" s="1"/>
  <c r="M643" i="4" s="1"/>
  <c r="L644" i="4"/>
  <c r="O644" i="4" s="1"/>
  <c r="M644" i="4" s="1"/>
  <c r="L645" i="4"/>
  <c r="O645" i="4" s="1"/>
  <c r="M645" i="4" s="1"/>
  <c r="L646" i="4"/>
  <c r="L647" i="4"/>
  <c r="O647" i="4" s="1"/>
  <c r="M647" i="4" s="1"/>
  <c r="L648" i="4"/>
  <c r="O648" i="4" s="1"/>
  <c r="M648" i="4" s="1"/>
  <c r="L649" i="4"/>
  <c r="O649" i="4" s="1"/>
  <c r="M649" i="4" s="1"/>
  <c r="L650" i="4"/>
  <c r="L651" i="4"/>
  <c r="O651" i="4" s="1"/>
  <c r="M651" i="4" s="1"/>
  <c r="L652" i="4"/>
  <c r="L653" i="4"/>
  <c r="O653" i="4" s="1"/>
  <c r="M653" i="4" s="1"/>
  <c r="L654" i="4"/>
  <c r="L655" i="4"/>
  <c r="O655" i="4" s="1"/>
  <c r="M655" i="4" s="1"/>
  <c r="L656" i="4"/>
  <c r="O656" i="4" s="1"/>
  <c r="M656" i="4" s="1"/>
  <c r="L657" i="4"/>
  <c r="O657" i="4" s="1"/>
  <c r="M657" i="4" s="1"/>
  <c r="L658" i="4"/>
  <c r="O658" i="4" s="1"/>
  <c r="M658" i="4" s="1"/>
  <c r="L659" i="4"/>
  <c r="O659" i="4" s="1"/>
  <c r="M659" i="4" s="1"/>
  <c r="L660" i="4"/>
  <c r="O660" i="4" s="1"/>
  <c r="M660" i="4" s="1"/>
  <c r="L661" i="4"/>
  <c r="O661" i="4" s="1"/>
  <c r="M661" i="4" s="1"/>
  <c r="L662" i="4"/>
  <c r="O662" i="4" s="1"/>
  <c r="M662" i="4" s="1"/>
  <c r="L663" i="4"/>
  <c r="O663" i="4" s="1"/>
  <c r="M663" i="4" s="1"/>
  <c r="L664" i="4"/>
  <c r="O664" i="4" s="1"/>
  <c r="M664" i="4" s="1"/>
  <c r="L665" i="4"/>
  <c r="O665" i="4" s="1"/>
  <c r="M665" i="4" s="1"/>
  <c r="L666" i="4"/>
  <c r="L667" i="4"/>
  <c r="L668" i="4"/>
  <c r="L669" i="4"/>
  <c r="L670" i="4"/>
  <c r="L671" i="4"/>
  <c r="L672" i="4"/>
  <c r="O672" i="4" s="1"/>
  <c r="M672" i="4" s="1"/>
  <c r="L673" i="4"/>
  <c r="O673" i="4" s="1"/>
  <c r="M673" i="4" s="1"/>
  <c r="L674" i="4"/>
  <c r="O674" i="4" s="1"/>
  <c r="M674" i="4" s="1"/>
  <c r="L675" i="4"/>
  <c r="O675" i="4" s="1"/>
  <c r="M675" i="4" s="1"/>
  <c r="L676" i="4"/>
  <c r="O676" i="4" s="1"/>
  <c r="M676" i="4" s="1"/>
  <c r="L677" i="4"/>
  <c r="O677" i="4" s="1"/>
  <c r="M677" i="4" s="1"/>
  <c r="L678" i="4"/>
  <c r="L679" i="4"/>
  <c r="L680" i="4"/>
  <c r="L681" i="4"/>
  <c r="L682" i="4"/>
  <c r="L683" i="4"/>
  <c r="L684" i="4"/>
  <c r="L685" i="4"/>
  <c r="O685" i="4" s="1"/>
  <c r="M685" i="4" s="1"/>
  <c r="L686" i="4"/>
  <c r="L687" i="4"/>
  <c r="L688" i="4"/>
  <c r="O688" i="4" s="1"/>
  <c r="M688" i="4" s="1"/>
  <c r="L689" i="4"/>
  <c r="O689" i="4" s="1"/>
  <c r="M689" i="4" s="1"/>
  <c r="L690" i="4"/>
  <c r="O690" i="4" s="1"/>
  <c r="M690" i="4" s="1"/>
  <c r="L691" i="4"/>
  <c r="O691" i="4" s="1"/>
  <c r="M691" i="4" s="1"/>
  <c r="L692" i="4"/>
  <c r="O692" i="4" s="1"/>
  <c r="M692" i="4" s="1"/>
  <c r="L693" i="4"/>
  <c r="O693" i="4" s="1"/>
  <c r="M693" i="4" s="1"/>
  <c r="L694" i="4"/>
  <c r="O694" i="4" s="1"/>
  <c r="M694" i="4" s="1"/>
  <c r="L695" i="4"/>
  <c r="L696" i="4"/>
  <c r="L697" i="4"/>
  <c r="O697" i="4" s="1"/>
  <c r="M697" i="4" s="1"/>
  <c r="L698" i="4"/>
  <c r="L699" i="4"/>
  <c r="O699" i="4" s="1"/>
  <c r="M699" i="4" s="1"/>
  <c r="L700" i="4"/>
  <c r="L701" i="4"/>
  <c r="L702" i="4"/>
  <c r="L703" i="4"/>
  <c r="L704" i="4"/>
  <c r="O704" i="4" s="1"/>
  <c r="M704" i="4" s="1"/>
  <c r="L705" i="4"/>
  <c r="O705" i="4" s="1"/>
  <c r="M705" i="4" s="1"/>
  <c r="L706" i="4"/>
  <c r="O706" i="4" s="1"/>
  <c r="M706" i="4" s="1"/>
  <c r="L707" i="4"/>
  <c r="O707" i="4" s="1"/>
  <c r="M707" i="4" s="1"/>
  <c r="L708" i="4"/>
  <c r="O708" i="4" s="1"/>
  <c r="M708" i="4" s="1"/>
  <c r="L709" i="4"/>
  <c r="L710" i="4"/>
  <c r="O710" i="4" s="1"/>
  <c r="M710" i="4" s="1"/>
  <c r="L711" i="4"/>
  <c r="L712" i="4"/>
  <c r="L713" i="4"/>
  <c r="L714" i="4"/>
  <c r="L715" i="4"/>
  <c r="L716" i="4"/>
  <c r="L717" i="4"/>
  <c r="L718" i="4"/>
  <c r="L719" i="4"/>
  <c r="O719" i="4" s="1"/>
  <c r="M719" i="4" s="1"/>
  <c r="L720" i="4"/>
  <c r="O720" i="4" s="1"/>
  <c r="M720" i="4" s="1"/>
  <c r="L721" i="4"/>
  <c r="O721" i="4" s="1"/>
  <c r="M721" i="4" s="1"/>
  <c r="L722" i="4"/>
  <c r="O722" i="4" s="1"/>
  <c r="M722" i="4" s="1"/>
  <c r="L723" i="4"/>
  <c r="O723" i="4" s="1"/>
  <c r="M723" i="4" s="1"/>
  <c r="L724" i="4"/>
  <c r="O724" i="4" s="1"/>
  <c r="M724" i="4" s="1"/>
  <c r="L725" i="4"/>
  <c r="O725" i="4" s="1"/>
  <c r="M725" i="4" s="1"/>
  <c r="L726" i="4"/>
  <c r="O726" i="4" s="1"/>
  <c r="M726" i="4" s="1"/>
  <c r="L727" i="4"/>
  <c r="O727" i="4" s="1"/>
  <c r="M727" i="4" s="1"/>
  <c r="L728" i="4"/>
  <c r="O728" i="4" s="1"/>
  <c r="M728" i="4" s="1"/>
  <c r="L729" i="4"/>
  <c r="O729" i="4" s="1"/>
  <c r="M729" i="4" s="1"/>
  <c r="L730" i="4"/>
  <c r="L731" i="4"/>
  <c r="L732" i="4"/>
  <c r="L733" i="4"/>
  <c r="O733" i="4" s="1"/>
  <c r="M733" i="4" s="1"/>
  <c r="L734" i="4"/>
  <c r="O734" i="4" s="1"/>
  <c r="M734" i="4" s="1"/>
  <c r="L735" i="4"/>
  <c r="O735" i="4" s="1"/>
  <c r="M735" i="4" s="1"/>
  <c r="L736" i="4"/>
  <c r="O736" i="4" s="1"/>
  <c r="M736" i="4" s="1"/>
  <c r="L737" i="4"/>
  <c r="O737" i="4" s="1"/>
  <c r="M737" i="4" s="1"/>
  <c r="L738" i="4"/>
  <c r="O738" i="4" s="1"/>
  <c r="M738" i="4" s="1"/>
  <c r="L739" i="4"/>
  <c r="O739" i="4" s="1"/>
  <c r="M739" i="4" s="1"/>
  <c r="L740" i="4"/>
  <c r="O740" i="4" s="1"/>
  <c r="M740" i="4" s="1"/>
  <c r="L741" i="4"/>
  <c r="L742" i="4"/>
  <c r="O742" i="4" s="1"/>
  <c r="M742" i="4" s="1"/>
  <c r="L743" i="4"/>
  <c r="L744" i="4"/>
  <c r="L745" i="4"/>
  <c r="O745" i="4" s="1"/>
  <c r="M745" i="4" s="1"/>
  <c r="L746" i="4"/>
  <c r="O746" i="4" s="1"/>
  <c r="M746" i="4" s="1"/>
  <c r="L747" i="4"/>
  <c r="L748" i="4"/>
  <c r="O748" i="4" s="1"/>
  <c r="M748" i="4" s="1"/>
  <c r="L749" i="4"/>
  <c r="O749" i="4" s="1"/>
  <c r="M749" i="4" s="1"/>
  <c r="L750" i="4"/>
  <c r="O750" i="4" s="1"/>
  <c r="M750" i="4" s="1"/>
  <c r="L751" i="4"/>
  <c r="O751" i="4" s="1"/>
  <c r="M751" i="4" s="1"/>
  <c r="L752" i="4"/>
  <c r="O752" i="4" s="1"/>
  <c r="M752" i="4" s="1"/>
  <c r="L753" i="4"/>
  <c r="O753" i="4" s="1"/>
  <c r="M753" i="4" s="1"/>
  <c r="L754" i="4"/>
  <c r="O754" i="4" s="1"/>
  <c r="M754" i="4" s="1"/>
  <c r="L755" i="4"/>
  <c r="O755" i="4" s="1"/>
  <c r="M755" i="4" s="1"/>
  <c r="L756" i="4"/>
  <c r="O756" i="4" s="1"/>
  <c r="M756" i="4" s="1"/>
  <c r="L757" i="4"/>
  <c r="L758" i="4"/>
  <c r="O758" i="4" s="1"/>
  <c r="M758" i="4" s="1"/>
  <c r="L759" i="4"/>
  <c r="O759" i="4" s="1"/>
  <c r="M759" i="4" s="1"/>
  <c r="L760" i="4"/>
  <c r="O760" i="4" s="1"/>
  <c r="M760" i="4" s="1"/>
  <c r="L761" i="4"/>
  <c r="L762" i="4"/>
  <c r="L763" i="4"/>
  <c r="L764" i="4"/>
  <c r="L765" i="4"/>
  <c r="L766" i="4"/>
  <c r="O766" i="4" s="1"/>
  <c r="M766" i="4" s="1"/>
  <c r="L767" i="4"/>
  <c r="L768" i="4"/>
  <c r="O768" i="4" s="1"/>
  <c r="M768" i="4" s="1"/>
  <c r="L769" i="4"/>
  <c r="O769" i="4" s="1"/>
  <c r="M769" i="4" s="1"/>
  <c r="L770" i="4"/>
  <c r="O770" i="4" s="1"/>
  <c r="M770" i="4" s="1"/>
  <c r="L771" i="4"/>
  <c r="O771" i="4" s="1"/>
  <c r="M771" i="4" s="1"/>
  <c r="L772" i="4"/>
  <c r="O772" i="4" s="1"/>
  <c r="M772" i="4" s="1"/>
  <c r="L773" i="4"/>
  <c r="O773" i="4" s="1"/>
  <c r="M773" i="4" s="1"/>
  <c r="L774" i="4"/>
  <c r="L775" i="4"/>
  <c r="L776" i="4"/>
  <c r="O776" i="4" s="1"/>
  <c r="M776" i="4" s="1"/>
  <c r="L777" i="4"/>
  <c r="O777" i="4" s="1"/>
  <c r="M777" i="4" s="1"/>
  <c r="L778" i="4"/>
  <c r="L779" i="4"/>
  <c r="L780" i="4"/>
  <c r="L781" i="4"/>
  <c r="L782" i="4"/>
  <c r="L783" i="4"/>
  <c r="L784" i="4"/>
  <c r="O784" i="4" s="1"/>
  <c r="M784" i="4" s="1"/>
  <c r="L785" i="4"/>
  <c r="O785" i="4" s="1"/>
  <c r="M785" i="4" s="1"/>
  <c r="L786" i="4"/>
  <c r="O786" i="4" s="1"/>
  <c r="M786" i="4" s="1"/>
  <c r="L787" i="4"/>
  <c r="O787" i="4" s="1"/>
  <c r="M787" i="4" s="1"/>
  <c r="L788" i="4"/>
  <c r="O788" i="4" s="1"/>
  <c r="M788" i="4" s="1"/>
  <c r="L789" i="4"/>
  <c r="L790" i="4"/>
  <c r="O790" i="4" s="1"/>
  <c r="M790" i="4" s="1"/>
  <c r="L791" i="4"/>
  <c r="L792" i="4"/>
  <c r="L793" i="4"/>
  <c r="L794" i="4"/>
  <c r="L795" i="4"/>
  <c r="L796" i="4"/>
  <c r="O796" i="4" s="1"/>
  <c r="M796" i="4" s="1"/>
  <c r="L797" i="4"/>
  <c r="L798" i="4"/>
  <c r="L799" i="4"/>
  <c r="L800" i="4"/>
  <c r="O800" i="4" s="1"/>
  <c r="M800" i="4" s="1"/>
  <c r="L801" i="4"/>
  <c r="O801" i="4" s="1"/>
  <c r="M801" i="4" s="1"/>
  <c r="L802" i="4"/>
  <c r="O802" i="4" s="1"/>
  <c r="M802" i="4" s="1"/>
  <c r="L803" i="4"/>
  <c r="O803" i="4" s="1"/>
  <c r="M803" i="4" s="1"/>
  <c r="L804" i="4"/>
  <c r="O804" i="4" s="1"/>
  <c r="M804" i="4" s="1"/>
  <c r="L805" i="4"/>
  <c r="L806" i="4"/>
  <c r="L807" i="4"/>
  <c r="L808" i="4"/>
  <c r="L809" i="4"/>
  <c r="L810" i="4"/>
  <c r="L811" i="4"/>
  <c r="L812" i="4"/>
  <c r="L813" i="4"/>
  <c r="L814" i="4"/>
  <c r="O814" i="4" s="1"/>
  <c r="M814" i="4" s="1"/>
  <c r="L815" i="4"/>
  <c r="L816" i="4"/>
  <c r="O816" i="4" s="1"/>
  <c r="M816" i="4" s="1"/>
  <c r="L817" i="4"/>
  <c r="O817" i="4" s="1"/>
  <c r="M817" i="4" s="1"/>
  <c r="L818" i="4"/>
  <c r="O818" i="4" s="1"/>
  <c r="M818" i="4" s="1"/>
  <c r="L819" i="4"/>
  <c r="O819" i="4" s="1"/>
  <c r="M819" i="4" s="1"/>
  <c r="L820" i="4"/>
  <c r="O820" i="4" s="1"/>
  <c r="M820" i="4" s="1"/>
  <c r="L821" i="4"/>
  <c r="O821" i="4" s="1"/>
  <c r="M821" i="4" s="1"/>
  <c r="L822" i="4"/>
  <c r="O822" i="4" s="1"/>
  <c r="M822" i="4" s="1"/>
  <c r="L823" i="4"/>
  <c r="L824" i="4"/>
  <c r="O824" i="4" s="1"/>
  <c r="M824" i="4" s="1"/>
  <c r="L825" i="4"/>
  <c r="L826" i="4"/>
  <c r="L827" i="4"/>
  <c r="O827" i="4" s="1"/>
  <c r="M827" i="4" s="1"/>
  <c r="L828" i="4"/>
  <c r="L829" i="4"/>
  <c r="L830" i="4"/>
  <c r="L831" i="4"/>
  <c r="L832" i="4"/>
  <c r="O832" i="4" s="1"/>
  <c r="M832" i="4" s="1"/>
  <c r="L833" i="4"/>
  <c r="O833" i="4" s="1"/>
  <c r="M833" i="4" s="1"/>
  <c r="L834" i="4"/>
  <c r="O834" i="4" s="1"/>
  <c r="M834" i="4" s="1"/>
  <c r="L835" i="4"/>
  <c r="O835" i="4" s="1"/>
  <c r="M835" i="4" s="1"/>
  <c r="L836" i="4"/>
  <c r="O836" i="4" s="1"/>
  <c r="M836" i="4" s="1"/>
  <c r="L837" i="4"/>
  <c r="O837" i="4" s="1"/>
  <c r="M837" i="4" s="1"/>
  <c r="L838" i="4"/>
  <c r="L839" i="4"/>
  <c r="O839" i="4" s="1"/>
  <c r="M839" i="4" s="1"/>
  <c r="L840" i="4"/>
  <c r="L841" i="4"/>
  <c r="L842" i="4"/>
  <c r="L843" i="4"/>
  <c r="L844" i="4"/>
  <c r="O844" i="4" s="1"/>
  <c r="M844" i="4" s="1"/>
  <c r="L845" i="4"/>
  <c r="O845" i="4" s="1"/>
  <c r="M845" i="4" s="1"/>
  <c r="L846" i="4"/>
  <c r="L847" i="4"/>
  <c r="O847" i="4" s="1"/>
  <c r="M847" i="4" s="1"/>
  <c r="L848" i="4"/>
  <c r="O848" i="4" s="1"/>
  <c r="M848" i="4" s="1"/>
  <c r="L849" i="4"/>
  <c r="O849" i="4" s="1"/>
  <c r="M849" i="4" s="1"/>
  <c r="L850" i="4"/>
  <c r="O850" i="4" s="1"/>
  <c r="M850" i="4" s="1"/>
  <c r="L851" i="4"/>
  <c r="O851" i="4" s="1"/>
  <c r="M851" i="4" s="1"/>
  <c r="L852" i="4"/>
  <c r="O852" i="4" s="1"/>
  <c r="M852" i="4" s="1"/>
  <c r="L853" i="4"/>
  <c r="O853" i="4" s="1"/>
  <c r="M853" i="4" s="1"/>
  <c r="L854" i="4"/>
  <c r="O854" i="4" s="1"/>
  <c r="M854" i="4" s="1"/>
  <c r="L855" i="4"/>
  <c r="L856" i="4"/>
  <c r="L857" i="4"/>
  <c r="O857" i="4" s="1"/>
  <c r="M857" i="4" s="1"/>
  <c r="L858" i="4"/>
  <c r="L859" i="4"/>
  <c r="L860" i="4"/>
  <c r="L861" i="4"/>
  <c r="L862" i="4"/>
  <c r="L863" i="4"/>
  <c r="L864" i="4"/>
  <c r="O864" i="4" s="1"/>
  <c r="M864" i="4" s="1"/>
  <c r="L865" i="4"/>
  <c r="O865" i="4" s="1"/>
  <c r="M865" i="4" s="1"/>
  <c r="L866" i="4"/>
  <c r="O866" i="4" s="1"/>
  <c r="M866" i="4" s="1"/>
  <c r="L867" i="4"/>
  <c r="O867" i="4" s="1"/>
  <c r="M867" i="4" s="1"/>
  <c r="L868" i="4"/>
  <c r="O868" i="4" s="1"/>
  <c r="M868" i="4" s="1"/>
  <c r="L869" i="4"/>
  <c r="O869" i="4" s="1"/>
  <c r="M869" i="4" s="1"/>
  <c r="L870" i="4"/>
  <c r="O870" i="4" s="1"/>
  <c r="M870" i="4" s="1"/>
  <c r="L871" i="4"/>
  <c r="O871" i="4" s="1"/>
  <c r="M871" i="4" s="1"/>
  <c r="L872" i="4"/>
  <c r="O872" i="4" s="1"/>
  <c r="M872" i="4" s="1"/>
  <c r="L873" i="4"/>
  <c r="L874" i="4"/>
  <c r="L875" i="4"/>
  <c r="O875" i="4" s="1"/>
  <c r="M875" i="4" s="1"/>
  <c r="L876" i="4"/>
  <c r="L877" i="4"/>
  <c r="L878" i="4"/>
  <c r="L879" i="4"/>
  <c r="L880" i="4"/>
  <c r="O880" i="4" s="1"/>
  <c r="M880" i="4" s="1"/>
  <c r="L881" i="4"/>
  <c r="O881" i="4" s="1"/>
  <c r="M881" i="4" s="1"/>
  <c r="L882" i="4"/>
  <c r="O882" i="4" s="1"/>
  <c r="M882" i="4" s="1"/>
  <c r="L883" i="4"/>
  <c r="O883" i="4" s="1"/>
  <c r="M883" i="4" s="1"/>
  <c r="L884" i="4"/>
  <c r="O884" i="4" s="1"/>
  <c r="M884" i="4" s="1"/>
  <c r="L885" i="4"/>
  <c r="O885" i="4" s="1"/>
  <c r="M885" i="4" s="1"/>
  <c r="L886" i="4"/>
  <c r="O886" i="4" s="1"/>
  <c r="M886" i="4" s="1"/>
  <c r="L887" i="4"/>
  <c r="L888" i="4"/>
  <c r="L889" i="4"/>
  <c r="L890" i="4"/>
  <c r="O890" i="4" s="1"/>
  <c r="M890" i="4" s="1"/>
  <c r="L891" i="4"/>
  <c r="O891" i="4" s="1"/>
  <c r="M891" i="4" s="1"/>
  <c r="L892" i="4"/>
  <c r="L893" i="4"/>
  <c r="L894" i="4"/>
  <c r="L895" i="4"/>
  <c r="L896" i="4"/>
  <c r="O896" i="4" s="1"/>
  <c r="M896" i="4" s="1"/>
  <c r="L897" i="4"/>
  <c r="O897" i="4" s="1"/>
  <c r="M897" i="4" s="1"/>
  <c r="L898" i="4"/>
  <c r="O898" i="4" s="1"/>
  <c r="M898" i="4" s="1"/>
  <c r="L899" i="4"/>
  <c r="O899" i="4" s="1"/>
  <c r="M899" i="4" s="1"/>
  <c r="L900" i="4"/>
  <c r="O900" i="4" s="1"/>
  <c r="M900" i="4" s="1"/>
  <c r="L901" i="4"/>
  <c r="O901" i="4" s="1"/>
  <c r="M901" i="4" s="1"/>
  <c r="L902" i="4"/>
  <c r="O902" i="4" s="1"/>
  <c r="M902" i="4" s="1"/>
  <c r="L903" i="4"/>
  <c r="L904" i="4"/>
  <c r="P1"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15" i="4"/>
  <c r="M5" i="2"/>
  <c r="M7" i="2" s="1" a="1"/>
  <c r="M7" i="2" s="1"/>
  <c r="M2" i="2"/>
  <c r="M4" i="2" s="1" a="1"/>
  <c r="M4" i="2" s="1"/>
  <c r="N78" i="4"/>
  <c r="N79" i="4"/>
  <c r="N84" i="4"/>
  <c r="N89" i="4"/>
  <c r="N92" i="4"/>
  <c r="N95" i="4"/>
  <c r="N97" i="4"/>
  <c r="N100" i="4"/>
  <c r="N102" i="4"/>
  <c r="N104" i="4"/>
  <c r="N105" i="4"/>
  <c r="N107" i="4"/>
  <c r="N109" i="4"/>
  <c r="N111" i="4"/>
  <c r="N112" i="4"/>
  <c r="N113" i="4"/>
  <c r="N114" i="4"/>
  <c r="N118" i="4"/>
  <c r="N119" i="4"/>
  <c r="N121" i="4"/>
  <c r="N123" i="4"/>
  <c r="N124" i="4"/>
  <c r="N125" i="4"/>
  <c r="N127" i="4"/>
  <c r="N128" i="4"/>
  <c r="N130" i="4"/>
  <c r="N132" i="4"/>
  <c r="N133" i="4"/>
  <c r="N135" i="4"/>
  <c r="N139" i="4"/>
  <c r="N141" i="4"/>
  <c r="N142" i="4"/>
  <c r="N144" i="4"/>
  <c r="N146" i="4"/>
  <c r="N148" i="4"/>
  <c r="N149" i="4"/>
  <c r="N151" i="4"/>
  <c r="N153" i="4"/>
  <c r="N154" i="4"/>
  <c r="N155" i="4"/>
  <c r="N156" i="4"/>
  <c r="N157" i="4"/>
  <c r="N159" i="4"/>
  <c r="N160" i="4"/>
  <c r="N161" i="4"/>
  <c r="N163" i="4"/>
  <c r="N164" i="4"/>
  <c r="N167" i="4"/>
  <c r="N170"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16" i="4"/>
  <c r="S15" i="4"/>
  <c r="T15" i="4" s="1"/>
  <c r="N18" i="4"/>
  <c r="N166" i="4"/>
  <c r="N165" i="4"/>
  <c r="L905" i="4"/>
  <c r="O905" i="4" s="1"/>
  <c r="M905" i="4" s="1"/>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19" i="4"/>
  <c r="L19" i="4" s="1"/>
  <c r="K21" i="4"/>
  <c r="K22" i="4"/>
  <c r="L22" i="4" s="1"/>
  <c r="K23" i="4"/>
  <c r="P23" i="4" s="1"/>
  <c r="K24" i="4"/>
  <c r="K25" i="4"/>
  <c r="K26" i="4"/>
  <c r="L26" i="4" s="1"/>
  <c r="K27" i="4"/>
  <c r="P27" i="4" s="1"/>
  <c r="K28" i="4"/>
  <c r="P28" i="4" s="1"/>
  <c r="K29" i="4"/>
  <c r="P29" i="4" s="1"/>
  <c r="K30" i="4"/>
  <c r="P30" i="4" s="1"/>
  <c r="K31" i="4"/>
  <c r="P31" i="4" s="1"/>
  <c r="K32" i="4"/>
  <c r="P32" i="4" s="1"/>
  <c r="K33" i="4"/>
  <c r="P33" i="4" s="1"/>
  <c r="K34" i="4"/>
  <c r="L34" i="4" s="1"/>
  <c r="K35" i="4"/>
  <c r="P35" i="4" s="1"/>
  <c r="K36" i="4"/>
  <c r="P36" i="4" s="1"/>
  <c r="K37" i="4"/>
  <c r="K38" i="4"/>
  <c r="K39" i="4"/>
  <c r="P39" i="4" s="1"/>
  <c r="K40" i="4"/>
  <c r="P40" i="4" s="1"/>
  <c r="K41" i="4"/>
  <c r="P41" i="4" s="1"/>
  <c r="K42" i="4"/>
  <c r="P42" i="4" s="1"/>
  <c r="K43" i="4"/>
  <c r="P43" i="4" s="1"/>
  <c r="K44" i="4"/>
  <c r="P44" i="4" s="1"/>
  <c r="K45" i="4"/>
  <c r="P45" i="4" s="1"/>
  <c r="K46" i="4"/>
  <c r="P46" i="4" s="1"/>
  <c r="K47" i="4"/>
  <c r="P47" i="4" s="1"/>
  <c r="K48" i="4"/>
  <c r="P48" i="4" s="1"/>
  <c r="K49" i="4"/>
  <c r="L49" i="4" s="1"/>
  <c r="K50" i="4"/>
  <c r="L50" i="4" s="1"/>
  <c r="P51" i="4"/>
  <c r="K52" i="4"/>
  <c r="K53" i="4"/>
  <c r="P53" i="4" s="1"/>
  <c r="K54" i="4"/>
  <c r="P54" i="4" s="1"/>
  <c r="K55" i="4"/>
  <c r="L55" i="4" s="1"/>
  <c r="K56" i="4"/>
  <c r="L56" i="4" s="1"/>
  <c r="K57" i="4"/>
  <c r="L57" i="4" s="1"/>
  <c r="K58" i="4"/>
  <c r="L58" i="4" s="1"/>
  <c r="K59" i="4"/>
  <c r="P59" i="4" s="1"/>
  <c r="K60" i="4"/>
  <c r="P60" i="4" s="1"/>
  <c r="K61" i="4"/>
  <c r="L61" i="4" s="1"/>
  <c r="O61" i="4" s="1"/>
  <c r="K62" i="4"/>
  <c r="P62" i="4" s="1"/>
  <c r="K63" i="4"/>
  <c r="P63" i="4" s="1"/>
  <c r="K64" i="4"/>
  <c r="P64" i="4" s="1"/>
  <c r="K65" i="4"/>
  <c r="P65" i="4" s="1"/>
  <c r="K66" i="4"/>
  <c r="P66" i="4" s="1"/>
  <c r="K67" i="4"/>
  <c r="P67" i="4" s="1"/>
  <c r="K68" i="4"/>
  <c r="P68" i="4" s="1"/>
  <c r="K69" i="4"/>
  <c r="P69" i="4" s="1"/>
  <c r="K70" i="4"/>
  <c r="P70" i="4" s="1"/>
  <c r="K71" i="4"/>
  <c r="P71" i="4" s="1"/>
  <c r="K72" i="4"/>
  <c r="L72" i="4" s="1"/>
  <c r="K73" i="4"/>
  <c r="P73" i="4" s="1"/>
  <c r="K74" i="4"/>
  <c r="P74" i="4" s="1"/>
  <c r="K75" i="4"/>
  <c r="P75" i="4" s="1"/>
  <c r="K76" i="4"/>
  <c r="L76" i="4" s="1"/>
  <c r="K77" i="4"/>
  <c r="P77" i="4" s="1"/>
  <c r="K78" i="4"/>
  <c r="P78" i="4" s="1"/>
  <c r="K79" i="4"/>
  <c r="L79" i="4" s="1"/>
  <c r="O79" i="4" s="1"/>
  <c r="K80" i="4"/>
  <c r="P80" i="4" s="1"/>
  <c r="K81" i="4"/>
  <c r="L81" i="4" s="1"/>
  <c r="O81" i="4" s="1"/>
  <c r="K82" i="4"/>
  <c r="L82" i="4" s="1"/>
  <c r="K83" i="4"/>
  <c r="L83" i="4" s="1"/>
  <c r="O83" i="4" s="1"/>
  <c r="K84" i="4"/>
  <c r="L84" i="4" s="1"/>
  <c r="O84" i="4" s="1"/>
  <c r="K85" i="4"/>
  <c r="P85" i="4" s="1"/>
  <c r="K86" i="4"/>
  <c r="P86" i="4" s="1"/>
  <c r="K87" i="4"/>
  <c r="L87" i="4" s="1"/>
  <c r="K88" i="4"/>
  <c r="L88" i="4" s="1"/>
  <c r="K89" i="4"/>
  <c r="P89" i="4" s="1"/>
  <c r="K90" i="4"/>
  <c r="P90" i="4" s="1"/>
  <c r="K91" i="4"/>
  <c r="P91" i="4" s="1"/>
  <c r="K92" i="4"/>
  <c r="P92" i="4" s="1"/>
  <c r="K93" i="4"/>
  <c r="L93" i="4" s="1"/>
  <c r="K94" i="4"/>
  <c r="P94" i="4" s="1"/>
  <c r="K95" i="4"/>
  <c r="P95" i="4" s="1"/>
  <c r="K96" i="4"/>
  <c r="P96" i="4" s="1"/>
  <c r="K97" i="4"/>
  <c r="P97" i="4" s="1"/>
  <c r="K98" i="4"/>
  <c r="P98" i="4" s="1"/>
  <c r="K99" i="4"/>
  <c r="P99" i="4" s="1"/>
  <c r="K100" i="4"/>
  <c r="P100" i="4" s="1"/>
  <c r="K101" i="4"/>
  <c r="L101" i="4" s="1"/>
  <c r="K102" i="4"/>
  <c r="L102" i="4" s="1"/>
  <c r="O102" i="4" s="1"/>
  <c r="K103" i="4"/>
  <c r="P103" i="4" s="1"/>
  <c r="K104" i="4"/>
  <c r="P104" i="4" s="1"/>
  <c r="K105" i="4"/>
  <c r="P105" i="4" s="1"/>
  <c r="K106" i="4"/>
  <c r="P106" i="4" s="1"/>
  <c r="K107" i="4"/>
  <c r="L107" i="4" s="1"/>
  <c r="O107" i="4" s="1"/>
  <c r="K108" i="4"/>
  <c r="L108" i="4" s="1"/>
  <c r="K109" i="4"/>
  <c r="L109" i="4" s="1"/>
  <c r="O109" i="4" s="1"/>
  <c r="K110" i="4"/>
  <c r="P110" i="4" s="1"/>
  <c r="K111" i="4"/>
  <c r="P111" i="4" s="1"/>
  <c r="K112" i="4"/>
  <c r="P112" i="4" s="1"/>
  <c r="K113" i="4"/>
  <c r="L113" i="4" s="1"/>
  <c r="K114" i="4"/>
  <c r="L114" i="4" s="1"/>
  <c r="O114" i="4" s="1"/>
  <c r="K115" i="4"/>
  <c r="L115" i="4" s="1"/>
  <c r="K116" i="4"/>
  <c r="P116" i="4" s="1"/>
  <c r="K117" i="4"/>
  <c r="P117" i="4" s="1"/>
  <c r="K118" i="4"/>
  <c r="P118" i="4" s="1"/>
  <c r="K119" i="4"/>
  <c r="P119" i="4" s="1"/>
  <c r="K120" i="4"/>
  <c r="L120" i="4" s="1"/>
  <c r="K121" i="4"/>
  <c r="P121" i="4" s="1"/>
  <c r="K122" i="4"/>
  <c r="K123" i="4"/>
  <c r="P123" i="4" s="1"/>
  <c r="K124" i="4"/>
  <c r="L124" i="4" s="1"/>
  <c r="O124" i="4" s="1"/>
  <c r="K125" i="4"/>
  <c r="K126" i="4"/>
  <c r="L126" i="4" s="1"/>
  <c r="K127" i="4"/>
  <c r="P127" i="4" s="1"/>
  <c r="K128" i="4"/>
  <c r="L128" i="4" s="1"/>
  <c r="O128" i="4" s="1"/>
  <c r="M128" i="4" s="1"/>
  <c r="K129" i="4"/>
  <c r="P129" i="4" s="1"/>
  <c r="K130" i="4"/>
  <c r="P130" i="4" s="1"/>
  <c r="K131" i="4"/>
  <c r="P131" i="4" s="1"/>
  <c r="K132" i="4"/>
  <c r="P132" i="4" s="1"/>
  <c r="K133" i="4"/>
  <c r="L133" i="4" s="1"/>
  <c r="K134" i="4"/>
  <c r="L134" i="4" s="1"/>
  <c r="K135" i="4"/>
  <c r="P135" i="4" s="1"/>
  <c r="K136" i="4"/>
  <c r="P136" i="4" s="1"/>
  <c r="K137" i="4"/>
  <c r="L137" i="4"/>
  <c r="O137" i="4" s="1"/>
  <c r="M137" i="4" s="1"/>
  <c r="K138" i="4"/>
  <c r="L138" i="4" s="1"/>
  <c r="K139" i="4"/>
  <c r="L139" i="4" s="1"/>
  <c r="K140" i="4"/>
  <c r="L140" i="4" s="1"/>
  <c r="K141" i="4"/>
  <c r="K142" i="4"/>
  <c r="P142" i="4" s="1"/>
  <c r="K143" i="4"/>
  <c r="P143" i="4" s="1"/>
  <c r="K144" i="4"/>
  <c r="K145" i="4"/>
  <c r="P145" i="4" s="1"/>
  <c r="K146" i="4"/>
  <c r="P146" i="4" s="1"/>
  <c r="K147" i="4"/>
  <c r="P147" i="4" s="1"/>
  <c r="K148" i="4"/>
  <c r="K149" i="4"/>
  <c r="P149" i="4" s="1"/>
  <c r="K150" i="4"/>
  <c r="K151" i="4"/>
  <c r="L151" i="4" s="1"/>
  <c r="K152" i="4"/>
  <c r="P152" i="4" s="1"/>
  <c r="K153" i="4"/>
  <c r="L153" i="4" s="1"/>
  <c r="K154" i="4"/>
  <c r="K155" i="4"/>
  <c r="L155" i="4" s="1"/>
  <c r="K156" i="4"/>
  <c r="K157" i="4"/>
  <c r="P157" i="4" s="1"/>
  <c r="K158" i="4"/>
  <c r="L158" i="4" s="1"/>
  <c r="K159" i="4"/>
  <c r="P159" i="4" s="1"/>
  <c r="K160" i="4"/>
  <c r="K161" i="4"/>
  <c r="P161" i="4" s="1"/>
  <c r="K162" i="4"/>
  <c r="L162" i="4" s="1"/>
  <c r="K163" i="4"/>
  <c r="L163" i="4" s="1"/>
  <c r="O163" i="4" s="1"/>
  <c r="K164" i="4"/>
  <c r="P164" i="4" s="1"/>
  <c r="K165" i="4"/>
  <c r="K166" i="4"/>
  <c r="P166" i="4" s="1"/>
  <c r="K167" i="4"/>
  <c r="K168" i="4"/>
  <c r="L168" i="4" s="1"/>
  <c r="K169" i="4"/>
  <c r="K170" i="4"/>
  <c r="K171" i="4"/>
  <c r="L171" i="4" s="1"/>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P122" i="4"/>
  <c r="L122" i="4"/>
  <c r="P114" i="4"/>
  <c r="L135" i="4"/>
  <c r="L131" i="4"/>
  <c r="L92" i="4"/>
  <c r="O92" i="4" s="1"/>
  <c r="N20"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P905" i="4"/>
  <c r="K20" i="4"/>
  <c r="L20" i="4" s="1"/>
  <c r="K18" i="4"/>
  <c r="P18" i="4" s="1"/>
  <c r="K16" i="4"/>
  <c r="P16" i="4" s="1"/>
  <c r="P2" i="4"/>
  <c r="K11" i="4"/>
  <c r="K17" i="4"/>
  <c r="L17" i="4" s="1"/>
  <c r="K7" i="4"/>
  <c r="B13" i="18" s="1"/>
  <c r="K15" i="4"/>
  <c r="P15" i="4" s="1"/>
  <c r="N54" i="4"/>
  <c r="N76" i="4"/>
  <c r="N60" i="4"/>
  <c r="N61" i="4"/>
  <c r="N62" i="4"/>
  <c r="N63" i="4"/>
  <c r="N65" i="4"/>
  <c r="N67" i="4"/>
  <c r="N66" i="4"/>
  <c r="N68" i="4"/>
  <c r="N70" i="4"/>
  <c r="N71" i="4"/>
  <c r="N81" i="4"/>
  <c r="N98" i="4"/>
  <c r="N96" i="4"/>
  <c r="N73" i="4"/>
  <c r="N75" i="4"/>
  <c r="N83" i="4"/>
  <c r="N99" i="4"/>
  <c r="N122" i="4"/>
  <c r="N129" i="4"/>
  <c r="N147" i="4"/>
  <c r="N137" i="4"/>
  <c r="N90" i="4"/>
  <c r="N77" i="4"/>
  <c r="N80" i="4"/>
  <c r="P83" i="4" l="1"/>
  <c r="L63" i="4"/>
  <c r="O63" i="4" s="1"/>
  <c r="P109" i="4"/>
  <c r="L104" i="4"/>
  <c r="O104" i="4" s="1"/>
  <c r="P61" i="4"/>
  <c r="P76" i="4"/>
  <c r="Q76" i="4" s="1"/>
  <c r="P115" i="4"/>
  <c r="L73" i="4"/>
  <c r="O73" i="4" s="1"/>
  <c r="P58" i="4"/>
  <c r="Q58" i="4" s="1"/>
  <c r="L86" i="4"/>
  <c r="P88" i="4"/>
  <c r="Q88" i="4" s="1"/>
  <c r="L71" i="4"/>
  <c r="O71" i="4" s="1"/>
  <c r="L65" i="4"/>
  <c r="O65" i="4" s="1"/>
  <c r="L117" i="4"/>
  <c r="L78" i="4"/>
  <c r="Q78" i="4" s="1"/>
  <c r="L111" i="4"/>
  <c r="O111" i="4" s="1"/>
  <c r="P124" i="4"/>
  <c r="Q124" i="4" s="1"/>
  <c r="L75" i="4"/>
  <c r="O75" i="4" s="1"/>
  <c r="P102" i="4"/>
  <c r="Q102" i="4" s="1"/>
  <c r="P107" i="4"/>
  <c r="Q107" i="4" s="1"/>
  <c r="L67" i="4"/>
  <c r="O67" i="4" s="1"/>
  <c r="L98" i="4"/>
  <c r="Q98" i="4" s="1"/>
  <c r="P128" i="4"/>
  <c r="Q128" i="4" s="1"/>
  <c r="L95" i="4"/>
  <c r="O95" i="4" s="1"/>
  <c r="L123" i="4"/>
  <c r="O123" i="4" s="1"/>
  <c r="L147" i="4"/>
  <c r="Q147" i="4" s="1"/>
  <c r="L89" i="4"/>
  <c r="O89" i="4" s="1"/>
  <c r="L68" i="4"/>
  <c r="Q68" i="4" s="1"/>
  <c r="L80" i="4"/>
  <c r="O80" i="4" s="1"/>
  <c r="L59" i="4"/>
  <c r="Q59" i="4" s="1"/>
  <c r="L74" i="4"/>
  <c r="P120" i="4"/>
  <c r="Q120" i="4" s="1"/>
  <c r="L136" i="4"/>
  <c r="P101" i="4"/>
  <c r="Q101" i="4" s="1"/>
  <c r="L157" i="4"/>
  <c r="O157" i="4" s="1"/>
  <c r="P140" i="4"/>
  <c r="Q140" i="4" s="1"/>
  <c r="L70" i="4"/>
  <c r="O70" i="4" s="1"/>
  <c r="P139" i="4"/>
  <c r="Q139" i="4" s="1"/>
  <c r="P82" i="4"/>
  <c r="Q82" i="4" s="1"/>
  <c r="L130" i="4"/>
  <c r="O130" i="4" s="1"/>
  <c r="P113" i="4"/>
  <c r="Q113" i="4" s="1"/>
  <c r="L146" i="4"/>
  <c r="O146" i="4" s="1"/>
  <c r="M146" i="4" s="1"/>
  <c r="P163" i="4"/>
  <c r="L69" i="4"/>
  <c r="Q69" i="4" s="1"/>
  <c r="P84" i="4"/>
  <c r="Q84" i="4" s="1"/>
  <c r="P158" i="4"/>
  <c r="Q158" i="4" s="1"/>
  <c r="P126" i="4"/>
  <c r="Q126" i="4" s="1"/>
  <c r="L90" i="4"/>
  <c r="O90" i="4" s="1"/>
  <c r="L152" i="4"/>
  <c r="L100" i="4"/>
  <c r="Q100" i="4" s="1"/>
  <c r="L118" i="4"/>
  <c r="O118" i="4" s="1"/>
  <c r="L105" i="4"/>
  <c r="O105" i="4" s="1"/>
  <c r="L143" i="4"/>
  <c r="L159" i="4"/>
  <c r="Q159" i="4" s="1"/>
  <c r="L77" i="4"/>
  <c r="O77" i="4" s="1"/>
  <c r="P153" i="4"/>
  <c r="Q153" i="4" s="1"/>
  <c r="L64" i="4"/>
  <c r="L91" i="4"/>
  <c r="L97" i="4"/>
  <c r="O97" i="4" s="1"/>
  <c r="L94" i="4"/>
  <c r="L127" i="4"/>
  <c r="O127" i="4" s="1"/>
  <c r="L60" i="4"/>
  <c r="O60" i="4" s="1"/>
  <c r="P81" i="4"/>
  <c r="Q81" i="4" s="1"/>
  <c r="L166" i="4"/>
  <c r="O166" i="4" s="1"/>
  <c r="L116" i="4"/>
  <c r="P52" i="4"/>
  <c r="L52" i="4"/>
  <c r="P79" i="4"/>
  <c r="Q79" i="4" s="1"/>
  <c r="P87" i="4"/>
  <c r="Q87" i="4" s="1"/>
  <c r="P72" i="4"/>
  <c r="Q72" i="4" s="1"/>
  <c r="L103" i="4"/>
  <c r="P155" i="4"/>
  <c r="Q155" i="4" s="1"/>
  <c r="L129" i="4"/>
  <c r="O129" i="4" s="1"/>
  <c r="L85" i="4"/>
  <c r="L66" i="4"/>
  <c r="O66" i="4" s="1"/>
  <c r="L96" i="4"/>
  <c r="O96" i="4" s="1"/>
  <c r="L149" i="4"/>
  <c r="O149" i="4" s="1"/>
  <c r="M149" i="4" s="1"/>
  <c r="L62" i="4"/>
  <c r="O62" i="4" s="1"/>
  <c r="L121" i="4"/>
  <c r="O121" i="4" s="1"/>
  <c r="L99" i="4"/>
  <c r="O99" i="4" s="1"/>
  <c r="L164" i="4"/>
  <c r="O164" i="4" s="1"/>
  <c r="L145" i="4"/>
  <c r="L110" i="4"/>
  <c r="P133" i="4"/>
  <c r="Q133" i="4" s="1"/>
  <c r="L112" i="4"/>
  <c r="O112" i="4" s="1"/>
  <c r="L161" i="4"/>
  <c r="O161" i="4" s="1"/>
  <c r="L142" i="4"/>
  <c r="O142" i="4" s="1"/>
  <c r="P108" i="4"/>
  <c r="Q108" i="4" s="1"/>
  <c r="L106" i="4"/>
  <c r="Q106" i="4" s="1"/>
  <c r="L119" i="4"/>
  <c r="O119" i="4" s="1"/>
  <c r="P93" i="4"/>
  <c r="Q93" i="4" s="1"/>
  <c r="P57" i="4"/>
  <c r="Q57" i="4" s="1"/>
  <c r="P56" i="4"/>
  <c r="Q56" i="4" s="1"/>
  <c r="Q647" i="4"/>
  <c r="Q262" i="4"/>
  <c r="Q731" i="4"/>
  <c r="Q683" i="4"/>
  <c r="Q645" i="4"/>
  <c r="Q309" i="4"/>
  <c r="Q165" i="4"/>
  <c r="Q805" i="4"/>
  <c r="Q789" i="4"/>
  <c r="Q757" i="4"/>
  <c r="Q741" i="4"/>
  <c r="Q709" i="4"/>
  <c r="Q597" i="4"/>
  <c r="Q565" i="4"/>
  <c r="Q501" i="4"/>
  <c r="Q453" i="4"/>
  <c r="Q421" i="4"/>
  <c r="Q405" i="4"/>
  <c r="Q373" i="4"/>
  <c r="Q357" i="4"/>
  <c r="Q325" i="4"/>
  <c r="Q229" i="4"/>
  <c r="Q181" i="4"/>
  <c r="O741" i="4"/>
  <c r="M741" i="4" s="1"/>
  <c r="O405" i="4"/>
  <c r="M405" i="4" s="1"/>
  <c r="Q261" i="4"/>
  <c r="Q693" i="4"/>
  <c r="O597" i="4"/>
  <c r="M597" i="4" s="1"/>
  <c r="Q837" i="4"/>
  <c r="O789" i="4"/>
  <c r="M789" i="4" s="1"/>
  <c r="Q587" i="4"/>
  <c r="O453" i="4"/>
  <c r="M453" i="4" s="1"/>
  <c r="Q885" i="4"/>
  <c r="Q889" i="4"/>
  <c r="Q841" i="4"/>
  <c r="Q825" i="4"/>
  <c r="Q681" i="4"/>
  <c r="Q553" i="4"/>
  <c r="Q537" i="4"/>
  <c r="Q489" i="4"/>
  <c r="Q441" i="4"/>
  <c r="Q393" i="4"/>
  <c r="Q313" i="4"/>
  <c r="Q265" i="4"/>
  <c r="Q169" i="4"/>
  <c r="O501" i="4"/>
  <c r="M501" i="4" s="1"/>
  <c r="M6" i="2" a="1"/>
  <c r="M6" i="2" s="1"/>
  <c r="Q904" i="4"/>
  <c r="Q856" i="4"/>
  <c r="Q712" i="4"/>
  <c r="Q632" i="4"/>
  <c r="Q536" i="4"/>
  <c r="Q520" i="4"/>
  <c r="Q472" i="4"/>
  <c r="Q424" i="4"/>
  <c r="Q392" i="4"/>
  <c r="Q376" i="4"/>
  <c r="Q296" i="4"/>
  <c r="Q232" i="4"/>
  <c r="O357" i="4"/>
  <c r="M357" i="4" s="1"/>
  <c r="Q791" i="4"/>
  <c r="Q743" i="4"/>
  <c r="Q695" i="4"/>
  <c r="Q599" i="4"/>
  <c r="Q311" i="4"/>
  <c r="Q215" i="4"/>
  <c r="Q125" i="4"/>
  <c r="Q406" i="4"/>
  <c r="Q358" i="4"/>
  <c r="Q486" i="4"/>
  <c r="Q390" i="4"/>
  <c r="Q150" i="4"/>
  <c r="Q874" i="4"/>
  <c r="Q838" i="4"/>
  <c r="Q778" i="4"/>
  <c r="Q646" i="4"/>
  <c r="Q598" i="4"/>
  <c r="Q538" i="4"/>
  <c r="Q454" i="4"/>
  <c r="Q442" i="4"/>
  <c r="Q198" i="4"/>
  <c r="M3" i="2" a="1"/>
  <c r="M3" i="2" s="1"/>
  <c r="Q869" i="4"/>
  <c r="Q821" i="4"/>
  <c r="Q773" i="4"/>
  <c r="Q725" i="4"/>
  <c r="Q677" i="4"/>
  <c r="Q629" i="4"/>
  <c r="Q581" i="4"/>
  <c r="Q533" i="4"/>
  <c r="Q437" i="4"/>
  <c r="Q389" i="4"/>
  <c r="Q341" i="4"/>
  <c r="Q245" i="4"/>
  <c r="Q197" i="4"/>
  <c r="Q840" i="4"/>
  <c r="Q792" i="4"/>
  <c r="Q744" i="4"/>
  <c r="Q696" i="4"/>
  <c r="Q600" i="4"/>
  <c r="Q504" i="4"/>
  <c r="Q336" i="4"/>
  <c r="Q312" i="4"/>
  <c r="Q216" i="4"/>
  <c r="Q168" i="4"/>
  <c r="O598" i="4"/>
  <c r="M598" i="4" s="1"/>
  <c r="Q550" i="4"/>
  <c r="Q842" i="4"/>
  <c r="Q806" i="4"/>
  <c r="Q794" i="4"/>
  <c r="Q650" i="4"/>
  <c r="Q614" i="4"/>
  <c r="Q506" i="4"/>
  <c r="Q422" i="4"/>
  <c r="Q266" i="4"/>
  <c r="O229" i="4"/>
  <c r="M229" i="4" s="1"/>
  <c r="Q613" i="4"/>
  <c r="Q742" i="4"/>
  <c r="O454" i="4"/>
  <c r="M454" i="4" s="1"/>
  <c r="Q790" i="4"/>
  <c r="O373" i="4"/>
  <c r="M373" i="4" s="1"/>
  <c r="Q214" i="4"/>
  <c r="O709" i="4"/>
  <c r="M709" i="4" s="1"/>
  <c r="Q853" i="4"/>
  <c r="O325" i="4"/>
  <c r="M325" i="4" s="1"/>
  <c r="Q903" i="4"/>
  <c r="Q855" i="4"/>
  <c r="Q843" i="4"/>
  <c r="Q807" i="4"/>
  <c r="Q747" i="4"/>
  <c r="Q711" i="4"/>
  <c r="Q519" i="4"/>
  <c r="Q471" i="4"/>
  <c r="Q423" i="4"/>
  <c r="Q375" i="4"/>
  <c r="Q363" i="4"/>
  <c r="Q315" i="4"/>
  <c r="Q487" i="4"/>
  <c r="Q439" i="4"/>
  <c r="Q247" i="4"/>
  <c r="Q199" i="4"/>
  <c r="O565" i="4"/>
  <c r="M565" i="4" s="1"/>
  <c r="O757" i="4"/>
  <c r="M757" i="4" s="1"/>
  <c r="Q839" i="4"/>
  <c r="O743" i="4"/>
  <c r="M743" i="4" s="1"/>
  <c r="Q901" i="4"/>
  <c r="Q517" i="4"/>
  <c r="O695" i="4"/>
  <c r="M695" i="4" s="1"/>
  <c r="O215" i="4"/>
  <c r="M215" i="4" s="1"/>
  <c r="O421" i="4"/>
  <c r="M421" i="4" s="1"/>
  <c r="Q469" i="4"/>
  <c r="O181" i="4"/>
  <c r="M181" i="4" s="1"/>
  <c r="Q167" i="4"/>
  <c r="O471" i="4"/>
  <c r="M471" i="4" s="1"/>
  <c r="Q470" i="4"/>
  <c r="O614" i="4"/>
  <c r="M614" i="4" s="1"/>
  <c r="O807" i="4"/>
  <c r="M807" i="4" s="1"/>
  <c r="Q662" i="4"/>
  <c r="O125" i="4"/>
  <c r="M125" i="4" s="1"/>
  <c r="Q279" i="4"/>
  <c r="Q710" i="4"/>
  <c r="Q871" i="4"/>
  <c r="Q823" i="4"/>
  <c r="Q811" i="4"/>
  <c r="Q667" i="4"/>
  <c r="Q631" i="4"/>
  <c r="Q535" i="4"/>
  <c r="Q391" i="4"/>
  <c r="Q343" i="4"/>
  <c r="Q295" i="4"/>
  <c r="Q187" i="4"/>
  <c r="O806" i="4"/>
  <c r="M806" i="4" s="1"/>
  <c r="Q278" i="4"/>
  <c r="O375" i="4"/>
  <c r="M375" i="4" s="1"/>
  <c r="Q870" i="4"/>
  <c r="Q774" i="4"/>
  <c r="Q714" i="4"/>
  <c r="Q678" i="4"/>
  <c r="Q666" i="4"/>
  <c r="Q630" i="4"/>
  <c r="Q438" i="4"/>
  <c r="Q342" i="4"/>
  <c r="Q234" i="4"/>
  <c r="Q809" i="4"/>
  <c r="Q761" i="4"/>
  <c r="Q713" i="4"/>
  <c r="Q485" i="4"/>
  <c r="Q425" i="4"/>
  <c r="Q377" i="4"/>
  <c r="Q293" i="4"/>
  <c r="Q231" i="4"/>
  <c r="Q883" i="4"/>
  <c r="Q835" i="4"/>
  <c r="Q787" i="4"/>
  <c r="Q739" i="4"/>
  <c r="Q691" i="4"/>
  <c r="Q643" i="4"/>
  <c r="Q595" i="4"/>
  <c r="Q547" i="4"/>
  <c r="Q499" i="4"/>
  <c r="Q451" i="4"/>
  <c r="Q403" i="4"/>
  <c r="Q355" i="4"/>
  <c r="Q307" i="4"/>
  <c r="Q259" i="4"/>
  <c r="Q211" i="4"/>
  <c r="Q163" i="4"/>
  <c r="Q868" i="4"/>
  <c r="Q844" i="4"/>
  <c r="Q820" i="4"/>
  <c r="Q772" i="4"/>
  <c r="Q748" i="4"/>
  <c r="Q724" i="4"/>
  <c r="Q676" i="4"/>
  <c r="Q628" i="4"/>
  <c r="Q604" i="4"/>
  <c r="Q580" i="4"/>
  <c r="Q532" i="4"/>
  <c r="Q484" i="4"/>
  <c r="Q436" i="4"/>
  <c r="Q388" i="4"/>
  <c r="Q340" i="4"/>
  <c r="Q292" i="4"/>
  <c r="Q244" i="4"/>
  <c r="Q196" i="4"/>
  <c r="Q172" i="4"/>
  <c r="Q148" i="4"/>
  <c r="Q867" i="4"/>
  <c r="Q819" i="4"/>
  <c r="Q771" i="4"/>
  <c r="Q723" i="4"/>
  <c r="Q675" i="4"/>
  <c r="Q627" i="4"/>
  <c r="Q579" i="4"/>
  <c r="Q531" i="4"/>
  <c r="Q483" i="4"/>
  <c r="Q435" i="4"/>
  <c r="Q387" i="4"/>
  <c r="Q339" i="4"/>
  <c r="Q291" i="4"/>
  <c r="Q243" i="4"/>
  <c r="Q195" i="4"/>
  <c r="Q900" i="4"/>
  <c r="Q852" i="4"/>
  <c r="Q804" i="4"/>
  <c r="Q756" i="4"/>
  <c r="Q708" i="4"/>
  <c r="Q660" i="4"/>
  <c r="Q636" i="4"/>
  <c r="Q612" i="4"/>
  <c r="Q564" i="4"/>
  <c r="Q516" i="4"/>
  <c r="Q468" i="4"/>
  <c r="Q420" i="4"/>
  <c r="Q372" i="4"/>
  <c r="Q324" i="4"/>
  <c r="Q276" i="4"/>
  <c r="Q228" i="4"/>
  <c r="Q180" i="4"/>
  <c r="Q899" i="4"/>
  <c r="Q851" i="4"/>
  <c r="Q803" i="4"/>
  <c r="Q755" i="4"/>
  <c r="Q707" i="4"/>
  <c r="Q659" i="4"/>
  <c r="Q611" i="4"/>
  <c r="Q563" i="4"/>
  <c r="Q515" i="4"/>
  <c r="Q467" i="4"/>
  <c r="Q419" i="4"/>
  <c r="Q371" i="4"/>
  <c r="Q323" i="4"/>
  <c r="Q275" i="4"/>
  <c r="Q227" i="4"/>
  <c r="Q179" i="4"/>
  <c r="Q884" i="4"/>
  <c r="Q836" i="4"/>
  <c r="Q788" i="4"/>
  <c r="Q740" i="4"/>
  <c r="Q692" i="4"/>
  <c r="Q644" i="4"/>
  <c r="Q596" i="4"/>
  <c r="Q548" i="4"/>
  <c r="Q452" i="4"/>
  <c r="Q404" i="4"/>
  <c r="Q356" i="4"/>
  <c r="Q308" i="4"/>
  <c r="Q260" i="4"/>
  <c r="Q212" i="4"/>
  <c r="Q502" i="4"/>
  <c r="Q663" i="4"/>
  <c r="Q567" i="4"/>
  <c r="O711" i="4"/>
  <c r="M711" i="4" s="1"/>
  <c r="O343" i="4"/>
  <c r="M343" i="4" s="1"/>
  <c r="Q902" i="4"/>
  <c r="O438" i="4"/>
  <c r="M438" i="4" s="1"/>
  <c r="O311" i="4"/>
  <c r="M311" i="4" s="1"/>
  <c r="Q294" i="4"/>
  <c r="O805" i="4"/>
  <c r="M805" i="4" s="1"/>
  <c r="Q359" i="4"/>
  <c r="O630" i="4"/>
  <c r="M630" i="4" s="1"/>
  <c r="O519" i="4"/>
  <c r="M519" i="4" s="1"/>
  <c r="O774" i="4"/>
  <c r="M774" i="4" s="1"/>
  <c r="O485" i="4"/>
  <c r="M485" i="4" s="1"/>
  <c r="O903" i="4"/>
  <c r="M903" i="4" s="1"/>
  <c r="O422" i="4"/>
  <c r="M422" i="4" s="1"/>
  <c r="Q230" i="4"/>
  <c r="O791" i="4"/>
  <c r="M791" i="4" s="1"/>
  <c r="O646" i="4"/>
  <c r="M646" i="4" s="1"/>
  <c r="Q549" i="4"/>
  <c r="O342" i="4"/>
  <c r="M342" i="4" s="1"/>
  <c r="Q407" i="4"/>
  <c r="Q455" i="4"/>
  <c r="O295" i="4"/>
  <c r="M295" i="4" s="1"/>
  <c r="Q329" i="4"/>
  <c r="Q263" i="4"/>
  <c r="Q879" i="4"/>
  <c r="Q543" i="4"/>
  <c r="Q479" i="4"/>
  <c r="Q351" i="4"/>
  <c r="Q335" i="4"/>
  <c r="Q319" i="4"/>
  <c r="Q135" i="4"/>
  <c r="Q898" i="4"/>
  <c r="Q882" i="4"/>
  <c r="Q866" i="4"/>
  <c r="Q850" i="4"/>
  <c r="Q834" i="4"/>
  <c r="Q818" i="4"/>
  <c r="Q802" i="4"/>
  <c r="Q786" i="4"/>
  <c r="Q770" i="4"/>
  <c r="Q754" i="4"/>
  <c r="Q738" i="4"/>
  <c r="Q722" i="4"/>
  <c r="Q706" i="4"/>
  <c r="Q690" i="4"/>
  <c r="Q674" i="4"/>
  <c r="Q658" i="4"/>
  <c r="Q642" i="4"/>
  <c r="Q626" i="4"/>
  <c r="Q610" i="4"/>
  <c r="Q594" i="4"/>
  <c r="Q578" i="4"/>
  <c r="Q562" i="4"/>
  <c r="Q546" i="4"/>
  <c r="Q530" i="4"/>
  <c r="Q514" i="4"/>
  <c r="Q498" i="4"/>
  <c r="Q482" i="4"/>
  <c r="Q466" i="4"/>
  <c r="Q450" i="4"/>
  <c r="Q434" i="4"/>
  <c r="Q418" i="4"/>
  <c r="Q402" i="4"/>
  <c r="Q386" i="4"/>
  <c r="Q370" i="4"/>
  <c r="Q354" i="4"/>
  <c r="Q338" i="4"/>
  <c r="Q322" i="4"/>
  <c r="Q306" i="4"/>
  <c r="Q290" i="4"/>
  <c r="Q274" i="4"/>
  <c r="Q258" i="4"/>
  <c r="Q242" i="4"/>
  <c r="Q226" i="4"/>
  <c r="Q210" i="4"/>
  <c r="Q194" i="4"/>
  <c r="Q178" i="4"/>
  <c r="Q162" i="4"/>
  <c r="Q863" i="4"/>
  <c r="Q623" i="4"/>
  <c r="Q287" i="4"/>
  <c r="Q207" i="4"/>
  <c r="Q687" i="4"/>
  <c r="Q671" i="4"/>
  <c r="Q559" i="4"/>
  <c r="Q463" i="4"/>
  <c r="Q415" i="4"/>
  <c r="Q223" i="4"/>
  <c r="Q175" i="4"/>
  <c r="Q310" i="4"/>
  <c r="O838" i="4"/>
  <c r="M838" i="4" s="1"/>
  <c r="O678" i="4"/>
  <c r="M678" i="4" s="1"/>
  <c r="Q182" i="4"/>
  <c r="O840" i="4"/>
  <c r="M840" i="4" s="1"/>
  <c r="O472" i="4"/>
  <c r="M472" i="4" s="1"/>
  <c r="O744" i="4"/>
  <c r="M744" i="4" s="1"/>
  <c r="Q568" i="4"/>
  <c r="Q651" i="4"/>
  <c r="Q619" i="4"/>
  <c r="Q648" i="4"/>
  <c r="Q875" i="4"/>
  <c r="Q344" i="4"/>
  <c r="Q886" i="4"/>
  <c r="Q758" i="4"/>
  <c r="Q694" i="4"/>
  <c r="Q534" i="4"/>
  <c r="Q326" i="4"/>
  <c r="Q246" i="4"/>
  <c r="Q203" i="4"/>
  <c r="Q171" i="4"/>
  <c r="Q699" i="4"/>
  <c r="O683" i="4"/>
  <c r="M683" i="4" s="1"/>
  <c r="Q361" i="4"/>
  <c r="Q137" i="4"/>
  <c r="Q491" i="4"/>
  <c r="O855" i="4"/>
  <c r="M855" i="4" s="1"/>
  <c r="Q551" i="4"/>
  <c r="Q727" i="4"/>
  <c r="Q83" i="4"/>
  <c r="Q61" i="4"/>
  <c r="Q854" i="4"/>
  <c r="Q822" i="4"/>
  <c r="Q726" i="4"/>
  <c r="Q582" i="4"/>
  <c r="Q566" i="4"/>
  <c r="Q518" i="4"/>
  <c r="Q374" i="4"/>
  <c r="O187" i="4"/>
  <c r="M187" i="4" s="1"/>
  <c r="O336" i="4"/>
  <c r="M336" i="4" s="1"/>
  <c r="O155" i="4"/>
  <c r="Q603" i="4"/>
  <c r="Q759" i="4"/>
  <c r="O712" i="4"/>
  <c r="M712" i="4" s="1"/>
  <c r="Q653" i="4"/>
  <c r="O811" i="4"/>
  <c r="M811" i="4" s="1"/>
  <c r="Q891" i="4"/>
  <c r="O442" i="4"/>
  <c r="M442" i="4" s="1"/>
  <c r="O792" i="4"/>
  <c r="M792" i="4" s="1"/>
  <c r="Q503" i="4"/>
  <c r="O363" i="4"/>
  <c r="M363" i="4" s="1"/>
  <c r="Q878" i="4"/>
  <c r="Q830" i="4"/>
  <c r="Q718" i="4"/>
  <c r="Q702" i="4"/>
  <c r="Q654" i="4"/>
  <c r="Q478" i="4"/>
  <c r="Q206" i="4"/>
  <c r="Q174" i="4"/>
  <c r="Q352" i="4"/>
  <c r="O296" i="4"/>
  <c r="M296" i="4" s="1"/>
  <c r="Q184" i="4"/>
  <c r="Q360" i="4"/>
  <c r="Q893" i="4"/>
  <c r="Q877" i="4"/>
  <c r="Q861" i="4"/>
  <c r="Q813" i="4"/>
  <c r="Q797" i="4"/>
  <c r="Q717" i="4"/>
  <c r="Q685" i="4"/>
  <c r="Q509" i="4"/>
  <c r="Q477" i="4"/>
  <c r="Q445" i="4"/>
  <c r="Q413" i="4"/>
  <c r="Q365" i="4"/>
  <c r="Q317" i="4"/>
  <c r="Q285" i="4"/>
  <c r="Q205" i="4"/>
  <c r="Q138" i="4"/>
  <c r="Q897" i="4"/>
  <c r="Q881" i="4"/>
  <c r="Q865" i="4"/>
  <c r="Q849" i="4"/>
  <c r="Q833" i="4"/>
  <c r="Q817" i="4"/>
  <c r="Q801" i="4"/>
  <c r="Q785" i="4"/>
  <c r="Q769" i="4"/>
  <c r="Q753" i="4"/>
  <c r="Q737" i="4"/>
  <c r="Q721" i="4"/>
  <c r="Q705" i="4"/>
  <c r="Q689" i="4"/>
  <c r="Q673" i="4"/>
  <c r="Q657" i="4"/>
  <c r="Q641" i="4"/>
  <c r="Q625" i="4"/>
  <c r="Q609" i="4"/>
  <c r="Q593" i="4"/>
  <c r="Q577" i="4"/>
  <c r="Q561" i="4"/>
  <c r="Q545" i="4"/>
  <c r="Q529" i="4"/>
  <c r="Q513" i="4"/>
  <c r="Q497" i="4"/>
  <c r="Q481" i="4"/>
  <c r="Q465" i="4"/>
  <c r="Q449" i="4"/>
  <c r="Q433" i="4"/>
  <c r="Q417" i="4"/>
  <c r="Q385" i="4"/>
  <c r="Q369" i="4"/>
  <c r="Q353" i="4"/>
  <c r="Q337" i="4"/>
  <c r="Q321" i="4"/>
  <c r="Q305" i="4"/>
  <c r="Q289" i="4"/>
  <c r="Q273" i="4"/>
  <c r="Q257" i="4"/>
  <c r="Q241" i="4"/>
  <c r="Q225" i="4"/>
  <c r="Q209" i="4"/>
  <c r="Q193" i="4"/>
  <c r="Q177" i="4"/>
  <c r="Q144" i="4"/>
  <c r="Q297" i="4"/>
  <c r="Q697" i="4"/>
  <c r="Q154" i="4"/>
  <c r="O537" i="4"/>
  <c r="M537" i="4" s="1"/>
  <c r="Q782" i="4"/>
  <c r="Q488" i="4"/>
  <c r="Q408" i="4"/>
  <c r="Q505" i="4"/>
  <c r="Q728" i="4"/>
  <c r="Q776" i="4"/>
  <c r="O696" i="4"/>
  <c r="M696" i="4" s="1"/>
  <c r="O536" i="4"/>
  <c r="M536" i="4" s="1"/>
  <c r="Q131" i="4"/>
  <c r="Q876" i="4"/>
  <c r="Q828" i="4"/>
  <c r="Q796" i="4"/>
  <c r="Q620" i="4"/>
  <c r="Q572" i="4"/>
  <c r="Q508" i="4"/>
  <c r="Q476" i="4"/>
  <c r="Q444" i="4"/>
  <c r="Q412" i="4"/>
  <c r="Q364" i="4"/>
  <c r="Q316" i="4"/>
  <c r="Q252" i="4"/>
  <c r="Q236" i="4"/>
  <c r="Q204" i="4"/>
  <c r="Q848" i="4"/>
  <c r="Q704" i="4"/>
  <c r="Q544" i="4"/>
  <c r="Q569" i="4"/>
  <c r="Q456" i="4"/>
  <c r="O76" i="4"/>
  <c r="O904" i="4"/>
  <c r="M904" i="4" s="1"/>
  <c r="Q585" i="4"/>
  <c r="O232" i="4"/>
  <c r="M232" i="4" s="1"/>
  <c r="Q233" i="4"/>
  <c r="O135" i="4"/>
  <c r="O504" i="4"/>
  <c r="M504" i="4" s="1"/>
  <c r="Q777" i="4"/>
  <c r="Q132" i="4"/>
  <c r="O889" i="4"/>
  <c r="M889" i="4" s="1"/>
  <c r="O153" i="4"/>
  <c r="O520" i="4"/>
  <c r="M520" i="4" s="1"/>
  <c r="Q890" i="4"/>
  <c r="O313" i="4"/>
  <c r="M313" i="4" s="1"/>
  <c r="O681" i="4"/>
  <c r="M681" i="4" s="1"/>
  <c r="Q617" i="4"/>
  <c r="O856" i="4"/>
  <c r="M856" i="4" s="1"/>
  <c r="O393" i="4"/>
  <c r="M393" i="4" s="1"/>
  <c r="O312" i="4"/>
  <c r="M312" i="4" s="1"/>
  <c r="Q500" i="4"/>
  <c r="Q346" i="4"/>
  <c r="O632" i="4"/>
  <c r="M632" i="4" s="1"/>
  <c r="O809" i="4"/>
  <c r="M809" i="4" s="1"/>
  <c r="Q634" i="4"/>
  <c r="O392" i="4"/>
  <c r="M392" i="4" s="1"/>
  <c r="O265" i="4"/>
  <c r="M265" i="4" s="1"/>
  <c r="O600" i="4"/>
  <c r="M600" i="4" s="1"/>
  <c r="Q92" i="4"/>
  <c r="Q409" i="4"/>
  <c r="O825" i="4"/>
  <c r="M825" i="4" s="1"/>
  <c r="Q649" i="4"/>
  <c r="Q746" i="4"/>
  <c r="Q760" i="4"/>
  <c r="Q217" i="4"/>
  <c r="Q345" i="4"/>
  <c r="Q665" i="4"/>
  <c r="Q426" i="4"/>
  <c r="Q655" i="4"/>
  <c r="O441" i="4"/>
  <c r="M441" i="4" s="1"/>
  <c r="O266" i="4"/>
  <c r="M266" i="4" s="1"/>
  <c r="Q896" i="4"/>
  <c r="Q880" i="4"/>
  <c r="Q864" i="4"/>
  <c r="Q832" i="4"/>
  <c r="Q816" i="4"/>
  <c r="Q800" i="4"/>
  <c r="Q784" i="4"/>
  <c r="Q768" i="4"/>
  <c r="Q752" i="4"/>
  <c r="Q736" i="4"/>
  <c r="Q720" i="4"/>
  <c r="Q688" i="4"/>
  <c r="Q672" i="4"/>
  <c r="Q656" i="4"/>
  <c r="Q640" i="4"/>
  <c r="Q624" i="4"/>
  <c r="Q608" i="4"/>
  <c r="Q592" i="4"/>
  <c r="Q576" i="4"/>
  <c r="Q560" i="4"/>
  <c r="Q528" i="4"/>
  <c r="Q512" i="4"/>
  <c r="Q496" i="4"/>
  <c r="Q480" i="4"/>
  <c r="Q464" i="4"/>
  <c r="Q448" i="4"/>
  <c r="Q432" i="4"/>
  <c r="Q416" i="4"/>
  <c r="Q400" i="4"/>
  <c r="Q384" i="4"/>
  <c r="Q368" i="4"/>
  <c r="Q320" i="4"/>
  <c r="Q304" i="4"/>
  <c r="Q288" i="4"/>
  <c r="Q272" i="4"/>
  <c r="Q256" i="4"/>
  <c r="Q240" i="4"/>
  <c r="Q224" i="4"/>
  <c r="Q208" i="4"/>
  <c r="Q192" i="4"/>
  <c r="Q176" i="4"/>
  <c r="Q160" i="4"/>
  <c r="O863" i="4"/>
  <c r="M863" i="4" s="1"/>
  <c r="Q157" i="4"/>
  <c r="Q521" i="4"/>
  <c r="Q185" i="4"/>
  <c r="O714" i="4"/>
  <c r="M714" i="4" s="1"/>
  <c r="O553" i="4"/>
  <c r="M553" i="4" s="1"/>
  <c r="O478" i="4"/>
  <c r="M478" i="4" s="1"/>
  <c r="O671" i="4"/>
  <c r="M671" i="4" s="1"/>
  <c r="Q334" i="4"/>
  <c r="Q330" i="4"/>
  <c r="Q745" i="4"/>
  <c r="O477" i="4"/>
  <c r="M477" i="4" s="1"/>
  <c r="O861" i="4"/>
  <c r="M861" i="4" s="1"/>
  <c r="Q367" i="4"/>
  <c r="O509" i="4"/>
  <c r="M509" i="4" s="1"/>
  <c r="Q109" i="4"/>
  <c r="O713" i="4"/>
  <c r="M713" i="4" s="1"/>
  <c r="Q281" i="4"/>
  <c r="Q446" i="4"/>
  <c r="O702" i="4"/>
  <c r="M702" i="4" s="1"/>
  <c r="O335" i="4"/>
  <c r="M335" i="4" s="1"/>
  <c r="O538" i="4"/>
  <c r="M538" i="4" s="1"/>
  <c r="O794" i="4"/>
  <c r="M794" i="4" s="1"/>
  <c r="Q661" i="4"/>
  <c r="Q277" i="4"/>
  <c r="Q213" i="4"/>
  <c r="Q461" i="4"/>
  <c r="Q542" i="4"/>
  <c r="Q905" i="4"/>
  <c r="P49" i="4"/>
  <c r="Q49" i="4" s="1"/>
  <c r="L53" i="4"/>
  <c r="L54" i="4"/>
  <c r="P50" i="4"/>
  <c r="Q50" i="4" s="1"/>
  <c r="P55" i="4"/>
  <c r="Q55" i="4" s="1"/>
  <c r="L48" i="4"/>
  <c r="Q48" i="4" s="1"/>
  <c r="L35" i="4"/>
  <c r="L27" i="4"/>
  <c r="Q27" i="4" s="1"/>
  <c r="L43" i="4"/>
  <c r="L23" i="4"/>
  <c r="Q23" i="4" s="1"/>
  <c r="O895" i="4"/>
  <c r="M895" i="4" s="1"/>
  <c r="Q895" i="4"/>
  <c r="O799" i="4"/>
  <c r="M799" i="4" s="1"/>
  <c r="Q799" i="4"/>
  <c r="Q703" i="4"/>
  <c r="O703" i="4"/>
  <c r="M703" i="4" s="1"/>
  <c r="O511" i="4"/>
  <c r="M511" i="4" s="1"/>
  <c r="Q511" i="4"/>
  <c r="O255" i="4"/>
  <c r="M255" i="4" s="1"/>
  <c r="Q255" i="4"/>
  <c r="O559" i="4"/>
  <c r="M559" i="4" s="1"/>
  <c r="O113" i="4"/>
  <c r="P25" i="4"/>
  <c r="L25" i="4"/>
  <c r="O894" i="4"/>
  <c r="M894" i="4" s="1"/>
  <c r="Q894" i="4"/>
  <c r="O798" i="4"/>
  <c r="M798" i="4" s="1"/>
  <c r="Q798" i="4"/>
  <c r="O686" i="4"/>
  <c r="M686" i="4" s="1"/>
  <c r="Q686" i="4"/>
  <c r="O622" i="4"/>
  <c r="M622" i="4" s="1"/>
  <c r="Q622" i="4"/>
  <c r="O382" i="4"/>
  <c r="M382" i="4" s="1"/>
  <c r="Q382" i="4"/>
  <c r="Q350" i="4"/>
  <c r="O350" i="4"/>
  <c r="M350" i="4" s="1"/>
  <c r="O302" i="4"/>
  <c r="M302" i="4" s="1"/>
  <c r="Q302" i="4"/>
  <c r="O270" i="4"/>
  <c r="M270" i="4" s="1"/>
  <c r="Q270" i="4"/>
  <c r="Q238" i="4"/>
  <c r="O238" i="4"/>
  <c r="M238" i="4" s="1"/>
  <c r="O139" i="4"/>
  <c r="Q734" i="4"/>
  <c r="Q781" i="4"/>
  <c r="O781" i="4"/>
  <c r="M781" i="4" s="1"/>
  <c r="Q605" i="4"/>
  <c r="O605" i="4"/>
  <c r="M605" i="4" s="1"/>
  <c r="Q333" i="4"/>
  <c r="O333" i="4"/>
  <c r="M333" i="4" s="1"/>
  <c r="Q122" i="4"/>
  <c r="O122" i="4"/>
  <c r="M122" i="4" s="1"/>
  <c r="Q812" i="4"/>
  <c r="O812" i="4"/>
  <c r="M812" i="4" s="1"/>
  <c r="Q780" i="4"/>
  <c r="O780" i="4"/>
  <c r="M780" i="4" s="1"/>
  <c r="Q732" i="4"/>
  <c r="O732" i="4"/>
  <c r="M732" i="4" s="1"/>
  <c r="Q700" i="4"/>
  <c r="O700" i="4"/>
  <c r="M700" i="4" s="1"/>
  <c r="Q668" i="4"/>
  <c r="O668" i="4"/>
  <c r="M668" i="4" s="1"/>
  <c r="O540" i="4"/>
  <c r="M540" i="4" s="1"/>
  <c r="Q540" i="4"/>
  <c r="O795" i="4"/>
  <c r="M795" i="4" s="1"/>
  <c r="Q795" i="4"/>
  <c r="Q779" i="4"/>
  <c r="O779" i="4"/>
  <c r="M779" i="4" s="1"/>
  <c r="Q715" i="4"/>
  <c r="O715" i="4"/>
  <c r="M715" i="4" s="1"/>
  <c r="Q571" i="4"/>
  <c r="O571" i="4"/>
  <c r="M571" i="4" s="1"/>
  <c r="O555" i="4"/>
  <c r="M555" i="4" s="1"/>
  <c r="Q555" i="4"/>
  <c r="O539" i="4"/>
  <c r="M539" i="4" s="1"/>
  <c r="Q539" i="4"/>
  <c r="O523" i="4"/>
  <c r="M523" i="4" s="1"/>
  <c r="Q523" i="4"/>
  <c r="O475" i="4"/>
  <c r="M475" i="4" s="1"/>
  <c r="Q475" i="4"/>
  <c r="O443" i="4"/>
  <c r="M443" i="4" s="1"/>
  <c r="Q443" i="4"/>
  <c r="O427" i="4"/>
  <c r="M427" i="4" s="1"/>
  <c r="Q427" i="4"/>
  <c r="O411" i="4"/>
  <c r="M411" i="4" s="1"/>
  <c r="Q411" i="4"/>
  <c r="O395" i="4"/>
  <c r="M395" i="4" s="1"/>
  <c r="Q395" i="4"/>
  <c r="O379" i="4"/>
  <c r="M379" i="4" s="1"/>
  <c r="Q379" i="4"/>
  <c r="O347" i="4"/>
  <c r="M347" i="4" s="1"/>
  <c r="Q347" i="4"/>
  <c r="Q283" i="4"/>
  <c r="O283" i="4"/>
  <c r="M283" i="4" s="1"/>
  <c r="O251" i="4"/>
  <c r="M251" i="4" s="1"/>
  <c r="Q251" i="4"/>
  <c r="O219" i="4"/>
  <c r="M219" i="4" s="1"/>
  <c r="Q219" i="4"/>
  <c r="Q235" i="4"/>
  <c r="O797" i="4"/>
  <c r="M797" i="4" s="1"/>
  <c r="Q638" i="4"/>
  <c r="P21" i="4"/>
  <c r="L21" i="4"/>
  <c r="O174" i="4"/>
  <c r="M174" i="4" s="1"/>
  <c r="Q383" i="4"/>
  <c r="L24" i="4"/>
  <c r="P24" i="4"/>
  <c r="Q621" i="4"/>
  <c r="O621" i="4"/>
  <c r="M621" i="4" s="1"/>
  <c r="O573" i="4"/>
  <c r="M573" i="4" s="1"/>
  <c r="Q573" i="4"/>
  <c r="O397" i="4"/>
  <c r="M397" i="4" s="1"/>
  <c r="Q397" i="4"/>
  <c r="Q269" i="4"/>
  <c r="O269" i="4"/>
  <c r="M269" i="4" s="1"/>
  <c r="Q751" i="4"/>
  <c r="Q684" i="4"/>
  <c r="O684" i="4"/>
  <c r="M684" i="4" s="1"/>
  <c r="Q588" i="4"/>
  <c r="O588" i="4"/>
  <c r="M588" i="4" s="1"/>
  <c r="O524" i="4"/>
  <c r="M524" i="4" s="1"/>
  <c r="Q524" i="4"/>
  <c r="Q460" i="4"/>
  <c r="O460" i="4"/>
  <c r="M460" i="4" s="1"/>
  <c r="Q332" i="4"/>
  <c r="O332" i="4"/>
  <c r="M332" i="4" s="1"/>
  <c r="O284" i="4"/>
  <c r="M284" i="4" s="1"/>
  <c r="Q284" i="4"/>
  <c r="Q188" i="4"/>
  <c r="O188" i="4"/>
  <c r="M188" i="4" s="1"/>
  <c r="Q750" i="4"/>
  <c r="Q719" i="4"/>
  <c r="Q735" i="4"/>
  <c r="Q349" i="4"/>
  <c r="O782" i="4"/>
  <c r="M782" i="4" s="1"/>
  <c r="O459" i="4"/>
  <c r="M459" i="4" s="1"/>
  <c r="Q459" i="4"/>
  <c r="Q253" i="4"/>
  <c r="O731" i="4"/>
  <c r="M731" i="4" s="1"/>
  <c r="O858" i="4"/>
  <c r="M858" i="4" s="1"/>
  <c r="Q858" i="4"/>
  <c r="Q826" i="4"/>
  <c r="O826" i="4"/>
  <c r="M826" i="4" s="1"/>
  <c r="Q698" i="4"/>
  <c r="O698" i="4"/>
  <c r="M698" i="4" s="1"/>
  <c r="O602" i="4"/>
  <c r="M602" i="4" s="1"/>
  <c r="Q602" i="4"/>
  <c r="Q570" i="4"/>
  <c r="O570" i="4"/>
  <c r="M570" i="4" s="1"/>
  <c r="O314" i="4"/>
  <c r="M314" i="4" s="1"/>
  <c r="Q314" i="4"/>
  <c r="O298" i="4"/>
  <c r="M298" i="4" s="1"/>
  <c r="Q298" i="4"/>
  <c r="O250" i="4"/>
  <c r="M250" i="4" s="1"/>
  <c r="Q250" i="4"/>
  <c r="Q202" i="4"/>
  <c r="O202" i="4"/>
  <c r="M202" i="4" s="1"/>
  <c r="Q186" i="4"/>
  <c r="O186" i="4"/>
  <c r="M186" i="4" s="1"/>
  <c r="Q170" i="4"/>
  <c r="O170" i="4"/>
  <c r="M170" i="4" s="1"/>
  <c r="O133" i="4"/>
  <c r="Q141" i="4"/>
  <c r="Q525" i="4"/>
  <c r="O830" i="4"/>
  <c r="M830" i="4" s="1"/>
  <c r="O207" i="4"/>
  <c r="M207" i="4" s="1"/>
  <c r="Q507" i="4"/>
  <c r="Q218" i="4"/>
  <c r="Q591" i="4"/>
  <c r="O778" i="4"/>
  <c r="M778" i="4" s="1"/>
  <c r="O479" i="4"/>
  <c r="M479" i="4" s="1"/>
  <c r="Q381" i="4"/>
  <c r="O828" i="4"/>
  <c r="M828" i="4" s="1"/>
  <c r="O444" i="4"/>
  <c r="M444" i="4" s="1"/>
  <c r="O206" i="4"/>
  <c r="M206" i="4" s="1"/>
  <c r="L15" i="4"/>
  <c r="O15" i="4" s="1"/>
  <c r="Q267" i="4"/>
  <c r="Q318" i="4"/>
  <c r="O506" i="4"/>
  <c r="M506" i="4" s="1"/>
  <c r="Q239" i="4"/>
  <c r="Q300" i="4"/>
  <c r="Q348" i="4"/>
  <c r="Q639" i="4"/>
  <c r="Q827" i="4"/>
  <c r="Q635" i="4"/>
  <c r="Q492" i="4"/>
  <c r="Q331" i="4"/>
  <c r="Q396" i="4"/>
  <c r="O205" i="4"/>
  <c r="M205" i="4" s="1"/>
  <c r="Q815" i="4"/>
  <c r="O815" i="4"/>
  <c r="M815" i="4" s="1"/>
  <c r="Q767" i="4"/>
  <c r="O767" i="4"/>
  <c r="M767" i="4" s="1"/>
  <c r="O447" i="4"/>
  <c r="M447" i="4" s="1"/>
  <c r="Q447" i="4"/>
  <c r="Q431" i="4"/>
  <c r="Q846" i="4"/>
  <c r="O846" i="4"/>
  <c r="M846" i="4" s="1"/>
  <c r="Q670" i="4"/>
  <c r="O670" i="4"/>
  <c r="M670" i="4" s="1"/>
  <c r="Q606" i="4"/>
  <c r="O606" i="4"/>
  <c r="M606" i="4" s="1"/>
  <c r="O574" i="4"/>
  <c r="M574" i="4" s="1"/>
  <c r="Q574" i="4"/>
  <c r="O558" i="4"/>
  <c r="M558" i="4" s="1"/>
  <c r="Q558" i="4"/>
  <c r="O494" i="4"/>
  <c r="M494" i="4" s="1"/>
  <c r="Q494" i="4"/>
  <c r="O462" i="4"/>
  <c r="M462" i="4" s="1"/>
  <c r="Q462" i="4"/>
  <c r="O254" i="4"/>
  <c r="M254" i="4" s="1"/>
  <c r="Q254" i="4"/>
  <c r="O222" i="4"/>
  <c r="M222" i="4" s="1"/>
  <c r="Q222" i="4"/>
  <c r="Q829" i="4"/>
  <c r="O829" i="4"/>
  <c r="M829" i="4" s="1"/>
  <c r="Q765" i="4"/>
  <c r="O765" i="4"/>
  <c r="M765" i="4" s="1"/>
  <c r="O669" i="4"/>
  <c r="M669" i="4" s="1"/>
  <c r="Q669" i="4"/>
  <c r="Q429" i="4"/>
  <c r="O429" i="4"/>
  <c r="M429" i="4" s="1"/>
  <c r="O221" i="4"/>
  <c r="M221" i="4" s="1"/>
  <c r="Q221" i="4"/>
  <c r="Q575" i="4"/>
  <c r="Q190" i="4"/>
  <c r="O860" i="4"/>
  <c r="M860" i="4" s="1"/>
  <c r="Q860" i="4"/>
  <c r="Q764" i="4"/>
  <c r="O764" i="4"/>
  <c r="M764" i="4" s="1"/>
  <c r="Q652" i="4"/>
  <c r="O652" i="4"/>
  <c r="M652" i="4" s="1"/>
  <c r="O220" i="4"/>
  <c r="M220" i="4" s="1"/>
  <c r="Q220" i="4"/>
  <c r="O156" i="4"/>
  <c r="M156" i="4" s="1"/>
  <c r="Q156" i="4"/>
  <c r="Q399" i="4"/>
  <c r="O718" i="4"/>
  <c r="M718" i="4" s="1"/>
  <c r="O859" i="4"/>
  <c r="M859" i="4" s="1"/>
  <c r="Q859" i="4"/>
  <c r="O763" i="4"/>
  <c r="M763" i="4" s="1"/>
  <c r="Q763" i="4"/>
  <c r="P37" i="4"/>
  <c r="L37" i="4"/>
  <c r="Q414" i="4"/>
  <c r="Q510" i="4"/>
  <c r="O666" i="4"/>
  <c r="M666" i="4" s="1"/>
  <c r="O543" i="4"/>
  <c r="M543" i="4" s="1"/>
  <c r="O667" i="4"/>
  <c r="M667" i="4" s="1"/>
  <c r="O620" i="4"/>
  <c r="M620" i="4" s="1"/>
  <c r="O879" i="4"/>
  <c r="M879" i="4" s="1"/>
  <c r="O572" i="4"/>
  <c r="M572" i="4" s="1"/>
  <c r="O236" i="4"/>
  <c r="M236" i="4" s="1"/>
  <c r="O204" i="4"/>
  <c r="M204" i="4" s="1"/>
  <c r="Q831" i="4"/>
  <c r="O831" i="4"/>
  <c r="M831" i="4" s="1"/>
  <c r="O783" i="4"/>
  <c r="M783" i="4" s="1"/>
  <c r="Q783" i="4"/>
  <c r="Q607" i="4"/>
  <c r="O607" i="4"/>
  <c r="M607" i="4" s="1"/>
  <c r="Q527" i="4"/>
  <c r="O527" i="4"/>
  <c r="M527" i="4" s="1"/>
  <c r="O862" i="4"/>
  <c r="M862" i="4" s="1"/>
  <c r="Q862" i="4"/>
  <c r="O590" i="4"/>
  <c r="M590" i="4" s="1"/>
  <c r="Q590" i="4"/>
  <c r="Q526" i="4"/>
  <c r="O526" i="4"/>
  <c r="M526" i="4" s="1"/>
  <c r="O366" i="4"/>
  <c r="M366" i="4" s="1"/>
  <c r="Q366" i="4"/>
  <c r="O286" i="4"/>
  <c r="M286" i="4" s="1"/>
  <c r="Q286" i="4"/>
  <c r="O701" i="4"/>
  <c r="M701" i="4" s="1"/>
  <c r="Q701" i="4"/>
  <c r="O637" i="4"/>
  <c r="M637" i="4" s="1"/>
  <c r="Q637" i="4"/>
  <c r="Q589" i="4"/>
  <c r="O589" i="4"/>
  <c r="M589" i="4" s="1"/>
  <c r="O557" i="4"/>
  <c r="M557" i="4" s="1"/>
  <c r="Q557" i="4"/>
  <c r="O493" i="4"/>
  <c r="M493" i="4" s="1"/>
  <c r="Q493" i="4"/>
  <c r="O892" i="4"/>
  <c r="M892" i="4" s="1"/>
  <c r="Q892" i="4"/>
  <c r="Q716" i="4"/>
  <c r="O716" i="4"/>
  <c r="M716" i="4" s="1"/>
  <c r="O428" i="4"/>
  <c r="M428" i="4" s="1"/>
  <c r="Q428" i="4"/>
  <c r="O877" i="4"/>
  <c r="M877" i="4" s="1"/>
  <c r="P38" i="4"/>
  <c r="L38" i="4"/>
  <c r="O175" i="4"/>
  <c r="M175" i="4" s="1"/>
  <c r="Q189" i="4"/>
  <c r="O319" i="4"/>
  <c r="M319" i="4" s="1"/>
  <c r="O252" i="4"/>
  <c r="M252" i="4" s="1"/>
  <c r="O810" i="4"/>
  <c r="M810" i="4" s="1"/>
  <c r="Q810" i="4"/>
  <c r="O762" i="4"/>
  <c r="M762" i="4" s="1"/>
  <c r="Q762" i="4"/>
  <c r="Q730" i="4"/>
  <c r="O730" i="4"/>
  <c r="M730" i="4" s="1"/>
  <c r="O682" i="4"/>
  <c r="M682" i="4" s="1"/>
  <c r="Q682" i="4"/>
  <c r="Q618" i="4"/>
  <c r="O618" i="4"/>
  <c r="M618" i="4" s="1"/>
  <c r="O586" i="4"/>
  <c r="M586" i="4" s="1"/>
  <c r="Q586" i="4"/>
  <c r="Q522" i="4"/>
  <c r="O522" i="4"/>
  <c r="M522" i="4" s="1"/>
  <c r="Q490" i="4"/>
  <c r="O490" i="4"/>
  <c r="M490" i="4" s="1"/>
  <c r="O458" i="4"/>
  <c r="M458" i="4" s="1"/>
  <c r="Q458" i="4"/>
  <c r="Q394" i="4"/>
  <c r="O394" i="4"/>
  <c r="M394" i="4" s="1"/>
  <c r="O378" i="4"/>
  <c r="M378" i="4" s="1"/>
  <c r="Q378" i="4"/>
  <c r="Q282" i="4"/>
  <c r="O282" i="4"/>
  <c r="M282" i="4" s="1"/>
  <c r="Q191" i="4"/>
  <c r="Q749" i="4"/>
  <c r="Q380" i="4"/>
  <c r="O351" i="4"/>
  <c r="M351" i="4" s="1"/>
  <c r="Q430" i="4"/>
  <c r="Q271" i="4"/>
  <c r="Q410" i="4"/>
  <c r="Q303" i="4"/>
  <c r="Q173" i="4"/>
  <c r="Q554" i="4"/>
  <c r="O876" i="4"/>
  <c r="M876" i="4" s="1"/>
  <c r="Q556" i="4"/>
  <c r="O234" i="4"/>
  <c r="M234" i="4" s="1"/>
  <c r="O223" i="4"/>
  <c r="M223" i="4" s="1"/>
  <c r="Q766" i="4"/>
  <c r="Q733" i="4"/>
  <c r="O463" i="4"/>
  <c r="M463" i="4" s="1"/>
  <c r="Q474" i="4"/>
  <c r="O843" i="4"/>
  <c r="M843" i="4" s="1"/>
  <c r="O587" i="4"/>
  <c r="M587" i="4" s="1"/>
  <c r="O415" i="4"/>
  <c r="M415" i="4" s="1"/>
  <c r="O317" i="4"/>
  <c r="M317" i="4" s="1"/>
  <c r="L39" i="4"/>
  <c r="O413" i="4"/>
  <c r="M413" i="4" s="1"/>
  <c r="O316" i="4"/>
  <c r="M316" i="4" s="1"/>
  <c r="Q398" i="4"/>
  <c r="O717" i="4"/>
  <c r="M717" i="4" s="1"/>
  <c r="O893" i="4"/>
  <c r="M893" i="4" s="1"/>
  <c r="O650" i="4"/>
  <c r="M650" i="4" s="1"/>
  <c r="Q814" i="4"/>
  <c r="O654" i="4"/>
  <c r="M654" i="4" s="1"/>
  <c r="Q845" i="4"/>
  <c r="Q237" i="4"/>
  <c r="Q114" i="4"/>
  <c r="O874" i="4"/>
  <c r="M874" i="4" s="1"/>
  <c r="Q268" i="4"/>
  <c r="O842" i="4"/>
  <c r="M842" i="4" s="1"/>
  <c r="O623" i="4"/>
  <c r="M623" i="4" s="1"/>
  <c r="O412" i="4"/>
  <c r="M412" i="4" s="1"/>
  <c r="O315" i="4"/>
  <c r="M315" i="4" s="1"/>
  <c r="O287" i="4"/>
  <c r="M287" i="4" s="1"/>
  <c r="Q362" i="4"/>
  <c r="O813" i="4"/>
  <c r="M813" i="4" s="1"/>
  <c r="Q495" i="4"/>
  <c r="Q301" i="4"/>
  <c r="O445" i="4"/>
  <c r="M445" i="4" s="1"/>
  <c r="O285" i="4"/>
  <c r="M285" i="4" s="1"/>
  <c r="Q299" i="4"/>
  <c r="Q134" i="4"/>
  <c r="Q541" i="4"/>
  <c r="Q847" i="4"/>
  <c r="O878" i="4"/>
  <c r="M878" i="4" s="1"/>
  <c r="O747" i="4"/>
  <c r="M747" i="4" s="1"/>
  <c r="O687" i="4"/>
  <c r="M687" i="4" s="1"/>
  <c r="Q201" i="4"/>
  <c r="Q280" i="4"/>
  <c r="O761" i="4"/>
  <c r="M761" i="4" s="1"/>
  <c r="Q552" i="4"/>
  <c r="Q857" i="4"/>
  <c r="Q583" i="4"/>
  <c r="O535" i="4"/>
  <c r="M535" i="4" s="1"/>
  <c r="O873" i="4"/>
  <c r="M873" i="4" s="1"/>
  <c r="Q873" i="4"/>
  <c r="Q115" i="4"/>
  <c r="Q633" i="4"/>
  <c r="Q584" i="4"/>
  <c r="Q824" i="4"/>
  <c r="O425" i="4"/>
  <c r="M425" i="4" s="1"/>
  <c r="O216" i="4"/>
  <c r="M216" i="4" s="1"/>
  <c r="O793" i="4"/>
  <c r="M793" i="4" s="1"/>
  <c r="Q793" i="4"/>
  <c r="O601" i="4"/>
  <c r="M601" i="4" s="1"/>
  <c r="Q601" i="4"/>
  <c r="O473" i="4"/>
  <c r="M473" i="4" s="1"/>
  <c r="Q473" i="4"/>
  <c r="O457" i="4"/>
  <c r="M457" i="4" s="1"/>
  <c r="Q457" i="4"/>
  <c r="O440" i="4"/>
  <c r="M440" i="4" s="1"/>
  <c r="Q440" i="4"/>
  <c r="O264" i="4"/>
  <c r="M264" i="4" s="1"/>
  <c r="Q264" i="4"/>
  <c r="Q200" i="4"/>
  <c r="Q664" i="4"/>
  <c r="O679" i="4"/>
  <c r="M679" i="4" s="1"/>
  <c r="Q679" i="4"/>
  <c r="O615" i="4"/>
  <c r="M615" i="4" s="1"/>
  <c r="Q615" i="4"/>
  <c r="O327" i="4"/>
  <c r="M327" i="4" s="1"/>
  <c r="Q327" i="4"/>
  <c r="O841" i="4"/>
  <c r="M841" i="4" s="1"/>
  <c r="O823" i="4"/>
  <c r="M823" i="4" s="1"/>
  <c r="Q872" i="4"/>
  <c r="O424" i="4"/>
  <c r="M424" i="4" s="1"/>
  <c r="Q888" i="4"/>
  <c r="O888" i="4"/>
  <c r="M888" i="4" s="1"/>
  <c r="O808" i="4"/>
  <c r="M808" i="4" s="1"/>
  <c r="Q808" i="4"/>
  <c r="O680" i="4"/>
  <c r="M680" i="4" s="1"/>
  <c r="Q680" i="4"/>
  <c r="O616" i="4"/>
  <c r="M616" i="4" s="1"/>
  <c r="Q616" i="4"/>
  <c r="Q248" i="4"/>
  <c r="O248" i="4"/>
  <c r="M248" i="4" s="1"/>
  <c r="Q887" i="4"/>
  <c r="O887" i="4"/>
  <c r="M887" i="4" s="1"/>
  <c r="Q775" i="4"/>
  <c r="O775" i="4"/>
  <c r="M775" i="4" s="1"/>
  <c r="O183" i="4"/>
  <c r="M183" i="4" s="1"/>
  <c r="Q183" i="4"/>
  <c r="Q151" i="4"/>
  <c r="O151" i="4"/>
  <c r="Q249" i="4"/>
  <c r="O489" i="4"/>
  <c r="M489" i="4" s="1"/>
  <c r="O423" i="4"/>
  <c r="M423" i="4" s="1"/>
  <c r="O377" i="4"/>
  <c r="M377" i="4" s="1"/>
  <c r="Q328" i="4"/>
  <c r="Q729" i="4"/>
  <c r="O376" i="4"/>
  <c r="M376" i="4" s="1"/>
  <c r="Q401" i="4"/>
  <c r="L28" i="4"/>
  <c r="L44" i="4"/>
  <c r="L33" i="4"/>
  <c r="L31" i="4"/>
  <c r="P26" i="4"/>
  <c r="Q26" i="4" s="1"/>
  <c r="L42" i="4"/>
  <c r="L16" i="4"/>
  <c r="L47" i="4"/>
  <c r="L32" i="4"/>
  <c r="P20" i="4"/>
  <c r="Q20" i="4" s="1"/>
  <c r="O20" i="4"/>
  <c r="P34" i="4"/>
  <c r="L36" i="4"/>
  <c r="L29" i="4"/>
  <c r="L40" i="4"/>
  <c r="P17" i="4"/>
  <c r="M7" i="4"/>
  <c r="L45" i="4"/>
  <c r="L30" i="4"/>
  <c r="P22" i="4"/>
  <c r="Q22" i="4" s="1"/>
  <c r="L46" i="4"/>
  <c r="L18" i="4"/>
  <c r="P19" i="4"/>
  <c r="Q19" i="4" s="1"/>
  <c r="L41" i="4"/>
  <c r="Q63" i="4" l="1"/>
  <c r="Q73" i="4"/>
  <c r="Q86" i="4"/>
  <c r="Q104" i="4"/>
  <c r="O78" i="4"/>
  <c r="Q75" i="4"/>
  <c r="Q117" i="4"/>
  <c r="Q65" i="4"/>
  <c r="Q111" i="4"/>
  <c r="O98" i="4"/>
  <c r="Q71" i="4"/>
  <c r="O68" i="4"/>
  <c r="Q67" i="4"/>
  <c r="Q95" i="4"/>
  <c r="Q89" i="4"/>
  <c r="Q80" i="4"/>
  <c r="O147" i="4"/>
  <c r="Q123" i="4"/>
  <c r="O159" i="4"/>
  <c r="M159" i="4" s="1"/>
  <c r="Q136" i="4"/>
  <c r="Q74" i="4"/>
  <c r="Q90" i="4"/>
  <c r="Q70" i="4"/>
  <c r="Q130" i="4"/>
  <c r="Q146" i="4"/>
  <c r="Q152" i="4"/>
  <c r="Q143" i="4"/>
  <c r="Q105" i="4"/>
  <c r="O100" i="4"/>
  <c r="Q118" i="4"/>
  <c r="Q97" i="4"/>
  <c r="Q103" i="4"/>
  <c r="Q60" i="4"/>
  <c r="Q116" i="4"/>
  <c r="Q127" i="4"/>
  <c r="Q77" i="4"/>
  <c r="Q91" i="4"/>
  <c r="Q94" i="4"/>
  <c r="Q166" i="4"/>
  <c r="Q64" i="4"/>
  <c r="Q52" i="4"/>
  <c r="Q142" i="4"/>
  <c r="Q129" i="4"/>
  <c r="Q85" i="4"/>
  <c r="Q110" i="4"/>
  <c r="Q145" i="4"/>
  <c r="Q99" i="4"/>
  <c r="Q66" i="4"/>
  <c r="Q112" i="4"/>
  <c r="Q164" i="4"/>
  <c r="Q149" i="4"/>
  <c r="Q96" i="4"/>
  <c r="Q62" i="4"/>
  <c r="Q161" i="4"/>
  <c r="Q119" i="4"/>
  <c r="Q121" i="4"/>
  <c r="C11" i="4"/>
  <c r="Q51" i="4"/>
  <c r="Q35" i="4"/>
  <c r="O54" i="4"/>
  <c r="Q54" i="4"/>
  <c r="Q53" i="4"/>
  <c r="Q43" i="4"/>
  <c r="Q37" i="4"/>
  <c r="Q42" i="4"/>
  <c r="Q24" i="4"/>
  <c r="F11" i="4"/>
  <c r="Q21" i="4"/>
  <c r="Q38" i="4"/>
  <c r="Q28" i="4"/>
  <c r="Q15" i="4"/>
  <c r="Q25" i="4"/>
  <c r="Q32" i="4"/>
  <c r="Q39" i="4"/>
  <c r="Q33" i="4"/>
  <c r="Q47" i="4"/>
  <c r="Q44" i="4"/>
  <c r="Q31" i="4"/>
  <c r="G11" i="4"/>
  <c r="Q16" i="4"/>
  <c r="O16" i="4"/>
  <c r="J8" i="4" a="1"/>
  <c r="J8" i="4" s="1"/>
  <c r="Q41" i="4"/>
  <c r="I11" i="4"/>
  <c r="H11" i="4"/>
  <c r="D11" i="4"/>
  <c r="Q34" i="4"/>
  <c r="Q45" i="4"/>
  <c r="E11" i="4"/>
  <c r="M11" i="4"/>
  <c r="O18" i="4"/>
  <c r="Q18" i="4"/>
  <c r="Q46" i="4"/>
  <c r="J11" i="4"/>
  <c r="L11" i="4" s="1"/>
  <c r="Q40" i="4"/>
  <c r="Q29" i="4"/>
  <c r="Q17" i="4"/>
  <c r="Q30" i="4"/>
  <c r="Q36" i="4"/>
  <c r="O17" i="4"/>
  <c r="O19" i="4" l="1"/>
  <c r="G12" i="4"/>
  <c r="G7" i="4" s="1"/>
  <c r="E12" i="4"/>
  <c r="E7" i="4" s="1"/>
  <c r="H12" i="4"/>
  <c r="H7" i="4" s="1"/>
  <c r="J12" i="4" a="1"/>
  <c r="J12" i="4" s="1"/>
  <c r="J7" i="4" s="1"/>
  <c r="L7" i="4" s="1"/>
  <c r="D12" i="4"/>
  <c r="D7" i="4" s="1"/>
  <c r="I12" i="4"/>
  <c r="I7" i="4" s="1"/>
  <c r="C12" i="4"/>
  <c r="F12" i="4"/>
  <c r="F7" i="4" s="1"/>
  <c r="O26" i="4"/>
  <c r="O34" i="4"/>
  <c r="O22" i="4"/>
  <c r="O23" i="4"/>
  <c r="O21" i="4"/>
  <c r="O24" i="4" l="1"/>
  <c r="C8" i="4"/>
  <c r="D8" i="4"/>
  <c r="E8" i="4"/>
  <c r="I8" i="4"/>
  <c r="G8" i="4"/>
  <c r="F8" i="4"/>
  <c r="H8" i="4"/>
  <c r="N15" i="4"/>
  <c r="O25" i="4"/>
  <c r="O27" i="4"/>
  <c r="O28" i="4"/>
  <c r="O29" i="4"/>
  <c r="O30" i="4"/>
  <c r="O31" i="4"/>
  <c r="O33" i="4"/>
  <c r="O35" i="4"/>
  <c r="O32" i="4"/>
  <c r="O36" i="4"/>
  <c r="O37" i="4"/>
  <c r="O38" i="4"/>
  <c r="O39" i="4"/>
  <c r="O40" i="4"/>
  <c r="O44" i="4"/>
  <c r="O47" i="4"/>
  <c r="O48" i="4"/>
  <c r="O53" i="4"/>
  <c r="O50" i="4"/>
  <c r="O41" i="4"/>
  <c r="O42" i="4"/>
  <c r="O43" i="4"/>
  <c r="O45" i="4"/>
  <c r="O46" i="4"/>
  <c r="O49" i="4"/>
  <c r="O51" i="4"/>
  <c r="O169" i="4"/>
  <c r="O56" i="4"/>
  <c r="O57" i="4"/>
  <c r="O59" i="4"/>
  <c r="O64" i="4"/>
  <c r="O69" i="4"/>
  <c r="O72" i="4"/>
  <c r="O74" i="4"/>
  <c r="O82" i="4"/>
  <c r="O85" i="4"/>
  <c r="O86" i="4"/>
  <c r="O87" i="4"/>
  <c r="O88" i="4"/>
  <c r="O91" i="4"/>
  <c r="O93" i="4"/>
  <c r="O94" i="4"/>
  <c r="O101" i="4"/>
  <c r="O103" i="4"/>
  <c r="O106" i="4"/>
  <c r="O108" i="4"/>
  <c r="O110" i="4"/>
  <c r="O115" i="4"/>
  <c r="O116" i="4"/>
  <c r="O117" i="4"/>
  <c r="O120" i="4"/>
  <c r="O126" i="4"/>
  <c r="O131" i="4"/>
  <c r="O134" i="4"/>
  <c r="O136" i="4"/>
  <c r="O138" i="4"/>
  <c r="O140" i="4"/>
  <c r="O143" i="4" s="1"/>
  <c r="O145" i="4"/>
  <c r="O150" i="4"/>
  <c r="O152" i="4"/>
  <c r="O158" i="4"/>
  <c r="O162" i="4"/>
  <c r="O168" i="4"/>
  <c r="O55" i="4"/>
  <c r="O52" i="4"/>
  <c r="O58" i="4" l="1"/>
  <c r="M134" i="4"/>
  <c r="M150" i="4"/>
  <c r="M152" i="4"/>
  <c r="M158" i="4"/>
  <c r="M86" i="4"/>
  <c r="M157" i="4"/>
  <c r="M155" i="4"/>
  <c r="M136" i="4"/>
  <c r="M120" i="4"/>
  <c r="M168" i="4"/>
  <c r="M169" i="4"/>
  <c r="M18" i="4"/>
  <c r="M16" i="4"/>
  <c r="N17" i="4"/>
  <c r="N19" i="4"/>
  <c r="O171" i="4"/>
  <c r="M67" i="4" s="1"/>
  <c r="M58" i="4" l="1"/>
  <c r="M55" i="4"/>
  <c r="M39" i="4"/>
  <c r="M81" i="4"/>
  <c r="M115" i="4"/>
  <c r="M92" i="4"/>
  <c r="M75" i="4"/>
  <c r="M109" i="4"/>
  <c r="M83" i="4"/>
  <c r="M65" i="4"/>
  <c r="M71" i="4"/>
  <c r="M117" i="4"/>
  <c r="M88" i="4"/>
  <c r="M29" i="4"/>
  <c r="M61" i="4"/>
  <c r="M111" i="4"/>
  <c r="M135" i="4"/>
  <c r="M98" i="4"/>
  <c r="M73" i="4"/>
  <c r="M138" i="4"/>
  <c r="M123" i="4"/>
  <c r="M82" i="4"/>
  <c r="M147" i="4"/>
  <c r="M80" i="4"/>
  <c r="M102" i="4"/>
  <c r="M68" i="4"/>
  <c r="M89" i="4"/>
  <c r="M151" i="4"/>
  <c r="M74" i="4"/>
  <c r="M112" i="4"/>
  <c r="M95" i="4"/>
  <c r="M153" i="4"/>
  <c r="M132" i="4"/>
  <c r="M94" i="4"/>
  <c r="M78" i="4"/>
  <c r="M124" i="4"/>
  <c r="M163" i="4"/>
  <c r="M69" i="4"/>
  <c r="M84" i="4"/>
  <c r="M118" i="4"/>
  <c r="M161" i="4"/>
  <c r="M105" i="4"/>
  <c r="M107" i="4"/>
  <c r="M96" i="4"/>
  <c r="M126" i="4"/>
  <c r="M76" i="4"/>
  <c r="M100" i="4"/>
  <c r="M59" i="4"/>
  <c r="M139" i="4"/>
  <c r="M130" i="4"/>
  <c r="M113" i="4"/>
  <c r="M47" i="4"/>
  <c r="M53" i="4"/>
  <c r="M63" i="4"/>
  <c r="M90" i="4"/>
  <c r="M162" i="4"/>
  <c r="M104" i="4"/>
  <c r="M97" i="4"/>
  <c r="M77" i="4"/>
  <c r="M70" i="4"/>
  <c r="M60" i="4"/>
  <c r="M114" i="4"/>
  <c r="M143" i="4"/>
  <c r="M54" i="4"/>
  <c r="M131" i="4"/>
  <c r="M119" i="4"/>
  <c r="M64" i="4"/>
  <c r="M127" i="4"/>
  <c r="M85" i="4"/>
  <c r="M91" i="4"/>
  <c r="M101" i="4"/>
  <c r="M140" i="4"/>
  <c r="M171" i="4"/>
  <c r="M108" i="4"/>
  <c r="M62" i="4"/>
  <c r="M110" i="4"/>
  <c r="M121" i="4"/>
  <c r="M103" i="4"/>
  <c r="M164" i="4"/>
  <c r="M66" i="4"/>
  <c r="M116" i="4"/>
  <c r="M142" i="4"/>
  <c r="M79" i="4"/>
  <c r="M166" i="4"/>
  <c r="M133" i="4"/>
  <c r="M72" i="4"/>
  <c r="M106" i="4"/>
  <c r="M145" i="4"/>
  <c r="M129" i="4"/>
  <c r="M99" i="4"/>
  <c r="M93" i="4"/>
  <c r="M22" i="4"/>
  <c r="M87" i="4"/>
  <c r="M28" i="4"/>
  <c r="M26" i="4"/>
  <c r="M45" i="4"/>
  <c r="M24" i="4"/>
  <c r="M25" i="4"/>
  <c r="M23" i="4"/>
  <c r="M35" i="4"/>
  <c r="M36" i="4"/>
  <c r="M27" i="4"/>
  <c r="M51" i="4"/>
  <c r="M52" i="4"/>
  <c r="M31" i="4"/>
  <c r="M33" i="4"/>
  <c r="M32" i="4"/>
  <c r="M50" i="4"/>
  <c r="M38" i="4"/>
  <c r="M40" i="4"/>
  <c r="M41" i="4"/>
  <c r="M21" i="4"/>
  <c r="M19" i="4"/>
  <c r="M17" i="4"/>
  <c r="M44" i="4"/>
  <c r="M20" i="4"/>
  <c r="M15" i="4"/>
  <c r="M49" i="4"/>
  <c r="M48" i="4"/>
  <c r="M37" i="4"/>
  <c r="M34" i="4"/>
  <c r="M56" i="4"/>
  <c r="M57" i="4"/>
  <c r="M42" i="4"/>
  <c r="M43" i="4"/>
  <c r="M30" i="4"/>
  <c r="M46" i="4"/>
  <c r="N21" i="4"/>
  <c r="N22" i="4"/>
  <c r="N23" i="4"/>
  <c r="N24" i="4"/>
  <c r="N26" i="4"/>
  <c r="N34" i="4"/>
  <c r="N25" i="4" l="1"/>
  <c r="N27" i="4" l="1"/>
  <c r="N28" i="4" s="1"/>
  <c r="N29" i="4" l="1"/>
  <c r="N31" i="4" s="1"/>
  <c r="N30" i="4" l="1"/>
  <c r="N35" i="4" s="1"/>
  <c r="N32" i="4" l="1"/>
  <c r="N33" i="4"/>
  <c r="N36" i="4" l="1"/>
  <c r="N37" i="4" l="1"/>
  <c r="N38" i="4" l="1"/>
  <c r="N39" i="4" l="1"/>
  <c r="N40" i="4" l="1"/>
  <c r="N41" i="4" s="1"/>
  <c r="N42" i="4" s="1"/>
  <c r="N43" i="4" l="1"/>
  <c r="N44" i="4" l="1"/>
  <c r="N45" i="4" s="1"/>
  <c r="N46" i="4" s="1"/>
  <c r="N47" i="4" s="1"/>
  <c r="N48" i="4" s="1"/>
  <c r="N49" i="4" s="1"/>
  <c r="N50" i="4" l="1"/>
  <c r="N51" i="4" s="1"/>
  <c r="N53" i="4" l="1"/>
  <c r="N52" i="4"/>
  <c r="N56" i="4"/>
  <c r="N55" i="4" l="1"/>
  <c r="N57" i="4"/>
  <c r="N58" i="4" s="1"/>
  <c r="N64" i="4"/>
  <c r="N59" i="4"/>
  <c r="N72" i="4"/>
  <c r="N69" i="4"/>
  <c r="N82" i="4"/>
  <c r="N74" i="4"/>
  <c r="N86" i="4"/>
  <c r="N85" i="4"/>
  <c r="N88" i="4"/>
  <c r="N87" i="4"/>
  <c r="N93" i="4"/>
  <c r="N91" i="4"/>
  <c r="N101" i="4"/>
  <c r="N94" i="4"/>
  <c r="N103" i="4"/>
  <c r="N108" i="4"/>
  <c r="N106" i="4"/>
  <c r="N115" i="4"/>
  <c r="N110" i="4"/>
  <c r="N116" i="4"/>
  <c r="N120" i="4"/>
  <c r="N117" i="4"/>
  <c r="N131" i="4"/>
  <c r="N126" i="4"/>
  <c r="N136" i="4"/>
  <c r="N134" i="4"/>
  <c r="N140" i="4"/>
  <c r="N143" i="4" s="1"/>
  <c r="N138" i="4"/>
  <c r="N150" i="4"/>
  <c r="N145" i="4"/>
  <c r="N152" i="4"/>
  <c r="N162" i="4"/>
  <c r="N158" i="4"/>
  <c r="N168" i="4"/>
  <c r="N171" i="4"/>
  <c r="N16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<sst xmlns="http://schemas.openxmlformats.org/spreadsheetml/2006/main" count="7604" uniqueCount="2301">
  <si>
    <t>Print Area f(x):</t>
  </si>
  <si>
    <t>Max Row:</t>
  </si>
  <si>
    <t>Cat A
Debris</t>
  </si>
  <si>
    <t>Cat B
Emergency</t>
  </si>
  <si>
    <t>Cat C
Roads</t>
  </si>
  <si>
    <t>Cat D
Water</t>
  </si>
  <si>
    <t>Cat E
Buildings</t>
  </si>
  <si>
    <t xml:space="preserve">Cat F
Utilities </t>
  </si>
  <si>
    <t>Cat G
Other</t>
  </si>
  <si>
    <t>Total</t>
  </si>
  <si>
    <t>State Pop</t>
  </si>
  <si>
    <t>Cost per Capita</t>
  </si>
  <si>
    <t>Total Counties</t>
  </si>
  <si>
    <t>All Counties</t>
  </si>
  <si>
    <t>GRAND TOTAL:</t>
  </si>
  <si>
    <t>PERCENTAGE:</t>
  </si>
  <si>
    <t>CALCULATION FIELDS - DO NOT EDIT - SHOULD BE HIDDEN</t>
  </si>
  <si>
    <t>County</t>
  </si>
  <si>
    <t>Subrecipient</t>
  </si>
  <si>
    <t>Cat A</t>
  </si>
  <si>
    <t>Cat B</t>
  </si>
  <si>
    <t>Cat C</t>
  </si>
  <si>
    <t>Cat D</t>
  </si>
  <si>
    <t>Cat E</t>
  </si>
  <si>
    <t>Cat F</t>
  </si>
  <si>
    <t>Cat G</t>
  </si>
  <si>
    <t>Subtotal</t>
  </si>
  <si>
    <t>County Pop.</t>
  </si>
  <si>
    <t>% of Eligible</t>
  </si>
  <si>
    <t>Applicants Pending</t>
  </si>
  <si>
    <t>Eligible County Total</t>
  </si>
  <si>
    <t>SUM PRODUCT INDICATOR</t>
  </si>
  <si>
    <t>CPC Eligible</t>
  </si>
  <si>
    <t>Cty NS</t>
  </si>
  <si>
    <t>CTY</t>
  </si>
  <si>
    <t>STS</t>
  </si>
  <si>
    <t>Bartholomew</t>
  </si>
  <si>
    <t>Brown</t>
  </si>
  <si>
    <t>Clark</t>
  </si>
  <si>
    <t>Clay</t>
  </si>
  <si>
    <t>Crawford</t>
  </si>
  <si>
    <t>Decatur</t>
  </si>
  <si>
    <t>Floyd</t>
  </si>
  <si>
    <t>Franklin</t>
  </si>
  <si>
    <t>Greene</t>
  </si>
  <si>
    <t>Harrison</t>
  </si>
  <si>
    <t>Jackson</t>
  </si>
  <si>
    <t>Jefferson</t>
  </si>
  <si>
    <t>Lawrence</t>
  </si>
  <si>
    <t>Madison</t>
  </si>
  <si>
    <t>Marion</t>
  </si>
  <si>
    <t>Marshall</t>
  </si>
  <si>
    <t>Martin</t>
  </si>
  <si>
    <t>Montgomery</t>
  </si>
  <si>
    <t>Morgan</t>
  </si>
  <si>
    <t>Orange</t>
  </si>
  <si>
    <t>Owen</t>
  </si>
  <si>
    <t>Parke</t>
  </si>
  <si>
    <t>Perry</t>
  </si>
  <si>
    <t>Shelby</t>
  </si>
  <si>
    <t>Spencer</t>
  </si>
  <si>
    <t>Switzerland</t>
  </si>
  <si>
    <t>Vanderburgh</t>
  </si>
  <si>
    <t>Vigo</t>
  </si>
  <si>
    <t>Warrick</t>
  </si>
  <si>
    <t>Washington</t>
  </si>
  <si>
    <t>White</t>
  </si>
  <si>
    <t>Grand Total</t>
  </si>
  <si>
    <t>DATA ENTRY:</t>
  </si>
  <si>
    <t>Region:</t>
  </si>
  <si>
    <t>Event Type:</t>
  </si>
  <si>
    <t>Incident Start:</t>
  </si>
  <si>
    <t>State Per Capita:</t>
  </si>
  <si>
    <t>State Code:</t>
  </si>
  <si>
    <t>IN</t>
  </si>
  <si>
    <t>PDA Start:</t>
  </si>
  <si>
    <t>Incident End:</t>
  </si>
  <si>
    <t>County Per Capita:</t>
  </si>
  <si>
    <t>START DATA IN GRAY AREA (ROW 5)</t>
  </si>
  <si>
    <t>Status</t>
  </si>
  <si>
    <t>A</t>
  </si>
  <si>
    <t>B</t>
  </si>
  <si>
    <t>C</t>
  </si>
  <si>
    <t>D</t>
  </si>
  <si>
    <t>E</t>
  </si>
  <si>
    <t>F</t>
  </si>
  <si>
    <t>G</t>
  </si>
  <si>
    <t>Complete</t>
  </si>
  <si>
    <t>Total Reductions</t>
  </si>
  <si>
    <t>Applicant</t>
  </si>
  <si>
    <t>Cat</t>
  </si>
  <si>
    <t>Original</t>
  </si>
  <si>
    <t>Eligible</t>
  </si>
  <si>
    <t>Reduction</t>
  </si>
  <si>
    <t>Reduction Category</t>
  </si>
  <si>
    <t>Notes</t>
  </si>
  <si>
    <t>Timeline</t>
  </si>
  <si>
    <t>Date</t>
  </si>
  <si>
    <t>Incident Period</t>
  </si>
  <si>
    <t>PDA Timeline</t>
  </si>
  <si>
    <t>PDA Stats - Indiana</t>
  </si>
  <si>
    <t>Applicants</t>
  </si>
  <si>
    <t>Counties</t>
  </si>
  <si>
    <t>Total &amp; State Threshold</t>
  </si>
  <si>
    <t>PDA Total</t>
  </si>
  <si>
    <t>Indicators &amp; Projects</t>
  </si>
  <si>
    <t>Statewide Indicator</t>
  </si>
  <si>
    <t>Countywide Indicator</t>
  </si>
  <si>
    <t>Small Project Minimum</t>
  </si>
  <si>
    <t>Large Project Threshold</t>
  </si>
  <si>
    <t>Damage Category</t>
  </si>
  <si>
    <t>Category A</t>
  </si>
  <si>
    <t>Category B</t>
  </si>
  <si>
    <t>Category C</t>
  </si>
  <si>
    <t>Category D</t>
  </si>
  <si>
    <t>Category E</t>
  </si>
  <si>
    <t>Category F</t>
  </si>
  <si>
    <t>Category G</t>
  </si>
  <si>
    <t>FEMA Team</t>
  </si>
  <si>
    <r>
      <t>Public Assistance</t>
    </r>
    <r>
      <rPr>
        <b/>
        <sz val="14"/>
        <color theme="0"/>
        <rFont val="Segoe UI"/>
        <family val="2"/>
      </rPr>
      <t xml:space="preserve">
Preliminary Damage Assessments (PDA) </t>
    </r>
  </si>
  <si>
    <t>STATE/TERRITORY</t>
  </si>
  <si>
    <t>POPULATION</t>
  </si>
  <si>
    <t>STATUS</t>
  </si>
  <si>
    <t>Indiana</t>
  </si>
  <si>
    <t>INCIDENT NAME</t>
  </si>
  <si>
    <t>INCIDENT START</t>
  </si>
  <si>
    <t>INCIDENT END DATE</t>
  </si>
  <si>
    <t>INCIDENT TYPE</t>
  </si>
  <si>
    <t>FACTOR</t>
  </si>
  <si>
    <t>TOTAL</t>
  </si>
  <si>
    <t>STATE PCI</t>
  </si>
  <si>
    <t>% STATE PCI Target</t>
  </si>
  <si>
    <t>PERCENT STATE PCI</t>
  </si>
  <si>
    <t>Met PCI</t>
  </si>
  <si>
    <t>&gt;=75</t>
  </si>
  <si>
    <t>Met or Exceeded 50% PCI</t>
  </si>
  <si>
    <t>&gt;=100</t>
  </si>
  <si>
    <t>COUNTY</t>
  </si>
  <si>
    <t>COUNTY PCI</t>
  </si>
  <si>
    <t>MEETS 100% INDICATOR</t>
  </si>
  <si>
    <t>MEETS 50% INDICATOR</t>
  </si>
  <si>
    <t>Lookup</t>
  </si>
  <si>
    <t>State</t>
  </si>
  <si>
    <t>Population</t>
  </si>
  <si>
    <t>Region</t>
  </si>
  <si>
    <t>Code</t>
  </si>
  <si>
    <t>Data Validation Area</t>
  </si>
  <si>
    <t>AK</t>
  </si>
  <si>
    <t>Aleutians East Borough</t>
  </si>
  <si>
    <t>CT</t>
  </si>
  <si>
    <t>Connecticut</t>
  </si>
  <si>
    <t>Selected Region:</t>
  </si>
  <si>
    <t>Aleutians West Census Area</t>
  </si>
  <si>
    <t>MA</t>
  </si>
  <si>
    <t>Massachusetts</t>
  </si>
  <si>
    <t>First State</t>
  </si>
  <si>
    <t>Anchorage Municipality</t>
  </si>
  <si>
    <t>ME</t>
  </si>
  <si>
    <t>Maine</t>
  </si>
  <si>
    <t>Last State</t>
  </si>
  <si>
    <t>Bethel Census Area</t>
  </si>
  <si>
    <t>NH</t>
  </si>
  <si>
    <t>New Hampshire</t>
  </si>
  <si>
    <t>Selected State</t>
  </si>
  <si>
    <t>Bristol Bay Borough</t>
  </si>
  <si>
    <t>RI</t>
  </si>
  <si>
    <t>Rhode Island</t>
  </si>
  <si>
    <t>First County</t>
  </si>
  <si>
    <t>Denali Borough</t>
  </si>
  <si>
    <t>VT</t>
  </si>
  <si>
    <t>Vermont</t>
  </si>
  <si>
    <t>Last County</t>
  </si>
  <si>
    <t>Dillingham Census Area</t>
  </si>
  <si>
    <t>NJ</t>
  </si>
  <si>
    <t>New Jersey</t>
  </si>
  <si>
    <t>ARRAY FORMULAS: USE CTRL + SHIFT + ENTER</t>
  </si>
  <si>
    <t>Fairbanks North Star Borough</t>
  </si>
  <si>
    <t>NY</t>
  </si>
  <si>
    <t>New York</t>
  </si>
  <si>
    <t>Haines Borough</t>
  </si>
  <si>
    <t>PR</t>
  </si>
  <si>
    <t>Puerto Rico</t>
  </si>
  <si>
    <t>Hoonah-Angoon Census Area</t>
  </si>
  <si>
    <t>VI</t>
  </si>
  <si>
    <t>Virgin Islands of the U.S.</t>
  </si>
  <si>
    <t>2020 Census Data in use</t>
  </si>
  <si>
    <t>Juneau City and Borough</t>
  </si>
  <si>
    <t>DC</t>
  </si>
  <si>
    <t>District of Columbia</t>
  </si>
  <si>
    <t>Kenai Peninsula Borough</t>
  </si>
  <si>
    <t>DE</t>
  </si>
  <si>
    <t>Delaware</t>
  </si>
  <si>
    <t>Ketchikan Gateway Borough</t>
  </si>
  <si>
    <t>MD</t>
  </si>
  <si>
    <t>Maryland</t>
  </si>
  <si>
    <t>Kodiak Island Borough</t>
  </si>
  <si>
    <t>PA</t>
  </si>
  <si>
    <t>Pennsylvania</t>
  </si>
  <si>
    <t>Lake and Peninsula Borough</t>
  </si>
  <si>
    <t>VA</t>
  </si>
  <si>
    <t>Virginia</t>
  </si>
  <si>
    <t>In Progress</t>
  </si>
  <si>
    <t>Matanuska-Susitna Borough</t>
  </si>
  <si>
    <t>WV</t>
  </si>
  <si>
    <t>West Virginia</t>
  </si>
  <si>
    <t>Not Started</t>
  </si>
  <si>
    <t>Nome Census Area</t>
  </si>
  <si>
    <t>AL</t>
  </si>
  <si>
    <t>Alabama</t>
  </si>
  <si>
    <t>North Slope Borough</t>
  </si>
  <si>
    <t>FL</t>
  </si>
  <si>
    <t>Florida</t>
  </si>
  <si>
    <t>Northwest Arctic Borough</t>
  </si>
  <si>
    <t>GA</t>
  </si>
  <si>
    <t>Georgia</t>
  </si>
  <si>
    <t>Petersburg Census Area</t>
  </si>
  <si>
    <t>KY</t>
  </si>
  <si>
    <t>Kentucky</t>
  </si>
  <si>
    <t>Prince of Wales-Hyder Census Area</t>
  </si>
  <si>
    <t>MS</t>
  </si>
  <si>
    <t>Mississippi</t>
  </si>
  <si>
    <t>Sitka City and Borough</t>
  </si>
  <si>
    <t>NC</t>
  </si>
  <si>
    <t>North Carolina</t>
  </si>
  <si>
    <t>Skagway Municipality</t>
  </si>
  <si>
    <t>SC</t>
  </si>
  <si>
    <t>South Carolina</t>
  </si>
  <si>
    <t>Southeast Fairbanks Census Area</t>
  </si>
  <si>
    <t>TN</t>
  </si>
  <si>
    <t>Tennessee</t>
  </si>
  <si>
    <t>Valdez-Cordova Census Area</t>
  </si>
  <si>
    <t>IL</t>
  </si>
  <si>
    <t>Illinois</t>
  </si>
  <si>
    <t>Wade Hampton Census Area</t>
  </si>
  <si>
    <t>Wrangell City and Borough</t>
  </si>
  <si>
    <t>MI</t>
  </si>
  <si>
    <t>Michigan</t>
  </si>
  <si>
    <t>Yakutat City and Borough</t>
  </si>
  <si>
    <t>MN</t>
  </si>
  <si>
    <t>Minnesota</t>
  </si>
  <si>
    <t>Yukon-Koyukuk Census Area</t>
  </si>
  <si>
    <t>OH</t>
  </si>
  <si>
    <t>Ohio</t>
  </si>
  <si>
    <t>State Agencies</t>
  </si>
  <si>
    <t>N/A</t>
  </si>
  <si>
    <t>WI</t>
  </si>
  <si>
    <t>Wisconsin</t>
  </si>
  <si>
    <t>AR</t>
  </si>
  <si>
    <t>Arkansas</t>
  </si>
  <si>
    <t>Autauga</t>
  </si>
  <si>
    <t>LA</t>
  </si>
  <si>
    <t>Louisiana</t>
  </si>
  <si>
    <t>Baldwin</t>
  </si>
  <si>
    <t>NM</t>
  </si>
  <si>
    <t>New Mexico</t>
  </si>
  <si>
    <t>Barbour</t>
  </si>
  <si>
    <t>OK</t>
  </si>
  <si>
    <t>Oklahoma</t>
  </si>
  <si>
    <t>Bibb</t>
  </si>
  <si>
    <t>TX</t>
  </si>
  <si>
    <t>Texas</t>
  </si>
  <si>
    <t>Blount</t>
  </si>
  <si>
    <t>IA</t>
  </si>
  <si>
    <t>Iowa</t>
  </si>
  <si>
    <t>Bullock</t>
  </si>
  <si>
    <t>KS</t>
  </si>
  <si>
    <t>Kansas</t>
  </si>
  <si>
    <t>Butler</t>
  </si>
  <si>
    <t>MO</t>
  </si>
  <si>
    <t>Missouri</t>
  </si>
  <si>
    <t>Calhoun</t>
  </si>
  <si>
    <t>NE</t>
  </si>
  <si>
    <t>Nebraska</t>
  </si>
  <si>
    <t>Chambers</t>
  </si>
  <si>
    <t>CO</t>
  </si>
  <si>
    <t>Colorado</t>
  </si>
  <si>
    <t>Cherokee</t>
  </si>
  <si>
    <t>MT</t>
  </si>
  <si>
    <t>Montana</t>
  </si>
  <si>
    <t>Chilton</t>
  </si>
  <si>
    <t>ND</t>
  </si>
  <si>
    <t>North Dakota</t>
  </si>
  <si>
    <t>Choctaw</t>
  </si>
  <si>
    <t>SD</t>
  </si>
  <si>
    <t>South Dakota</t>
  </si>
  <si>
    <t>Clarke</t>
  </si>
  <si>
    <t>UT</t>
  </si>
  <si>
    <t>Utah</t>
  </si>
  <si>
    <t>WY</t>
  </si>
  <si>
    <t>Wyoming</t>
  </si>
  <si>
    <t>Cleburne</t>
  </si>
  <si>
    <t>AS</t>
  </si>
  <si>
    <t>American Samoa</t>
  </si>
  <si>
    <t>Coffee</t>
  </si>
  <si>
    <t>AZ</t>
  </si>
  <si>
    <t>Arizona</t>
  </si>
  <si>
    <t>Colbert</t>
  </si>
  <si>
    <t>CA</t>
  </si>
  <si>
    <t>California</t>
  </si>
  <si>
    <t>Conecuh</t>
  </si>
  <si>
    <t>GU</t>
  </si>
  <si>
    <t>Guam</t>
  </si>
  <si>
    <t>Coosa</t>
  </si>
  <si>
    <t>HI</t>
  </si>
  <si>
    <t>Hawaii</t>
  </si>
  <si>
    <t>Covington</t>
  </si>
  <si>
    <t>MP</t>
  </si>
  <si>
    <t>Northern Mariana Islands</t>
  </si>
  <si>
    <t>Crenshaw</t>
  </si>
  <si>
    <t>NV</t>
  </si>
  <si>
    <t>Nevada</t>
  </si>
  <si>
    <t>Cullman</t>
  </si>
  <si>
    <t>UM</t>
  </si>
  <si>
    <t>U.S. Minor Outlying Island</t>
  </si>
  <si>
    <t>Dale</t>
  </si>
  <si>
    <t>Alaska</t>
  </si>
  <si>
    <t>Dallas</t>
  </si>
  <si>
    <t>ID</t>
  </si>
  <si>
    <t>Idaho</t>
  </si>
  <si>
    <t>DeKalb</t>
  </si>
  <si>
    <t>OR</t>
  </si>
  <si>
    <t>Oregon</t>
  </si>
  <si>
    <t>Elmore</t>
  </si>
  <si>
    <t>WA</t>
  </si>
  <si>
    <t>Escambia</t>
  </si>
  <si>
    <t>Etowah</t>
  </si>
  <si>
    <t>Fayette</t>
  </si>
  <si>
    <t>Geneva</t>
  </si>
  <si>
    <t>Hale</t>
  </si>
  <si>
    <t>Henry</t>
  </si>
  <si>
    <t>Houston</t>
  </si>
  <si>
    <t>Lamar</t>
  </si>
  <si>
    <t>Lauderdale</t>
  </si>
  <si>
    <t>Lee</t>
  </si>
  <si>
    <t>Limestone</t>
  </si>
  <si>
    <t>Lowndes</t>
  </si>
  <si>
    <t>Macon</t>
  </si>
  <si>
    <t>Marengo</t>
  </si>
  <si>
    <t>Mobile</t>
  </si>
  <si>
    <t>Monroe</t>
  </si>
  <si>
    <t>Pickens</t>
  </si>
  <si>
    <t>Pike</t>
  </si>
  <si>
    <t>Randolph</t>
  </si>
  <si>
    <t>Russell</t>
  </si>
  <si>
    <t>St. Clair</t>
  </si>
  <si>
    <t>Sumter</t>
  </si>
  <si>
    <t>Talladega</t>
  </si>
  <si>
    <t>Tallapoosa</t>
  </si>
  <si>
    <t>Tuscaloosa</t>
  </si>
  <si>
    <t>Walker</t>
  </si>
  <si>
    <t>Wilcox</t>
  </si>
  <si>
    <t>Winston</t>
  </si>
  <si>
    <t>Ashley</t>
  </si>
  <si>
    <t>Baxter</t>
  </si>
  <si>
    <t>Benton</t>
  </si>
  <si>
    <t>Boone</t>
  </si>
  <si>
    <t>Bradley</t>
  </si>
  <si>
    <t>Carroll</t>
  </si>
  <si>
    <t>Chicot</t>
  </si>
  <si>
    <t>Cleveland</t>
  </si>
  <si>
    <t>Columbia</t>
  </si>
  <si>
    <t>Conway</t>
  </si>
  <si>
    <t>Craighead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</si>
  <si>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</si>
  <si>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</si>
  <si>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</si>
  <si>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</si>
  <si>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</si>
  <si>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</si>
  <si>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</si>
  <si>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</si>
  <si>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</si>
  <si>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</si>
  <si>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</si>
  <si>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</si>
  <si>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</si>
  <si>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</si>
  <si>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</si>
  <si>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</si>
  <si>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</si>
  <si>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</si>
  <si>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</si>
  <si>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</si>
  <si>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</si>
  <si>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</si>
  <si>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</si>
  <si>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</si>
  <si>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</si>
  <si>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</si>
  <si>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</si>
  <si>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</si>
  <si>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Saline</t>
  </si>
  <si>
    <t>Scott</t>
  </si>
  <si>
    <t>Searcy</t>
  </si>
  <si>
    <t>Sebastian</t>
  </si>
  <si>
    <t>Sevier</t>
  </si>
  <si>
    <t>Sharp</t>
  </si>
  <si>
    <t>St. Francis</t>
  </si>
  <si>
    <t>Stone</t>
  </si>
  <si>
    <t>Union</t>
  </si>
  <si>
    <t>Van Buren</t>
  </si>
  <si>
    <t>Woodruff</t>
  </si>
  <si>
    <t>Yell</t>
  </si>
  <si>
    <t>Eastern</t>
  </si>
  <si>
    <t>Manu'a</t>
  </si>
  <si>
    <t>Rose</t>
  </si>
  <si>
    <t>Swains</t>
  </si>
  <si>
    <t>Western</t>
  </si>
  <si>
    <t>Apache</t>
  </si>
  <si>
    <t>Cochise</t>
  </si>
  <si>
    <t>Coconino</t>
  </si>
  <si>
    <t>Gila</t>
  </si>
  <si>
    <t>Graham</t>
  </si>
  <si>
    <t>Greenlee</t>
  </si>
  <si>
    <t>La Paz</t>
  </si>
  <si>
    <t>Maricopa</t>
  </si>
  <si>
    <t>Mohave</t>
  </si>
  <si>
    <t>Navajo</t>
  </si>
  <si>
    <t>Pima</t>
  </si>
  <si>
    <t>Pinal</t>
  </si>
  <si>
    <t>Santa Cruz</t>
  </si>
  <si>
    <t>Yavapai</t>
  </si>
  <si>
    <t>Yuma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</si>
  <si>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</si>
  <si>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</si>
  <si>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</si>
  <si>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</si>
  <si>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</si>
  <si>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</si>
  <si>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</si>
  <si>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</si>
  <si>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</si>
  <si>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</si>
  <si>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</si>
  <si>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</si>
  <si>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</si>
  <si>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</si>
  <si>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</si>
  <si>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</si>
  <si>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</si>
  <si>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</si>
  <si>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</si>
  <si>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</si>
  <si>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</si>
  <si>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</si>
  <si>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</si>
  <si>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</si>
  <si>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</si>
  <si>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</si>
  <si>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</si>
  <si>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</si>
  <si>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</si>
  <si>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</si>
  <si>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</si>
  <si>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</si>
  <si>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</si>
  <si>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</si>
  <si>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</si>
  <si>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</si>
  <si>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</si>
  <si>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</si>
  <si>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</si>
  <si>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</si>
  <si>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</si>
  <si>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</si>
  <si>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</si>
  <si>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</si>
  <si>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</si>
  <si>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</si>
  <si>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</si>
  <si>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</si>
  <si>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</si>
  <si>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</si>
  <si>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</si>
  <si>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</si>
  <si>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</si>
  <si>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</si>
  <si>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</si>
  <si>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</si>
  <si>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</si>
  <si>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</si>
  <si>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</si>
  <si>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</si>
  <si>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</si>
  <si>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</si>
  <si>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</si>
  <si>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</si>
  <si>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</si>
  <si>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</si>
  <si>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</si>
  <si>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</si>
  <si>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</si>
  <si>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</si>
  <si>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</si>
  <si>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</si>
  <si>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</si>
  <si>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</si>
  <si>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</si>
  <si>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 Paso</t>
  </si>
  <si>
    <t>Elbert</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</si>
  <si>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</si>
  <si>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</si>
  <si>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</si>
  <si>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</si>
  <si>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</si>
  <si>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</si>
  <si>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</si>
  <si>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</si>
  <si>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</si>
  <si>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</si>
  <si>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</si>
  <si>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</si>
  <si>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</si>
  <si>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</si>
  <si>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</si>
  <si>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</si>
  <si>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</si>
  <si>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</si>
  <si>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</si>
  <si>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</si>
  <si>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</si>
  <si>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</si>
  <si>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</si>
  <si>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</si>
  <si>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</si>
  <si>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</si>
  <si>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</si>
  <si>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</si>
  <si>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</si>
  <si>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</si>
  <si>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</si>
  <si>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</si>
  <si>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</si>
  <si>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Fairfield</t>
  </si>
  <si>
    <t>Hartford</t>
  </si>
  <si>
    <t>Litchfield</t>
  </si>
  <si>
    <t>Middlesex</t>
  </si>
  <si>
    <t>New Haven</t>
  </si>
  <si>
    <t>New London</t>
  </si>
  <si>
    <t>Tolland</t>
  </si>
  <si>
    <t>Windham</t>
  </si>
  <si>
    <t>Kent</t>
  </si>
  <si>
    <t>New Castle</t>
  </si>
  <si>
    <t>Sussex</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</si>
  <si>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</si>
  <si>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</si>
  <si>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</si>
  <si>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</si>
  <si>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</si>
  <si>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</si>
  <si>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</si>
  <si>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</si>
  <si>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</si>
  <si>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</si>
  <si>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</si>
  <si>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</si>
  <si>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</si>
  <si>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</si>
  <si>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</si>
  <si>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</si>
  <si>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</si>
  <si>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</si>
  <si>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</si>
  <si>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</si>
  <si>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</si>
  <si>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</si>
  <si>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</si>
  <si>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</si>
  <si>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</si>
  <si>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</si>
  <si>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</si>
  <si>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</si>
  <si>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</si>
  <si>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Miami-Dade</t>
  </si>
  <si>
    <t>Nassau</t>
  </si>
  <si>
    <t>Okaloosa</t>
  </si>
  <si>
    <t>Okeechobee</t>
  </si>
  <si>
    <t>Osceola</t>
  </si>
  <si>
    <t>Palm Beach</t>
  </si>
  <si>
    <t>Pasco</t>
  </si>
  <si>
    <t>Pinellas</t>
  </si>
  <si>
    <t>Putnam</t>
  </si>
  <si>
    <t>Santa Rosa</t>
  </si>
  <si>
    <t>Sarasota</t>
  </si>
  <si>
    <t>Seminole</t>
  </si>
  <si>
    <t>St. Johns</t>
  </si>
  <si>
    <t>St. Lucie</t>
  </si>
  <si>
    <t>Suwannee</t>
  </si>
  <si>
    <t>Taylor</t>
  </si>
  <si>
    <t>Volusia</t>
  </si>
  <si>
    <t>Wakulla</t>
  </si>
  <si>
    <t>Walton</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</si>
  <si>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</si>
  <si>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</si>
  <si>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</si>
  <si>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</si>
  <si>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</si>
  <si>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</si>
  <si>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</si>
  <si>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</si>
  <si>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</si>
  <si>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</si>
  <si>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</si>
  <si>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</si>
  <si>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</si>
  <si>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</si>
  <si>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</si>
  <si>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</si>
  <si>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</si>
  <si>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</si>
  <si>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</si>
  <si>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</si>
  <si>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</si>
  <si>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</si>
  <si>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</si>
  <si>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</si>
  <si>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</si>
  <si>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</si>
  <si>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</si>
  <si>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</si>
  <si>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</si>
  <si>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</si>
  <si>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</si>
  <si>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Dodge</t>
  </si>
  <si>
    <t>Dooly</t>
  </si>
  <si>
    <t>Dougherty</t>
  </si>
  <si>
    <t>Early</t>
  </si>
  <si>
    <t>Echols</t>
  </si>
  <si>
    <t>Effingham</t>
  </si>
  <si>
    <t>Emanuel</t>
  </si>
  <si>
    <t>Evans</t>
  </si>
  <si>
    <t>Fannin</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</si>
  <si>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</si>
  <si>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</si>
  <si>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</si>
  <si>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</si>
  <si>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</si>
  <si>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</si>
  <si>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</si>
  <si>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</si>
  <si>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</si>
  <si>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</si>
  <si>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</si>
  <si>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</si>
  <si>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</si>
  <si>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</si>
  <si>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</si>
  <si>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</si>
  <si>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</si>
  <si>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</si>
  <si>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</si>
  <si>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</si>
  <si>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</si>
  <si>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</si>
  <si>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</si>
  <si>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</si>
  <si>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</si>
  <si>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</si>
  <si>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</si>
  <si>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</si>
  <si>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</si>
  <si>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</si>
  <si>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</si>
  <si>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</si>
  <si>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</si>
  <si>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</si>
  <si>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</si>
  <si>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</si>
  <si>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</si>
  <si>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</si>
  <si>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</si>
  <si>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</si>
  <si>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</si>
  <si>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</si>
  <si>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</si>
  <si>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</si>
  <si>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</si>
  <si>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</si>
  <si>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</si>
  <si>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</si>
  <si>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</si>
  <si>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</si>
  <si>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</si>
  <si>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</si>
  <si>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</si>
  <si>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</si>
  <si>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</si>
  <si>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</si>
  <si>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</si>
  <si>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</si>
  <si>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</si>
  <si>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</si>
  <si>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</si>
  <si>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</si>
  <si>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</si>
  <si>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</si>
  <si>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</si>
  <si>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</si>
  <si>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Territory Wide</t>
  </si>
  <si>
    <t>Honolulu</t>
  </si>
  <si>
    <t>Kalawao</t>
  </si>
  <si>
    <t>Kauai</t>
  </si>
  <si>
    <t>Maui</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</si>
  <si>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</si>
  <si>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</si>
  <si>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</si>
  <si>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</si>
  <si>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</si>
  <si>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</si>
  <si>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</si>
  <si>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</si>
  <si>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</si>
  <si>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</si>
  <si>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</si>
  <si>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</si>
  <si>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</si>
  <si>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</si>
  <si>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</si>
  <si>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</si>
  <si>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</si>
  <si>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</si>
  <si>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</si>
  <si>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</si>
  <si>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</si>
  <si>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</si>
  <si>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</si>
  <si>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</si>
  <si>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</si>
  <si>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</si>
  <si>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</si>
  <si>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</si>
  <si>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</si>
  <si>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</si>
  <si>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</si>
  <si>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</si>
  <si>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</si>
  <si>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</si>
  <si>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</si>
  <si>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</si>
  <si>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</si>
  <si>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</si>
  <si>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</si>
  <si>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</si>
  <si>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</si>
  <si>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</si>
  <si>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</si>
  <si>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</si>
  <si>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</si>
  <si>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</si>
  <si>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</si>
  <si>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</si>
  <si>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</si>
  <si>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</si>
  <si>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</si>
  <si>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</si>
  <si>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</si>
  <si>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</si>
  <si>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</si>
  <si>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</si>
  <si>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</si>
  <si>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</si>
  <si>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</si>
  <si>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</si>
  <si>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</si>
  <si>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</si>
  <si>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</si>
  <si>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</si>
  <si>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</si>
  <si>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</si>
  <si>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</si>
  <si>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</si>
  <si>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</si>
  <si>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</si>
  <si>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</si>
  <si>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</si>
  <si>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</si>
  <si>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</si>
  <si>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</si>
  <si>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</si>
  <si>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</si>
  <si>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</si>
  <si>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</si>
  <si>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</si>
  <si>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</si>
  <si>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Alexander</t>
  </si>
  <si>
    <t>Bond</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</si>
  <si>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</si>
  <si>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</si>
  <si>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</si>
  <si>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</si>
  <si>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</si>
  <si>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</si>
  <si>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</si>
  <si>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</si>
  <si>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</si>
  <si>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</si>
  <si>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</si>
  <si>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</si>
  <si>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</si>
  <si>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</si>
  <si>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</si>
  <si>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</si>
  <si>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</si>
  <si>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</si>
  <si>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</si>
  <si>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</si>
  <si>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</si>
  <si>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Macoupin</t>
  </si>
  <si>
    <t>Mason</t>
  </si>
  <si>
    <t>Massac</t>
  </si>
  <si>
    <t>McDonough</t>
  </si>
  <si>
    <t>McHenry</t>
  </si>
  <si>
    <t>McLean</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</si>
  <si>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</si>
  <si>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</si>
  <si>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</si>
  <si>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</si>
  <si>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</si>
  <si>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</si>
  <si>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</si>
  <si>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</si>
  <si>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</si>
  <si>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</si>
  <si>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</si>
  <si>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</si>
  <si>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</si>
  <si>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</si>
  <si>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</si>
  <si>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</si>
  <si>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</si>
  <si>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</si>
  <si>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</si>
  <si>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Allen</t>
  </si>
  <si>
    <t>Blackford</t>
  </si>
  <si>
    <t>Daviess</t>
  </si>
  <si>
    <t>Dearborn</t>
  </si>
  <si>
    <t>Dubois</t>
  </si>
  <si>
    <t>Elkhart</t>
  </si>
  <si>
    <t>Fountain</t>
  </si>
  <si>
    <t>Gibson</t>
  </si>
  <si>
    <t>Hendricks</t>
  </si>
  <si>
    <t>Huntington</t>
  </si>
  <si>
    <t>Jay</t>
  </si>
  <si>
    <t>Jennings</t>
  </si>
  <si>
    <t>Kosciusko</t>
  </si>
  <si>
    <t>LaGrange</t>
  </si>
  <si>
    <t>LaPorte</t>
  </si>
  <si>
    <t>Miami</t>
  </si>
  <si>
    <t>Noble</t>
  </si>
  <si>
    <t>Porter</t>
  </si>
  <si>
    <t>Posey</t>
  </si>
  <si>
    <t>Ripley</t>
  </si>
  <si>
    <t>Rush</t>
  </si>
  <si>
    <t>St. Joseph</t>
  </si>
  <si>
    <t>Starke</t>
  </si>
  <si>
    <t>Steuben</t>
  </si>
  <si>
    <t>Sullivan</t>
  </si>
  <si>
    <t>Tippecanoe</t>
  </si>
  <si>
    <t>Tipton</t>
  </si>
  <si>
    <t>Vermillion</t>
  </si>
  <si>
    <t>Wells</t>
  </si>
  <si>
    <t>Whitley</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</si>
  <si>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</si>
  <si>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</si>
  <si>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</si>
  <si>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</si>
  <si>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</si>
  <si>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</si>
  <si>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</si>
  <si>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</si>
  <si>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</si>
  <si>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</si>
  <si>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</si>
  <si>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</si>
  <si>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</si>
  <si>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</si>
  <si>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</si>
  <si>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</si>
  <si>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</si>
  <si>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</si>
  <si>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</si>
  <si>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</si>
  <si>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</si>
  <si>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</si>
  <si>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</si>
  <si>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</si>
  <si>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</si>
  <si>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</si>
  <si>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</si>
  <si>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</si>
  <si>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</si>
  <si>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</si>
  <si>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</si>
  <si>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</si>
  <si>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</si>
  <si>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</si>
  <si>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</si>
  <si>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</si>
  <si>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</si>
  <si>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</si>
  <si>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</si>
  <si>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</si>
  <si>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</si>
  <si>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</si>
  <si>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</si>
  <si>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</si>
  <si>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</si>
  <si>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</si>
  <si>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</si>
  <si>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</si>
  <si>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</si>
  <si>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</si>
  <si>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</si>
  <si>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</si>
  <si>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</si>
  <si>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</si>
  <si>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</si>
  <si>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</si>
  <si>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</si>
  <si>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</si>
  <si>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</si>
  <si>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</si>
  <si>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</si>
  <si>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</si>
  <si>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</si>
  <si>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</si>
  <si>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</si>
  <si>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</si>
  <si>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</si>
  <si>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</si>
  <si>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</si>
  <si>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</si>
  <si>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</si>
  <si>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</si>
  <si>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</si>
  <si>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</si>
  <si>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</si>
  <si>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</si>
  <si>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</si>
  <si>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</si>
  <si>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</si>
  <si>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</si>
  <si>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</si>
  <si>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</si>
  <si>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</si>
  <si>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</si>
  <si>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</si>
  <si>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</si>
  <si>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</si>
  <si>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</si>
  <si>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</si>
  <si>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</si>
  <si>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</si>
  <si>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</si>
  <si>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</si>
  <si>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</si>
  <si>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</si>
  <si>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</si>
  <si>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</si>
  <si>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</si>
  <si>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</si>
  <si>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</si>
  <si>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</si>
  <si>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</si>
  <si>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Magoffin</t>
  </si>
  <si>
    <t>McCracken</t>
  </si>
  <si>
    <t>McCreary</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</si>
  <si>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</si>
  <si>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</si>
  <si>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</si>
  <si>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</si>
  <si>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</si>
  <si>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</si>
  <si>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</si>
  <si>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</si>
  <si>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</si>
  <si>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</si>
  <si>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</si>
  <si>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</si>
  <si>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</si>
  <si>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</si>
  <si>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</si>
  <si>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</si>
  <si>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</si>
  <si>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</si>
  <si>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</si>
  <si>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</si>
  <si>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</si>
  <si>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</si>
  <si>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</si>
  <si>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</si>
  <si>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</si>
  <si>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</si>
  <si>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</si>
  <si>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</si>
  <si>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</si>
  <si>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</si>
  <si>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</si>
  <si>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</si>
  <si>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</si>
  <si>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</si>
  <si>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</si>
  <si>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</si>
  <si>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</si>
  <si>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</si>
  <si>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 Salle</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</si>
  <si>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</si>
  <si>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</si>
  <si>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</si>
  <si>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</si>
  <si>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</si>
  <si>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</si>
  <si>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</si>
  <si>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</si>
  <si>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</si>
  <si>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</si>
  <si>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</si>
  <si>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</si>
  <si>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</si>
  <si>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</si>
  <si>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</si>
  <si>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</si>
  <si>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</si>
  <si>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</si>
  <si>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</si>
  <si>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</si>
  <si>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</si>
  <si>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</si>
  <si>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</si>
  <si>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</si>
  <si>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</si>
  <si>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</si>
  <si>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Barnstable</t>
  </si>
  <si>
    <t>Berkshire</t>
  </si>
  <si>
    <t>Bristol</t>
  </si>
  <si>
    <t>Dukes</t>
  </si>
  <si>
    <t>Essex</t>
  </si>
  <si>
    <t>Hampden</t>
  </si>
  <si>
    <t>Hampshire</t>
  </si>
  <si>
    <t>Nantucket</t>
  </si>
  <si>
    <t>Norfolk</t>
  </si>
  <si>
    <t>Suffolk</t>
  </si>
  <si>
    <t>Worcester</t>
  </si>
  <si>
    <t>Allegany</t>
  </si>
  <si>
    <t>Anne Arundel</t>
  </si>
  <si>
    <t>Baltimore</t>
  </si>
  <si>
    <t>Calvert</t>
  </si>
  <si>
    <t>Caroline</t>
  </si>
  <si>
    <t>Cecil</t>
  </si>
  <si>
    <t>Charles</t>
  </si>
  <si>
    <t>Dorchester</t>
  </si>
  <si>
    <t>Frederick</t>
  </si>
  <si>
    <t>Garrett</t>
  </si>
  <si>
    <t>Harford</t>
  </si>
  <si>
    <t>Prince George's</t>
  </si>
  <si>
    <t>Queen Anne's</t>
  </si>
  <si>
    <t>Somerset</t>
  </si>
  <si>
    <t>St. Mary's</t>
  </si>
  <si>
    <t>Wicomico</t>
  </si>
  <si>
    <t>Androscoggin</t>
  </si>
  <si>
    <t>Aroostook</t>
  </si>
  <si>
    <t>Kennebec</t>
  </si>
  <si>
    <t>Oxford</t>
  </si>
  <si>
    <t>Penobscot</t>
  </si>
  <si>
    <t>Piscataquis</t>
  </si>
  <si>
    <t>Sagadahoc</t>
  </si>
  <si>
    <t>Waldo</t>
  </si>
  <si>
    <t>York</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</si>
  <si>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</si>
  <si>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</si>
  <si>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</si>
  <si>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</si>
  <si>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</si>
  <si>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</si>
  <si>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</si>
  <si>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</si>
  <si>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</si>
  <si>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</si>
  <si>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</si>
  <si>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</si>
  <si>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</si>
  <si>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</si>
  <si>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</si>
  <si>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</si>
  <si>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</si>
  <si>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</si>
  <si>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</si>
  <si>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</si>
  <si>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</si>
  <si>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</si>
  <si>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</si>
  <si>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</si>
  <si>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</si>
  <si>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</si>
  <si>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</si>
  <si>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</si>
  <si>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</si>
  <si>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</si>
  <si>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</si>
  <si>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</si>
  <si>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</si>
  <si>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</si>
  <si>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</si>
  <si>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</si>
  <si>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</si>
  <si>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</si>
  <si>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</si>
  <si>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</si>
  <si>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</si>
  <si>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</si>
  <si>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</si>
  <si>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</si>
  <si>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</si>
  <si>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</si>
  <si>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</si>
  <si>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</si>
  <si>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</si>
  <si>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</si>
  <si>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</si>
  <si>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</si>
  <si>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</si>
  <si>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</si>
  <si>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</si>
  <si>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</si>
  <si>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</si>
  <si>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</si>
  <si>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</si>
  <si>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</si>
  <si>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</si>
  <si>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</si>
  <si>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</si>
  <si>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</si>
  <si>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</si>
  <si>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</si>
  <si>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</si>
  <si>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</si>
  <si>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</si>
  <si>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</si>
  <si>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</si>
  <si>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</si>
  <si>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</si>
  <si>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</si>
  <si>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</si>
  <si>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</si>
  <si>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</si>
  <si>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</si>
  <si>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</si>
  <si>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</si>
  <si>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</si>
  <si>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</si>
  <si>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</si>
  <si>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</si>
  <si>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</si>
  <si>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</si>
  <si>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</si>
  <si>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</si>
  <si>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</si>
  <si>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Mahnomen</t>
  </si>
  <si>
    <t>McLeod</t>
  </si>
  <si>
    <t>Meeker</t>
  </si>
  <si>
    <t>Mille Lacs</t>
  </si>
  <si>
    <t>Morrison</t>
  </si>
  <si>
    <t>Mower</t>
  </si>
  <si>
    <t>Nicollet</t>
  </si>
  <si>
    <t>Nobles</t>
  </si>
  <si>
    <t>Norman</t>
  </si>
  <si>
    <t>Olmsted</t>
  </si>
  <si>
    <t>Otter Tail</t>
  </si>
  <si>
    <t>Pennington</t>
  </si>
  <si>
    <t>Pine</t>
  </si>
  <si>
    <t>Pipestone</t>
  </si>
  <si>
    <t>MN Prairie Island Indian Community</t>
  </si>
  <si>
    <t>Prairie Island Indian Community</t>
  </si>
  <si>
    <t>Ramsey</t>
  </si>
  <si>
    <t>Red Lake</t>
  </si>
  <si>
    <t>Redwood</t>
  </si>
  <si>
    <t>Renville</t>
  </si>
  <si>
    <t>Rock</t>
  </si>
  <si>
    <t>Roseau</t>
  </si>
  <si>
    <t>Sherburne</t>
  </si>
  <si>
    <t>Sibley</t>
  </si>
  <si>
    <t>St. Louis</t>
  </si>
  <si>
    <t>Stearns</t>
  </si>
  <si>
    <t>Steele</t>
  </si>
  <si>
    <t>Swift</t>
  </si>
  <si>
    <t>Traverse</t>
  </si>
  <si>
    <t>Tribal Nations</t>
  </si>
  <si>
    <t>Wabasha</t>
  </si>
  <si>
    <t>Wadena</t>
  </si>
  <si>
    <t>Waseca</t>
  </si>
  <si>
    <t>Watonwan</t>
  </si>
  <si>
    <t>Wilkin</t>
  </si>
  <si>
    <t>Winona</t>
  </si>
  <si>
    <t>Yellow Medicine</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</si>
  <si>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</si>
  <si>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</si>
  <si>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</si>
  <si>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</si>
  <si>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</si>
  <si>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</si>
  <si>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</si>
  <si>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</si>
  <si>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</si>
  <si>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</si>
  <si>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</si>
  <si>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</si>
  <si>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</si>
  <si>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</si>
  <si>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</si>
  <si>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</si>
  <si>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</si>
  <si>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Maries</t>
  </si>
  <si>
    <t>McDonald</t>
  </si>
  <si>
    <t>Moniteau</t>
  </si>
  <si>
    <t>New Madrid</t>
  </si>
  <si>
    <t>Nodaway</t>
  </si>
  <si>
    <t>Ozark</t>
  </si>
  <si>
    <t>Pemiscot</t>
  </si>
  <si>
    <t>Pettis</t>
  </si>
  <si>
    <t>Phelps</t>
  </si>
  <si>
    <t>Platte</t>
  </si>
  <si>
    <t>Ralls</t>
  </si>
  <si>
    <t>Ray</t>
  </si>
  <si>
    <t>Reynolds</t>
  </si>
  <si>
    <t>Scotland</t>
  </si>
  <si>
    <t>Shannon</t>
  </si>
  <si>
    <t>St. Francois</t>
  </si>
  <si>
    <t>Ste. Genevieve</t>
  </si>
  <si>
    <t>Stoddard</t>
  </si>
  <si>
    <t>Taney</t>
  </si>
  <si>
    <t>Northern Islands</t>
  </si>
  <si>
    <t>Rota</t>
  </si>
  <si>
    <t>Saipan</t>
  </si>
  <si>
    <t>Tinian</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</si>
  <si>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</si>
  <si>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</si>
  <si>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</si>
  <si>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</si>
  <si>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</si>
  <si>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</si>
  <si>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</si>
  <si>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</si>
  <si>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</si>
  <si>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</si>
  <si>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</si>
  <si>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</si>
  <si>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</si>
  <si>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</si>
  <si>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</si>
  <si>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</si>
  <si>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</si>
  <si>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</si>
  <si>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</si>
  <si>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</si>
  <si>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</si>
  <si>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</si>
  <si>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</si>
  <si>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</si>
  <si>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</si>
  <si>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</si>
  <si>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</si>
  <si>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</si>
  <si>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</si>
  <si>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</si>
  <si>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</si>
  <si>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</si>
  <si>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</si>
  <si>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</si>
  <si>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</si>
  <si>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</si>
  <si>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</si>
  <si>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</si>
  <si>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</si>
  <si>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</si>
  <si>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</si>
  <si>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</si>
  <si>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</si>
  <si>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</si>
  <si>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</si>
  <si>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</si>
  <si>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</si>
  <si>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</si>
  <si>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</si>
  <si>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</si>
  <si>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</si>
  <si>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</si>
  <si>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</si>
  <si>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</si>
  <si>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</si>
  <si>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</si>
  <si>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</si>
  <si>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</si>
  <si>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</si>
  <si>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</si>
  <si>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</si>
  <si>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</si>
  <si>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</si>
  <si>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</si>
  <si>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</si>
  <si>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</si>
  <si>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</si>
  <si>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</si>
  <si>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</si>
  <si>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</si>
  <si>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</si>
  <si>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</si>
  <si>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</si>
  <si>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</si>
  <si>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</si>
  <si>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</si>
  <si>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</si>
  <si>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</si>
  <si>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</si>
  <si>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</si>
  <si>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</si>
  <si>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</si>
  <si>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</si>
  <si>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</si>
  <si>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</si>
  <si>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</si>
  <si>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</si>
  <si>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</si>
  <si>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</si>
  <si>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</si>
  <si>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</si>
  <si>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</si>
  <si>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</si>
  <si>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</si>
  <si>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</si>
  <si>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</si>
  <si>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</si>
  <si>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</si>
  <si>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</si>
  <si>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</si>
  <si>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</si>
  <si>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</si>
  <si>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</si>
  <si>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</si>
  <si>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</si>
  <si>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</si>
  <si>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</si>
  <si>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</si>
  <si>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</si>
  <si>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</si>
  <si>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</si>
  <si>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</si>
  <si>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</si>
  <si>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</si>
  <si>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</si>
  <si>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</si>
  <si>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</si>
  <si>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</si>
  <si>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</si>
  <si>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</si>
  <si>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</si>
  <si>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</si>
  <si>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</si>
  <si>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</si>
  <si>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</si>
  <si>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</si>
  <si>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</si>
  <si>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</si>
  <si>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</si>
  <si>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</si>
  <si>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</si>
  <si>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</si>
  <si>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</si>
  <si>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</si>
  <si>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</si>
  <si>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</si>
  <si>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</si>
  <si>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</si>
  <si>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</si>
  <si>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</si>
  <si>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</si>
  <si>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</si>
  <si>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</si>
  <si>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</si>
  <si>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</si>
  <si>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</si>
  <si>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</si>
  <si>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</si>
  <si>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</si>
  <si>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</si>
  <si>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</si>
  <si>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</si>
  <si>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</si>
  <si>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</si>
  <si>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</si>
  <si>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</si>
  <si>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</si>
  <si>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</si>
  <si>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</si>
  <si>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</si>
  <si>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</si>
  <si>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</si>
  <si>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</si>
  <si>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</si>
  <si>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</si>
  <si>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</si>
  <si>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</si>
  <si>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</si>
  <si>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</si>
  <si>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</si>
  <si>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</si>
  <si>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</si>
  <si>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</si>
  <si>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</si>
  <si>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</si>
  <si>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</si>
  <si>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</si>
  <si>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</si>
  <si>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</si>
  <si>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</si>
  <si>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</si>
  <si>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</si>
  <si>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</si>
  <si>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</si>
  <si>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</si>
  <si>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</si>
  <si>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</si>
  <si>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</si>
  <si>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</si>
  <si>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</si>
  <si>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</si>
  <si>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</si>
  <si>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</si>
  <si>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</si>
  <si>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</si>
  <si>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</si>
  <si>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</si>
  <si>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</si>
  <si>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</si>
  <si>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</si>
  <si>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</si>
  <si>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</si>
  <si>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</si>
  <si>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</si>
  <si>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</si>
  <si>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</si>
  <si>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</si>
  <si>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Belknap</t>
  </si>
  <si>
    <t>Cheshire</t>
  </si>
  <si>
    <t>Coos</t>
  </si>
  <si>
    <t>Grafton</t>
  </si>
  <si>
    <t>Merrimack</t>
  </si>
  <si>
    <t>Strafford</t>
  </si>
  <si>
    <t>Atlantic</t>
  </si>
  <si>
    <t>Bergen</t>
  </si>
  <si>
    <t>Burlington</t>
  </si>
  <si>
    <t>Cape May</t>
  </si>
  <si>
    <t>Gloucester</t>
  </si>
  <si>
    <t>Hudson</t>
  </si>
  <si>
    <t>Hunterdon</t>
  </si>
  <si>
    <t>Monmouth</t>
  </si>
  <si>
    <t>Ocean</t>
  </si>
  <si>
    <t>Passaic</t>
  </si>
  <si>
    <t>Salem</t>
  </si>
  <si>
    <t>Bernalillo</t>
  </si>
  <si>
    <t>Catron</t>
  </si>
  <si>
    <t>Chaves</t>
  </si>
  <si>
    <t>Cibola</t>
  </si>
  <si>
    <t>Curry</t>
  </si>
  <si>
    <t>De Baca</t>
  </si>
  <si>
    <t>Doña Ana</t>
  </si>
  <si>
    <t>Guadalupe</t>
  </si>
  <si>
    <t>Harding</t>
  </si>
  <si>
    <t>Hidalgo</t>
  </si>
  <si>
    <t>Lea</t>
  </si>
  <si>
    <t>Los Alamos</t>
  </si>
  <si>
    <t>Luna</t>
  </si>
  <si>
    <t>McKinley</t>
  </si>
  <si>
    <t>Mora</t>
  </si>
  <si>
    <t>Quay</t>
  </si>
  <si>
    <t>Rio Arriba</t>
  </si>
  <si>
    <t>Sandoval</t>
  </si>
  <si>
    <t>Santa Fe</t>
  </si>
  <si>
    <t>Socorro</t>
  </si>
  <si>
    <t>Taos</t>
  </si>
  <si>
    <t>Torrance</t>
  </si>
  <si>
    <t>Valencia</t>
  </si>
  <si>
    <t>Churchill</t>
  </si>
  <si>
    <t>Elko</t>
  </si>
  <si>
    <t>Esmeralda</t>
  </si>
  <si>
    <t>Eureka</t>
  </si>
  <si>
    <t>Lander</t>
  </si>
  <si>
    <t>Nye</t>
  </si>
  <si>
    <t>Pershing</t>
  </si>
  <si>
    <t>Storey</t>
  </si>
  <si>
    <t>Washoe</t>
  </si>
  <si>
    <t>White Pine</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</si>
  <si>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</si>
  <si>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</si>
  <si>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</si>
  <si>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</si>
  <si>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</si>
  <si>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</si>
  <si>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</si>
  <si>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</si>
  <si>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</si>
  <si>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</si>
  <si>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</si>
  <si>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</si>
  <si>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</si>
  <si>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</si>
  <si>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</si>
  <si>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</si>
  <si>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</si>
  <si>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</si>
  <si>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Saratoga</t>
  </si>
  <si>
    <t>Schenectady</t>
  </si>
  <si>
    <t>Schoharie</t>
  </si>
  <si>
    <t>Seneca</t>
  </si>
  <si>
    <t>St. Lawrence</t>
  </si>
  <si>
    <t>Tioga</t>
  </si>
  <si>
    <t>Tompkins</t>
  </si>
  <si>
    <t>Ulster</t>
  </si>
  <si>
    <t>Westchester</t>
  </si>
  <si>
    <t>Yates</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</si>
  <si>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</si>
  <si>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</si>
  <si>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</si>
  <si>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</si>
  <si>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</si>
  <si>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</si>
  <si>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</si>
  <si>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</si>
  <si>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</si>
  <si>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</si>
  <si>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</si>
  <si>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</si>
  <si>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</si>
  <si>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</si>
  <si>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</si>
  <si>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</si>
  <si>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</si>
  <si>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</si>
  <si>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</si>
  <si>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</si>
  <si>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</si>
  <si>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</si>
  <si>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</si>
  <si>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</si>
  <si>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</si>
  <si>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</si>
  <si>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</si>
  <si>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</si>
  <si>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</si>
  <si>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</si>
  <si>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</si>
  <si>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</si>
  <si>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</si>
  <si>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</si>
  <si>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</si>
  <si>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</si>
  <si>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</si>
  <si>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</si>
  <si>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</si>
  <si>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</si>
  <si>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</si>
  <si>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</si>
  <si>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</si>
  <si>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</si>
  <si>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</si>
  <si>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</si>
  <si>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</si>
  <si>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</si>
  <si>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</si>
  <si>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</si>
  <si>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</si>
  <si>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</si>
  <si>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</si>
  <si>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</si>
  <si>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</si>
  <si>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Major</t>
  </si>
  <si>
    <t>Mayes</t>
  </si>
  <si>
    <t>McClain</t>
  </si>
  <si>
    <t>McCurtain</t>
  </si>
  <si>
    <t>Muskogee</t>
  </si>
  <si>
    <t>Nowata</t>
  </si>
  <si>
    <t>Okfuskee</t>
  </si>
  <si>
    <t>Okmulgee</t>
  </si>
  <si>
    <t>Payne</t>
  </si>
  <si>
    <t>Pittsburg</t>
  </si>
  <si>
    <t>Pushmataha</t>
  </si>
  <si>
    <t>Roger Mills</t>
  </si>
  <si>
    <t>Rogers</t>
  </si>
  <si>
    <t>Sequoyah</t>
  </si>
  <si>
    <t>Tillman</t>
  </si>
  <si>
    <t>Tulsa</t>
  </si>
  <si>
    <t>Wagoner</t>
  </si>
  <si>
    <t>Washita</t>
  </si>
  <si>
    <t>Woods</t>
  </si>
  <si>
    <t>Woodward</t>
  </si>
  <si>
    <t>Clackamas</t>
  </si>
  <si>
    <t>Clatsop</t>
  </si>
  <si>
    <t>Crook</t>
  </si>
  <si>
    <t>Deschutes</t>
  </si>
  <si>
    <t>Gilliam</t>
  </si>
  <si>
    <t>Harney</t>
  </si>
  <si>
    <t>Hood River</t>
  </si>
  <si>
    <t>Josephine</t>
  </si>
  <si>
    <t>Klamath</t>
  </si>
  <si>
    <t>Malheur</t>
  </si>
  <si>
    <t>Multnomah</t>
  </si>
  <si>
    <t>Tillamook</t>
  </si>
  <si>
    <t>Umatilla</t>
  </si>
  <si>
    <t>Wallowa</t>
  </si>
  <si>
    <t>Wasco</t>
  </si>
  <si>
    <t>Yamhill</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</si>
  <si>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</si>
  <si>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</si>
  <si>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</si>
  <si>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</si>
  <si>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</si>
  <si>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</si>
  <si>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</si>
  <si>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</si>
  <si>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</si>
  <si>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</si>
  <si>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</si>
  <si>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</si>
  <si>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</si>
  <si>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</si>
  <si>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</si>
  <si>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</si>
  <si>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</si>
  <si>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</si>
  <si>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</si>
  <si>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</si>
  <si>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</si>
  <si>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</si>
  <si>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</si>
  <si>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</si>
  <si>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</si>
  <si>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</si>
  <si>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</si>
  <si>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</si>
  <si>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</si>
  <si>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</si>
  <si>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</si>
  <si>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Adjuntas</t>
  </si>
  <si>
    <t>Aguada</t>
  </si>
  <si>
    <t>Aguadilla</t>
  </si>
  <si>
    <t>Aguas Buenas</t>
  </si>
  <si>
    <t>Aibonito</t>
  </si>
  <si>
    <t>Añasco</t>
  </si>
  <si>
    <t>Arecibo</t>
  </si>
  <si>
    <t>Arroyo</t>
  </si>
  <si>
    <t>Barceloneta</t>
  </si>
  <si>
    <t>Barranquitas</t>
  </si>
  <si>
    <t>Bayamón</t>
  </si>
  <si>
    <t>Cabo Rojo</t>
  </si>
  <si>
    <t>Caguas</t>
  </si>
  <si>
    <t>Camuy</t>
  </si>
  <si>
    <t>Canóvanas</t>
  </si>
  <si>
    <t>Carolina</t>
  </si>
  <si>
    <t>Cataño</t>
  </si>
  <si>
    <t>Cayey</t>
  </si>
  <si>
    <t>Ceiba</t>
  </si>
  <si>
    <t>Ciales</t>
  </si>
  <si>
    <t>Cidra</t>
  </si>
  <si>
    <t>Coamo</t>
  </si>
  <si>
    <t>Comerío</t>
  </si>
  <si>
    <t>Corozal</t>
  </si>
  <si>
    <t>Culebra</t>
  </si>
  <si>
    <t>Dorado</t>
  </si>
  <si>
    <t>Fajardo</t>
  </si>
  <si>
    <t>Guánica</t>
  </si>
  <si>
    <t>Guayama</t>
  </si>
  <si>
    <t>Guayanilla</t>
  </si>
  <si>
    <t>Guaynabo</t>
  </si>
  <si>
    <t>Gurabo</t>
  </si>
  <si>
    <t>Hatillo</t>
  </si>
  <si>
    <t>Hormigueros</t>
  </si>
  <si>
    <t>Humacao</t>
  </si>
  <si>
    <t>Isabela</t>
  </si>
  <si>
    <t>Jayuya</t>
  </si>
  <si>
    <t>Juana Díaz</t>
  </si>
  <si>
    <t>Juncos</t>
  </si>
  <si>
    <t>Lajas</t>
  </si>
  <si>
    <t>Lares</t>
  </si>
  <si>
    <t>Las Marías</t>
  </si>
  <si>
    <t>Las Piedras</t>
  </si>
  <si>
    <t>Loíza</t>
  </si>
  <si>
    <t>Luquillo</t>
  </si>
  <si>
    <t>Manatí</t>
  </si>
  <si>
    <t>Maricao</t>
  </si>
  <si>
    <t>Maunabo</t>
  </si>
  <si>
    <t>Mayagüez</t>
  </si>
  <si>
    <t>Moca</t>
  </si>
  <si>
    <t>Morovis</t>
  </si>
  <si>
    <t>Naguabo</t>
  </si>
  <si>
    <t>Naranjito</t>
  </si>
  <si>
    <t>Orocovis</t>
  </si>
  <si>
    <t>Patillas</t>
  </si>
  <si>
    <t>Peñuelas</t>
  </si>
  <si>
    <t>Ponce</t>
  </si>
  <si>
    <t>Quebradillas</t>
  </si>
  <si>
    <t>Rincón</t>
  </si>
  <si>
    <t>Río Grande</t>
  </si>
  <si>
    <t>Sabana Grande</t>
  </si>
  <si>
    <t>Salinas</t>
  </si>
  <si>
    <t>San Germán</t>
  </si>
  <si>
    <t>San Lorenzo</t>
  </si>
  <si>
    <t>San Sebastián</t>
  </si>
  <si>
    <t>Santa Isabel</t>
  </si>
  <si>
    <t>Toa Alta</t>
  </si>
  <si>
    <t>Toa Baja</t>
  </si>
  <si>
    <t>Trujillo Alto</t>
  </si>
  <si>
    <t>Utuado</t>
  </si>
  <si>
    <t>Vega Alta</t>
  </si>
  <si>
    <t>Vega Baja</t>
  </si>
  <si>
    <t>Vieques</t>
  </si>
  <si>
    <t>Villalba</t>
  </si>
  <si>
    <t>Yabucoa</t>
  </si>
  <si>
    <t>Yauco</t>
  </si>
  <si>
    <t>Newport</t>
  </si>
  <si>
    <t>Providence</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</si>
  <si>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</si>
  <si>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</si>
  <si>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</si>
  <si>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</si>
  <si>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</si>
  <si>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</si>
  <si>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</si>
  <si>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</si>
  <si>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</si>
  <si>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</si>
  <si>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</si>
  <si>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</si>
  <si>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</si>
  <si>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</si>
  <si>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</si>
  <si>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</si>
  <si>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</si>
  <si>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</si>
  <si>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</si>
  <si>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</si>
  <si>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Marlboro</t>
  </si>
  <si>
    <t>McCormick</t>
  </si>
  <si>
    <t>Newberry</t>
  </si>
  <si>
    <t>Orangeburg</t>
  </si>
  <si>
    <t>Saluda</t>
  </si>
  <si>
    <t>Spartanburg</t>
  </si>
  <si>
    <t>Williamsburg</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</si>
  <si>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</si>
  <si>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</si>
  <si>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</si>
  <si>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</si>
  <si>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</si>
  <si>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</si>
  <si>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</si>
  <si>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</si>
  <si>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</si>
  <si>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</si>
  <si>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</si>
  <si>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</si>
  <si>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</si>
  <si>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</si>
  <si>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</si>
  <si>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</si>
  <si>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</si>
  <si>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</si>
  <si>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</si>
  <si>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</si>
  <si>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</si>
  <si>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</si>
  <si>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</si>
  <si>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</si>
  <si>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</si>
  <si>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</si>
  <si>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</si>
  <si>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</si>
  <si>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Roberts</t>
  </si>
  <si>
    <t>Sanborn</t>
  </si>
  <si>
    <t>Spink</t>
  </si>
  <si>
    <t>Stanley</t>
  </si>
  <si>
    <t>Sully</t>
  </si>
  <si>
    <t>Tripp</t>
  </si>
  <si>
    <t>Walworth</t>
  </si>
  <si>
    <t>Yankton</t>
  </si>
  <si>
    <t>Ziebach</t>
  </si>
  <si>
    <t>Bledsoe</t>
  </si>
  <si>
    <t>Cannon</t>
  </si>
  <si>
    <t>Cheatham</t>
  </si>
  <si>
    <t>Cocke</t>
  </si>
  <si>
    <t>Crockett</t>
  </si>
  <si>
    <t>Dickson</t>
  </si>
  <si>
    <t>Dyer</t>
  </si>
  <si>
    <t>Fentress</t>
  </si>
  <si>
    <t>Giles</t>
  </si>
  <si>
    <t>Grainger</t>
  </si>
  <si>
    <t>Hamblen</t>
  </si>
  <si>
    <t>Hardeman</t>
  </si>
  <si>
    <t>Hawkins</t>
  </si>
  <si>
    <t>Loudon</t>
  </si>
  <si>
    <t>Maury</t>
  </si>
  <si>
    <t>McMinn</t>
  </si>
  <si>
    <t>McNairy</t>
  </si>
  <si>
    <t>Obion</t>
  </si>
  <si>
    <t>Overton</t>
  </si>
  <si>
    <t>Pickett</t>
  </si>
  <si>
    <t>Rhea</t>
  </si>
  <si>
    <t>Roane</t>
  </si>
  <si>
    <t>Sequatchie</t>
  </si>
  <si>
    <t>Trousdale</t>
  </si>
  <si>
    <t>Unicoi</t>
  </si>
  <si>
    <t>Weakley</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</si>
  <si>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</si>
  <si>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</si>
  <si>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</si>
  <si>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</si>
  <si>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</si>
  <si>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</si>
  <si>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</si>
  <si>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</si>
  <si>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</si>
  <si>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</si>
  <si>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</si>
  <si>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</si>
  <si>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</si>
  <si>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</si>
  <si>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</si>
  <si>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</si>
  <si>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</si>
  <si>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</si>
  <si>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</si>
  <si>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</si>
  <si>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</si>
  <si>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</si>
  <si>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</si>
  <si>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</si>
  <si>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</si>
  <si>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</si>
  <si>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</si>
  <si>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</si>
  <si>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</si>
  <si>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</si>
  <si>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</si>
  <si>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</si>
  <si>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</si>
  <si>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</si>
  <si>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</si>
  <si>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</si>
  <si>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</si>
  <si>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</si>
  <si>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</si>
  <si>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</si>
  <si>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</si>
  <si>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</si>
  <si>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</si>
  <si>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</si>
  <si>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</si>
  <si>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</si>
  <si>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</si>
  <si>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</si>
  <si>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</si>
  <si>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</si>
  <si>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</si>
  <si>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</si>
  <si>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</si>
  <si>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</si>
  <si>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</si>
  <si>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</si>
  <si>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</si>
  <si>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</si>
  <si>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</si>
  <si>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</si>
  <si>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</si>
  <si>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</si>
  <si>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</si>
  <si>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</si>
  <si>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</si>
  <si>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</si>
  <si>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</si>
  <si>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</si>
  <si>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</si>
  <si>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</si>
  <si>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</si>
  <si>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</si>
  <si>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</si>
  <si>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</si>
  <si>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</si>
  <si>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</si>
  <si>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</si>
  <si>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</si>
  <si>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</si>
  <si>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</si>
  <si>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</si>
  <si>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</si>
  <si>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</si>
  <si>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</si>
  <si>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</si>
  <si>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</si>
  <si>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</si>
  <si>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Lavaca</t>
  </si>
  <si>
    <t>Lipscomb</t>
  </si>
  <si>
    <t>Live Oak</t>
  </si>
  <si>
    <t>Llano</t>
  </si>
  <si>
    <t>Loving</t>
  </si>
  <si>
    <t>Lubbock</t>
  </si>
  <si>
    <t>Lynn</t>
  </si>
  <si>
    <t>Matagorda</t>
  </si>
  <si>
    <t>Maverick</t>
  </si>
  <si>
    <t>McCulloch</t>
  </si>
  <si>
    <t>McLennan</t>
  </si>
  <si>
    <t>McMullen</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</si>
  <si>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</si>
  <si>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</si>
  <si>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</si>
  <si>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</si>
  <si>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</si>
  <si>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</si>
  <si>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</si>
  <si>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</si>
  <si>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</si>
  <si>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</si>
  <si>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</si>
  <si>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</si>
  <si>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</si>
  <si>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</si>
  <si>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</si>
  <si>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</si>
  <si>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</si>
  <si>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</si>
  <si>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</si>
  <si>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</si>
  <si>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</si>
  <si>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</si>
  <si>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</si>
  <si>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</si>
  <si>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</si>
  <si>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</si>
  <si>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</si>
  <si>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</si>
  <si>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</si>
  <si>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</si>
  <si>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</si>
  <si>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</si>
  <si>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</si>
  <si>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</si>
  <si>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</si>
  <si>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</si>
  <si>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</si>
  <si>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</si>
  <si>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</si>
  <si>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</si>
  <si>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</si>
  <si>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</si>
  <si>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</si>
  <si>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</si>
  <si>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</si>
  <si>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</si>
  <si>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</si>
  <si>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</si>
  <si>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</si>
  <si>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</si>
  <si>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</si>
  <si>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</si>
  <si>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</si>
  <si>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</si>
  <si>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</si>
  <si>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</si>
  <si>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</si>
  <si>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</si>
  <si>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</si>
  <si>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Box Elder</t>
  </si>
  <si>
    <t>Cache</t>
  </si>
  <si>
    <t>Daggett</t>
  </si>
  <si>
    <t>Duchesne</t>
  </si>
  <si>
    <t>Emery</t>
  </si>
  <si>
    <t>Juab</t>
  </si>
  <si>
    <t>Millard</t>
  </si>
  <si>
    <t>Piute</t>
  </si>
  <si>
    <t>Rich</t>
  </si>
  <si>
    <t>Salt Lake</t>
  </si>
  <si>
    <t>Sanpete</t>
  </si>
  <si>
    <t>Tooele</t>
  </si>
  <si>
    <t>Uintah</t>
  </si>
  <si>
    <t>Wasatch</t>
  </si>
  <si>
    <t>Weber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</si>
  <si>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</si>
  <si>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</si>
  <si>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</si>
  <si>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</si>
  <si>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</si>
  <si>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</si>
  <si>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</si>
  <si>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</si>
  <si>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</si>
  <si>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</si>
  <si>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</si>
  <si>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</si>
  <si>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</si>
  <si>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</si>
  <si>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</si>
  <si>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</si>
  <si>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</si>
  <si>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</si>
  <si>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</si>
  <si>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</si>
  <si>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</si>
  <si>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</si>
  <si>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</si>
  <si>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</si>
  <si>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</si>
  <si>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</si>
  <si>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</si>
  <si>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</si>
  <si>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</si>
  <si>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</si>
  <si>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</si>
  <si>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</si>
  <si>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</si>
  <si>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</si>
  <si>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</si>
  <si>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</si>
  <si>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</si>
  <si>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</si>
  <si>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</si>
  <si>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</si>
  <si>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</si>
  <si>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</si>
  <si>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</si>
  <si>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</si>
  <si>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</si>
  <si>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St. Croix</t>
  </si>
  <si>
    <t>St. John</t>
  </si>
  <si>
    <t>St. Thomas</t>
  </si>
  <si>
    <t>Addison</t>
  </si>
  <si>
    <t>Bennington</t>
  </si>
  <si>
    <t>Caledonia</t>
  </si>
  <si>
    <t>Chittenden</t>
  </si>
  <si>
    <t>Grand Isle</t>
  </si>
  <si>
    <t>Lamoille</t>
  </si>
  <si>
    <t>Rutland</t>
  </si>
  <si>
    <t>Windsor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</si>
  <si>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</si>
  <si>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</si>
  <si>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</si>
  <si>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</si>
  <si>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</si>
  <si>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</si>
  <si>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</si>
  <si>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</si>
  <si>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</si>
  <si>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</si>
  <si>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</si>
  <si>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</si>
  <si>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</si>
  <si>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</si>
  <si>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</si>
  <si>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</si>
  <si>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</si>
  <si>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</si>
  <si>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</si>
  <si>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</si>
  <si>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</si>
  <si>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</si>
  <si>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Barron</t>
  </si>
  <si>
    <t>Bayfield</t>
  </si>
  <si>
    <t>Burnett</t>
  </si>
  <si>
    <t>Calumet</t>
  </si>
  <si>
    <t>Dane</t>
  </si>
  <si>
    <t>Door</t>
  </si>
  <si>
    <t>Eau Claire</t>
  </si>
  <si>
    <t>Fond du Lac</t>
  </si>
  <si>
    <t>Green Lake</t>
  </si>
  <si>
    <t>Juneau</t>
  </si>
  <si>
    <t>Kenosha</t>
  </si>
  <si>
    <t>Kewaunee</t>
  </si>
  <si>
    <t>La Crosse</t>
  </si>
  <si>
    <t>Langlade</t>
  </si>
  <si>
    <t>Manitowoc</t>
  </si>
  <si>
    <t>Marathon</t>
  </si>
  <si>
    <t>Marinette</t>
  </si>
  <si>
    <t>Milwaukee</t>
  </si>
  <si>
    <t>Oconto</t>
  </si>
  <si>
    <t>Outagamie</t>
  </si>
  <si>
    <t>Ozaukee</t>
  </si>
  <si>
    <t>Pepin</t>
  </si>
  <si>
    <t>Price</t>
  </si>
  <si>
    <t>Racine</t>
  </si>
  <si>
    <t>Sauk</t>
  </si>
  <si>
    <t>Sawyer</t>
  </si>
  <si>
    <t>Shawano</t>
  </si>
  <si>
    <t>Sheboygan</t>
  </si>
  <si>
    <t>Trempealeau</t>
  </si>
  <si>
    <t>Vilas</t>
  </si>
  <si>
    <t>Washburn</t>
  </si>
  <si>
    <t>Waukesha</t>
  </si>
  <si>
    <t>Waupaca</t>
  </si>
  <si>
    <t>Waushara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</si>
  <si>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</si>
  <si>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</si>
  <si>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</si>
  <si>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</si>
  <si>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</si>
  <si>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</si>
  <si>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</si>
  <si>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</si>
  <si>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</si>
  <si>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</si>
  <si>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</si>
  <si>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</si>
  <si>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</si>
  <si>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</si>
  <si>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</si>
  <si>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</si>
  <si>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</si>
  <si>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Converse</t>
  </si>
  <si>
    <t>Goshen</t>
  </si>
  <si>
    <t>Hot Springs</t>
  </si>
  <si>
    <t>Laramie</t>
  </si>
  <si>
    <t>Natrona</t>
  </si>
  <si>
    <t>Niobrara</t>
  </si>
  <si>
    <t>Sublette</t>
  </si>
  <si>
    <t>Sweetwater</t>
  </si>
  <si>
    <t>Uinta</t>
  </si>
  <si>
    <t>Washakie</t>
  </si>
  <si>
    <t>Weston</t>
  </si>
  <si>
    <t>Baker Island</t>
  </si>
  <si>
    <t>Howland Island</t>
  </si>
  <si>
    <t>Jarvis Island</t>
  </si>
  <si>
    <t>Johnston Atoll</t>
  </si>
  <si>
    <t>Kingman Reef</t>
  </si>
  <si>
    <t>Midway Islands</t>
  </si>
  <si>
    <t>Navassa Island</t>
  </si>
  <si>
    <t>Palmyra Atoll</t>
  </si>
  <si>
    <t>Wake Island</t>
  </si>
  <si>
    <t>Developed by Anthony James Wright, anthony.wright@fema.dhs.gov</t>
  </si>
  <si>
    <t>Concept of Operations</t>
  </si>
  <si>
    <t>The basic structure of the workbook is a input sheet with a table, a summary sheet with a pivot table, and a static data sheet for data validation and population data lookup.</t>
  </si>
  <si>
    <t>Input Sheet</t>
  </si>
  <si>
    <t>The input sheet is broken into two parts, basic data entry in the first two rows, and the table for entry of the damage data in rows 4 and below.</t>
  </si>
  <si>
    <t>BASIC DATA ENTRY: The first two rows are to collect basic data to show on the header of the summary page. It also includes the identification of the two letter state code, which drives data validation for the county, and is needed to complete the lookup of state and county population data (see data validation).</t>
  </si>
  <si>
    <t>Region Selection: Must choose between 1-10, this drives the State List</t>
  </si>
  <si>
    <t>State Selection: Must choose from drop down (will show all states if Region is blank)</t>
  </si>
  <si>
    <t>State and County Data Validation: Based on an offset formula in the name manger (SelState and SelCounty). These offset formulas use the calculations on the County Populations Tab to determine which state/county to show first and last. The State list must be ordered by Region, and the County list must be ordered by state in order for these formulas to work. 
If the data validation encounters an error, for State it will display all states, for County it will only display the word "County."</t>
  </si>
  <si>
    <t>DAMAGE TABLE: This is a simply excel table designed to capture the damage data by subrecipient and county. This table includes data validation for all but the subrecipient column. Adding additional columns in the middle of this table will invalidate calculated field "Subtotal." Data Validation is as follows:</t>
  </si>
  <si>
    <t>-Subrecipient: None</t>
  </si>
  <si>
    <t>-County: Must select the county from the list. See State/County select below for more information.</t>
  </si>
  <si>
    <t>-Cat A-G: Must be a positive decimal number</t>
  </si>
  <si>
    <t>On the Population Table:</t>
  </si>
  <si>
    <t>(1) For each state a line for "State Agencies" needs to be added to permit non-localalized damages. Exact Wording Required to match formulas and conditional formating.</t>
  </si>
  <si>
    <t>(2) For each state a line for "Grand Total" is needed with the state population. Exact wording is required. Grand total must be the last line for that state.</t>
  </si>
  <si>
    <t>State Team</t>
  </si>
  <si>
    <t>State Threshold</t>
  </si>
  <si>
    <t>Map</t>
  </si>
  <si>
    <t>Flood</t>
  </si>
  <si>
    <t>May 19 - 30, 2026</t>
  </si>
  <si>
    <t>Jennie Grobe</t>
  </si>
  <si>
    <t>Katie Warren</t>
  </si>
  <si>
    <t>Roopak Hanna</t>
  </si>
  <si>
    <t>Maxwell Novoselac</t>
  </si>
  <si>
    <t>Charlie Annerino</t>
  </si>
  <si>
    <t>Caleb Smith</t>
  </si>
  <si>
    <t>Connor Blevins</t>
  </si>
  <si>
    <t>Anessa Jones</t>
  </si>
  <si>
    <t>Ja'von Cotton</t>
  </si>
  <si>
    <t>Eric Punzalan</t>
  </si>
  <si>
    <t>Angela Williams</t>
  </si>
  <si>
    <t>Sam Efein</t>
  </si>
  <si>
    <t>Mike Richards</t>
  </si>
  <si>
    <t>Marisela Shellenbarger</t>
  </si>
  <si>
    <t>TBD</t>
  </si>
  <si>
    <t>STATE PCI TARGET</t>
  </si>
  <si>
    <t>VALIDATED COSTS</t>
  </si>
  <si>
    <t>COUNTY PCI TARGET</t>
  </si>
  <si>
    <t>Gross Total</t>
  </si>
  <si>
    <t>Validated Total</t>
  </si>
  <si>
    <t>MI PDA - May 2026</t>
  </si>
  <si>
    <t>Counties that meet 50% threshold</t>
  </si>
  <si>
    <t>Counties that meet 100% threshold</t>
  </si>
  <si>
    <t>Alcona County Road Commission</t>
  </si>
  <si>
    <t>Alma College</t>
  </si>
  <si>
    <t xml:space="preserve">City of Alma </t>
  </si>
  <si>
    <t xml:space="preserve">City of St. Louis </t>
  </si>
  <si>
    <t>Fulton Township</t>
  </si>
  <si>
    <t>Gratiot Co Drain Commission</t>
  </si>
  <si>
    <t>Village of Perrinton</t>
  </si>
  <si>
    <t>Kalamazoo, City of</t>
  </si>
  <si>
    <t>Marquette County Road Commission</t>
  </si>
  <si>
    <t xml:space="preserve">Ishpeming, City of </t>
  </si>
  <si>
    <t>Missaukee County Road Commission</t>
  </si>
  <si>
    <t>Benzie County Road Commission</t>
  </si>
  <si>
    <t>Benzonia Township</t>
  </si>
  <si>
    <t>Betsie Valley Trail</t>
  </si>
  <si>
    <t>Homstead Dam - Benzie Labor emergency protective measures</t>
  </si>
  <si>
    <t>Village of Beulah</t>
  </si>
  <si>
    <t>Iron County Road Commission</t>
  </si>
  <si>
    <t>Presque Isle County Rd Commission</t>
  </si>
  <si>
    <t>Shiawassee Twp Fire Department</t>
  </si>
  <si>
    <t>Shiawassee County Road Comission</t>
  </si>
  <si>
    <t>Newkirk</t>
  </si>
  <si>
    <t>Oscoda County Road Commission</t>
  </si>
  <si>
    <t>Bridgeton Township</t>
  </si>
  <si>
    <t>City of Grant</t>
  </si>
  <si>
    <t>City of Newaygo</t>
  </si>
  <si>
    <t>County of Newaygo</t>
  </si>
  <si>
    <t>Village of Hesperia</t>
  </si>
  <si>
    <t>Charlevoix County Road Commission</t>
  </si>
  <si>
    <t>City of Charlevoix</t>
  </si>
  <si>
    <t xml:space="preserve">City of East Jordan </t>
  </si>
  <si>
    <t>St. James Township</t>
  </si>
  <si>
    <t>April 10 - 21, 2026</t>
  </si>
  <si>
    <t>Clare County Road Commission</t>
  </si>
  <si>
    <t>Alpena Road Commission</t>
  </si>
  <si>
    <t>Alpena, City of</t>
  </si>
  <si>
    <t>Mecosta County Parks Commission</t>
  </si>
  <si>
    <t>Menominee County</t>
  </si>
  <si>
    <t>Montmorency County Road Commission</t>
  </si>
  <si>
    <t>PIE&amp;G - Presque Isle</t>
  </si>
  <si>
    <t>PIE&amp;G - Montmorency</t>
  </si>
  <si>
    <t>Tuscalo County Road Commission</t>
  </si>
  <si>
    <t>Ogemaw County Road Commission</t>
  </si>
  <si>
    <t>Crawford County</t>
  </si>
  <si>
    <t>Crawford Road Commission</t>
  </si>
  <si>
    <t>South Branch Fire Dept</t>
  </si>
  <si>
    <t>Au Sable Woods Association</t>
  </si>
  <si>
    <t>Saginaw County Road Commission</t>
  </si>
  <si>
    <t>Saginaw County Parks &amp; Recreation</t>
  </si>
  <si>
    <t>Saginaw Township Community Schools</t>
  </si>
  <si>
    <t>City of Frankenmuth</t>
  </si>
  <si>
    <t>Village of Bellaire</t>
  </si>
  <si>
    <t>Antrim County</t>
  </si>
  <si>
    <t>Alexis Villasenor</t>
  </si>
  <si>
    <t>City of Douglas</t>
  </si>
  <si>
    <t>City of Plainwell</t>
  </si>
  <si>
    <t>Gun Plain Township</t>
  </si>
  <si>
    <t>MDNR- Benzie County</t>
  </si>
  <si>
    <t>MDNR- Crawford County</t>
  </si>
  <si>
    <t>Eaton County Drain Commission</t>
  </si>
  <si>
    <t>Eaton County Road Commission</t>
  </si>
  <si>
    <t>Village of Mulliken</t>
  </si>
  <si>
    <t>EGLE - Eaton County</t>
  </si>
  <si>
    <t>Michigan State Police EOC - Eaton County</t>
  </si>
  <si>
    <t>Jackson County Road Commission</t>
  </si>
  <si>
    <t>Titler Farm Barn</t>
  </si>
  <si>
    <t>Village of Parm</t>
  </si>
  <si>
    <t>MDNR - Lake County</t>
  </si>
  <si>
    <t>Leelanau County</t>
  </si>
  <si>
    <t>MDNR - Leelanau County</t>
  </si>
  <si>
    <t>Sheridan Fire Department</t>
  </si>
  <si>
    <t xml:space="preserve">Stanton, City of </t>
  </si>
  <si>
    <t>Montcalm County Road Commission</t>
  </si>
  <si>
    <t>Emergency Operations Center (EOC)</t>
  </si>
  <si>
    <t>MDNR - Newaygo County</t>
  </si>
  <si>
    <t>Great Lakes Energy Co-Op - Newaygo</t>
  </si>
  <si>
    <t>Great Lakes Energy Co-Op - Clare</t>
  </si>
  <si>
    <t>Ogemaw District Library</t>
  </si>
  <si>
    <t>MDNR - Ogemaw County</t>
  </si>
  <si>
    <t>Evart Area Fire Department</t>
  </si>
  <si>
    <t>Lincoln Township Fire Department</t>
  </si>
  <si>
    <t>Osceola County Road Commission</t>
  </si>
  <si>
    <t>Osceola County Emergency Management</t>
  </si>
  <si>
    <t>Evart City</t>
  </si>
  <si>
    <t>Hersey Township</t>
  </si>
  <si>
    <t>Great Lakes Energy Co-Op - Osceola</t>
  </si>
  <si>
    <t>MDNR - Osceola County</t>
  </si>
  <si>
    <t>MDNR - Oscoda County</t>
  </si>
  <si>
    <t>MDNR - Presque Isle County</t>
  </si>
  <si>
    <t>Beacon Assembly of God</t>
  </si>
  <si>
    <t>Road Commission</t>
  </si>
  <si>
    <t>Roscommon Township -Sperry Park</t>
  </si>
  <si>
    <t>Village of Roscommon</t>
  </si>
  <si>
    <t>MDNR - Roscommon</t>
  </si>
  <si>
    <t>Nouvel Catholic Central Elementary School</t>
  </si>
  <si>
    <t>Pellston Regional Airport</t>
  </si>
  <si>
    <t>Emmet County Park &amp; Recreation Department</t>
  </si>
  <si>
    <t>MDNR - Emmet County</t>
  </si>
  <si>
    <t>Manistee City WWTP</t>
  </si>
  <si>
    <t xml:space="preserve">Manistee County Road Commission </t>
  </si>
  <si>
    <t>MDNR - Manistee County</t>
  </si>
  <si>
    <t>City of Cadillac</t>
  </si>
  <si>
    <t>County Road Comm</t>
  </si>
  <si>
    <t>Lake Mitchell Sewer Authority</t>
  </si>
  <si>
    <t>MDNR - Wexford County</t>
  </si>
  <si>
    <t>Cheboygan County Road Commission</t>
  </si>
  <si>
    <t>Cheboygan EOC</t>
  </si>
  <si>
    <t>Tuscarora Township</t>
  </si>
  <si>
    <t>PIE&amp;G - Cheboygan</t>
  </si>
  <si>
    <t>Michigan State Police - Cheboygan</t>
  </si>
  <si>
    <t>MDNR - Cheboygan County</t>
  </si>
  <si>
    <t>Garfield Township</t>
  </si>
  <si>
    <t>Traverse City</t>
  </si>
  <si>
    <t>Grand Traverse County Roads</t>
  </si>
  <si>
    <t>Grand Traverse County Parks</t>
  </si>
  <si>
    <t>MDNR - Grand Traverse County</t>
  </si>
  <si>
    <t>PIE&amp;G - Alcona</t>
  </si>
  <si>
    <t>MDNR - Crawford County</t>
  </si>
  <si>
    <t>MDNR - Benzie County</t>
  </si>
  <si>
    <t>Count</t>
  </si>
  <si>
    <t>94 Applicants</t>
  </si>
  <si>
    <t>Boardman Township</t>
  </si>
  <si>
    <t>Kalkaska Library</t>
  </si>
  <si>
    <t>Kalkaska Road Commission</t>
  </si>
  <si>
    <t>Kalkaska Public Works</t>
  </si>
  <si>
    <t>Village of Kalkaska</t>
  </si>
  <si>
    <t>Less Counties &lt; 50% PCI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</si>
</sst>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quot;$&quot;#,##0.00"/>
    <numFmt numFmtId="167" formatCode="&quot;$&quot;#,##0"/>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10"/>
      <name val="Arial"/>
      <family val="2"/>
    </font>
    <font>
      <b/>
      <sz val="11"/>
      <color theme="0"/>
      <name val="Calibri"/>
      <family val="2"/>
      <scheme val="minor"/>
    </font>
    <font>
      <sz val="11"/>
      <name val="Calibri"/>
      <family val="2"/>
      <scheme val="minor"/>
    </font>
    <font>
      <b/>
      <sz val="12"/>
      <color theme="1"/>
      <name val="Calibri"/>
      <family val="2"/>
      <scheme val="minor"/>
    </font>
    <font>
      <b/>
      <sz val="11"/>
      <color rgb="FFFF0000"/>
      <name val="Calibri"/>
      <family val="2"/>
      <scheme val="minor"/>
    </font>
    <font>
      <b/>
      <sz val="11"/>
      <color rgb="FF7030A0"/>
      <name val="Calibri"/>
      <family val="2"/>
      <scheme val="minor"/>
    </font>
    <font>
      <sz val="11"/>
      <color rgb="FFFF0000"/>
      <name val="Calibri"/>
      <family val="2"/>
      <scheme val="minor"/>
    </font>
    <font>
      <sz val="10"/>
      <name val="Arial"/>
      <family val="2"/>
    </font>
    <font>
      <sz val="8"/>
      <name val="Calibri"/>
      <family val="2"/>
      <scheme val="minor"/>
    </font>
    <font>
      <sz val="10"/>
      <name val="Arial"/>
      <family val="2"/>
    </font>
    <font>
      <b/>
      <sz val="16"/>
      <color theme="1"/>
      <name val="Calibri"/>
      <family val="2"/>
      <scheme val="minor"/>
    </font>
    <font>
      <b/>
      <sz val="20"/>
      <color theme="1"/>
      <name val="Arial"/>
      <family val="2"/>
    </font>
    <font>
      <sz val="10"/>
      <name val="Arial"/>
      <family val="2"/>
    </font>
    <font>
      <sz val="10"/>
      <color theme="0"/>
      <name val="Arial"/>
      <family val="2"/>
    </font>
    <font>
      <sz val="10"/>
      <name val="Arial"/>
      <family val="2"/>
    </font>
    <font>
      <sz val="10"/>
      <name val="Arial"/>
      <family val="2"/>
    </font>
    <font>
      <sz val="11"/>
      <color theme="0"/>
      <name val="Calibri"/>
      <family val="2"/>
      <scheme val="minor"/>
    </font>
    <font>
      <b/>
      <sz val="16"/>
      <color theme="0"/>
      <name val="Calibri"/>
      <family val="2"/>
      <scheme val="minor"/>
    </font>
    <font>
      <b/>
      <sz val="11"/>
      <name val="Calibri"/>
      <family val="2"/>
      <scheme val="minor"/>
    </font>
    <font>
      <b/>
      <sz val="14"/>
      <color theme="0"/>
      <name val="Segoe UI"/>
      <family val="2"/>
    </font>
    <font>
      <sz val="11"/>
      <color theme="1"/>
      <name val="Segoe UI"/>
      <family val="2"/>
    </font>
    <font>
      <b/>
      <sz val="11"/>
      <color theme="1"/>
      <name val="Segoe UI"/>
      <family val="2"/>
    </font>
    <font>
      <b/>
      <sz val="11"/>
      <color theme="0"/>
      <name val="Segoe UI"/>
      <family val="2"/>
    </font>
    <font>
      <sz val="11"/>
      <color theme="1"/>
      <name val="Segoe UI"/>
      <family val="2"/>
    </font>
    <font>
      <b/>
      <sz val="11"/>
      <color theme="1"/>
      <name val="Segoe UI"/>
      <family val="2"/>
    </font>
    <font>
      <sz val="10"/>
      <color theme="1"/>
      <name val="Segoe UI"/>
      <family val="2"/>
    </font>
    <font>
      <b/>
      <sz val="11"/>
      <name val="Segoe UI"/>
      <family val="2"/>
    </font>
    <font>
      <sz val="10"/>
      <name val="Arial"/>
      <family val="2"/>
    </font>
    <font>
      <sz val="11"/>
      <color rgb="FF9C0006"/>
      <name val="Segoe UI"/>
      <family val="2"/>
    </font>
    <font>
      <sz val="11"/>
      <color rgb="FF006100"/>
      <name val="Segoe UI"/>
      <family val="2"/>
    </font>
    <font>
      <sz val="11"/>
      <color rgb="FF006100"/>
      <name val="Calibri"/>
      <family val="2"/>
      <scheme val="minor"/>
    </font>
    <font>
      <sz val="11"/>
      <color rgb="FF9C0006"/>
      <name val="Calibri"/>
      <family val="2"/>
      <scheme val="minor"/>
    </font>
    <font>
      <sz val="11"/>
      <name val="Segoe UI"/>
      <family val="2"/>
    </font>
    <font>
      <sz val="10"/>
      <name val="Arial"/>
    </font>
  </fonts>
  <fills count="34">
    <fill>
      <patternFill patternType="none"/>
    </fill>
    <fill>
      <patternFill patternType="gray125"/>
    </fill>
    <fill>
      <patternFill patternType="solid">
        <fgColor indexed="22"/>
        <bgColor indexed="64"/>
      </patternFill>
    </fill>
    <fill>
      <patternFill patternType="solid">
        <fgColor theme="4" tint="0.79998168889431442"/>
        <bgColor theme="4" tint="0.79998168889431442"/>
      </patternFill>
    </fill>
    <fill>
      <patternFill patternType="solid">
        <fgColor theme="4" tint="-0.249977111117893"/>
        <bgColor theme="4" tint="0.79998168889431442"/>
      </patternFill>
    </fill>
    <fill>
      <patternFill patternType="solid">
        <fgColor theme="9" tint="0.79998168889431442"/>
        <bgColor theme="4" tint="0.79998168889431442"/>
      </patternFill>
    </fill>
    <fill>
      <patternFill patternType="solid">
        <fgColor theme="3" tint="-0.249977111117893"/>
        <bgColor theme="4" tint="0.79998168889431442"/>
      </patternFill>
    </fill>
    <fill>
      <patternFill patternType="solid">
        <fgColor rgb="FFFF0000"/>
        <bgColor indexed="64"/>
      </patternFill>
    </fill>
    <fill>
      <patternFill patternType="solid">
        <fgColor theme="6" tint="0.599963377788628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59999389629810485"/>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005287"/>
        <bgColor indexed="64"/>
      </patternFill>
    </fill>
    <fill>
      <patternFill patternType="solid">
        <fgColor theme="0"/>
        <bgColor indexed="64"/>
      </patternFill>
    </fill>
    <fill>
      <patternFill patternType="solid">
        <fgColor rgb="FFE08493"/>
        <bgColor indexed="64"/>
      </patternFill>
    </fill>
    <fill>
      <patternFill patternType="solid">
        <fgColor rgb="FFABC994"/>
        <bgColor indexed="64"/>
      </patternFill>
    </fill>
    <fill>
      <patternFill patternType="solid">
        <fgColor rgb="FFA49AB5"/>
        <bgColor indexed="64"/>
      </patternFill>
    </fill>
    <fill>
      <patternFill patternType="solid">
        <fgColor rgb="FFB8D9E8"/>
        <bgColor indexed="64"/>
      </patternFill>
    </fill>
    <fill>
      <patternFill patternType="solid">
        <fgColor theme="6" tint="0.59999389629810485"/>
        <bgColor indexed="64"/>
      </patternFill>
    </fill>
    <fill>
      <patternFill patternType="solid">
        <fgColor theme="3"/>
        <bgColor theme="4" tint="0.79998168889431442"/>
      </patternFill>
    </fill>
    <fill>
      <patternFill patternType="solid">
        <fgColor rgb="FFFFC7CE"/>
        <bgColor indexed="64"/>
      </patternFill>
    </fill>
    <fill>
      <patternFill patternType="solid">
        <fgColor rgb="FFC6EFCE"/>
        <bgColor indexed="64"/>
      </patternFill>
    </fill>
    <fill>
      <patternFill patternType="solid">
        <fgColor rgb="FFFFFF66"/>
        <bgColor indexed="64"/>
      </patternFill>
    </fill>
    <fill>
      <patternFill patternType="solid">
        <fgColor theme="7" tint="0.39997558519241921"/>
        <bgColor indexed="64"/>
      </patternFill>
    </fill>
  </fills>
  <borders count="46">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diagonal/>
    </border>
  </borders>
  <cellStyleXfs count="12">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1" fillId="0" borderId="0"/>
    <xf numFmtId="0" fontId="4" fillId="0" borderId="0"/>
    <xf numFmtId="0" fontId="13" fillId="0" borderId="0"/>
    <xf numFmtId="44" fontId="4" fillId="0" borderId="0" applyFont="0" applyFill="0" applyBorder="0" applyAlignment="0" applyProtection="0"/>
    <xf numFmtId="0" fontId="16" fillId="0" borderId="0"/>
    <xf numFmtId="0" fontId="1" fillId="0" borderId="0"/>
    <xf numFmtId="0" fontId="18" fillId="0" borderId="0"/>
    <xf numFmtId="0" fontId="19" fillId="0" borderId="0"/>
  </cellStyleXfs>
  <cellXfs count="296">
    <xf numFmtId="0" fontId="0" fillId="0" borderId="0" xfId="0"/>
    <xf numFmtId="0" fontId="0" fillId="0" borderId="0" xfId="0" applyNumberFormat="1"/>
    <xf numFmtId="0" fontId="0" fillId="0" borderId="0" xfId="0" applyAlignment="1">
      <alignment horizontal="center"/>
    </xf>
    <xf numFmtId="0" fontId="0" fillId="0" borderId="0" xfId="0" applyAlignment="1">
      <alignment vertical="center"/>
    </xf>
    <xf numFmtId="164" fontId="0" fillId="0" borderId="0" xfId="0" applyNumberFormat="1" applyAlignment="1">
      <alignment vertical="center"/>
    </xf>
    <xf numFmtId="44" fontId="2" fillId="0" borderId="0" xfId="1" applyFont="1" applyAlignment="1">
      <alignment vertical="center"/>
    </xf>
    <xf numFmtId="164" fontId="0" fillId="0" borderId="0" xfId="1" applyNumberFormat="1" applyFont="1" applyAlignment="1">
      <alignment vertical="center"/>
    </xf>
    <xf numFmtId="10" fontId="0" fillId="0" borderId="0" xfId="2" applyNumberFormat="1" applyFont="1" applyAlignment="1">
      <alignment horizontal="center" vertical="center"/>
    </xf>
    <xf numFmtId="0" fontId="2" fillId="0" borderId="0" xfId="0" applyFont="1" applyAlignment="1">
      <alignment horizontal="center" vertical="center"/>
    </xf>
    <xf numFmtId="164" fontId="5" fillId="4" borderId="2" xfId="0" applyNumberFormat="1" applyFont="1" applyFill="1" applyBorder="1" applyAlignment="1">
      <alignment horizontal="center" vertical="center" wrapText="1"/>
    </xf>
    <xf numFmtId="165" fontId="5" fillId="4" borderId="2" xfId="3" applyNumberFormat="1" applyFont="1" applyFill="1" applyBorder="1" applyAlignment="1">
      <alignment horizontal="center" vertical="center" wrapText="1"/>
    </xf>
    <xf numFmtId="44" fontId="5" fillId="4" borderId="2" xfId="1" applyFont="1" applyFill="1" applyBorder="1" applyAlignment="1">
      <alignment horizontal="center" vertical="center" wrapText="1"/>
    </xf>
    <xf numFmtId="10" fontId="2" fillId="0" borderId="2" xfId="2" applyNumberFormat="1" applyFont="1" applyFill="1" applyBorder="1" applyAlignment="1">
      <alignment horizontal="center" vertical="center"/>
    </xf>
    <xf numFmtId="0" fontId="2" fillId="0" borderId="2" xfId="0" applyFont="1" applyFill="1" applyBorder="1" applyAlignment="1">
      <alignment horizontal="center" vertical="center"/>
    </xf>
    <xf numFmtId="3" fontId="0" fillId="0" borderId="0" xfId="0" applyNumberFormat="1"/>
    <xf numFmtId="3" fontId="6" fillId="0" borderId="0" xfId="0" applyNumberFormat="1" applyFont="1" applyAlignment="1">
      <alignment horizontal="right"/>
    </xf>
    <xf numFmtId="3" fontId="4" fillId="0" borderId="0" xfId="0" applyNumberFormat="1" applyFont="1"/>
    <xf numFmtId="0" fontId="0" fillId="0" borderId="0" xfId="0" applyAlignment="1">
      <alignment horizontal="center" vertical="center"/>
    </xf>
    <xf numFmtId="10" fontId="2" fillId="0" borderId="5" xfId="2"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6" xfId="0" applyFont="1" applyBorder="1" applyAlignment="1">
      <alignment horizontal="center" vertical="center"/>
    </xf>
    <xf numFmtId="44" fontId="2" fillId="5" borderId="1" xfId="1" applyFont="1" applyFill="1" applyBorder="1" applyAlignment="1">
      <alignment horizontal="center" vertical="center"/>
    </xf>
    <xf numFmtId="10" fontId="9" fillId="0" borderId="2" xfId="2" applyNumberFormat="1" applyFont="1" applyFill="1" applyBorder="1" applyAlignment="1">
      <alignment horizontal="left" vertical="center"/>
    </xf>
    <xf numFmtId="10" fontId="9" fillId="0" borderId="5" xfId="2" applyNumberFormat="1" applyFont="1" applyFill="1" applyBorder="1" applyAlignment="1">
      <alignment horizontal="left" vertical="center"/>
    </xf>
    <xf numFmtId="164" fontId="5" fillId="6" borderId="2" xfId="0" applyNumberFormat="1" applyFont="1" applyFill="1" applyBorder="1" applyAlignment="1">
      <alignment horizontal="center" vertical="center" wrapText="1"/>
    </xf>
    <xf numFmtId="44" fontId="2" fillId="5" borderId="0" xfId="1" applyFont="1" applyFill="1" applyBorder="1" applyAlignment="1">
      <alignment horizontal="center" vertical="center"/>
    </xf>
    <xf numFmtId="165" fontId="2" fillId="0" borderId="2" xfId="3" applyNumberFormat="1" applyFont="1" applyFill="1" applyBorder="1" applyAlignment="1">
      <alignment horizontal="center" vertical="center" wrapText="1"/>
    </xf>
    <xf numFmtId="165" fontId="2" fillId="0" borderId="5" xfId="3" applyNumberFormat="1" applyFont="1" applyFill="1" applyBorder="1" applyAlignment="1">
      <alignment horizontal="center" vertical="center" wrapText="1"/>
    </xf>
    <xf numFmtId="165" fontId="2" fillId="0" borderId="0" xfId="3" applyNumberFormat="1" applyFont="1" applyAlignment="1">
      <alignment horizontal="center" vertical="center"/>
    </xf>
    <xf numFmtId="165" fontId="0" fillId="0" borderId="0" xfId="3" applyNumberFormat="1" applyFont="1" applyAlignment="1">
      <alignment horizontal="center"/>
    </xf>
    <xf numFmtId="0" fontId="0" fillId="0" borderId="0" xfId="0" applyFont="1"/>
    <xf numFmtId="0" fontId="4" fillId="0" borderId="0" xfId="0" applyFont="1"/>
    <xf numFmtId="0" fontId="0" fillId="0" borderId="14" xfId="0" applyBorder="1"/>
    <xf numFmtId="0" fontId="0" fillId="0" borderId="15" xfId="0" applyBorder="1" applyAlignment="1">
      <alignment horizontal="center"/>
    </xf>
    <xf numFmtId="0" fontId="0" fillId="0" borderId="11" xfId="0" applyBorder="1"/>
    <xf numFmtId="0" fontId="0" fillId="0" borderId="16" xfId="0" applyBorder="1" applyAlignment="1">
      <alignment horizontal="center"/>
    </xf>
    <xf numFmtId="0" fontId="0" fillId="0" borderId="9" xfId="1" applyNumberFormat="1" applyFont="1" applyBorder="1" applyAlignment="1" applyProtection="1">
      <alignment horizontal="center"/>
      <protection locked="0"/>
    </xf>
    <xf numFmtId="14" fontId="0" fillId="0" borderId="9" xfId="1" applyNumberFormat="1" applyFont="1" applyBorder="1" applyAlignment="1" applyProtection="1">
      <alignment horizontal="center"/>
      <protection locked="0"/>
    </xf>
    <xf numFmtId="164" fontId="0" fillId="0" borderId="10" xfId="1" applyNumberFormat="1" applyFont="1" applyBorder="1" applyAlignment="1" applyProtection="1">
      <alignment horizontal="center"/>
      <protection locked="0"/>
    </xf>
    <xf numFmtId="14" fontId="0" fillId="0" borderId="10" xfId="1" applyNumberFormat="1" applyFont="1" applyBorder="1" applyAlignment="1" applyProtection="1">
      <alignment horizontal="center"/>
      <protection locked="0"/>
    </xf>
    <xf numFmtId="0" fontId="0" fillId="0" borderId="0" xfId="0" applyProtection="1">
      <protection locked="0"/>
    </xf>
    <xf numFmtId="0" fontId="0" fillId="0" borderId="0" xfId="0" applyNumberFormat="1" applyProtection="1">
      <protection locked="0"/>
    </xf>
    <xf numFmtId="164" fontId="0" fillId="0" borderId="0" xfId="1" applyNumberFormat="1" applyFont="1" applyProtection="1">
      <protection locked="0"/>
    </xf>
    <xf numFmtId="0" fontId="2" fillId="0" borderId="3" xfId="0" applyNumberFormat="1" applyFont="1" applyBorder="1" applyProtection="1"/>
    <xf numFmtId="0" fontId="2" fillId="0" borderId="9" xfId="0" applyNumberFormat="1" applyFont="1" applyBorder="1" applyProtection="1"/>
    <xf numFmtId="0" fontId="2" fillId="0" borderId="9" xfId="0" applyFont="1" applyBorder="1" applyAlignment="1" applyProtection="1"/>
    <xf numFmtId="0" fontId="2" fillId="0" borderId="11" xfId="0" applyFont="1" applyBorder="1" applyProtection="1"/>
    <xf numFmtId="0" fontId="2" fillId="0" borderId="10" xfId="0" applyNumberFormat="1" applyFont="1" applyBorder="1" applyProtection="1"/>
    <xf numFmtId="0" fontId="2" fillId="0" borderId="10" xfId="0" applyFont="1" applyBorder="1" applyAlignment="1" applyProtection="1"/>
    <xf numFmtId="0" fontId="0" fillId="0" borderId="0" xfId="0" applyProtection="1"/>
    <xf numFmtId="0" fontId="0" fillId="0" borderId="0" xfId="0" applyNumberFormat="1" applyProtection="1"/>
    <xf numFmtId="164" fontId="0" fillId="0" borderId="0" xfId="1" applyNumberFormat="1" applyFont="1" applyProtection="1"/>
    <xf numFmtId="0" fontId="3" fillId="2" borderId="0" xfId="0" applyFont="1" applyFill="1" applyBorder="1" applyProtection="1"/>
    <xf numFmtId="0" fontId="3" fillId="2" borderId="0" xfId="0" applyNumberFormat="1" applyFont="1" applyFill="1" applyBorder="1" applyProtection="1"/>
    <xf numFmtId="0" fontId="4" fillId="0" borderId="0" xfId="0" applyNumberFormat="1" applyFont="1"/>
    <xf numFmtId="0" fontId="0" fillId="0" borderId="0" xfId="0" applyAlignment="1">
      <alignment vertical="top" wrapText="1"/>
    </xf>
    <xf numFmtId="0" fontId="0" fillId="0" borderId="0" xfId="0" applyFont="1" applyAlignment="1">
      <alignment vertical="center" wrapText="1"/>
    </xf>
    <xf numFmtId="3" fontId="4" fillId="0" borderId="0" xfId="0" applyNumberFormat="1" applyFont="1" applyAlignment="1">
      <alignment vertical="center" wrapText="1"/>
    </xf>
    <xf numFmtId="0" fontId="2" fillId="0" borderId="0" xfId="0" applyFont="1" applyAlignment="1"/>
    <xf numFmtId="0" fontId="7" fillId="0" borderId="0" xfId="0" applyFont="1" applyAlignment="1">
      <alignment horizontal="right" vertical="center"/>
    </xf>
    <xf numFmtId="0" fontId="0" fillId="0" borderId="0" xfId="0" applyAlignment="1">
      <alignment wrapText="1"/>
    </xf>
    <xf numFmtId="0" fontId="2" fillId="0" borderId="0" xfId="0" applyFont="1" applyAlignment="1">
      <alignment horizontal="center" wrapText="1"/>
    </xf>
    <xf numFmtId="0" fontId="0" fillId="0" borderId="0" xfId="0" quotePrefix="1" applyAlignment="1">
      <alignment wrapText="1"/>
    </xf>
    <xf numFmtId="0" fontId="4" fillId="0" borderId="0" xfId="0" applyFont="1" applyFill="1" applyBorder="1"/>
    <xf numFmtId="0" fontId="8" fillId="0" borderId="0" xfId="0" applyFont="1" applyProtection="1"/>
    <xf numFmtId="0" fontId="0" fillId="0" borderId="19" xfId="0" applyNumberFormat="1" applyBorder="1" applyAlignment="1" applyProtection="1">
      <alignment horizontal="center"/>
      <protection locked="0"/>
    </xf>
    <xf numFmtId="2" fontId="0" fillId="0" borderId="20" xfId="0" applyNumberFormat="1" applyBorder="1" applyAlignment="1" applyProtection="1">
      <alignment horizontal="center"/>
      <protection locked="0"/>
    </xf>
    <xf numFmtId="0" fontId="4" fillId="0" borderId="0" xfId="0" quotePrefix="1" applyFont="1" applyFill="1" applyAlignment="1" applyProtection="1">
      <alignment horizontal="left"/>
      <protection locked="0"/>
    </xf>
    <xf numFmtId="0" fontId="4" fillId="0" borderId="0" xfId="0" applyFont="1" applyFill="1" applyProtection="1">
      <protection locked="0"/>
    </xf>
    <xf numFmtId="0" fontId="4" fillId="0" borderId="0" xfId="0" applyNumberFormat="1" applyFont="1" applyFill="1" applyProtection="1">
      <protection locked="0"/>
    </xf>
    <xf numFmtId="166" fontId="4" fillId="0" borderId="0" xfId="1" applyNumberFormat="1" applyFont="1" applyFill="1" applyProtection="1">
      <protection locked="0"/>
    </xf>
    <xf numFmtId="167" fontId="13" fillId="0" borderId="0" xfId="6" applyNumberFormat="1" applyProtection="1">
      <protection locked="0"/>
    </xf>
    <xf numFmtId="164" fontId="3" fillId="9" borderId="0" xfId="1" applyNumberFormat="1" applyFont="1" applyFill="1" applyBorder="1" applyAlignment="1" applyProtection="1">
      <alignment horizontal="center"/>
    </xf>
    <xf numFmtId="164" fontId="3" fillId="10" borderId="0" xfId="1" applyNumberFormat="1" applyFont="1" applyFill="1" applyBorder="1" applyAlignment="1" applyProtection="1">
      <alignment horizontal="center"/>
    </xf>
    <xf numFmtId="164" fontId="2" fillId="0" borderId="10" xfId="1" applyNumberFormat="1" applyFont="1" applyBorder="1" applyAlignment="1" applyProtection="1">
      <alignment horizontal="left"/>
    </xf>
    <xf numFmtId="164" fontId="0" fillId="9" borderId="2" xfId="0" applyNumberFormat="1" applyFill="1" applyBorder="1" applyAlignment="1">
      <alignment horizontal="center" vertical="center" wrapText="1"/>
    </xf>
    <xf numFmtId="0" fontId="0" fillId="11" borderId="2" xfId="0" applyFill="1" applyBorder="1" applyAlignment="1">
      <alignment horizontal="center" vertical="center"/>
    </xf>
    <xf numFmtId="165" fontId="2" fillId="3" borderId="2" xfId="3" applyNumberFormat="1" applyFont="1" applyFill="1" applyBorder="1" applyAlignment="1">
      <alignment horizontal="center" vertical="center" wrapText="1"/>
    </xf>
    <xf numFmtId="44" fontId="2" fillId="3" borderId="2" xfId="1" applyFont="1" applyFill="1" applyBorder="1" applyAlignment="1">
      <alignment horizontal="center" vertical="center" wrapText="1"/>
    </xf>
    <xf numFmtId="0" fontId="7" fillId="0" borderId="0" xfId="0" applyFont="1" applyAlignment="1">
      <alignment vertical="center"/>
    </xf>
    <xf numFmtId="0" fontId="0" fillId="0" borderId="24" xfId="0" pivotButton="1" applyBorder="1" applyAlignment="1">
      <alignment horizontal="center" vertical="center" wrapText="1"/>
    </xf>
    <xf numFmtId="0" fontId="16" fillId="15" borderId="0" xfId="8" applyFill="1"/>
    <xf numFmtId="0" fontId="16" fillId="20" borderId="0" xfId="8" applyFill="1"/>
    <xf numFmtId="167" fontId="16" fillId="0" borderId="0" xfId="8" applyNumberFormat="1" applyProtection="1">
      <protection locked="0"/>
    </xf>
    <xf numFmtId="6" fontId="16" fillId="0" borderId="0" xfId="8" applyNumberFormat="1"/>
    <xf numFmtId="0" fontId="16" fillId="0" borderId="0" xfId="8"/>
    <xf numFmtId="0" fontId="17" fillId="16" borderId="0" xfId="8" applyFont="1" applyFill="1"/>
    <xf numFmtId="0" fontId="17" fillId="17" borderId="0" xfId="8" applyFont="1" applyFill="1"/>
    <xf numFmtId="0" fontId="17" fillId="18" borderId="0" xfId="8" applyFont="1" applyFill="1"/>
    <xf numFmtId="0" fontId="4" fillId="0" borderId="0" xfId="6" applyFont="1" applyFill="1" applyProtection="1">
      <protection locked="0"/>
    </xf>
    <xf numFmtId="6" fontId="3" fillId="14" borderId="18" xfId="8" applyNumberFormat="1" applyFont="1" applyFill="1" applyBorder="1" applyAlignment="1">
      <alignment vertical="center"/>
    </xf>
    <xf numFmtId="0" fontId="16" fillId="0" borderId="0" xfId="8" applyFill="1" applyProtection="1">
      <protection locked="0"/>
    </xf>
    <xf numFmtId="6" fontId="16" fillId="0" borderId="0" xfId="8" applyNumberFormat="1" applyProtection="1"/>
    <xf numFmtId="0" fontId="16" fillId="15" borderId="0" xfId="8" applyFill="1" applyAlignment="1">
      <alignment wrapText="1"/>
    </xf>
    <xf numFmtId="0" fontId="17" fillId="19" borderId="0" xfId="8" applyFont="1" applyFill="1" applyAlignment="1">
      <alignment wrapText="1"/>
    </xf>
    <xf numFmtId="0" fontId="16" fillId="0" borderId="0" xfId="8" applyAlignment="1" applyProtection="1">
      <alignment wrapText="1"/>
      <protection locked="0"/>
    </xf>
    <xf numFmtId="0" fontId="4" fillId="0" borderId="0" xfId="8" applyFont="1" applyAlignment="1" applyProtection="1">
      <alignment wrapText="1"/>
      <protection locked="0"/>
    </xf>
    <xf numFmtId="0" fontId="16" fillId="0" borderId="0" xfId="8" applyAlignment="1">
      <alignment wrapText="1"/>
    </xf>
    <xf numFmtId="167" fontId="4" fillId="0" borderId="0" xfId="8" applyNumberFormat="1" applyFont="1" applyProtection="1">
      <protection locked="0"/>
    </xf>
    <xf numFmtId="0" fontId="16" fillId="21" borderId="0" xfId="8" applyFill="1" applyProtection="1">
      <protection locked="0"/>
    </xf>
    <xf numFmtId="0" fontId="16" fillId="0" borderId="0" xfId="8" applyProtection="1">
      <protection locked="0"/>
    </xf>
    <xf numFmtId="167" fontId="18" fillId="0" borderId="0" xfId="10" applyNumberFormat="1" applyProtection="1">
      <protection locked="0"/>
    </xf>
    <xf numFmtId="0" fontId="4" fillId="0" borderId="0" xfId="10" applyFont="1" applyProtection="1">
      <protection locked="0"/>
    </xf>
    <xf numFmtId="0" fontId="18" fillId="0" borderId="0" xfId="10" applyProtection="1">
      <protection locked="0"/>
    </xf>
    <xf numFmtId="6" fontId="0" fillId="0" borderId="0" xfId="0" applyNumberFormat="1" applyAlignment="1">
      <alignment horizontal="center"/>
    </xf>
    <xf numFmtId="6" fontId="20" fillId="0" borderId="0" xfId="0" applyNumberFormat="1" applyFont="1" applyAlignment="1">
      <alignment horizontal="center"/>
    </xf>
    <xf numFmtId="0" fontId="0" fillId="0" borderId="0" xfId="0" applyFont="1" applyAlignment="1">
      <alignment horizontal="center"/>
    </xf>
    <xf numFmtId="0" fontId="2" fillId="21" borderId="0" xfId="0" applyFont="1" applyFill="1" applyAlignment="1">
      <alignment horizontal="center"/>
    </xf>
    <xf numFmtId="0" fontId="2" fillId="0" borderId="0" xfId="0" applyFont="1" applyBorder="1" applyAlignment="1">
      <alignment horizontal="center"/>
    </xf>
    <xf numFmtId="0" fontId="22" fillId="0" borderId="0" xfId="0" applyFont="1" applyBorder="1" applyAlignment="1">
      <alignment horizontal="center"/>
    </xf>
    <xf numFmtId="0" fontId="0" fillId="0" borderId="0" xfId="0" applyFont="1" applyBorder="1" applyAlignment="1">
      <alignment horizontal="center"/>
    </xf>
    <xf numFmtId="0" fontId="27" fillId="23" borderId="0" xfId="0" applyFont="1" applyFill="1"/>
    <xf numFmtId="0" fontId="27" fillId="23" borderId="0" xfId="0" applyFont="1" applyFill="1" applyAlignment="1">
      <alignment wrapText="1"/>
    </xf>
    <xf numFmtId="0" fontId="29" fillId="0" borderId="0" xfId="0" applyFont="1" applyAlignment="1">
      <alignment horizontal="center" vertical="center"/>
    </xf>
    <xf numFmtId="0" fontId="27" fillId="23" borderId="26" xfId="0" applyFont="1" applyFill="1" applyBorder="1"/>
    <xf numFmtId="0" fontId="2" fillId="0" borderId="0" xfId="0" applyFont="1" applyAlignment="1">
      <alignment horizontal="center"/>
    </xf>
    <xf numFmtId="0" fontId="7" fillId="23" borderId="0" xfId="0" applyFont="1" applyFill="1" applyAlignment="1">
      <alignment vertical="center"/>
    </xf>
    <xf numFmtId="14" fontId="0" fillId="0" borderId="0" xfId="0" applyNumberFormat="1" applyAlignment="1">
      <alignment horizontal="center"/>
    </xf>
    <xf numFmtId="166" fontId="0" fillId="0" borderId="0" xfId="0" applyNumberFormat="1"/>
    <xf numFmtId="0" fontId="25" fillId="25" borderId="27" xfId="0" applyFont="1" applyFill="1" applyBorder="1" applyAlignment="1">
      <alignment horizontal="center" vertical="center" wrapText="1"/>
    </xf>
    <xf numFmtId="0" fontId="25" fillId="25" borderId="28" xfId="0" applyFont="1" applyFill="1" applyBorder="1" applyAlignment="1">
      <alignment horizontal="center" vertical="center" wrapText="1"/>
    </xf>
    <xf numFmtId="0" fontId="25" fillId="25" borderId="29" xfId="0" applyFont="1" applyFill="1" applyBorder="1" applyAlignment="1">
      <alignment horizontal="center" vertical="center" wrapText="1"/>
    </xf>
    <xf numFmtId="0" fontId="25" fillId="25" borderId="30" xfId="0" applyFont="1" applyFill="1" applyBorder="1" applyAlignment="1">
      <alignment horizontal="center" vertical="center" wrapText="1"/>
    </xf>
    <xf numFmtId="0" fontId="25" fillId="25" borderId="31" xfId="0" applyFont="1" applyFill="1" applyBorder="1" applyAlignment="1">
      <alignment horizontal="center" vertical="center" wrapText="1"/>
    </xf>
    <xf numFmtId="0" fontId="25" fillId="25" borderId="32" xfId="0" applyFont="1" applyFill="1" applyBorder="1" applyAlignment="1">
      <alignment horizontal="center" vertical="center" wrapText="1"/>
    </xf>
    <xf numFmtId="0" fontId="30" fillId="27" borderId="27" xfId="0" applyFont="1" applyFill="1" applyBorder="1" applyAlignment="1">
      <alignment horizontal="center" vertical="center" wrapText="1"/>
    </xf>
    <xf numFmtId="0" fontId="30" fillId="27" borderId="28" xfId="0" applyFont="1" applyFill="1" applyBorder="1" applyAlignment="1">
      <alignment horizontal="center" vertical="center" wrapText="1"/>
    </xf>
    <xf numFmtId="0" fontId="30" fillId="27" borderId="29" xfId="0" applyFont="1" applyFill="1" applyBorder="1" applyAlignment="1">
      <alignment horizontal="center" vertical="center" wrapText="1"/>
    </xf>
    <xf numFmtId="0" fontId="30" fillId="27" borderId="30" xfId="0" applyFont="1" applyFill="1" applyBorder="1" applyAlignment="1">
      <alignment horizontal="center" vertical="center" wrapText="1"/>
    </xf>
    <xf numFmtId="8" fontId="24" fillId="0" borderId="34" xfId="1" applyNumberFormat="1" applyFont="1" applyBorder="1"/>
    <xf numFmtId="165" fontId="24" fillId="0" borderId="4" xfId="0" applyNumberFormat="1" applyFont="1" applyBorder="1"/>
    <xf numFmtId="43" fontId="24" fillId="0" borderId="4" xfId="0" applyNumberFormat="1" applyFont="1" applyBorder="1"/>
    <xf numFmtId="44" fontId="24" fillId="0" borderId="4" xfId="1" applyFont="1" applyBorder="1"/>
    <xf numFmtId="0" fontId="24" fillId="0" borderId="35" xfId="0" applyFont="1" applyBorder="1" applyAlignment="1">
      <alignment horizontal="center" vertical="center"/>
    </xf>
    <xf numFmtId="8" fontId="24" fillId="0" borderId="37" xfId="0" applyNumberFormat="1" applyFont="1" applyBorder="1"/>
    <xf numFmtId="165" fontId="24" fillId="0" borderId="10" xfId="0" applyNumberFormat="1" applyFont="1" applyBorder="1"/>
    <xf numFmtId="43" fontId="24" fillId="0" borderId="10" xfId="0" applyNumberFormat="1" applyFont="1" applyBorder="1"/>
    <xf numFmtId="44" fontId="27" fillId="0" borderId="38" xfId="1" applyFont="1" applyBorder="1"/>
    <xf numFmtId="0" fontId="24" fillId="0" borderId="20" xfId="0" applyFont="1" applyBorder="1" applyAlignment="1">
      <alignment horizontal="center" vertical="center"/>
    </xf>
    <xf numFmtId="0" fontId="25" fillId="24" borderId="29" xfId="0" applyFont="1" applyFill="1" applyBorder="1" applyAlignment="1">
      <alignment horizontal="center" vertical="center" wrapText="1"/>
    </xf>
    <xf numFmtId="0" fontId="27" fillId="23" borderId="0" xfId="0" applyFont="1" applyFill="1" applyBorder="1"/>
    <xf numFmtId="43" fontId="24" fillId="0" borderId="39" xfId="3" applyFont="1" applyBorder="1" applyAlignment="1">
      <alignment horizontal="center" vertical="center"/>
    </xf>
    <xf numFmtId="165" fontId="24" fillId="0" borderId="38" xfId="3" applyNumberFormat="1" applyFont="1" applyBorder="1" applyAlignment="1">
      <alignment horizontal="center" vertical="center"/>
    </xf>
    <xf numFmtId="0" fontId="24" fillId="0" borderId="38" xfId="0" applyFont="1" applyBorder="1" applyAlignment="1">
      <alignment horizontal="center" vertical="center"/>
    </xf>
    <xf numFmtId="0" fontId="25" fillId="25" borderId="40" xfId="0" applyFont="1" applyFill="1" applyBorder="1" applyAlignment="1">
      <alignment horizontal="center" vertical="center"/>
    </xf>
    <xf numFmtId="0" fontId="28" fillId="24" borderId="31" xfId="0" applyFont="1" applyFill="1" applyBorder="1" applyAlignment="1">
      <alignment horizontal="center" vertical="center" wrapText="1"/>
    </xf>
    <xf numFmtId="0" fontId="28" fillId="24" borderId="29" xfId="0" applyFont="1" applyFill="1" applyBorder="1" applyAlignment="1">
      <alignment horizontal="center" vertical="center" wrapText="1"/>
    </xf>
    <xf numFmtId="0" fontId="28" fillId="24" borderId="32" xfId="0" applyFont="1" applyFill="1" applyBorder="1" applyAlignment="1">
      <alignment horizontal="center" vertical="center" wrapText="1"/>
    </xf>
    <xf numFmtId="0" fontId="24" fillId="0" borderId="39" xfId="0" applyFont="1" applyBorder="1" applyAlignment="1">
      <alignment horizontal="center" vertical="center"/>
    </xf>
    <xf numFmtId="14" fontId="24" fillId="0" borderId="38" xfId="0" applyNumberFormat="1" applyFont="1" applyBorder="1" applyAlignment="1">
      <alignment horizontal="center" vertical="center"/>
    </xf>
    <xf numFmtId="0" fontId="24" fillId="0" borderId="40" xfId="0" applyFont="1" applyBorder="1" applyAlignment="1">
      <alignment horizontal="center" vertical="center"/>
    </xf>
    <xf numFmtId="0" fontId="28" fillId="26" borderId="31" xfId="0" applyFont="1" applyFill="1" applyBorder="1" applyAlignment="1">
      <alignment horizontal="center" vertical="center" wrapText="1"/>
    </xf>
    <xf numFmtId="0" fontId="28" fillId="26" borderId="29" xfId="0" applyFont="1" applyFill="1" applyBorder="1" applyAlignment="1">
      <alignment horizontal="center" vertical="center" wrapText="1"/>
    </xf>
    <xf numFmtId="0" fontId="28" fillId="26" borderId="32" xfId="0" applyFont="1" applyFill="1" applyBorder="1" applyAlignment="1">
      <alignment horizontal="center" vertical="center" wrapText="1"/>
    </xf>
    <xf numFmtId="0" fontId="24" fillId="0" borderId="41" xfId="0" applyFont="1" applyBorder="1"/>
    <xf numFmtId="0" fontId="30" fillId="27" borderId="31" xfId="0" applyFont="1" applyFill="1" applyBorder="1" applyAlignment="1">
      <alignment horizontal="center" vertical="center" wrapText="1"/>
    </xf>
    <xf numFmtId="0" fontId="24" fillId="0" borderId="22" xfId="0" applyFont="1" applyBorder="1"/>
    <xf numFmtId="164" fontId="0" fillId="0" borderId="9" xfId="1" applyNumberFormat="1" applyFont="1" applyBorder="1" applyAlignment="1" applyProtection="1">
      <alignment horizontal="center"/>
      <protection locked="0"/>
    </xf>
    <xf numFmtId="10" fontId="9" fillId="0" borderId="8" xfId="2" applyNumberFormat="1" applyFont="1" applyFill="1" applyBorder="1" applyAlignment="1">
      <alignment horizontal="left" vertical="center"/>
    </xf>
    <xf numFmtId="165" fontId="2" fillId="0" borderId="8" xfId="3" applyNumberFormat="1" applyFont="1" applyFill="1" applyBorder="1" applyAlignment="1">
      <alignment horizontal="center" vertical="center" wrapText="1"/>
    </xf>
    <xf numFmtId="0" fontId="2" fillId="0" borderId="8" xfId="0" applyFont="1" applyFill="1" applyBorder="1" applyAlignment="1">
      <alignment horizontal="center" vertical="center"/>
    </xf>
    <xf numFmtId="164" fontId="5" fillId="4" borderId="4" xfId="0" applyNumberFormat="1" applyFont="1" applyFill="1" applyBorder="1" applyAlignment="1">
      <alignment horizontal="center" vertical="center" wrapText="1"/>
    </xf>
    <xf numFmtId="164" fontId="5" fillId="6" borderId="7" xfId="0" applyNumberFormat="1" applyFont="1" applyFill="1" applyBorder="1" applyAlignment="1">
      <alignment horizontal="center" vertical="center" wrapText="1"/>
    </xf>
    <xf numFmtId="10" fontId="2" fillId="0" borderId="45" xfId="2" applyNumberFormat="1" applyFont="1" applyFill="1" applyBorder="1" applyAlignment="1">
      <alignment horizontal="center" vertical="center"/>
    </xf>
    <xf numFmtId="164" fontId="5" fillId="29" borderId="21" xfId="0" applyNumberFormat="1" applyFont="1" applyFill="1" applyBorder="1" applyAlignment="1">
      <alignment horizontal="center" vertical="center" wrapText="1"/>
    </xf>
    <xf numFmtId="164" fontId="5" fillId="29" borderId="23" xfId="0" applyNumberFormat="1" applyFont="1" applyFill="1" applyBorder="1" applyAlignment="1">
      <alignment horizontal="center" vertical="center" wrapText="1"/>
    </xf>
    <xf numFmtId="9" fontId="24" fillId="0" borderId="41" xfId="2" applyFont="1" applyFill="1" applyBorder="1" applyAlignment="1">
      <alignment horizontal="center"/>
    </xf>
    <xf numFmtId="9" fontId="24" fillId="0" borderId="42" xfId="2" applyFont="1" applyFill="1" applyBorder="1" applyAlignment="1">
      <alignment horizontal="center"/>
    </xf>
    <xf numFmtId="9" fontId="24" fillId="0" borderId="3" xfId="2" applyFont="1" applyFill="1" applyBorder="1" applyAlignment="1">
      <alignment horizontal="center"/>
    </xf>
    <xf numFmtId="9" fontId="24" fillId="0" borderId="21" xfId="2" applyFont="1" applyFill="1" applyBorder="1" applyAlignment="1">
      <alignment horizontal="center"/>
    </xf>
    <xf numFmtId="9" fontId="24" fillId="0" borderId="33" xfId="2" applyFont="1" applyBorder="1" applyAlignment="1">
      <alignment horizontal="center"/>
    </xf>
    <xf numFmtId="0" fontId="4" fillId="0" borderId="0" xfId="0" applyFont="1" applyProtection="1">
      <protection locked="0"/>
    </xf>
    <xf numFmtId="166" fontId="31" fillId="0" borderId="0" xfId="1" applyNumberFormat="1" applyFont="1" applyFill="1" applyProtection="1">
      <protection locked="0"/>
    </xf>
    <xf numFmtId="164" fontId="0" fillId="0" borderId="21" xfId="1" applyNumberFormat="1" applyFont="1" applyBorder="1" applyAlignment="1">
      <alignment horizontal="center" vertical="center"/>
    </xf>
    <xf numFmtId="164" fontId="0" fillId="0" borderId="23" xfId="1" applyNumberFormat="1" applyFont="1" applyBorder="1" applyAlignment="1">
      <alignment horizontal="center" vertical="center"/>
    </xf>
    <xf numFmtId="164" fontId="2" fillId="28" borderId="32" xfId="1" applyNumberFormat="1" applyFont="1" applyFill="1" applyBorder="1" applyAlignment="1">
      <alignment horizontal="center" vertical="center"/>
    </xf>
    <xf numFmtId="0" fontId="32" fillId="30" borderId="44" xfId="0" applyFont="1" applyFill="1" applyBorder="1"/>
    <xf numFmtId="165" fontId="32" fillId="30" borderId="43" xfId="3" applyNumberFormat="1" applyFont="1" applyFill="1" applyBorder="1"/>
    <xf numFmtId="8" fontId="32" fillId="30" borderId="2" xfId="1" applyNumberFormat="1" applyFont="1" applyFill="1" applyBorder="1"/>
    <xf numFmtId="2" fontId="32" fillId="30" borderId="2" xfId="0" applyNumberFormat="1" applyFont="1" applyFill="1" applyBorder="1"/>
    <xf numFmtId="44" fontId="32" fillId="30" borderId="42" xfId="1" applyFont="1" applyFill="1" applyBorder="1"/>
    <xf numFmtId="0" fontId="33" fillId="31" borderId="33" xfId="0" applyFont="1" applyFill="1" applyBorder="1"/>
    <xf numFmtId="165" fontId="33" fillId="31" borderId="34" xfId="3" applyNumberFormat="1" applyFont="1" applyFill="1" applyBorder="1"/>
    <xf numFmtId="8" fontId="33" fillId="31" borderId="4" xfId="1" applyNumberFormat="1" applyFont="1" applyFill="1" applyBorder="1"/>
    <xf numFmtId="2" fontId="33" fillId="31" borderId="4" xfId="0" applyNumberFormat="1" applyFont="1" applyFill="1" applyBorder="1"/>
    <xf numFmtId="44" fontId="33" fillId="31" borderId="21" xfId="1" applyFont="1" applyFill="1" applyBorder="1"/>
    <xf numFmtId="0" fontId="33" fillId="31" borderId="44" xfId="0" applyFont="1" applyFill="1" applyBorder="1"/>
    <xf numFmtId="165" fontId="33" fillId="31" borderId="43" xfId="3" applyNumberFormat="1" applyFont="1" applyFill="1" applyBorder="1"/>
    <xf numFmtId="8" fontId="33" fillId="31" borderId="2" xfId="1" applyNumberFormat="1" applyFont="1" applyFill="1" applyBorder="1"/>
    <xf numFmtId="2" fontId="33" fillId="31" borderId="2" xfId="0" applyNumberFormat="1" applyFont="1" applyFill="1" applyBorder="1"/>
    <xf numFmtId="44" fontId="33" fillId="31" borderId="42" xfId="1" applyFont="1" applyFill="1" applyBorder="1"/>
    <xf numFmtId="9" fontId="27" fillId="0" borderId="36" xfId="2" applyFont="1" applyBorder="1" applyAlignment="1">
      <alignment horizontal="center"/>
    </xf>
    <xf numFmtId="0" fontId="35" fillId="30" borderId="0" xfId="0" applyFont="1" applyFill="1"/>
    <xf numFmtId="0" fontId="34" fillId="31" borderId="0" xfId="0" applyFont="1" applyFill="1"/>
    <xf numFmtId="0" fontId="34" fillId="31" borderId="0" xfId="0" applyFont="1" applyFill="1" applyAlignment="1">
      <alignment vertical="center"/>
    </xf>
    <xf numFmtId="0" fontId="35" fillId="30" borderId="0" xfId="0" applyFont="1" applyFill="1" applyAlignment="1">
      <alignment vertical="center"/>
    </xf>
    <xf numFmtId="0" fontId="2" fillId="0" borderId="0" xfId="0" applyFont="1" applyAlignment="1">
      <alignment horizontal="center"/>
    </xf>
    <xf numFmtId="9" fontId="32" fillId="30" borderId="41" xfId="2" applyFont="1" applyFill="1" applyBorder="1" applyAlignment="1">
      <alignment horizontal="center"/>
    </xf>
    <xf numFmtId="9" fontId="32" fillId="30" borderId="42" xfId="2" applyFont="1" applyFill="1" applyBorder="1" applyAlignment="1">
      <alignment horizontal="center"/>
    </xf>
    <xf numFmtId="167" fontId="0" fillId="0" borderId="0" xfId="0" applyNumberFormat="1" applyProtection="1">
      <protection locked="0"/>
    </xf>
    <xf numFmtId="167" fontId="37" fillId="0" borderId="0" xfId="0" applyNumberFormat="1" applyFont="1" applyProtection="1">
      <protection locked="0"/>
    </xf>
    <xf numFmtId="166" fontId="37" fillId="0" borderId="0" xfId="1" applyNumberFormat="1" applyFont="1" applyProtection="1">
      <protection locked="0"/>
    </xf>
    <xf numFmtId="0" fontId="4" fillId="0" borderId="0" xfId="0" applyNumberFormat="1" applyFont="1" applyFill="1" applyBorder="1" applyProtection="1">
      <protection locked="0"/>
    </xf>
    <xf numFmtId="0" fontId="0" fillId="13" borderId="0" xfId="0" applyFill="1" applyAlignment="1">
      <alignment vertical="center"/>
    </xf>
    <xf numFmtId="164" fontId="0" fillId="13" borderId="0" xfId="0" applyNumberFormat="1" applyFill="1" applyAlignment="1">
      <alignment vertical="center"/>
    </xf>
    <xf numFmtId="9" fontId="24" fillId="32" borderId="41" xfId="2" applyFont="1" applyFill="1" applyBorder="1" applyAlignment="1">
      <alignment horizontal="center"/>
    </xf>
    <xf numFmtId="9" fontId="24" fillId="32" borderId="42" xfId="2" applyFont="1" applyFill="1" applyBorder="1" applyAlignment="1">
      <alignment horizontal="center"/>
    </xf>
    <xf numFmtId="44" fontId="2" fillId="0" borderId="45" xfId="2" applyNumberFormat="1" applyFont="1" applyFill="1" applyBorder="1" applyAlignment="1">
      <alignment horizontal="center" vertical="center"/>
    </xf>
    <xf numFmtId="44" fontId="2" fillId="0" borderId="8" xfId="2" applyNumberFormat="1" applyFont="1" applyFill="1" applyBorder="1" applyAlignment="1">
      <alignment horizontal="center" vertical="center"/>
    </xf>
    <xf numFmtId="44" fontId="9" fillId="0" borderId="8" xfId="2" applyNumberFormat="1" applyFont="1" applyFill="1" applyBorder="1" applyAlignment="1">
      <alignment horizontal="left" vertical="center"/>
    </xf>
    <xf numFmtId="164" fontId="0" fillId="0" borderId="0" xfId="0" applyNumberFormat="1" applyFill="1" applyAlignment="1">
      <alignment vertical="center"/>
    </xf>
    <xf numFmtId="165" fontId="0" fillId="0" borderId="0" xfId="3" applyNumberFormat="1" applyFont="1" applyFill="1" applyAlignment="1">
      <alignment horizontal="center"/>
    </xf>
    <xf numFmtId="44" fontId="2" fillId="0" borderId="0" xfId="1" applyFont="1" applyFill="1" applyAlignment="1">
      <alignment vertical="center"/>
    </xf>
    <xf numFmtId="10" fontId="0" fillId="0" borderId="0" xfId="2" applyNumberFormat="1" applyFont="1" applyFill="1" applyAlignment="1">
      <alignment horizontal="center" vertical="center"/>
    </xf>
    <xf numFmtId="0" fontId="0" fillId="0" borderId="0" xfId="0" applyFill="1" applyAlignment="1">
      <alignment horizontal="center" vertical="center"/>
    </xf>
    <xf numFmtId="0" fontId="0" fillId="11" borderId="0" xfId="0" applyFill="1" applyAlignment="1">
      <alignment vertical="center"/>
    </xf>
    <xf numFmtId="164" fontId="0" fillId="11" borderId="0" xfId="0" applyNumberFormat="1" applyFill="1" applyAlignment="1">
      <alignment vertical="center"/>
    </xf>
    <xf numFmtId="0" fontId="6" fillId="11" borderId="0" xfId="0" applyFont="1" applyFill="1" applyAlignment="1">
      <alignment vertical="center"/>
    </xf>
    <xf numFmtId="164" fontId="6" fillId="11" borderId="0" xfId="0" applyNumberFormat="1" applyFont="1" applyFill="1" applyAlignment="1">
      <alignment vertical="center"/>
    </xf>
    <xf numFmtId="0" fontId="0" fillId="10" borderId="0" xfId="0" applyFill="1" applyAlignment="1">
      <alignment vertical="center"/>
    </xf>
    <xf numFmtId="164" fontId="0" fillId="10" borderId="0" xfId="0" applyNumberFormat="1" applyFill="1" applyAlignment="1">
      <alignment vertical="center"/>
    </xf>
    <xf numFmtId="164" fontId="2" fillId="11" borderId="4" xfId="0" applyNumberFormat="1" applyFont="1" applyFill="1" applyBorder="1" applyAlignment="1">
      <alignment horizontal="center" vertical="center" wrapText="1"/>
    </xf>
    <xf numFmtId="165" fontId="2" fillId="11" borderId="4" xfId="3" applyNumberFormat="1" applyFont="1" applyFill="1" applyBorder="1" applyAlignment="1">
      <alignment horizontal="center" vertical="center" wrapText="1"/>
    </xf>
    <xf numFmtId="44" fontId="2" fillId="11" borderId="4" xfId="0" applyNumberFormat="1" applyFont="1" applyFill="1" applyBorder="1" applyAlignment="1">
      <alignment horizontal="center" vertical="center" wrapText="1"/>
    </xf>
    <xf numFmtId="0" fontId="2" fillId="11" borderId="4" xfId="0" applyNumberFormat="1" applyFont="1" applyFill="1" applyBorder="1" applyAlignment="1">
      <alignment horizontal="center" vertical="center" wrapText="1"/>
    </xf>
    <xf numFmtId="164" fontId="2" fillId="11" borderId="2" xfId="0" applyNumberFormat="1" applyFont="1" applyFill="1" applyBorder="1" applyAlignment="1">
      <alignment horizontal="center" vertical="center" wrapText="1"/>
    </xf>
    <xf numFmtId="165" fontId="2" fillId="11" borderId="2" xfId="3" applyNumberFormat="1" applyFont="1" applyFill="1" applyBorder="1" applyAlignment="1">
      <alignment horizontal="center" vertical="center" wrapText="1"/>
    </xf>
    <xf numFmtId="44" fontId="2" fillId="11" borderId="2" xfId="0" applyNumberFormat="1" applyFont="1" applyFill="1" applyBorder="1" applyAlignment="1">
      <alignment horizontal="center" vertical="center" wrapText="1"/>
    </xf>
    <xf numFmtId="0" fontId="2" fillId="11" borderId="2" xfId="0" applyNumberFormat="1" applyFont="1" applyFill="1" applyBorder="1" applyAlignment="1">
      <alignment horizontal="center" vertical="center" wrapText="1"/>
    </xf>
    <xf numFmtId="0" fontId="6" fillId="20" borderId="0" xfId="0" applyFont="1" applyFill="1"/>
    <xf numFmtId="0" fontId="6" fillId="20" borderId="0" xfId="0" applyFont="1" applyFill="1" applyAlignment="1">
      <alignment vertical="center"/>
    </xf>
    <xf numFmtId="44" fontId="0" fillId="0" borderId="0" xfId="1" applyFont="1" applyAlignment="1">
      <alignment horizontal="center"/>
    </xf>
    <xf numFmtId="164" fontId="2" fillId="21" borderId="0" xfId="1" applyNumberFormat="1" applyFont="1" applyFill="1" applyAlignment="1">
      <alignment horizontal="center"/>
    </xf>
    <xf numFmtId="164" fontId="0" fillId="0" borderId="0" xfId="1" applyNumberFormat="1" applyFont="1" applyAlignment="1">
      <alignment horizontal="center"/>
    </xf>
    <xf numFmtId="164" fontId="34" fillId="31" borderId="0" xfId="1" applyNumberFormat="1" applyFont="1" applyFill="1" applyAlignment="1">
      <alignment horizontal="center" vertical="center"/>
    </xf>
    <xf numFmtId="164" fontId="35" fillId="30" borderId="0" xfId="1" applyNumberFormat="1" applyFont="1" applyFill="1" applyAlignment="1">
      <alignment horizontal="center" vertical="center"/>
    </xf>
    <xf numFmtId="164" fontId="6" fillId="20" borderId="0" xfId="1" applyNumberFormat="1" applyFont="1" applyFill="1" applyAlignment="1">
      <alignment horizontal="center" vertical="center"/>
    </xf>
    <xf numFmtId="164" fontId="0" fillId="0" borderId="0" xfId="0" applyNumberFormat="1" applyProtection="1">
      <protection locked="0"/>
    </xf>
    <xf numFmtId="164" fontId="0" fillId="33" borderId="2" xfId="0" applyNumberFormat="1" applyFill="1" applyBorder="1" applyAlignment="1">
      <alignment horizontal="center" vertical="center" wrapText="1"/>
    </xf>
    <xf numFmtId="0" fontId="0" fillId="13" borderId="0" xfId="0" applyFill="1"/>
    <xf numFmtId="164" fontId="0" fillId="13" borderId="0" xfId="1" applyNumberFormat="1" applyFont="1" applyFill="1" applyAlignment="1">
      <alignment horizontal="center" vertical="center"/>
    </xf>
    <xf numFmtId="0" fontId="36" fillId="13" borderId="44" xfId="0" applyFont="1" applyFill="1" applyBorder="1"/>
    <xf numFmtId="165" fontId="36" fillId="13" borderId="43" xfId="3" applyNumberFormat="1" applyFont="1" applyFill="1" applyBorder="1"/>
    <xf numFmtId="8" fontId="36" fillId="13" borderId="2" xfId="1" applyNumberFormat="1" applyFont="1" applyFill="1" applyBorder="1"/>
    <xf numFmtId="2" fontId="36" fillId="13" borderId="2" xfId="0" applyNumberFormat="1" applyFont="1" applyFill="1" applyBorder="1"/>
    <xf numFmtId="44" fontId="36" fillId="13" borderId="42" xfId="1" applyFont="1" applyFill="1" applyBorder="1"/>
    <xf numFmtId="0" fontId="36" fillId="20" borderId="44" xfId="0" applyFont="1" applyFill="1" applyBorder="1"/>
    <xf numFmtId="165" fontId="36" fillId="20" borderId="43" xfId="3" applyNumberFormat="1" applyFont="1" applyFill="1" applyBorder="1"/>
    <xf numFmtId="8" fontId="36" fillId="20" borderId="2" xfId="1" applyNumberFormat="1" applyFont="1" applyFill="1" applyBorder="1"/>
    <xf numFmtId="2" fontId="36" fillId="20" borderId="2" xfId="0" applyNumberFormat="1" applyFont="1" applyFill="1" applyBorder="1"/>
    <xf numFmtId="44" fontId="36" fillId="20" borderId="42" xfId="1" applyFont="1" applyFill="1" applyBorder="1"/>
    <xf numFmtId="9" fontId="36" fillId="20" borderId="41" xfId="2" applyFont="1" applyFill="1" applyBorder="1" applyAlignment="1">
      <alignment horizontal="center"/>
    </xf>
    <xf numFmtId="9" fontId="36" fillId="20" borderId="42" xfId="2" applyFont="1" applyFill="1" applyBorder="1" applyAlignment="1">
      <alignment horizontal="center"/>
    </xf>
    <xf numFmtId="9" fontId="36" fillId="20" borderId="41" xfId="2" applyNumberFormat="1" applyFont="1" applyFill="1" applyBorder="1" applyAlignment="1">
      <alignment horizontal="center"/>
    </xf>
    <xf numFmtId="0" fontId="0" fillId="14" borderId="0" xfId="0" applyFill="1" applyAlignment="1">
      <alignment vertical="center"/>
    </xf>
    <xf numFmtId="0" fontId="36" fillId="20" borderId="36" xfId="0" applyFont="1" applyFill="1" applyBorder="1"/>
    <xf numFmtId="165" fontId="36" fillId="20" borderId="22" xfId="3" applyNumberFormat="1" applyFont="1" applyFill="1" applyBorder="1"/>
    <xf numFmtId="8" fontId="36" fillId="20" borderId="10" xfId="1" applyNumberFormat="1" applyFont="1" applyFill="1" applyBorder="1"/>
    <xf numFmtId="2" fontId="36" fillId="20" borderId="10" xfId="0" applyNumberFormat="1" applyFont="1" applyFill="1" applyBorder="1"/>
    <xf numFmtId="44" fontId="36" fillId="20" borderId="40" xfId="1" applyFont="1" applyFill="1" applyBorder="1"/>
    <xf numFmtId="9" fontId="36" fillId="20" borderId="39" xfId="2" applyFont="1" applyFill="1" applyBorder="1" applyAlignment="1">
      <alignment horizontal="center"/>
    </xf>
    <xf numFmtId="9" fontId="36" fillId="20" borderId="40" xfId="2" applyFont="1" applyFill="1" applyBorder="1" applyAlignment="1">
      <alignment horizontal="center"/>
    </xf>
    <xf numFmtId="44" fontId="0" fillId="0" borderId="0" xfId="1" applyNumberFormat="1" applyFont="1" applyAlignment="1">
      <alignment horizontal="center"/>
    </xf>
    <xf numFmtId="164" fontId="5" fillId="6" borderId="7" xfId="0" applyNumberFormat="1" applyFont="1" applyFill="1" applyBorder="1" applyAlignment="1">
      <alignment horizontal="center" vertical="center" wrapText="1"/>
    </xf>
    <xf numFmtId="164" fontId="5" fillId="6" borderId="8" xfId="0" applyNumberFormat="1" applyFont="1" applyFill="1" applyBorder="1" applyAlignment="1">
      <alignment horizontal="center" vertical="center" wrapText="1"/>
    </xf>
    <xf numFmtId="164" fontId="5" fillId="4" borderId="8" xfId="0" applyNumberFormat="1" applyFont="1" applyFill="1" applyBorder="1" applyAlignment="1">
      <alignment horizontal="center" vertical="center" wrapText="1"/>
    </xf>
    <xf numFmtId="164" fontId="5" fillId="4" borderId="4" xfId="0" applyNumberFormat="1" applyFont="1" applyFill="1" applyBorder="1" applyAlignment="1">
      <alignment horizontal="center" vertical="center" wrapText="1"/>
    </xf>
    <xf numFmtId="0" fontId="5" fillId="7" borderId="0" xfId="0" applyFont="1" applyFill="1" applyAlignment="1">
      <alignment horizontal="center" vertical="center"/>
    </xf>
    <xf numFmtId="0" fontId="14" fillId="13" borderId="3" xfId="0" applyFont="1" applyFill="1" applyBorder="1" applyAlignment="1">
      <alignment horizontal="center" vertical="center"/>
    </xf>
    <xf numFmtId="0" fontId="14" fillId="13" borderId="9" xfId="0" applyFont="1" applyFill="1" applyBorder="1" applyAlignment="1">
      <alignment horizontal="center" vertical="center"/>
    </xf>
    <xf numFmtId="0" fontId="14" fillId="13" borderId="21" xfId="0" applyFont="1" applyFill="1" applyBorder="1" applyAlignment="1">
      <alignment horizontal="center" vertical="center"/>
    </xf>
    <xf numFmtId="0" fontId="14" fillId="13" borderId="22" xfId="0" applyFont="1" applyFill="1" applyBorder="1" applyAlignment="1">
      <alignment horizontal="center" vertical="center"/>
    </xf>
    <xf numFmtId="0" fontId="14" fillId="13" borderId="10" xfId="0" applyFont="1" applyFill="1" applyBorder="1" applyAlignment="1">
      <alignment horizontal="center" vertical="center"/>
    </xf>
    <xf numFmtId="0" fontId="14" fillId="13" borderId="23" xfId="0" applyFont="1" applyFill="1" applyBorder="1" applyAlignment="1">
      <alignment horizontal="center" vertical="center"/>
    </xf>
    <xf numFmtId="0" fontId="0" fillId="0" borderId="3" xfId="0" applyFont="1" applyBorder="1" applyAlignment="1">
      <alignment horizontal="center" vertical="center"/>
    </xf>
    <xf numFmtId="0" fontId="0" fillId="0" borderId="9" xfId="0" applyFont="1" applyBorder="1" applyAlignment="1">
      <alignment horizontal="center" vertical="center"/>
    </xf>
    <xf numFmtId="0" fontId="0" fillId="0" borderId="22" xfId="0" applyFont="1" applyBorder="1" applyAlignment="1">
      <alignment horizontal="center" vertical="center"/>
    </xf>
    <xf numFmtId="0" fontId="0" fillId="0" borderId="10" xfId="0" applyFont="1" applyBorder="1" applyAlignment="1">
      <alignment horizontal="center" vertical="center"/>
    </xf>
    <xf numFmtId="0" fontId="2" fillId="28" borderId="31" xfId="0" applyFont="1" applyFill="1" applyBorder="1" applyAlignment="1">
      <alignment horizontal="center" vertical="center"/>
    </xf>
    <xf numFmtId="0" fontId="2" fillId="28" borderId="29" xfId="0" applyFont="1" applyFill="1" applyBorder="1" applyAlignment="1">
      <alignment horizontal="center" vertical="center"/>
    </xf>
    <xf numFmtId="164" fontId="5" fillId="29" borderId="3" xfId="0" applyNumberFormat="1" applyFont="1" applyFill="1" applyBorder="1" applyAlignment="1">
      <alignment horizontal="center" vertical="center" wrapText="1"/>
    </xf>
    <xf numFmtId="164" fontId="5" fillId="29" borderId="22" xfId="0" applyNumberFormat="1" applyFont="1" applyFill="1" applyBorder="1" applyAlignment="1">
      <alignment horizontal="center" vertical="center" wrapText="1"/>
    </xf>
    <xf numFmtId="0" fontId="8" fillId="0" borderId="0" xfId="0" applyFont="1" applyBorder="1" applyAlignment="1" applyProtection="1">
      <alignment horizontal="center" vertical="center"/>
    </xf>
    <xf numFmtId="0" fontId="8" fillId="0" borderId="15" xfId="0" applyFont="1" applyBorder="1" applyAlignment="1" applyProtection="1">
      <alignment horizontal="center" vertical="center"/>
    </xf>
    <xf numFmtId="0" fontId="15" fillId="8" borderId="2" xfId="0" applyFont="1" applyFill="1" applyBorder="1" applyAlignment="1" applyProtection="1">
      <alignment horizontal="left"/>
    </xf>
    <xf numFmtId="0" fontId="15" fillId="12" borderId="2" xfId="0" applyFont="1" applyFill="1" applyBorder="1" applyAlignment="1" applyProtection="1">
      <alignment horizontal="left"/>
    </xf>
    <xf numFmtId="0" fontId="3" fillId="14" borderId="17" xfId="8" applyFont="1" applyFill="1" applyBorder="1" applyAlignment="1">
      <alignment horizontal="center" vertical="center"/>
    </xf>
    <xf numFmtId="0" fontId="3" fillId="14" borderId="25" xfId="8" applyFont="1" applyFill="1" applyBorder="1" applyAlignment="1">
      <alignment horizontal="center" vertical="center"/>
    </xf>
    <xf numFmtId="0" fontId="21" fillId="16" borderId="0" xfId="0" applyFont="1" applyFill="1" applyAlignment="1">
      <alignment horizontal="center"/>
    </xf>
    <xf numFmtId="0" fontId="26" fillId="22" borderId="0" xfId="0" applyFont="1" applyFill="1" applyAlignment="1">
      <alignment horizontal="center" vertical="center" wrapText="1"/>
    </xf>
    <xf numFmtId="0" fontId="2" fillId="0" borderId="12" xfId="0" applyFont="1" applyBorder="1" applyAlignment="1">
      <alignment horizontal="center"/>
    </xf>
    <xf numFmtId="0" fontId="2" fillId="0" borderId="13"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2" fillId="0" borderId="0" xfId="0" quotePrefix="1" applyFont="1" applyAlignment="1">
      <alignment horizontal="center"/>
    </xf>
    <xf numFmtId="0" fontId="2" fillId="0" borderId="0" xfId="0" applyFont="1" applyAlignment="1">
      <alignment horizontal="center"/>
    </xf>
  </cellXfs>
  <cellStyles count="12">
    <cellStyle name="Comma" xfId="3" builtinId="3"/>
    <cellStyle name="Currency" xfId="1" builtinId="4"/>
    <cellStyle name="Currency 2" xfId="7" xr:uid="{C53F798C-9C37-4C09-97FB-BAB976B038F9}"/>
    <cellStyle name="Normal" xfId="0" builtinId="0"/>
    <cellStyle name="Normal 2" xfId="4" xr:uid="{6397B585-B355-4EE4-BECB-AE81CB9A14CC}"/>
    <cellStyle name="Normal 2 2" xfId="9" xr:uid="{0DC01637-E76F-4CDC-990D-3644A46CA711}"/>
    <cellStyle name="Normal 3" xfId="5" xr:uid="{87171445-7CDE-4DCF-AA9D-6756CB791BFD}"/>
    <cellStyle name="Normal 4" xfId="6" xr:uid="{F5A9ADC6-C63A-41E5-9BB7-CBCBB5857D7E}"/>
    <cellStyle name="Normal 5" xfId="8" xr:uid="{1FC47D6A-2C05-404A-BC14-E6761DDD86BC}"/>
    <cellStyle name="Normal 6" xfId="10" xr:uid="{F4AC6AE4-4FF0-4D18-BE43-227D8CA01FEE}"/>
    <cellStyle name="Normal 7" xfId="11" xr:uid="{FB698A6A-B168-4630-AA00-4BC947320A10}"/>
    <cellStyle name="Percent" xfId="2" builtinId="5"/>
  </cellStyles>
  <dxfs count="369">
    <dxf>
      <numFmt numFmtId="164" formatCode="_(&quot;$&quot;* #,##0_);_(&quot;$&quot;* \(#,##0\);_(&quot;$&quot;* &quot;-&quot;??_);_(@_)"/>
    </dxf>
    <dxf>
      <numFmt numFmtId="164" formatCode="_(&quot;$&quot;* #,##0_);_(&quot;$&quot;* \(#,##0\);_(&quot;$&quot;* &quot;-&quot;??_);_(@_)"/>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alignment horizontal="center" readingOrder="0"/>
    </dxf>
    <dxf>
      <fill>
        <patternFill patternType="solid">
          <bgColor theme="9" tint="0.39997558519241921"/>
        </patternFill>
      </fill>
    </dxf>
    <dxf>
      <fill>
        <patternFill patternType="solid">
          <bgColor theme="5"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solid">
          <bgColor rgb="FFFFFF66"/>
        </patternFill>
      </fill>
    </dxf>
    <dxf>
      <fill>
        <patternFill patternType="solid">
          <bgColor theme="6" tint="0.39997558519241921"/>
        </patternFill>
      </fill>
    </dxf>
    <dxf>
      <fill>
        <patternFill patternType="solid">
          <bgColor theme="6" tint="0.39997558519241921"/>
        </patternFill>
      </fill>
    </dxf>
    <dxf>
      <font>
        <color auto="1"/>
      </font>
    </dxf>
    <dxf>
      <fill>
        <patternFill patternType="solid">
          <bgColor theme="6"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5" tint="0.59999389629810485"/>
        </patternFill>
      </fill>
    </dxf>
    <dxf>
      <fill>
        <patternFill>
          <bgColor rgb="FFFFFF99"/>
        </patternFill>
      </fill>
    </dxf>
    <dxf>
      <fill>
        <patternFill patternType="none">
          <bgColor auto="1"/>
        </patternFill>
      </fill>
    </dxf>
    <dxf>
      <fill>
        <patternFill patternType="none">
          <bgColor auto="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none">
          <bgColor auto="1"/>
        </patternFill>
      </fill>
    </dxf>
    <dxf>
      <fill>
        <patternFill patternType="none">
          <bgColor auto="1"/>
        </patternFill>
      </fill>
    </dxf>
    <dxf>
      <fill>
        <patternFill patternType="solid">
          <bgColor theme="6" tint="0.39997558519241921"/>
        </patternFill>
      </fill>
    </dxf>
    <dxf>
      <fill>
        <patternFill patternType="solid">
          <bgColor theme="6"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7" tint="0.3999755851924192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theme="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ont>
        <color auto="1"/>
      </font>
      <fill>
        <patternFill>
          <bgColor theme="6"/>
        </patternFill>
      </fill>
    </dxf>
    <dxf>
      <font>
        <color auto="1"/>
      </font>
      <fill>
        <patternFill>
          <bgColor theme="5"/>
        </patternFill>
      </fill>
    </dxf>
    <dxf>
      <fill>
        <patternFill>
          <bgColor theme="0" tint="-0.24994659260841701"/>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rgb="FFFF0000"/>
        </patternFill>
      </fill>
    </dxf>
    <dxf>
      <font>
        <color rgb="FF9C0006"/>
      </font>
      <fill>
        <patternFill>
          <bgColor rgb="FFFFC7CE"/>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font>
        <color auto="1"/>
      </font>
      <fill>
        <patternFill>
          <bgColor theme="5"/>
        </patternFill>
      </fill>
    </dxf>
    <dxf>
      <fill>
        <patternFill>
          <bgColor theme="6"/>
        </patternFill>
      </fill>
    </dxf>
    <dxf>
      <fill>
        <patternFill>
          <bgColor theme="5"/>
        </patternFill>
      </fill>
    </dxf>
    <dxf>
      <font>
        <color auto="1"/>
      </font>
      <fill>
        <patternFill>
          <bgColor theme="6"/>
        </patternFill>
      </fill>
    </dxf>
    <dxf>
      <fill>
        <patternFill>
          <bgColor theme="0" tint="-0.24994659260841701"/>
        </patternFill>
      </fill>
    </dxf>
    <dxf>
      <fill>
        <patternFill>
          <bgColor rgb="FFFFC000"/>
        </patternFill>
      </fill>
    </dxf>
    <dxf>
      <fill>
        <patternFill patternType="solid">
          <fgColor auto="1"/>
          <bgColor theme="2" tint="-0.24994659260841701"/>
        </patternFill>
      </fill>
    </dxf>
    <dxf>
      <font>
        <b/>
        <i val="0"/>
        <color theme="0"/>
      </font>
      <fill>
        <patternFill>
          <bgColor rgb="FFFF000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dxf>
    <dxf>
      <font>
        <b val="0"/>
      </font>
    </dxf>
    <dxf>
      <numFmt numFmtId="0" formatCode="General"/>
    </dxf>
    <dxf>
      <alignment horizontal="center" vertical="bottom" textRotation="0" wrapText="0" indent="0" justifyLastLine="0" shrinkToFit="0" readingOrder="0"/>
    </dxf>
    <dxf>
      <fill>
        <patternFill patternType="solid">
          <fgColor rgb="FFC6EFCE"/>
          <bgColor rgb="FF000000"/>
        </patternFill>
      </fill>
    </dxf>
    <dxf>
      <numFmt numFmtId="164" formatCode="_(&quot;$&quot;* #,##0_);_(&quot;$&quot;* \(#,##0\);_(&quot;$&quot;* &quot;-&quot;??_);_(@_)"/>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strike val="0"/>
        <outline val="0"/>
        <shadow val="0"/>
        <u val="none"/>
        <vertAlign val="baseline"/>
        <sz val="1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protection locked="0" hidden="0"/>
    </dxf>
    <dxf>
      <font>
        <b/>
      </font>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general" vertical="bottom" textRotation="0" wrapText="1" indent="0" justifyLastLine="0" shrinkToFit="0" readingOrder="0"/>
      <protection locked="0" hidden="0"/>
    </dxf>
    <dxf>
      <protection locked="0" hidden="0"/>
    </dxf>
    <dxf>
      <numFmt numFmtId="10" formatCode="&quot;$&quot;#,##0_);[Red]\(&quot;$&quot;#,##0\)"/>
      <protection locked="1" hidden="0"/>
    </dxf>
    <dxf>
      <numFmt numFmtId="167" formatCode="&quot;$&quot;#,##0"/>
      <protection locked="0" hidden="0"/>
    </dxf>
    <dxf>
      <numFmt numFmtId="167" formatCode="&quot;$&quot;#,##0"/>
      <protection locked="0" hidden="0"/>
    </dxf>
    <dxf>
      <protection locked="0" hidden="0"/>
    </dxf>
    <dxf>
      <protection locked="0" hidden="0"/>
    </dxf>
    <dxf>
      <protection locked="0" hidden="0"/>
    </dxf>
    <dxf>
      <protection locked="0" hidden="0"/>
    </dxf>
    <dxf>
      <font>
        <strike val="0"/>
        <outline val="0"/>
        <shadow val="0"/>
        <u val="none"/>
        <vertAlign val="baseline"/>
        <sz val="10"/>
        <color theme="0"/>
        <name val="Arial"/>
        <scheme val="none"/>
      </font>
      <protection locked="1"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numFmt numFmtId="166" formatCode="&quot;$&quot;#,##0.00"/>
      <fill>
        <patternFill patternType="none">
          <fgColor indexed="64"/>
          <bgColor auto="1"/>
        </patternFill>
      </fill>
      <protection locked="0" hidden="0"/>
    </dxf>
    <dxf>
      <font>
        <sz val="10"/>
        <color auto="1"/>
        <name val="Arial"/>
        <scheme val="none"/>
      </font>
      <numFmt numFmtId="0" formatCode="General"/>
      <fill>
        <patternFill patternType="none">
          <fgColor indexed="64"/>
          <bgColor auto="1"/>
        </patternFill>
      </fill>
      <protection locked="0" hidden="0"/>
    </dxf>
    <dxf>
      <font>
        <sz val="10"/>
        <color auto="1"/>
        <name val="Arial"/>
        <scheme val="none"/>
      </font>
      <numFmt numFmtId="0" formatCode="General"/>
      <fill>
        <patternFill patternType="none">
          <fgColor indexed="64"/>
          <bgColor auto="1"/>
        </patternFill>
      </fill>
      <protection locked="0" hidden="0"/>
    </dxf>
    <dxf>
      <font>
        <sz val="10"/>
        <color auto="1"/>
        <name val="Arial"/>
        <scheme val="none"/>
      </font>
      <fill>
        <patternFill patternType="none">
          <fgColor indexed="64"/>
          <bgColor auto="1"/>
        </patternFill>
      </fill>
      <protection locked="0" hidden="0"/>
    </dxf>
    <dxf>
      <font>
        <b val="0"/>
        <i val="0"/>
        <strike val="0"/>
        <condense val="0"/>
        <extend val="0"/>
        <outline val="0"/>
        <shadow val="0"/>
        <u val="none"/>
        <vertAlign val="baseline"/>
        <sz val="10"/>
        <color auto="1"/>
        <name val="Arial"/>
        <scheme val="none"/>
      </font>
      <fill>
        <patternFill patternType="none">
          <fgColor indexed="64"/>
          <bgColor auto="1"/>
        </patternFill>
      </fill>
      <protection locked="0" hidden="0"/>
    </dxf>
    <dxf>
      <font>
        <b/>
        <i val="0"/>
        <strike val="0"/>
        <condense val="0"/>
        <extend val="0"/>
        <outline val="0"/>
        <shadow val="0"/>
        <u val="none"/>
        <vertAlign val="baseline"/>
        <sz val="10"/>
        <color auto="1"/>
        <name val="Arial"/>
        <scheme val="none"/>
      </font>
      <numFmt numFmtId="164" formatCode="_(&quot;$&quot;* #,##0_);_(&quot;$&quot;* \(#,##0\);_(&quot;$&quot;* &quot;-&quot;??_);_(@_)"/>
      <fill>
        <patternFill patternType="solid">
          <fgColor indexed="64"/>
          <bgColor indexed="22"/>
        </patternFill>
      </fill>
      <alignment horizontal="center" vertical="bottom" textRotation="0" wrapText="0" indent="0" justifyLastLine="0" shrinkToFit="0" readingOrder="0"/>
      <protection locked="1" hidden="0"/>
    </dxf>
    <dxf>
      <fill>
        <patternFill>
          <bgColor theme="7"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6" tint="0.39997558519241921"/>
        </patternFill>
      </fill>
    </dxf>
    <dxf>
      <fill>
        <patternFill patternType="solid">
          <bgColor theme="6" tint="0.39997558519241921"/>
        </patternFill>
      </fill>
    </dxf>
    <dxf>
      <fill>
        <patternFill patternType="none">
          <bgColor auto="1"/>
        </patternFill>
      </fill>
    </dxf>
    <dxf>
      <fill>
        <patternFill patternType="none">
          <bgColor auto="1"/>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none">
          <bgColor auto="1"/>
        </patternFill>
      </fill>
    </dxf>
    <dxf>
      <fill>
        <patternFill patternType="none">
          <bgColor auto="1"/>
        </patternFill>
      </fill>
    </dxf>
    <dxf>
      <fill>
        <patternFill>
          <bgColor rgb="FFFFFF99"/>
        </patternFill>
      </fill>
    </dxf>
    <dxf>
      <fill>
        <patternFill patternType="solid">
          <bgColor theme="5" tint="0.59999389629810485"/>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6" tint="0.39997558519241921"/>
        </patternFill>
      </fill>
    </dxf>
    <dxf>
      <font>
        <color auto="1"/>
      </font>
    </dxf>
    <dxf>
      <fill>
        <patternFill patternType="solid">
          <bgColor theme="6" tint="0.39997558519241921"/>
        </patternFill>
      </fill>
    </dxf>
    <dxf>
      <fill>
        <patternFill patternType="solid">
          <bgColor theme="6" tint="0.39997558519241921"/>
        </patternFill>
      </fill>
    </dxf>
    <dxf>
      <fill>
        <patternFill patternType="solid">
          <bgColor rgb="FFFFFF66"/>
        </patternFill>
      </fill>
    </dxf>
    <dxf>
      <fill>
        <patternFill patternType="none">
          <bgColor auto="1"/>
        </patternFill>
      </fill>
    </dxf>
    <dxf>
      <fill>
        <patternFill patternType="none">
          <bgColor auto="1"/>
        </patternFill>
      </fill>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5" tint="0.39997558519241921"/>
        </patternFill>
      </fill>
    </dxf>
    <dxf>
      <fill>
        <patternFill patternType="solid">
          <bgColor theme="9" tint="0.39997558519241921"/>
        </patternFill>
      </fill>
    </dxf>
    <dxf>
      <alignment horizontal="center" readingOrder="0"/>
    </dxf>
    <dxf>
      <alignment horizontal="center" readingOrder="0"/>
    </dxf>
    <dxf>
      <alignment vertical="center" readingOrder="0"/>
    </dxf>
    <dxf>
      <alignment wrapText="1" readingOrder="0"/>
    </dxf>
    <dxf>
      <alignment wrapText="1" readingOrder="0"/>
    </dxf>
    <dxf>
      <alignment wrapText="1" readingOrder="0"/>
    </dxf>
    <dxf>
      <alignment horizontal="center" readingOrder="0"/>
    </dxf>
    <dxf>
      <alignment horizontal="center" readingOrder="0"/>
    </dxf>
    <dxf>
      <numFmt numFmtId="164" formatCode="_(&quot;$&quot;* #,##0_);_(&quot;$&quot;* \(#,##0\);_(&quot;$&quot;* &quot;-&quot;??_);_(@_)"/>
    </dxf>
    <dxf>
      <numFmt numFmtId="164" formatCode="_(&quot;$&quot;* #,##0_);_(&quot;$&quot;* \(#,##0\);_(&quot;$&quot;* &quot;-&quot;??_);_(@_)"/>
    </dxf>
  </dxfs>
  <tableStyles count="0" defaultTableStyle="TableStyleMedium2" defaultPivotStyle="PivotStyleLight16"/>
  <colors>
    <mruColors>
      <color rgb="FFFFFF99"/>
      <color rgb="FFC6EFCE"/>
      <color rgb="FFFFFF66"/>
      <color rgb="FF006100"/>
      <color rgb="FFD4B812"/>
      <color rgb="FFD7BE03"/>
      <color rgb="FF9C0006"/>
      <color rgb="FFFFC7CE"/>
      <color rgb="FFFF7C80"/>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1266825</xdr:colOff>
      <xdr:row>4</xdr:row>
      <xdr:rowOff>160020</xdr:rowOff>
    </xdr:from>
    <xdr:to>
      <xdr:col>20</xdr:col>
      <xdr:colOff>396240</xdr:colOff>
      <xdr:row>12</xdr:row>
      <xdr:rowOff>49531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266825" y="1074420"/>
          <a:ext cx="13721715" cy="1680211"/>
        </a:xfrm>
        <a:prstGeom prst="rect">
          <a:avLst/>
        </a:prstGeom>
        <a:solidFill>
          <a:schemeClr val="bg1">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0</xdr:col>
      <xdr:colOff>664845</xdr:colOff>
      <xdr:row>0</xdr:row>
      <xdr:rowOff>248143</xdr:rowOff>
    </xdr:to>
    <xdr:pic>
      <xdr:nvPicPr>
        <xdr:cNvPr id="3" name="Picture 2">
          <a:extLst>
            <a:ext uri="{FF2B5EF4-FFF2-40B4-BE49-F238E27FC236}">
              <a16:creationId xmlns:a16="http://schemas.microsoft.com/office/drawing/2014/main" id="{36318DA7-6F3D-CBCB-971A-FFF7522F947C}"/>
            </a:ext>
          </a:extLst>
        </xdr:cNvPr>
        <xdr:cNvPicPr>
          <a:picLocks noChangeAspect="1"/>
        </xdr:cNvPicPr>
      </xdr:nvPicPr>
      <xdr:blipFill>
        <a:blip xmlns:r="http://schemas.openxmlformats.org/officeDocument/2006/relationships" r:embed="rId1"/>
        <a:stretch>
          <a:fillRect/>
        </a:stretch>
      </xdr:blipFill>
      <xdr:spPr>
        <a:xfrm>
          <a:off x="76200" y="38100"/>
          <a:ext cx="601980" cy="206233"/>
        </a:xfrm>
        <a:prstGeom prst="rect">
          <a:avLst/>
        </a:prstGeom>
      </xdr:spPr>
    </xdr:pic>
    <xdr:clientData/>
  </xdr:twoCellAnchor>
  <xdr:twoCellAnchor editAs="oneCell">
    <xdr:from>
      <xdr:col>3</xdr:col>
      <xdr:colOff>1</xdr:colOff>
      <xdr:row>2</xdr:row>
      <xdr:rowOff>38100</xdr:rowOff>
    </xdr:from>
    <xdr:to>
      <xdr:col>4</xdr:col>
      <xdr:colOff>1257301</xdr:colOff>
      <xdr:row>14</xdr:row>
      <xdr:rowOff>38100</xdr:rowOff>
    </xdr:to>
    <xdr:pic>
      <xdr:nvPicPr>
        <xdr:cNvPr id="2" name="Picture 1">
          <a:extLst>
            <a:ext uri="{FF2B5EF4-FFF2-40B4-BE49-F238E27FC236}">
              <a16:creationId xmlns:a16="http://schemas.microsoft.com/office/drawing/2014/main" id="{4571EF80-F2E3-F6EF-84A0-38D1DEB254FB}"/>
            </a:ext>
          </a:extLst>
        </xdr:cNvPr>
        <xdr:cNvPicPr>
          <a:picLocks noChangeAspect="1"/>
        </xdr:cNvPicPr>
      </xdr:nvPicPr>
      <xdr:blipFill>
        <a:blip xmlns:r="http://schemas.openxmlformats.org/officeDocument/2006/relationships" r:embed="rId2"/>
        <a:stretch>
          <a:fillRect/>
        </a:stretch>
      </xdr:blipFill>
      <xdr:spPr>
        <a:xfrm>
          <a:off x="3095626" y="390525"/>
          <a:ext cx="2571750" cy="2286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438150</xdr:colOff>
      <xdr:row>0</xdr:row>
      <xdr:rowOff>133350</xdr:rowOff>
    </xdr:from>
    <xdr:to>
      <xdr:col>0</xdr:col>
      <xdr:colOff>1539240</xdr:colOff>
      <xdr:row>0</xdr:row>
      <xdr:rowOff>548640</xdr:rowOff>
    </xdr:to>
    <xdr:pic>
      <xdr:nvPicPr>
        <xdr:cNvPr id="2" name="Picture 5">
          <a:extLst>
            <a:ext uri="{FF2B5EF4-FFF2-40B4-BE49-F238E27FC236}">
              <a16:creationId xmlns:a16="http://schemas.microsoft.com/office/drawing/2014/main" id="{BA241031-28CD-43EC-99B4-FC49548E1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8150" y="133350"/>
          <a:ext cx="1095375" cy="4152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alsh, Delaney" refreshedDate="46220.494158217596" createdVersion="4" refreshedVersion="8" minRefreshableVersion="3" recordCount="119" xr:uid="{00000000-000A-0000-FFFF-FFFF04000000}">
  <cacheSource type="worksheet">
    <worksheetSource name="Table1"/>
  </cacheSource>
  <cacheFields count="11">
    <cacheField name="Subrecipient" numFmtId="0">
      <sharedItems containsBlank="1" count="124">
        <s v="Alcona County Road Commission"/>
        <s v="PIE&amp;G - Alcona"/>
        <s v="City of Douglas"/>
        <s v="City of Plainwell"/>
        <s v="Gun Plain Township"/>
        <s v="Alpena Road Commission"/>
        <s v="Alpena, City of"/>
        <s v="Antrim County"/>
        <s v="Village of Bellaire"/>
        <s v="Benzie County Road Commission"/>
        <s v="Benzonia Township"/>
        <s v="Betsie Valley Trail"/>
        <s v="Homstead Dam - Benzie Labor emergency protective measures"/>
        <s v="MDNR - Benzie County"/>
        <s v="Village of Beulah"/>
        <s v="Charlevoix County Road Commission"/>
        <s v="City of Charlevoix"/>
        <s v="City of East Jordan "/>
        <s v="St. James Township"/>
        <s v="Cheboygan County Road Commission"/>
        <s v="Cheboygan EOC"/>
        <s v="MDNR - Cheboygan County"/>
        <s v="Michigan State Police - Cheboygan"/>
        <s v="PIE&amp;G - Cheboygan"/>
        <s v="Tuscarora Township"/>
        <s v="Clare County Road Commission"/>
        <s v="Great Lakes Energy Co-Op - Clare"/>
        <s v="Au Sable Woods Association"/>
        <s v="Crawford County"/>
        <s v="Crawford Road Commission"/>
        <s v="MDNR- Crawford County"/>
        <s v="South Branch Fire Dept"/>
        <s v="Eaton County Drain Commission"/>
        <s v="Eaton County Road Commission"/>
        <s v="EGLE - Eaton County"/>
        <s v="Michigan State Police EOC - Eaton County"/>
        <s v="Village of Mulliken"/>
        <s v="Emmet County Park &amp; Recreation Department"/>
        <s v="MDNR - Emmet County"/>
        <s v="Pellston Regional Airport"/>
        <s v="Garfield Township"/>
        <s v="Grand Traverse County Parks"/>
        <s v="Grand Traverse County Roads"/>
        <s v="MDNR - Grand Traverse County"/>
        <s v="Traverse City"/>
        <s v="Alma College"/>
        <s v="City of Alma "/>
        <s v="City of St. Louis "/>
        <s v="Fulton Township"/>
        <s v="Gratiot Co Drain Commission"/>
        <s v="Village of Perrinton"/>
        <s v="Iron County Road Commission"/>
        <s v="Jackson County Road Commission"/>
        <s v="Titler Farm Barn"/>
        <s v="Village of Parm"/>
        <s v="Kalamazoo, City of"/>
        <s v="Boardman Township"/>
        <s v="Kalkaska Library"/>
        <s v="Kalkaska Public Works"/>
        <s v="Kalkaska Road Commission"/>
        <s v="Village of Kalkaska"/>
        <s v="MDNR - Lake County"/>
        <s v="Newkirk"/>
        <s v="Leelanau County"/>
        <s v="MDNR - Leelanau County"/>
        <s v="Manistee City WWTP"/>
        <s v="Manistee County Road Commission "/>
        <s v="MDNR - Manistee County"/>
        <s v="Ishpeming, City of "/>
        <s v="Marquette County Road Commission"/>
        <s v="Mecosta County Parks Commission"/>
        <s v="Menominee County"/>
        <s v="Missaukee County Road Commission"/>
        <s v="Montcalm County Road Commission"/>
        <s v="Sheridan Fire Department"/>
        <s v="Stanton, City of "/>
        <s v="Montmorency County Road Commission"/>
        <s v="PIE&amp;G - Montmorency"/>
        <s v="Emergency Operations Center (EOC)"/>
        <s v="Bridgeton Township"/>
        <s v="City of Grant"/>
        <s v="City of Newaygo"/>
        <s v="County of Newaygo"/>
        <s v="Great Lakes Energy Co-Op - Newaygo"/>
        <s v="MDNR - Newaygo County"/>
        <s v="Village of Hesperia"/>
        <s v="MDNR - Ogemaw County"/>
        <s v="Ogemaw County Road Commission"/>
        <s v="Ogemaw District Library"/>
        <s v="Evart Area Fire Department"/>
        <s v="Evart City"/>
        <s v="Great Lakes Energy Co-Op - Osceola"/>
        <s v="Hersey Township"/>
        <s v="Lincoln Township Fire Department"/>
        <s v="MDNR - Osceola County"/>
        <s v="Osceola County Emergency Management"/>
        <s v="Osceola County Road Commission"/>
        <s v="MDNR - Oscoda County"/>
        <s v="Oscoda County Road Commission"/>
        <s v="MDNR - Presque Isle County"/>
        <s v="PIE&amp;G - Presque Isle"/>
        <s v="Presque Isle County Rd Commission"/>
        <s v="Beacon Assembly of God"/>
        <s v="MDNR - Roscommon"/>
        <s v="Road Commission"/>
        <s v="Roscommon Township -Sperry Park"/>
        <s v="Village of Roscommon"/>
        <s v="City of Frankenmuth"/>
        <s v="Nouvel Catholic Central Elementary School"/>
        <s v="Saginaw County Parks &amp; Recreation"/>
        <s v="Saginaw County Road Commission"/>
        <s v="Saginaw Township Community Schools"/>
        <s v="Shiawassee County Road Comission"/>
        <s v="Shiawassee Twp Fire Department"/>
        <s v="Tuscalo County Road Commission"/>
        <s v="City of Cadillac"/>
        <s v="County Road Comm"/>
        <s v="Lake Mitchell Sewer Authority"/>
        <s v="MDNR - Wexford County"/>
        <s v="PIE&amp;G" u="1"/>
        <s v="MDNR- Benzie County" u="1"/>
        <m u="1"/>
        <s v="Great Lakes Energy Co-Op" u="1"/>
        <s v="Leelanau" u="1"/>
      </sharedItems>
    </cacheField>
    <cacheField name="County" numFmtId="0">
      <sharedItems containsBlank="1" count="38">
        <s v="Alcona"/>
        <s v="Allegan"/>
        <s v="Alpena"/>
        <s v="Antrim"/>
        <s v="Benzie"/>
        <s v="Charlevoix"/>
        <s v="Cheboygan"/>
        <s v="Clare"/>
        <s v="Crawford"/>
        <s v="Eaton"/>
        <s v="Emmet"/>
        <s v="Grand Traverse"/>
        <s v="Gratiot"/>
        <s v="Iron"/>
        <s v="Jackson"/>
        <s v="Kalamazoo"/>
        <s v="Kalkaska"/>
        <s v="Lake"/>
        <s v="Leelanau"/>
        <s v="Manistee"/>
        <s v="Marquette"/>
        <s v="Mecosta"/>
        <s v="Menominee"/>
        <s v="Missaukee"/>
        <s v="Montcalm"/>
        <s v="Montmorency"/>
        <s v="Muskegon"/>
        <s v="Newaygo"/>
        <s v="Ogemaw"/>
        <s v="Osceola"/>
        <s v="Oscoda"/>
        <s v="Presque Isle"/>
        <s v="Roscommon"/>
        <s v="Saginaw"/>
        <s v="Shiawassee"/>
        <s v="Tuscola"/>
        <s v="Wexford"/>
        <m u="1"/>
      </sharedItems>
    </cacheField>
    <cacheField name="Status" numFmtId="0">
      <sharedItems/>
    </cacheField>
    <cacheField name="A" numFmtId="0">
      <sharedItems containsString="0" containsBlank="1" containsNumber="1" minValue="0" maxValue="470369.85"/>
    </cacheField>
    <cacheField name="B" numFmtId="0">
      <sharedItems containsString="0" containsBlank="1" containsNumber="1" minValue="0" maxValue="5084849.45"/>
    </cacheField>
    <cacheField name="C" numFmtId="0">
      <sharedItems containsString="0" containsBlank="1" containsNumber="1" minValue="0" maxValue="1932750"/>
    </cacheField>
    <cacheField name="D" numFmtId="0">
      <sharedItems containsString="0" containsBlank="1" containsNumber="1" minValue="0" maxValue="624844.77"/>
    </cacheField>
    <cacheField name="E" numFmtId="0">
      <sharedItems containsString="0" containsBlank="1" containsNumber="1" minValue="0" maxValue="73925.119999999995"/>
    </cacheField>
    <cacheField name="F" numFmtId="0">
      <sharedItems containsString="0" containsBlank="1" containsNumber="1" minValue="0" maxValue="458131"/>
    </cacheField>
    <cacheField name="G" numFmtId="0">
      <sharedItems containsString="0" containsBlank="1" containsNumber="1" minValue="400" maxValue="632000"/>
    </cacheField>
    <cacheField name="CatTotal" numFmtId="0" formula="A+B+C+D+E+F+G"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
  <r>
    <x v="0"/>
    <x v="0"/>
    <s v="Complete"/>
    <m/>
    <n v="78740.63"/>
    <n v="370322.78"/>
    <m/>
    <m/>
    <m/>
    <m/>
  </r>
  <r>
    <x v="1"/>
    <x v="0"/>
    <s v="Complete"/>
    <m/>
    <n v="836"/>
    <m/>
    <m/>
    <m/>
    <m/>
    <m/>
  </r>
  <r>
    <x v="2"/>
    <x v="1"/>
    <s v="Complete"/>
    <m/>
    <m/>
    <n v="89967"/>
    <m/>
    <m/>
    <m/>
    <m/>
  </r>
  <r>
    <x v="3"/>
    <x v="1"/>
    <s v="Complete"/>
    <n v="33497.300000000003"/>
    <m/>
    <m/>
    <m/>
    <m/>
    <m/>
    <m/>
  </r>
  <r>
    <x v="4"/>
    <x v="1"/>
    <s v="Complete"/>
    <n v="70650"/>
    <m/>
    <m/>
    <n v="20282"/>
    <m/>
    <m/>
    <m/>
  </r>
  <r>
    <x v="5"/>
    <x v="2"/>
    <s v="Complete"/>
    <m/>
    <m/>
    <n v="147388"/>
    <m/>
    <m/>
    <m/>
    <m/>
  </r>
  <r>
    <x v="6"/>
    <x v="2"/>
    <s v="Complete"/>
    <m/>
    <m/>
    <m/>
    <n v="73375.929999999993"/>
    <m/>
    <m/>
    <m/>
  </r>
  <r>
    <x v="7"/>
    <x v="3"/>
    <s v="Complete"/>
    <m/>
    <n v="28062.99"/>
    <m/>
    <n v="20183.439999999999"/>
    <m/>
    <m/>
    <m/>
  </r>
  <r>
    <x v="8"/>
    <x v="3"/>
    <s v="Complete"/>
    <m/>
    <m/>
    <m/>
    <m/>
    <m/>
    <m/>
    <m/>
  </r>
  <r>
    <x v="9"/>
    <x v="4"/>
    <s v="Complete"/>
    <m/>
    <m/>
    <m/>
    <m/>
    <m/>
    <m/>
    <m/>
  </r>
  <r>
    <x v="10"/>
    <x v="4"/>
    <s v="Complete"/>
    <m/>
    <m/>
    <m/>
    <m/>
    <m/>
    <m/>
    <n v="7812"/>
  </r>
  <r>
    <x v="11"/>
    <x v="4"/>
    <s v="Complete"/>
    <m/>
    <m/>
    <m/>
    <m/>
    <m/>
    <m/>
    <m/>
  </r>
  <r>
    <x v="12"/>
    <x v="4"/>
    <s v="Complete"/>
    <m/>
    <m/>
    <m/>
    <m/>
    <m/>
    <m/>
    <m/>
  </r>
  <r>
    <x v="13"/>
    <x v="4"/>
    <s v="Complete"/>
    <m/>
    <m/>
    <m/>
    <n v="35892.619999999995"/>
    <m/>
    <m/>
    <m/>
  </r>
  <r>
    <x v="14"/>
    <x v="4"/>
    <s v="Complete"/>
    <m/>
    <m/>
    <m/>
    <m/>
    <m/>
    <n v="187982"/>
    <m/>
  </r>
  <r>
    <x v="15"/>
    <x v="5"/>
    <s v="Complete"/>
    <m/>
    <m/>
    <n v="190676.5"/>
    <m/>
    <m/>
    <m/>
    <m/>
  </r>
  <r>
    <x v="16"/>
    <x v="5"/>
    <s v="Complete"/>
    <m/>
    <m/>
    <m/>
    <m/>
    <m/>
    <n v="0"/>
    <m/>
  </r>
  <r>
    <x v="17"/>
    <x v="5"/>
    <s v="Complete"/>
    <m/>
    <m/>
    <m/>
    <m/>
    <m/>
    <n v="7936"/>
    <m/>
  </r>
  <r>
    <x v="18"/>
    <x v="5"/>
    <s v="Complete"/>
    <m/>
    <m/>
    <m/>
    <n v="26145"/>
    <m/>
    <m/>
    <m/>
  </r>
  <r>
    <x v="19"/>
    <x v="6"/>
    <s v="Complete"/>
    <m/>
    <n v="31621"/>
    <n v="905964"/>
    <m/>
    <m/>
    <m/>
    <m/>
  </r>
  <r>
    <x v="20"/>
    <x v="6"/>
    <s v="Complete"/>
    <n v="350000"/>
    <n v="48044.53"/>
    <m/>
    <m/>
    <m/>
    <m/>
    <m/>
  </r>
  <r>
    <x v="21"/>
    <x v="6"/>
    <s v="Complete"/>
    <n v="470369.85"/>
    <n v="5084849.45"/>
    <m/>
    <n v="624844.77"/>
    <m/>
    <m/>
    <n v="604436"/>
  </r>
  <r>
    <x v="22"/>
    <x v="6"/>
    <s v="Complete"/>
    <m/>
    <n v="66516"/>
    <m/>
    <m/>
    <m/>
    <m/>
    <m/>
  </r>
  <r>
    <x v="23"/>
    <x v="6"/>
    <s v="Complete"/>
    <m/>
    <m/>
    <m/>
    <m/>
    <m/>
    <n v="66138"/>
    <m/>
  </r>
  <r>
    <x v="24"/>
    <x v="6"/>
    <s v="Complete"/>
    <n v="0"/>
    <n v="24657.62"/>
    <n v="0"/>
    <m/>
    <m/>
    <m/>
    <n v="185467"/>
  </r>
  <r>
    <x v="25"/>
    <x v="7"/>
    <s v="Complete"/>
    <m/>
    <m/>
    <n v="38906.370000000003"/>
    <m/>
    <m/>
    <m/>
    <m/>
  </r>
  <r>
    <x v="26"/>
    <x v="7"/>
    <s v="Complete"/>
    <m/>
    <m/>
    <m/>
    <m/>
    <m/>
    <n v="4075"/>
    <m/>
  </r>
  <r>
    <x v="27"/>
    <x v="8"/>
    <s v="Complete"/>
    <m/>
    <m/>
    <n v="20080"/>
    <m/>
    <m/>
    <m/>
    <m/>
  </r>
  <r>
    <x v="28"/>
    <x v="8"/>
    <s v="Complete"/>
    <m/>
    <n v="5500"/>
    <m/>
    <m/>
    <m/>
    <m/>
    <m/>
  </r>
  <r>
    <x v="29"/>
    <x v="8"/>
    <s v="Complete"/>
    <m/>
    <m/>
    <n v="29208"/>
    <m/>
    <m/>
    <m/>
    <m/>
  </r>
  <r>
    <x v="30"/>
    <x v="8"/>
    <s v="Complete"/>
    <m/>
    <m/>
    <m/>
    <m/>
    <m/>
    <m/>
    <n v="804"/>
  </r>
  <r>
    <x v="31"/>
    <x v="8"/>
    <s v="Complete"/>
    <m/>
    <n v="11923"/>
    <m/>
    <m/>
    <m/>
    <m/>
    <m/>
  </r>
  <r>
    <x v="32"/>
    <x v="9"/>
    <s v="Complete"/>
    <m/>
    <m/>
    <m/>
    <m/>
    <m/>
    <m/>
    <m/>
  </r>
  <r>
    <x v="33"/>
    <x v="9"/>
    <s v="Complete"/>
    <m/>
    <n v="8565.56"/>
    <n v="503921.9"/>
    <m/>
    <m/>
    <m/>
    <m/>
  </r>
  <r>
    <x v="34"/>
    <x v="9"/>
    <s v="Complete"/>
    <m/>
    <n v="15666.48"/>
    <m/>
    <m/>
    <m/>
    <m/>
    <m/>
  </r>
  <r>
    <x v="35"/>
    <x v="9"/>
    <s v="Complete"/>
    <m/>
    <n v="172059"/>
    <m/>
    <m/>
    <m/>
    <m/>
    <m/>
  </r>
  <r>
    <x v="36"/>
    <x v="9"/>
    <s v="Complete"/>
    <m/>
    <m/>
    <m/>
    <n v="124264.1"/>
    <m/>
    <m/>
    <m/>
  </r>
  <r>
    <x v="37"/>
    <x v="10"/>
    <s v="Complete"/>
    <m/>
    <m/>
    <m/>
    <m/>
    <m/>
    <m/>
    <n v="75175.759999999995"/>
  </r>
  <r>
    <x v="38"/>
    <x v="10"/>
    <s v="Complete"/>
    <m/>
    <m/>
    <m/>
    <m/>
    <m/>
    <m/>
    <n v="5468"/>
  </r>
  <r>
    <x v="39"/>
    <x v="10"/>
    <s v="Complete"/>
    <m/>
    <n v="191373.9"/>
    <m/>
    <m/>
    <n v="6000"/>
    <m/>
    <m/>
  </r>
  <r>
    <x v="40"/>
    <x v="11"/>
    <s v="Complete"/>
    <m/>
    <m/>
    <m/>
    <m/>
    <n v="73925.119999999995"/>
    <m/>
    <n v="60346.27"/>
  </r>
  <r>
    <x v="41"/>
    <x v="11"/>
    <s v="Complete"/>
    <m/>
    <n v="4500"/>
    <m/>
    <m/>
    <m/>
    <m/>
    <n v="226075.57"/>
  </r>
  <r>
    <x v="42"/>
    <x v="11"/>
    <s v="Complete"/>
    <n v="198000"/>
    <n v="138929.51999999999"/>
    <n v="1657333.52"/>
    <m/>
    <m/>
    <m/>
    <m/>
  </r>
  <r>
    <x v="43"/>
    <x v="11"/>
    <s v="Complete"/>
    <m/>
    <m/>
    <m/>
    <m/>
    <m/>
    <m/>
    <n v="1400"/>
  </r>
  <r>
    <x v="44"/>
    <x v="11"/>
    <s v="Complete"/>
    <n v="0"/>
    <n v="0"/>
    <n v="35750"/>
    <m/>
    <m/>
    <m/>
    <n v="294071"/>
  </r>
  <r>
    <x v="45"/>
    <x v="12"/>
    <s v="Complete"/>
    <m/>
    <m/>
    <n v="15580"/>
    <m/>
    <m/>
    <m/>
    <m/>
  </r>
  <r>
    <x v="46"/>
    <x v="12"/>
    <s v="Complete"/>
    <m/>
    <m/>
    <m/>
    <m/>
    <n v="8591.26"/>
    <m/>
    <m/>
  </r>
  <r>
    <x v="47"/>
    <x v="12"/>
    <s v="Complete"/>
    <m/>
    <m/>
    <n v="44730"/>
    <m/>
    <m/>
    <m/>
    <m/>
  </r>
  <r>
    <x v="48"/>
    <x v="12"/>
    <s v="Complete"/>
    <m/>
    <n v="19284.330000000002"/>
    <m/>
    <m/>
    <m/>
    <n v="4683.93"/>
    <m/>
  </r>
  <r>
    <x v="49"/>
    <x v="12"/>
    <s v="Complete"/>
    <n v="5750"/>
    <m/>
    <m/>
    <n v="95900"/>
    <m/>
    <m/>
    <m/>
  </r>
  <r>
    <x v="50"/>
    <x v="12"/>
    <s v="Complete"/>
    <n v="6337.22"/>
    <m/>
    <m/>
    <m/>
    <m/>
    <n v="5324.17"/>
    <m/>
  </r>
  <r>
    <x v="51"/>
    <x v="13"/>
    <s v="Complete"/>
    <m/>
    <m/>
    <n v="383314"/>
    <m/>
    <m/>
    <m/>
    <m/>
  </r>
  <r>
    <x v="52"/>
    <x v="14"/>
    <s v="Complete"/>
    <m/>
    <m/>
    <n v="117700"/>
    <m/>
    <m/>
    <m/>
    <m/>
  </r>
  <r>
    <x v="53"/>
    <x v="14"/>
    <s v="Complete"/>
    <m/>
    <m/>
    <m/>
    <m/>
    <m/>
    <m/>
    <m/>
  </r>
  <r>
    <x v="54"/>
    <x v="14"/>
    <s v="Complete"/>
    <m/>
    <m/>
    <m/>
    <n v="123738"/>
    <m/>
    <m/>
    <m/>
  </r>
  <r>
    <x v="55"/>
    <x v="15"/>
    <s v="Complete"/>
    <n v="6742"/>
    <m/>
    <m/>
    <m/>
    <n v="11795"/>
    <m/>
    <m/>
  </r>
  <r>
    <x v="56"/>
    <x v="16"/>
    <s v="Complete"/>
    <m/>
    <m/>
    <m/>
    <n v="91670"/>
    <m/>
    <m/>
    <m/>
  </r>
  <r>
    <x v="57"/>
    <x v="16"/>
    <s v="Complete"/>
    <m/>
    <m/>
    <m/>
    <m/>
    <m/>
    <m/>
    <m/>
  </r>
  <r>
    <x v="58"/>
    <x v="16"/>
    <s v="Complete"/>
    <m/>
    <m/>
    <m/>
    <n v="41889.269999999997"/>
    <m/>
    <m/>
    <m/>
  </r>
  <r>
    <x v="59"/>
    <x v="16"/>
    <s v="Complete"/>
    <m/>
    <m/>
    <n v="178470.59"/>
    <m/>
    <m/>
    <m/>
    <m/>
  </r>
  <r>
    <x v="60"/>
    <x v="16"/>
    <s v="Complete"/>
    <m/>
    <m/>
    <m/>
    <m/>
    <n v="60035"/>
    <m/>
    <m/>
  </r>
  <r>
    <x v="61"/>
    <x v="17"/>
    <s v="Complete"/>
    <m/>
    <m/>
    <m/>
    <m/>
    <m/>
    <m/>
    <n v="13554.29"/>
  </r>
  <r>
    <x v="62"/>
    <x v="17"/>
    <s v="Complete"/>
    <m/>
    <m/>
    <n v="123782.58"/>
    <m/>
    <m/>
    <m/>
    <m/>
  </r>
  <r>
    <x v="63"/>
    <x v="18"/>
    <s v="Complete"/>
    <m/>
    <m/>
    <n v="5458.15"/>
    <m/>
    <m/>
    <m/>
    <m/>
  </r>
  <r>
    <x v="64"/>
    <x v="18"/>
    <s v="Complete"/>
    <m/>
    <m/>
    <m/>
    <m/>
    <m/>
    <m/>
    <n v="400"/>
  </r>
  <r>
    <x v="65"/>
    <x v="19"/>
    <s v="Complete"/>
    <m/>
    <n v="8275"/>
    <m/>
    <n v="0"/>
    <n v="0"/>
    <m/>
    <m/>
  </r>
  <r>
    <x v="66"/>
    <x v="19"/>
    <s v="Complete"/>
    <n v="4202"/>
    <m/>
    <n v="1932750"/>
    <m/>
    <m/>
    <m/>
    <m/>
  </r>
  <r>
    <x v="67"/>
    <x v="19"/>
    <s v="Complete"/>
    <m/>
    <m/>
    <m/>
    <m/>
    <m/>
    <m/>
    <n v="7744.61"/>
  </r>
  <r>
    <x v="68"/>
    <x v="20"/>
    <s v="Complete"/>
    <m/>
    <n v="12326"/>
    <m/>
    <m/>
    <m/>
    <m/>
    <m/>
  </r>
  <r>
    <x v="69"/>
    <x v="20"/>
    <s v="Complete"/>
    <m/>
    <n v="7619"/>
    <n v="380617"/>
    <m/>
    <m/>
    <m/>
    <m/>
  </r>
  <r>
    <x v="70"/>
    <x v="21"/>
    <s v="Complete"/>
    <m/>
    <m/>
    <m/>
    <m/>
    <m/>
    <m/>
    <n v="632000"/>
  </r>
  <r>
    <x v="71"/>
    <x v="22"/>
    <s v="Complete"/>
    <m/>
    <m/>
    <n v="403474"/>
    <m/>
    <m/>
    <m/>
    <m/>
  </r>
  <r>
    <x v="72"/>
    <x v="23"/>
    <s v="Complete"/>
    <m/>
    <m/>
    <n v="286453"/>
    <m/>
    <m/>
    <m/>
    <m/>
  </r>
  <r>
    <x v="73"/>
    <x v="24"/>
    <s v="Complete"/>
    <n v="23413.01"/>
    <n v="16029.02"/>
    <m/>
    <m/>
    <m/>
    <m/>
    <m/>
  </r>
  <r>
    <x v="74"/>
    <x v="24"/>
    <s v="Complete"/>
    <m/>
    <n v="12521.62"/>
    <m/>
    <m/>
    <m/>
    <m/>
    <m/>
  </r>
  <r>
    <x v="75"/>
    <x v="24"/>
    <s v="Complete"/>
    <m/>
    <m/>
    <m/>
    <m/>
    <m/>
    <m/>
    <m/>
  </r>
  <r>
    <x v="76"/>
    <x v="25"/>
    <s v="Complete"/>
    <m/>
    <m/>
    <n v="57128"/>
    <m/>
    <m/>
    <m/>
    <m/>
  </r>
  <r>
    <x v="77"/>
    <x v="25"/>
    <s v="Complete"/>
    <m/>
    <n v="2852.51"/>
    <m/>
    <m/>
    <m/>
    <m/>
    <m/>
  </r>
  <r>
    <x v="78"/>
    <x v="26"/>
    <s v="Complete"/>
    <m/>
    <n v="28154.28"/>
    <n v="109000"/>
    <m/>
    <m/>
    <m/>
    <n v="168313.65"/>
  </r>
  <r>
    <x v="79"/>
    <x v="27"/>
    <s v="Complete"/>
    <m/>
    <m/>
    <m/>
    <m/>
    <m/>
    <m/>
    <m/>
  </r>
  <r>
    <x v="80"/>
    <x v="27"/>
    <s v="Complete"/>
    <m/>
    <m/>
    <m/>
    <m/>
    <m/>
    <m/>
    <m/>
  </r>
  <r>
    <x v="81"/>
    <x v="27"/>
    <s v="Complete"/>
    <m/>
    <n v="5422.4"/>
    <m/>
    <m/>
    <m/>
    <m/>
    <m/>
  </r>
  <r>
    <x v="82"/>
    <x v="27"/>
    <s v="Complete"/>
    <m/>
    <n v="11142"/>
    <n v="248373.84"/>
    <m/>
    <m/>
    <m/>
    <m/>
  </r>
  <r>
    <x v="83"/>
    <x v="27"/>
    <s v="Complete"/>
    <m/>
    <m/>
    <m/>
    <m/>
    <m/>
    <n v="11697.359999999999"/>
    <m/>
  </r>
  <r>
    <x v="84"/>
    <x v="27"/>
    <s v="Complete"/>
    <m/>
    <m/>
    <m/>
    <m/>
    <m/>
    <m/>
    <n v="4515"/>
  </r>
  <r>
    <x v="85"/>
    <x v="27"/>
    <s v="Complete"/>
    <m/>
    <n v="32534"/>
    <m/>
    <m/>
    <m/>
    <m/>
    <m/>
  </r>
  <r>
    <x v="86"/>
    <x v="28"/>
    <s v="Complete"/>
    <m/>
    <m/>
    <m/>
    <m/>
    <m/>
    <m/>
    <n v="6000"/>
  </r>
  <r>
    <x v="87"/>
    <x v="28"/>
    <s v="Complete"/>
    <m/>
    <m/>
    <n v="106500"/>
    <m/>
    <m/>
    <m/>
    <m/>
  </r>
  <r>
    <x v="88"/>
    <x v="28"/>
    <s v="Complete"/>
    <m/>
    <m/>
    <m/>
    <m/>
    <n v="10405"/>
    <m/>
    <m/>
  </r>
  <r>
    <x v="89"/>
    <x v="29"/>
    <s v="Complete"/>
    <m/>
    <n v="166516.06"/>
    <m/>
    <m/>
    <m/>
    <m/>
    <m/>
  </r>
  <r>
    <x v="90"/>
    <x v="29"/>
    <s v="Complete"/>
    <n v="5940.665"/>
    <m/>
    <n v="24790"/>
    <m/>
    <m/>
    <m/>
    <n v="7259"/>
  </r>
  <r>
    <x v="91"/>
    <x v="29"/>
    <s v="Complete"/>
    <m/>
    <m/>
    <m/>
    <m/>
    <m/>
    <n v="25385.759999999998"/>
    <m/>
  </r>
  <r>
    <x v="92"/>
    <x v="29"/>
    <s v="Complete"/>
    <n v="5474.8"/>
    <n v="7087.32"/>
    <m/>
    <m/>
    <m/>
    <m/>
    <m/>
  </r>
  <r>
    <x v="93"/>
    <x v="29"/>
    <s v="Complete"/>
    <m/>
    <n v="10048"/>
    <m/>
    <m/>
    <m/>
    <m/>
    <m/>
  </r>
  <r>
    <x v="94"/>
    <x v="29"/>
    <s v="Complete"/>
    <m/>
    <m/>
    <m/>
    <m/>
    <m/>
    <m/>
    <n v="27500"/>
  </r>
  <r>
    <x v="95"/>
    <x v="29"/>
    <s v="Complete"/>
    <n v="12073.6"/>
    <n v="8976.9699999999993"/>
    <m/>
    <m/>
    <m/>
    <m/>
    <m/>
  </r>
  <r>
    <x v="96"/>
    <x v="29"/>
    <s v="Complete"/>
    <m/>
    <n v="95000"/>
    <n v="861500"/>
    <m/>
    <m/>
    <m/>
    <m/>
  </r>
  <r>
    <x v="97"/>
    <x v="30"/>
    <s v="Complete"/>
    <m/>
    <m/>
    <m/>
    <m/>
    <m/>
    <m/>
    <n v="1036"/>
  </r>
  <r>
    <x v="98"/>
    <x v="30"/>
    <s v="Complete"/>
    <m/>
    <n v="7058.07"/>
    <n v="82348.05"/>
    <m/>
    <m/>
    <m/>
    <m/>
  </r>
  <r>
    <x v="99"/>
    <x v="31"/>
    <s v="Complete"/>
    <m/>
    <m/>
    <m/>
    <m/>
    <m/>
    <m/>
    <n v="93750"/>
  </r>
  <r>
    <x v="100"/>
    <x v="31"/>
    <s v="Complete"/>
    <m/>
    <m/>
    <m/>
    <m/>
    <m/>
    <n v="14620"/>
    <m/>
  </r>
  <r>
    <x v="101"/>
    <x v="31"/>
    <s v="Complete"/>
    <m/>
    <m/>
    <n v="105000"/>
    <m/>
    <m/>
    <m/>
    <m/>
  </r>
  <r>
    <x v="102"/>
    <x v="32"/>
    <s v="Complete"/>
    <m/>
    <m/>
    <m/>
    <m/>
    <m/>
    <m/>
    <m/>
  </r>
  <r>
    <x v="103"/>
    <x v="32"/>
    <s v="Complete"/>
    <m/>
    <m/>
    <m/>
    <m/>
    <m/>
    <m/>
    <n v="25124.81"/>
  </r>
  <r>
    <x v="104"/>
    <x v="32"/>
    <s v="Complete"/>
    <m/>
    <m/>
    <n v="44948.27"/>
    <m/>
    <m/>
    <m/>
    <m/>
  </r>
  <r>
    <x v="105"/>
    <x v="32"/>
    <s v="Complete"/>
    <m/>
    <m/>
    <m/>
    <m/>
    <m/>
    <m/>
    <n v="8500"/>
  </r>
  <r>
    <x v="106"/>
    <x v="32"/>
    <s v="Complete"/>
    <m/>
    <m/>
    <m/>
    <m/>
    <m/>
    <m/>
    <m/>
  </r>
  <r>
    <x v="107"/>
    <x v="33"/>
    <s v="Complete"/>
    <n v="5000"/>
    <m/>
    <n v="5000"/>
    <m/>
    <m/>
    <n v="6500"/>
    <n v="11550"/>
  </r>
  <r>
    <x v="108"/>
    <x v="33"/>
    <s v="Complete"/>
    <m/>
    <m/>
    <m/>
    <m/>
    <n v="5000"/>
    <m/>
    <m/>
  </r>
  <r>
    <x v="109"/>
    <x v="33"/>
    <s v="Complete"/>
    <m/>
    <m/>
    <m/>
    <m/>
    <m/>
    <m/>
    <n v="20000"/>
  </r>
  <r>
    <x v="110"/>
    <x v="33"/>
    <s v="Complete"/>
    <m/>
    <m/>
    <n v="56799"/>
    <m/>
    <m/>
    <m/>
    <m/>
  </r>
  <r>
    <x v="111"/>
    <x v="33"/>
    <s v="Complete"/>
    <m/>
    <m/>
    <m/>
    <m/>
    <n v="5000"/>
    <m/>
    <m/>
  </r>
  <r>
    <x v="112"/>
    <x v="34"/>
    <s v="Complete"/>
    <n v="26540.02"/>
    <m/>
    <n v="5483.63"/>
    <m/>
    <m/>
    <m/>
    <m/>
  </r>
  <r>
    <x v="113"/>
    <x v="34"/>
    <s v="Complete"/>
    <m/>
    <m/>
    <m/>
    <m/>
    <n v="21962"/>
    <m/>
    <m/>
  </r>
  <r>
    <x v="114"/>
    <x v="35"/>
    <s v="Complete"/>
    <n v="9000"/>
    <m/>
    <n v="294150"/>
    <m/>
    <m/>
    <m/>
    <m/>
  </r>
  <r>
    <x v="115"/>
    <x v="36"/>
    <s v="Complete"/>
    <n v="5749"/>
    <m/>
    <n v="12000"/>
    <m/>
    <m/>
    <n v="458131"/>
    <n v="320320"/>
  </r>
  <r>
    <x v="116"/>
    <x v="36"/>
    <s v="Complete"/>
    <m/>
    <m/>
    <n v="1759814"/>
    <m/>
    <m/>
    <m/>
    <m/>
  </r>
  <r>
    <x v="117"/>
    <x v="36"/>
    <s v="Complete"/>
    <m/>
    <n v="231128"/>
    <m/>
    <m/>
    <m/>
    <m/>
    <m/>
  </r>
  <r>
    <x v="118"/>
    <x v="36"/>
    <s v="Complete"/>
    <m/>
    <m/>
    <m/>
    <m/>
    <m/>
    <m/>
    <n v="43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5" applyNumberFormats="0" applyBorderFormats="0" applyFontFormats="0" applyPatternFormats="0" applyAlignmentFormats="0" applyWidthHeightFormats="1" dataCaption="Values" missingCaption="0" showMissing="0" updatedVersion="8" minRefreshableVersion="3" itemPrintTitles="1" createdVersion="4" indent="0" compact="0" outline="1" outlineData="1" compactData="0" multipleFieldFilters="0" rowHeaderCaption="Affected Area">
  <location ref="A14:J52" firstHeaderRow="0" firstDataRow="1" firstDataCol="2"/>
  <pivotFields count="11">
    <pivotField axis="axisRow" compact="0" showAll="0" sortType="ascending">
      <items count="125">
        <item x="0"/>
        <item x="45"/>
        <item x="5"/>
        <item x="6"/>
        <item x="7"/>
        <item x="27"/>
        <item x="102"/>
        <item x="9"/>
        <item x="10"/>
        <item x="11"/>
        <item x="56"/>
        <item x="79"/>
        <item x="15"/>
        <item x="19"/>
        <item x="20"/>
        <item x="46"/>
        <item x="115"/>
        <item x="16"/>
        <item x="2"/>
        <item x="17"/>
        <item x="107"/>
        <item x="80"/>
        <item x="81"/>
        <item x="3"/>
        <item x="47"/>
        <item x="25"/>
        <item x="82"/>
        <item x="116"/>
        <item x="28"/>
        <item x="29"/>
        <item x="32"/>
        <item x="33"/>
        <item x="34"/>
        <item x="78"/>
        <item x="37"/>
        <item x="89"/>
        <item x="90"/>
        <item x="48"/>
        <item x="40"/>
        <item x="41"/>
        <item x="42"/>
        <item x="49"/>
        <item m="1" x="122"/>
        <item x="26"/>
        <item x="83"/>
        <item x="91"/>
        <item x="4"/>
        <item x="92"/>
        <item x="12"/>
        <item x="51"/>
        <item x="68"/>
        <item x="52"/>
        <item x="55"/>
        <item x="57"/>
        <item x="58"/>
        <item x="59"/>
        <item x="117"/>
        <item m="1" x="123"/>
        <item x="63"/>
        <item x="93"/>
        <item x="65"/>
        <item x="66"/>
        <item x="69"/>
        <item x="13"/>
        <item x="21"/>
        <item x="38"/>
        <item x="43"/>
        <item x="61"/>
        <item x="64"/>
        <item x="67"/>
        <item x="84"/>
        <item x="86"/>
        <item x="94"/>
        <item x="97"/>
        <item x="99"/>
        <item x="103"/>
        <item x="118"/>
        <item m="1" x="120"/>
        <item x="30"/>
        <item x="70"/>
        <item x="71"/>
        <item x="22"/>
        <item x="35"/>
        <item x="72"/>
        <item x="73"/>
        <item x="76"/>
        <item x="62"/>
        <item x="108"/>
        <item x="87"/>
        <item x="88"/>
        <item x="95"/>
        <item x="96"/>
        <item x="98"/>
        <item x="39"/>
        <item m="1" x="119"/>
        <item x="1"/>
        <item x="23"/>
        <item x="77"/>
        <item x="100"/>
        <item x="101"/>
        <item x="104"/>
        <item x="105"/>
        <item x="109"/>
        <item x="110"/>
        <item x="111"/>
        <item x="74"/>
        <item x="112"/>
        <item x="113"/>
        <item x="31"/>
        <item x="18"/>
        <item x="75"/>
        <item x="53"/>
        <item x="44"/>
        <item x="114"/>
        <item x="24"/>
        <item x="8"/>
        <item x="14"/>
        <item x="85"/>
        <item x="60"/>
        <item x="36"/>
        <item x="54"/>
        <item x="50"/>
        <item x="106"/>
        <item m="1" x="121"/>
        <item t="default"/>
      </items>
    </pivotField>
    <pivotField axis="axisRow" compact="0" showAll="0" sortType="ascending">
      <items count="3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m="1" x="37"/>
        <item t="default" sd="0"/>
      </items>
    </pivotField>
    <pivotField compact="0" showAll="0" defaultSubtota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dragToRow="0" dragToCol="0" dragToPage="0" showAll="0" defaultSubtotal="0"/>
  </pivotFields>
  <rowFields count="2">
    <field x="1"/>
    <field x="0"/>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2"/>
  </colFields>
  <colItems count="8">
    <i>
      <x/>
    </i>
    <i i="1">
      <x v="1"/>
    </i>
    <i i="2">
      <x v="2"/>
    </i>
    <i i="3">
      <x v="3"/>
    </i>
    <i i="4">
      <x v="4"/>
    </i>
    <i i="5">
      <x v="5"/>
    </i>
    <i i="6">
      <x v="6"/>
    </i>
    <i i="7">
      <x v="7"/>
    </i>
  </colItems>
  <dataFields count="8">
    <dataField name="Cat A" fld="3" baseField="1" baseItem="0"/>
    <dataField name="Cat B" fld="4" baseField="1" baseItem="0"/>
    <dataField name="Cat C" fld="5" baseField="1" baseItem="3"/>
    <dataField name="Cat D" fld="6" baseField="1" baseItem="3"/>
    <dataField name="Cat E" fld="7" baseField="1" baseItem="3"/>
    <dataField name="Cat F" fld="8" baseField="1" baseItem="3"/>
    <dataField name="Cat G" fld="9" baseField="1" baseItem="3"/>
    <dataField name="Subtotal" fld="10" baseField="0" baseItem="0"/>
  </dataFields>
  <formats count="127">
    <format dxfId="368">
      <pivotArea outline="0" collapsedLevelsAreSubtotals="1" fieldPosition="0"/>
    </format>
    <format dxfId="367">
      <pivotArea dataOnly="0" labelOnly="1" outline="0" fieldPosition="0">
        <references count="1">
          <reference field="4294967294" count="7">
            <x v="0"/>
            <x v="1"/>
            <x v="2"/>
            <x v="3"/>
            <x v="4"/>
            <x v="5"/>
            <x v="6"/>
          </reference>
        </references>
      </pivotArea>
    </format>
    <format dxfId="366">
      <pivotArea field="1" type="button" dataOnly="0" labelOnly="1" outline="0" axis="axisRow" fieldPosition="0"/>
    </format>
    <format dxfId="365">
      <pivotArea field="0" type="button" dataOnly="0" labelOnly="1" outline="0" axis="axisRow" fieldPosition="1"/>
    </format>
    <format dxfId="364">
      <pivotArea field="1" type="button" dataOnly="0" labelOnly="1" outline="0" axis="axisRow" fieldPosition="0"/>
    </format>
    <format dxfId="363">
      <pivotArea field="0" type="button" dataOnly="0" labelOnly="1" outline="0" axis="axisRow" fieldPosition="1"/>
    </format>
    <format dxfId="362">
      <pivotArea dataOnly="0" labelOnly="1" outline="0" fieldPosition="0">
        <references count="1">
          <reference field="4294967294" count="7">
            <x v="0"/>
            <x v="1"/>
            <x v="2"/>
            <x v="3"/>
            <x v="4"/>
            <x v="5"/>
            <x v="6"/>
          </reference>
        </references>
      </pivotArea>
    </format>
    <format dxfId="361">
      <pivotArea type="all" dataOnly="0" outline="0" fieldPosition="0"/>
    </format>
    <format dxfId="360">
      <pivotArea dataOnly="0" labelOnly="1" outline="0" fieldPosition="0">
        <references count="1">
          <reference field="4294967294" count="7">
            <x v="0"/>
            <x v="1"/>
            <x v="2"/>
            <x v="3"/>
            <x v="4"/>
            <x v="5"/>
            <x v="6"/>
          </reference>
        </references>
      </pivotArea>
    </format>
    <format dxfId="359">
      <pivotArea dataOnly="0" labelOnly="1" outline="0" fieldPosition="0">
        <references count="1">
          <reference field="4294967294" count="1">
            <x v="7"/>
          </reference>
        </references>
      </pivotArea>
    </format>
    <format dxfId="358">
      <pivotArea dataOnly="0" labelOnly="1" outline="0" fieldPosition="0">
        <references count="1">
          <reference field="4294967294" count="2">
            <x v="0"/>
            <x v="1"/>
          </reference>
        </references>
      </pivotArea>
    </format>
    <format dxfId="357">
      <pivotArea dataOnly="0" labelOnly="1" outline="0" fieldPosition="0">
        <references count="1">
          <reference field="4294967294" count="5">
            <x v="2"/>
            <x v="3"/>
            <x v="4"/>
            <x v="5"/>
            <x v="6"/>
          </reference>
        </references>
      </pivotArea>
    </format>
    <format dxfId="356">
      <pivotArea dataOnly="0" labelOnly="1" outline="0" fieldPosition="0">
        <references count="1">
          <reference field="4294967294" count="1">
            <x v="7"/>
          </reference>
        </references>
      </pivotArea>
    </format>
    <format dxfId="355">
      <pivotArea dataOnly="0" labelOnly="1" outline="0" fieldPosition="0">
        <references count="1">
          <reference field="4294967294" count="8">
            <x v="0"/>
            <x v="1"/>
            <x v="2"/>
            <x v="3"/>
            <x v="4"/>
            <x v="5"/>
            <x v="6"/>
            <x v="7"/>
          </reference>
        </references>
      </pivotArea>
    </format>
    <format dxfId="354">
      <pivotArea field="1" type="button" dataOnly="0" labelOnly="1" outline="0" axis="axisRow" fieldPosition="0"/>
    </format>
    <format dxfId="353">
      <pivotArea field="0" type="button" dataOnly="0" labelOnly="1" outline="0" axis="axisRow" fieldPosition="1"/>
    </format>
    <format dxfId="352">
      <pivotArea dataOnly="0" fieldPosition="0">
        <references count="1">
          <reference field="1" count="1">
            <x v="32"/>
          </reference>
        </references>
      </pivotArea>
    </format>
    <format dxfId="351">
      <pivotArea fieldPosition="0">
        <references count="1">
          <reference field="1" count="1">
            <x v="32"/>
          </reference>
        </references>
      </pivotArea>
    </format>
    <format dxfId="350">
      <pivotArea fieldPosition="0">
        <references count="2">
          <reference field="4294967294" count="7" selected="0">
            <x v="0"/>
            <x v="1"/>
            <x v="2"/>
            <x v="3"/>
            <x v="4"/>
            <x v="5"/>
            <x v="6"/>
          </reference>
          <reference field="1" count="1">
            <x v="32"/>
          </reference>
        </references>
      </pivotArea>
    </format>
    <format dxfId="349">
      <pivotArea dataOnly="0" fieldPosition="0">
        <references count="1">
          <reference field="1" count="11">
            <x v="0"/>
            <x v="2"/>
            <x v="4"/>
            <x v="5"/>
            <x v="6"/>
            <x v="8"/>
            <x v="9"/>
            <x v="10"/>
            <x v="11"/>
            <x v="12"/>
            <x v="13"/>
          </reference>
        </references>
      </pivotArea>
    </format>
    <format dxfId="348">
      <pivotArea dataOnly="0" fieldPosition="0">
        <references count="1">
          <reference field="1" count="13">
            <x v="16"/>
            <x v="17"/>
            <x v="19"/>
            <x v="20"/>
            <x v="21"/>
            <x v="22"/>
            <x v="23"/>
            <x v="25"/>
            <x v="27"/>
            <x v="28"/>
            <x v="29"/>
            <x v="30"/>
            <x v="31"/>
          </reference>
        </references>
      </pivotArea>
    </format>
    <format dxfId="347">
      <pivotArea dataOnly="0" fieldPosition="0">
        <references count="1">
          <reference field="1" count="13">
            <x v="16"/>
            <x v="17"/>
            <x v="19"/>
            <x v="20"/>
            <x v="21"/>
            <x v="22"/>
            <x v="23"/>
            <x v="25"/>
            <x v="27"/>
            <x v="28"/>
            <x v="29"/>
            <x v="30"/>
            <x v="31"/>
          </reference>
        </references>
      </pivotArea>
    </format>
    <format dxfId="346">
      <pivotArea dataOnly="0" fieldPosition="0">
        <references count="1">
          <reference field="1" count="2">
            <x v="35"/>
            <x v="36"/>
          </reference>
        </references>
      </pivotArea>
    </format>
    <format dxfId="345">
      <pivotArea fieldPosition="0">
        <references count="2">
          <reference field="4294967294" count="1" selected="0">
            <x v="7"/>
          </reference>
          <reference field="1" count="1">
            <x v="9"/>
          </reference>
        </references>
      </pivotArea>
    </format>
    <format dxfId="344">
      <pivotArea fieldPosition="0">
        <references count="2">
          <reference field="4294967294" count="1" selected="0">
            <x v="7"/>
          </reference>
          <reference field="1" count="1">
            <x v="10"/>
          </reference>
        </references>
      </pivotArea>
    </format>
    <format dxfId="343">
      <pivotArea fieldPosition="0">
        <references count="2">
          <reference field="4294967294" count="1" selected="0">
            <x v="7"/>
          </reference>
          <reference field="1" count="1">
            <x v="11"/>
          </reference>
        </references>
      </pivotArea>
    </format>
    <format dxfId="342">
      <pivotArea fieldPosition="0">
        <references count="2">
          <reference field="4294967294" count="1" selected="0">
            <x v="7"/>
          </reference>
          <reference field="1" count="1">
            <x v="12"/>
          </reference>
        </references>
      </pivotArea>
    </format>
    <format dxfId="341">
      <pivotArea fieldPosition="0">
        <references count="2">
          <reference field="4294967294" count="1" selected="0">
            <x v="7"/>
          </reference>
          <reference field="1" count="1">
            <x v="13"/>
          </reference>
        </references>
      </pivotArea>
    </format>
    <format dxfId="340">
      <pivotArea fieldPosition="0">
        <references count="2">
          <reference field="4294967294" count="1" selected="0">
            <x v="7"/>
          </reference>
          <reference field="1" count="1">
            <x v="16"/>
          </reference>
        </references>
      </pivotArea>
    </format>
    <format dxfId="339">
      <pivotArea fieldPosition="0">
        <references count="2">
          <reference field="4294967294" count="1" selected="0">
            <x v="7"/>
          </reference>
          <reference field="1" count="1">
            <x v="17"/>
          </reference>
        </references>
      </pivotArea>
    </format>
    <format dxfId="338">
      <pivotArea fieldPosition="0">
        <references count="2">
          <reference field="4294967294" count="1" selected="0">
            <x v="7"/>
          </reference>
          <reference field="1" count="1">
            <x v="0"/>
          </reference>
        </references>
      </pivotArea>
    </format>
    <format dxfId="337">
      <pivotArea fieldPosition="0">
        <references count="2">
          <reference field="4294967294" count="1" selected="0">
            <x v="7"/>
          </reference>
          <reference field="1" count="1">
            <x v="2"/>
          </reference>
        </references>
      </pivotArea>
    </format>
    <format dxfId="336">
      <pivotArea fieldPosition="0">
        <references count="2">
          <reference field="4294967294" count="1" selected="0">
            <x v="7"/>
          </reference>
          <reference field="1" count="1">
            <x v="4"/>
          </reference>
        </references>
      </pivotArea>
    </format>
    <format dxfId="335">
      <pivotArea fieldPosition="0">
        <references count="2">
          <reference field="4294967294" count="1" selected="0">
            <x v="7"/>
          </reference>
          <reference field="1" count="1">
            <x v="5"/>
          </reference>
        </references>
      </pivotArea>
    </format>
    <format dxfId="334">
      <pivotArea fieldPosition="0">
        <references count="2">
          <reference field="4294967294" count="1" selected="0">
            <x v="7"/>
          </reference>
          <reference field="1" count="1">
            <x v="6"/>
          </reference>
        </references>
      </pivotArea>
    </format>
    <format dxfId="333">
      <pivotArea fieldPosition="0">
        <references count="2">
          <reference field="4294967294" count="1" selected="0">
            <x v="7"/>
          </reference>
          <reference field="1" count="1">
            <x v="8"/>
          </reference>
        </references>
      </pivotArea>
    </format>
    <format dxfId="332">
      <pivotArea dataOnly="0" fieldPosition="0">
        <references count="1">
          <reference field="1" count="10">
            <x v="1"/>
            <x v="3"/>
            <x v="7"/>
            <x v="14"/>
            <x v="15"/>
            <x v="18"/>
            <x v="24"/>
            <x v="26"/>
            <x v="33"/>
            <x v="34"/>
          </reference>
        </references>
      </pivotArea>
    </format>
    <format dxfId="331">
      <pivotArea dataOnly="0" fieldPosition="0">
        <references count="1">
          <reference field="1" count="1">
            <x v="32"/>
          </reference>
        </references>
      </pivotArea>
    </format>
    <format dxfId="330">
      <pivotArea outline="0" fieldPosition="0">
        <references count="1">
          <reference field="4294967294" count="1" selected="0">
            <x v="7"/>
          </reference>
        </references>
      </pivotArea>
    </format>
    <format dxfId="329">
      <pivotArea dataOnly="0" labelOnly="1" outline="0" fieldPosition="0">
        <references count="1">
          <reference field="1" count="1">
            <x v="32"/>
          </reference>
        </references>
      </pivotArea>
    </format>
    <format dxfId="328">
      <pivotArea fieldPosition="0">
        <references count="2">
          <reference field="4294967294" count="7" selected="0">
            <x v="0"/>
            <x v="1"/>
            <x v="2"/>
            <x v="3"/>
            <x v="4"/>
            <x v="5"/>
            <x v="6"/>
          </reference>
          <reference field="1" count="1">
            <x v="34"/>
          </reference>
        </references>
      </pivotArea>
    </format>
    <format dxfId="327">
      <pivotArea fieldPosition="0">
        <references count="2">
          <reference field="4294967294" count="7" selected="0">
            <x v="0"/>
            <x v="1"/>
            <x v="2"/>
            <x v="3"/>
            <x v="4"/>
            <x v="5"/>
            <x v="6"/>
          </reference>
          <reference field="1" count="1">
            <x v="33"/>
          </reference>
        </references>
      </pivotArea>
    </format>
    <format dxfId="326">
      <pivotArea fieldPosition="0">
        <references count="2">
          <reference field="4294967294" count="7" selected="0">
            <x v="0"/>
            <x v="1"/>
            <x v="2"/>
            <x v="3"/>
            <x v="4"/>
            <x v="5"/>
            <x v="6"/>
          </reference>
          <reference field="1" count="1">
            <x v="26"/>
          </reference>
        </references>
      </pivotArea>
    </format>
    <format dxfId="325">
      <pivotArea fieldPosition="0">
        <references count="2">
          <reference field="4294967294" count="7" selected="0">
            <x v="0"/>
            <x v="1"/>
            <x v="2"/>
            <x v="3"/>
            <x v="4"/>
            <x v="5"/>
            <x v="6"/>
          </reference>
          <reference field="1" count="1">
            <x v="24"/>
          </reference>
        </references>
      </pivotArea>
    </format>
    <format dxfId="324">
      <pivotArea fieldPosition="0">
        <references count="2">
          <reference field="4294967294" count="7" selected="0">
            <x v="0"/>
            <x v="1"/>
            <x v="2"/>
            <x v="3"/>
            <x v="4"/>
            <x v="5"/>
            <x v="6"/>
          </reference>
          <reference field="1" count="1">
            <x v="18"/>
          </reference>
        </references>
      </pivotArea>
    </format>
    <format dxfId="323">
      <pivotArea fieldPosition="0">
        <references count="2">
          <reference field="4294967294" count="7" selected="0">
            <x v="0"/>
            <x v="1"/>
            <x v="2"/>
            <x v="3"/>
            <x v="4"/>
            <x v="5"/>
            <x v="6"/>
          </reference>
          <reference field="1" count="1">
            <x v="15"/>
          </reference>
        </references>
      </pivotArea>
    </format>
    <format dxfId="322">
      <pivotArea fieldPosition="0">
        <references count="2">
          <reference field="4294967294" count="7" selected="0">
            <x v="0"/>
            <x v="1"/>
            <x v="2"/>
            <x v="3"/>
            <x v="4"/>
            <x v="5"/>
            <x v="6"/>
          </reference>
          <reference field="1" count="1">
            <x v="14"/>
          </reference>
        </references>
      </pivotArea>
    </format>
    <format dxfId="321">
      <pivotArea fieldPosition="0">
        <references count="2">
          <reference field="4294967294" count="7" selected="0">
            <x v="0"/>
            <x v="1"/>
            <x v="2"/>
            <x v="3"/>
            <x v="4"/>
            <x v="5"/>
            <x v="6"/>
          </reference>
          <reference field="1" count="1">
            <x v="7"/>
          </reference>
        </references>
      </pivotArea>
    </format>
    <format dxfId="320">
      <pivotArea fieldPosition="0">
        <references count="2">
          <reference field="4294967294" count="7" selected="0">
            <x v="0"/>
            <x v="1"/>
            <x v="2"/>
            <x v="3"/>
            <x v="4"/>
            <x v="5"/>
            <x v="6"/>
          </reference>
          <reference field="1" count="1">
            <x v="3"/>
          </reference>
        </references>
      </pivotArea>
    </format>
    <format dxfId="319">
      <pivotArea fieldPosition="0">
        <references count="2">
          <reference field="4294967294" count="7" selected="0">
            <x v="0"/>
            <x v="1"/>
            <x v="2"/>
            <x v="3"/>
            <x v="4"/>
            <x v="5"/>
            <x v="6"/>
          </reference>
          <reference field="1" count="1">
            <x v="1"/>
          </reference>
        </references>
      </pivotArea>
    </format>
    <format dxfId="318">
      <pivotArea fieldPosition="0">
        <references count="2">
          <reference field="4294967294" count="1" selected="0">
            <x v="7"/>
          </reference>
          <reference field="1" count="1">
            <x v="35"/>
          </reference>
        </references>
      </pivotArea>
    </format>
    <format dxfId="317">
      <pivotArea fieldPosition="0">
        <references count="2">
          <reference field="4294967294" count="1" selected="0">
            <x v="7"/>
          </reference>
          <reference field="1" count="1">
            <x v="36"/>
          </reference>
        </references>
      </pivotArea>
    </format>
    <format dxfId="316">
      <pivotArea fieldPosition="0">
        <references count="2">
          <reference field="4294967294" count="1" selected="0">
            <x v="7"/>
          </reference>
          <reference field="1" count="1">
            <x v="27"/>
          </reference>
        </references>
      </pivotArea>
    </format>
    <format dxfId="315">
      <pivotArea fieldPosition="0">
        <references count="2">
          <reference field="4294967294" count="1" selected="0">
            <x v="7"/>
          </reference>
          <reference field="1" count="1">
            <x v="28"/>
          </reference>
        </references>
      </pivotArea>
    </format>
    <format dxfId="314">
      <pivotArea fieldPosition="0">
        <references count="2">
          <reference field="4294967294" count="1" selected="0">
            <x v="7"/>
          </reference>
          <reference field="1" count="1">
            <x v="29"/>
          </reference>
        </references>
      </pivotArea>
    </format>
    <format dxfId="313">
      <pivotArea fieldPosition="0">
        <references count="2">
          <reference field="4294967294" count="1" selected="0">
            <x v="7"/>
          </reference>
          <reference field="1" count="1">
            <x v="30"/>
          </reference>
        </references>
      </pivotArea>
    </format>
    <format dxfId="312">
      <pivotArea fieldPosition="0">
        <references count="2">
          <reference field="4294967294" count="1" selected="0">
            <x v="7"/>
          </reference>
          <reference field="1" count="1">
            <x v="31"/>
          </reference>
        </references>
      </pivotArea>
    </format>
    <format dxfId="311">
      <pivotArea fieldPosition="0">
        <references count="2">
          <reference field="4294967294" count="1" selected="0">
            <x v="7"/>
          </reference>
          <reference field="1" count="1">
            <x v="25"/>
          </reference>
        </references>
      </pivotArea>
    </format>
    <format dxfId="310">
      <pivotArea fieldPosition="0">
        <references count="2">
          <reference field="4294967294" count="1" selected="0">
            <x v="7"/>
          </reference>
          <reference field="1" count="1">
            <x v="19"/>
          </reference>
        </references>
      </pivotArea>
    </format>
    <format dxfId="309">
      <pivotArea fieldPosition="0">
        <references count="2">
          <reference field="4294967294" count="1" selected="0">
            <x v="7"/>
          </reference>
          <reference field="1" count="1">
            <x v="20"/>
          </reference>
        </references>
      </pivotArea>
    </format>
    <format dxfId="308">
      <pivotArea fieldPosition="0">
        <references count="2">
          <reference field="4294967294" count="1" selected="0">
            <x v="7"/>
          </reference>
          <reference field="1" count="1">
            <x v="21"/>
          </reference>
        </references>
      </pivotArea>
    </format>
    <format dxfId="307">
      <pivotArea fieldPosition="0">
        <references count="2">
          <reference field="4294967294" count="1" selected="0">
            <x v="7"/>
          </reference>
          <reference field="1" count="1">
            <x v="22"/>
          </reference>
        </references>
      </pivotArea>
    </format>
    <format dxfId="306">
      <pivotArea fieldPosition="0">
        <references count="2">
          <reference field="4294967294" count="1" selected="0">
            <x v="7"/>
          </reference>
          <reference field="1" count="1">
            <x v="23"/>
          </reference>
        </references>
      </pivotArea>
    </format>
    <format dxfId="305">
      <pivotArea fieldPosition="0">
        <references count="2">
          <reference field="4294967294" count="1" selected="0">
            <x v="7"/>
          </reference>
          <reference field="1" count="1">
            <x v="35"/>
          </reference>
        </references>
      </pivotArea>
    </format>
    <format dxfId="304">
      <pivotArea fieldPosition="0">
        <references count="2">
          <reference field="4294967294" count="1" selected="0">
            <x v="7"/>
          </reference>
          <reference field="1" count="1">
            <x v="36"/>
          </reference>
        </references>
      </pivotArea>
    </format>
    <format dxfId="303">
      <pivotArea fieldPosition="0">
        <references count="2">
          <reference field="4294967294" count="1" selected="0">
            <x v="7"/>
          </reference>
          <reference field="1" count="1">
            <x v="27"/>
          </reference>
        </references>
      </pivotArea>
    </format>
    <format dxfId="302">
      <pivotArea fieldPosition="0">
        <references count="2">
          <reference field="4294967294" count="1" selected="0">
            <x v="7"/>
          </reference>
          <reference field="1" count="1">
            <x v="28"/>
          </reference>
        </references>
      </pivotArea>
    </format>
    <format dxfId="301">
      <pivotArea fieldPosition="0">
        <references count="2">
          <reference field="4294967294" count="1" selected="0">
            <x v="7"/>
          </reference>
          <reference field="1" count="1">
            <x v="29"/>
          </reference>
        </references>
      </pivotArea>
    </format>
    <format dxfId="300">
      <pivotArea fieldPosition="0">
        <references count="2">
          <reference field="4294967294" count="1" selected="0">
            <x v="7"/>
          </reference>
          <reference field="1" count="1">
            <x v="30"/>
          </reference>
        </references>
      </pivotArea>
    </format>
    <format dxfId="299">
      <pivotArea fieldPosition="0">
        <references count="2">
          <reference field="4294967294" count="1" selected="0">
            <x v="7"/>
          </reference>
          <reference field="1" count="1">
            <x v="31"/>
          </reference>
        </references>
      </pivotArea>
    </format>
    <format dxfId="298">
      <pivotArea fieldPosition="0">
        <references count="2">
          <reference field="4294967294" count="1" selected="0">
            <x v="7"/>
          </reference>
          <reference field="1" count="1">
            <x v="25"/>
          </reference>
        </references>
      </pivotArea>
    </format>
    <format dxfId="297">
      <pivotArea fieldPosition="0">
        <references count="2">
          <reference field="4294967294" count="1" selected="0">
            <x v="7"/>
          </reference>
          <reference field="1" count="1">
            <x v="19"/>
          </reference>
        </references>
      </pivotArea>
    </format>
    <format dxfId="296">
      <pivotArea fieldPosition="0">
        <references count="2">
          <reference field="4294967294" count="1" selected="0">
            <x v="7"/>
          </reference>
          <reference field="1" count="1">
            <x v="20"/>
          </reference>
        </references>
      </pivotArea>
    </format>
    <format dxfId="295">
      <pivotArea fieldPosition="0">
        <references count="2">
          <reference field="4294967294" count="1" selected="0">
            <x v="7"/>
          </reference>
          <reference field="1" count="1">
            <x v="21"/>
          </reference>
        </references>
      </pivotArea>
    </format>
    <format dxfId="294">
      <pivotArea fieldPosition="0">
        <references count="2">
          <reference field="4294967294" count="1" selected="0">
            <x v="7"/>
          </reference>
          <reference field="1" count="1">
            <x v="22"/>
          </reference>
        </references>
      </pivotArea>
    </format>
    <format dxfId="293">
      <pivotArea fieldPosition="0">
        <references count="2">
          <reference field="4294967294" count="1" selected="0">
            <x v="7"/>
          </reference>
          <reference field="1" count="1">
            <x v="23"/>
          </reference>
        </references>
      </pivotArea>
    </format>
    <format dxfId="292">
      <pivotArea fieldPosition="0">
        <references count="2">
          <reference field="4294967294" count="1" selected="0">
            <x v="7"/>
          </reference>
          <reference field="1" count="1">
            <x v="16"/>
          </reference>
        </references>
      </pivotArea>
    </format>
    <format dxfId="291">
      <pivotArea fieldPosition="0">
        <references count="2">
          <reference field="4294967294" count="1" selected="0">
            <x v="7"/>
          </reference>
          <reference field="1" count="1">
            <x v="17"/>
          </reference>
        </references>
      </pivotArea>
    </format>
    <format dxfId="290">
      <pivotArea fieldPosition="0">
        <references count="2">
          <reference field="4294967294" count="1" selected="0">
            <x v="7"/>
          </reference>
          <reference field="1" count="1">
            <x v="8"/>
          </reference>
        </references>
      </pivotArea>
    </format>
    <format dxfId="289">
      <pivotArea fieldPosition="0">
        <references count="2">
          <reference field="4294967294" count="1" selected="0">
            <x v="7"/>
          </reference>
          <reference field="1" count="1">
            <x v="9"/>
          </reference>
        </references>
      </pivotArea>
    </format>
    <format dxfId="288">
      <pivotArea fieldPosition="0">
        <references count="2">
          <reference field="4294967294" count="1" selected="0">
            <x v="7"/>
          </reference>
          <reference field="1" count="1">
            <x v="10"/>
          </reference>
        </references>
      </pivotArea>
    </format>
    <format dxfId="287">
      <pivotArea fieldPosition="0">
        <references count="2">
          <reference field="4294967294" count="1" selected="0">
            <x v="7"/>
          </reference>
          <reference field="1" count="1">
            <x v="11"/>
          </reference>
        </references>
      </pivotArea>
    </format>
    <format dxfId="286">
      <pivotArea fieldPosition="0">
        <references count="2">
          <reference field="4294967294" count="1" selected="0">
            <x v="7"/>
          </reference>
          <reference field="1" count="1">
            <x v="12"/>
          </reference>
        </references>
      </pivotArea>
    </format>
    <format dxfId="285">
      <pivotArea fieldPosition="0">
        <references count="2">
          <reference field="4294967294" count="1" selected="0">
            <x v="7"/>
          </reference>
          <reference field="1" count="1">
            <x v="13"/>
          </reference>
        </references>
      </pivotArea>
    </format>
    <format dxfId="284">
      <pivotArea fieldPosition="0">
        <references count="2">
          <reference field="4294967294" count="1" selected="0">
            <x v="7"/>
          </reference>
          <reference field="1" count="1">
            <x v="4"/>
          </reference>
        </references>
      </pivotArea>
    </format>
    <format dxfId="283">
      <pivotArea fieldPosition="0">
        <references count="2">
          <reference field="4294967294" count="1" selected="0">
            <x v="7"/>
          </reference>
          <reference field="1" count="1">
            <x v="5"/>
          </reference>
        </references>
      </pivotArea>
    </format>
    <format dxfId="282">
      <pivotArea fieldPosition="0">
        <references count="2">
          <reference field="4294967294" count="1" selected="0">
            <x v="7"/>
          </reference>
          <reference field="1" count="1">
            <x v="6"/>
          </reference>
        </references>
      </pivotArea>
    </format>
    <format dxfId="281">
      <pivotArea fieldPosition="0">
        <references count="2">
          <reference field="4294967294" count="1" selected="0">
            <x v="7"/>
          </reference>
          <reference field="1" count="1">
            <x v="2"/>
          </reference>
        </references>
      </pivotArea>
    </format>
    <format dxfId="280">
      <pivotArea fieldPosition="0">
        <references count="2">
          <reference field="4294967294" count="1" selected="0">
            <x v="7"/>
          </reference>
          <reference field="1" count="1">
            <x v="0"/>
          </reference>
        </references>
      </pivotArea>
    </format>
    <format dxfId="279">
      <pivotArea fieldPosition="0">
        <references count="2">
          <reference field="4294967294" count="1" selected="0">
            <x v="7"/>
          </reference>
          <reference field="1" count="1">
            <x v="1"/>
          </reference>
        </references>
      </pivotArea>
    </format>
    <format dxfId="278">
      <pivotArea fieldPosition="0">
        <references count="2">
          <reference field="4294967294" count="1" selected="0">
            <x v="7"/>
          </reference>
          <reference field="1" count="1">
            <x v="3"/>
          </reference>
        </references>
      </pivotArea>
    </format>
    <format dxfId="277">
      <pivotArea fieldPosition="0">
        <references count="2">
          <reference field="4294967294" count="1" selected="0">
            <x v="7"/>
          </reference>
          <reference field="1" count="1">
            <x v="7"/>
          </reference>
        </references>
      </pivotArea>
    </format>
    <format dxfId="276">
      <pivotArea fieldPosition="0">
        <references count="2">
          <reference field="4294967294" count="1" selected="0">
            <x v="7"/>
          </reference>
          <reference field="1" count="1">
            <x v="14"/>
          </reference>
        </references>
      </pivotArea>
    </format>
    <format dxfId="275">
      <pivotArea fieldPosition="0">
        <references count="2">
          <reference field="4294967294" count="1" selected="0">
            <x v="7"/>
          </reference>
          <reference field="1" count="1">
            <x v="15"/>
          </reference>
        </references>
      </pivotArea>
    </format>
    <format dxfId="274">
      <pivotArea fieldPosition="0">
        <references count="2">
          <reference field="4294967294" count="1" selected="0">
            <x v="7"/>
          </reference>
          <reference field="1" count="1">
            <x v="18"/>
          </reference>
        </references>
      </pivotArea>
    </format>
    <format dxfId="273">
      <pivotArea fieldPosition="0">
        <references count="2">
          <reference field="4294967294" count="1" selected="0">
            <x v="7"/>
          </reference>
          <reference field="1" count="1">
            <x v="24"/>
          </reference>
        </references>
      </pivotArea>
    </format>
    <format dxfId="272">
      <pivotArea fieldPosition="0">
        <references count="2">
          <reference field="4294967294" count="1" selected="0">
            <x v="7"/>
          </reference>
          <reference field="1" count="1">
            <x v="26"/>
          </reference>
        </references>
      </pivotArea>
    </format>
    <format dxfId="271">
      <pivotArea fieldPosition="0">
        <references count="2">
          <reference field="4294967294" count="1" selected="0">
            <x v="7"/>
          </reference>
          <reference field="1" count="1">
            <x v="33"/>
          </reference>
        </references>
      </pivotArea>
    </format>
    <format dxfId="270">
      <pivotArea fieldPosition="0">
        <references count="2">
          <reference field="4294967294" count="1" selected="0">
            <x v="7"/>
          </reference>
          <reference field="1" count="1">
            <x v="34"/>
          </reference>
        </references>
      </pivotArea>
    </format>
    <format dxfId="269">
      <pivotArea fieldPosition="0">
        <references count="2">
          <reference field="4294967294" count="1" selected="0">
            <x v="7"/>
          </reference>
          <reference field="1" count="1">
            <x v="32"/>
          </reference>
        </references>
      </pivotArea>
    </format>
    <format dxfId="268">
      <pivotArea dataOnly="0" labelOnly="1" outline="0" fieldPosition="0">
        <references count="1">
          <reference field="1" count="1">
            <x v="7"/>
          </reference>
        </references>
      </pivotArea>
    </format>
    <format dxfId="267">
      <pivotArea dataOnly="0" labelOnly="1" outline="0" fieldPosition="0">
        <references count="1">
          <reference field="1" count="1">
            <x v="1"/>
          </reference>
        </references>
      </pivotArea>
    </format>
    <format dxfId="266">
      <pivotArea dataOnly="0" labelOnly="1" outline="0" fieldPosition="0">
        <references count="1">
          <reference field="1" count="1">
            <x v="3"/>
          </reference>
        </references>
      </pivotArea>
    </format>
    <format dxfId="265">
      <pivotArea dataOnly="0" labelOnly="1" outline="0" fieldPosition="0">
        <references count="1">
          <reference field="1" count="1">
            <x v="14"/>
          </reference>
        </references>
      </pivotArea>
    </format>
    <format dxfId="264">
      <pivotArea dataOnly="0" labelOnly="1" outline="0" fieldPosition="0">
        <references count="1">
          <reference field="1" count="1">
            <x v="15"/>
          </reference>
        </references>
      </pivotArea>
    </format>
    <format dxfId="263">
      <pivotArea dataOnly="0" labelOnly="1" outline="0" fieldPosition="0">
        <references count="1">
          <reference field="1" count="1">
            <x v="18"/>
          </reference>
        </references>
      </pivotArea>
    </format>
    <format dxfId="262">
      <pivotArea dataOnly="0" labelOnly="1" outline="0" fieldPosition="0">
        <references count="1">
          <reference field="1" count="1">
            <x v="24"/>
          </reference>
        </references>
      </pivotArea>
    </format>
    <format dxfId="261">
      <pivotArea dataOnly="0" labelOnly="1" outline="0" fieldPosition="0">
        <references count="1">
          <reference field="1" count="1">
            <x v="26"/>
          </reference>
        </references>
      </pivotArea>
    </format>
    <format dxfId="260">
      <pivotArea dataOnly="0" labelOnly="1" outline="0" offset="IV256" fieldPosition="0">
        <references count="1">
          <reference field="1" count="1">
            <x v="32"/>
          </reference>
        </references>
      </pivotArea>
    </format>
    <format dxfId="259">
      <pivotArea dataOnly="0" labelOnly="1" outline="0" offset="A256" fieldPosition="0">
        <references count="1">
          <reference field="1" count="1">
            <x v="32"/>
          </reference>
        </references>
      </pivotArea>
    </format>
    <format dxfId="258">
      <pivotArea dataOnly="0" labelOnly="1" outline="0" fieldPosition="0">
        <references count="1">
          <reference field="1" count="1">
            <x v="33"/>
          </reference>
        </references>
      </pivotArea>
    </format>
    <format dxfId="257">
      <pivotArea dataOnly="0" labelOnly="1" outline="0" fieldPosition="0">
        <references count="1">
          <reference field="1" count="1">
            <x v="34"/>
          </reference>
        </references>
      </pivotArea>
    </format>
    <format dxfId="256">
      <pivotArea dataOnly="0" labelOnly="1" outline="0" offset="A256" fieldPosition="0">
        <references count="1">
          <reference field="1" count="1">
            <x v="14"/>
          </reference>
        </references>
      </pivotArea>
    </format>
    <format dxfId="255">
      <pivotArea dataOnly="0" labelOnly="1" outline="0" offset="A256" fieldPosition="0">
        <references count="1">
          <reference field="1" count="1">
            <x v="15"/>
          </reference>
        </references>
      </pivotArea>
    </format>
    <format dxfId="254">
      <pivotArea dataOnly="0" labelOnly="1" outline="0" offset="A256" fieldPosition="0">
        <references count="1">
          <reference field="1" count="1">
            <x v="14"/>
          </reference>
        </references>
      </pivotArea>
    </format>
    <format dxfId="253">
      <pivotArea dataOnly="0" labelOnly="1" outline="0" offset="A256" fieldPosition="0">
        <references count="1">
          <reference field="1" count="1">
            <x v="15"/>
          </reference>
        </references>
      </pivotArea>
    </format>
    <format dxfId="252">
      <pivotArea dataOnly="0" labelOnly="1" outline="0" offset="IV256" fieldPosition="0">
        <references count="1">
          <reference field="1" count="1">
            <x v="3"/>
          </reference>
        </references>
      </pivotArea>
    </format>
    <format dxfId="251">
      <pivotArea dataOnly="0" labelOnly="1" outline="0" offset="IV256" fieldPosition="0">
        <references count="1">
          <reference field="1" count="1">
            <x v="1"/>
          </reference>
        </references>
      </pivotArea>
    </format>
    <format dxfId="250">
      <pivotArea dataOnly="0" labelOnly="1" outline="0" offset="IV256" fieldPosition="0">
        <references count="1">
          <reference field="1" count="1">
            <x v="7"/>
          </reference>
        </references>
      </pivotArea>
    </format>
    <format dxfId="249">
      <pivotArea dataOnly="0" labelOnly="1" outline="0" offset="IV256" fieldPosition="0">
        <references count="1">
          <reference field="1" count="1">
            <x v="14"/>
          </reference>
        </references>
      </pivotArea>
    </format>
    <format dxfId="248">
      <pivotArea dataOnly="0" labelOnly="1" outline="0" offset="IV256" fieldPosition="0">
        <references count="1">
          <reference field="1" count="1">
            <x v="15"/>
          </reference>
        </references>
      </pivotArea>
    </format>
    <format dxfId="247">
      <pivotArea dataOnly="0" labelOnly="1" outline="0" offset="IV256" fieldPosition="0">
        <references count="1">
          <reference field="1" count="1">
            <x v="18"/>
          </reference>
        </references>
      </pivotArea>
    </format>
    <format dxfId="246">
      <pivotArea dataOnly="0" labelOnly="1" outline="0" offset="IV256" fieldPosition="0">
        <references count="1">
          <reference field="1" count="1">
            <x v="24"/>
          </reference>
        </references>
      </pivotArea>
    </format>
    <format dxfId="245">
      <pivotArea dataOnly="0" labelOnly="1" outline="0" offset="IV256" fieldPosition="0">
        <references count="1">
          <reference field="1" count="1">
            <x v="26"/>
          </reference>
        </references>
      </pivotArea>
    </format>
    <format dxfId="244">
      <pivotArea dataOnly="0" labelOnly="1" outline="0" offset="IV256" fieldPosition="0">
        <references count="1">
          <reference field="1" count="1">
            <x v="33"/>
          </reference>
        </references>
      </pivotArea>
    </format>
    <format dxfId="243">
      <pivotArea dataOnly="0" labelOnly="1" outline="0" offset="IV256" fieldPosition="0">
        <references count="1">
          <reference field="1" count="1">
            <x v="34"/>
          </reference>
        </references>
      </pivotArea>
    </format>
    <format dxfId="242">
      <pivotArea dataOnly="0" labelOnly="1" outline="0" fieldPosition="0">
        <references count="1">
          <reference field="4294967294" count="5">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J123" totalsRowShown="0" headerRowDxfId="241" dataDxfId="240" headerRowCellStyle="Currency" dataCellStyle="Currency">
  <autoFilter ref="A4:J123" xr:uid="{00000000-0009-0000-0100-000001000000}">
    <filterColumn colId="1">
      <filters>
        <filter val="Kalamazoo"/>
      </filters>
    </filterColumn>
  </autoFilter>
  <sortState xmlns:xlrd2="http://schemas.microsoft.com/office/spreadsheetml/2017/richdata2" ref="A5:J123">
    <sortCondition ref="B4:B123"/>
  </sortState>
  <tableColumns count="10">
    <tableColumn id="1" xr3:uid="{00000000-0010-0000-0000-000001000000}" name="Subrecipient" dataDxfId="239"/>
    <tableColumn id="2" xr3:uid="{00000000-0010-0000-0000-000002000000}" name="County" dataDxfId="238"/>
    <tableColumn id="12" xr3:uid="{00000000-0010-0000-0000-00000C000000}" name="Status" dataDxfId="237"/>
    <tableColumn id="3" xr3:uid="{00000000-0010-0000-0000-000003000000}" name="A" dataDxfId="236" dataCellStyle="Currency"/>
    <tableColumn id="4" xr3:uid="{00000000-0010-0000-0000-000004000000}" name="B" dataDxfId="235" dataCellStyle="Currency"/>
    <tableColumn id="5" xr3:uid="{00000000-0010-0000-0000-000005000000}" name="C" dataDxfId="234" dataCellStyle="Currency"/>
    <tableColumn id="6" xr3:uid="{00000000-0010-0000-0000-000006000000}" name="D" dataDxfId="233" dataCellStyle="Currency"/>
    <tableColumn id="7" xr3:uid="{00000000-0010-0000-0000-000007000000}" name="E" dataDxfId="232" dataCellStyle="Currency"/>
    <tableColumn id="8" xr3:uid="{00000000-0010-0000-0000-000008000000}" name="F" dataDxfId="231" dataCellStyle="Currency"/>
    <tableColumn id="9" xr3:uid="{00000000-0010-0000-0000-000009000000}" name="G" dataDxfId="230" dataCellStyle="Currency"/>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953F2B8-F789-4D1A-9C13-E673D9529912}" name="Table14" displayName="Table14" ref="A1:B121" totalsRowCount="1">
  <autoFilter ref="A1:B120" xr:uid="{9953F2B8-F789-4D1A-9C13-E673D9529912}"/>
  <tableColumns count="2">
    <tableColumn id="1" xr3:uid="{DD8E68CE-5A81-4E02-A085-6D1FDC82C94F}" name="Applicant"/>
    <tableColumn id="2" xr3:uid="{04FF6F9E-725C-43CA-B8AE-D85EA6E4A00A}" name="Count" totalsRowFunction="sum"/>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FD6873-9723-4315-BD51-261D04CFD34E}" name="Table4" displayName="Table4" ref="B2:I90" totalsRowShown="0" headerRowDxfId="229" dataDxfId="228">
  <autoFilter ref="B2:I90" xr:uid="{7E05BDDB-79A8-4B8C-B3FD-30233A573046}"/>
  <sortState xmlns:xlrd2="http://schemas.microsoft.com/office/spreadsheetml/2017/richdata2" ref="B3:I90">
    <sortCondition ref="G2:G90"/>
  </sortState>
  <tableColumns count="8">
    <tableColumn id="1" xr3:uid="{7EEE0074-EB92-40EF-8A32-AB18DEB43E4D}" name="County" dataDxfId="227"/>
    <tableColumn id="10" xr3:uid="{1E4BE285-96D0-438D-8111-D520314E2534}" name="Applicant" dataDxfId="226" dataCellStyle="Normal 5"/>
    <tableColumn id="2" xr3:uid="{3EF791EB-CEA0-4FDC-912B-836E10C76362}" name="Cat" dataDxfId="225"/>
    <tableColumn id="5" xr3:uid="{BA1D7291-58AF-4CC1-8193-CD196FB2E265}" name="Original" dataDxfId="224"/>
    <tableColumn id="6" xr3:uid="{22412F6E-4885-48AE-B110-FFD3C229FD09}" name="Eligible" dataDxfId="223"/>
    <tableColumn id="7" xr3:uid="{2AC1E620-4DC7-46CE-AA22-FD4CD5AE2935}" name="Reduction" dataDxfId="222">
      <calculatedColumnFormula>Table4[[#This Row],[Eligible]]-Table4[[#This Row],[Original]]</calculatedColumnFormula>
    </tableColumn>
    <tableColumn id="8" xr3:uid="{8C265620-B45E-45A5-8EED-479C45DB620C}" name="Reduction Category" dataDxfId="221"/>
    <tableColumn id="9" xr3:uid="{69C451C8-EAD2-4DD1-8C8A-12331990BE8C}" name="Notes" dataDxfId="2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F30622F-1FEF-4046-98B6-09C5F573A3DA}" name="Table2" displayName="Table2" ref="A3:B5" totalsRowShown="0">
  <autoFilter ref="A3:B5" xr:uid="{3ED93207-4941-458E-99C9-3DF129386241}"/>
  <tableColumns count="2">
    <tableColumn id="1" xr3:uid="{10136221-F42B-4C2D-95D9-3ACA1D2ED668}" name="Timeline" dataDxfId="219"/>
    <tableColumn id="2" xr3:uid="{E07EA3CA-15AE-47A8-BDBD-B93CAB5A0A90}" name="Date" dataDxfId="2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1D19E8-3B52-4C64-8F82-73D067588C4D}" name="Table48" displayName="Table48" ref="A7:B9" totalsRowShown="0">
  <autoFilter ref="A7:B9" xr:uid="{6D58C4D5-BDE3-46A2-ADF3-D1F0E500DCCA}"/>
  <tableColumns count="2">
    <tableColumn id="1" xr3:uid="{1C821235-3FCA-4849-A5E0-36D0EBDFBBA6}" name="PDA Stats - Indiana" dataDxfId="217"/>
    <tableColumn id="2" xr3:uid="{56FCF4F6-CEEA-400F-A647-A7E6E3ECF7A8}" name="Total" dataDxfId="21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4F0A10-C895-4160-95EB-52C4087F965A}" name="Table5" displayName="Table5" ref="A11:B13" totalsRowShown="0">
  <autoFilter ref="A11:B13" xr:uid="{2CB3AF50-EA69-4D74-949F-F61271DF251B}"/>
  <tableColumns count="2">
    <tableColumn id="1" xr3:uid="{8E8F858E-C2B7-4669-A34C-80C5BD2600FC}" name="Total &amp; State Threshold" dataDxfId="215"/>
    <tableColumn id="2" xr3:uid="{A4164AB5-2A72-4A9E-B340-39686E43A1F1}" name="Total" dataDxfId="214" dataCellStyle="Currenc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6A538CF-2523-4E2A-9191-4171B410EDF4}" name="Table6" displayName="Table6" ref="A21:B28" totalsRowShown="0">
  <autoFilter ref="A21:B28" xr:uid="{F73F8F99-B5AB-44E1-8672-86656D12F957}"/>
  <tableColumns count="2">
    <tableColumn id="1" xr3:uid="{E7CED4B5-9411-40CC-A7E9-555652E3C142}" name="Damage Category" dataDxfId="213"/>
    <tableColumn id="2" xr3:uid="{AD7BAACE-6200-41A2-968D-8210A7EC0847}" name="Total" dataDxfId="21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4B0CDA-AC5C-4E35-8D80-75B7EF61846A}" name="Table8" displayName="Table8" ref="A15:B19" totalsRowShown="0">
  <autoFilter ref="A15:B19" xr:uid="{4DF3F019-098B-49D1-B6E0-8218945A9C96}"/>
  <tableColumns count="2">
    <tableColumn id="1" xr3:uid="{44711371-9B3D-4C73-AA93-49F09A98D5EA}" name="Indicators &amp; Projects" dataDxfId="211"/>
    <tableColumn id="2" xr3:uid="{B5EE479B-9662-47EE-851F-A20F64119F31}" name="Total" dataDxfId="210" dataCellStyle="Currenc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770BE94-E368-4020-88B8-6791B78F30A3}" name="Table9" displayName="Table9" ref="A30:B44" totalsRowShown="0" headerRowDxfId="209" dataDxfId="208">
  <autoFilter ref="A30:B44" xr:uid="{9B7873ED-57C0-4FC8-8FFE-38549EF9988F}"/>
  <sortState xmlns:xlrd2="http://schemas.microsoft.com/office/spreadsheetml/2017/richdata2" ref="A31:B45">
    <sortCondition descending="1" ref="B30:B45"/>
  </sortState>
  <tableColumns count="2">
    <tableColumn id="1" xr3:uid="{BA2A53D8-8C48-4060-87B8-9856CC0D076C}" name="FEMA Team" dataDxfId="207"/>
    <tableColumn id="2" xr3:uid="{00B1DAD3-957A-4B45-9759-2955C9F9CED6}" name="State Team" dataDxfId="20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2121680-1A41-4029-AC2D-5BBFE356DB18}" name="Table114" displayName="Table114" ref="D16:E59" totalsRowShown="0" dataDxfId="205">
  <autoFilter ref="D16:E59" xr:uid="{CFB1C6C3-E424-4564-BD9D-B8AA8E65C9F9}"/>
  <sortState xmlns:xlrd2="http://schemas.microsoft.com/office/spreadsheetml/2017/richdata2" ref="D17:E55">
    <sortCondition ref="D16:D55"/>
  </sortState>
  <tableColumns count="2">
    <tableColumn id="1" xr3:uid="{8A1F18A1-3B44-490B-86C6-EF40AB69B845}" name="County" dataDxfId="204"/>
    <tableColumn id="2" xr3:uid="{52E1D29A-D2A1-4B8C-9C18-584A37642C1E}" name="Total" dataDxfId="203" dataCellStyle="Currency">
      <calculatedColumnFormula>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calculatedColumnFormula>
    </tableColumn>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p" displayName="Pop" ref="A1:D3317" totalsRowShown="0" headerRowDxfId="201">
  <autoFilter ref="A1:D3317" xr:uid="{00000000-0009-0000-0100-000002000000}"/>
  <tableColumns count="4">
    <tableColumn id="1" xr3:uid="{00000000-0010-0000-0100-000001000000}" name="Lookup" dataDxfId="200">
      <calculatedColumnFormula>Pop[[#This Row],[State]]&amp;" "&amp;Pop[[#This Row],[County]]</calculatedColumnFormula>
    </tableColumn>
    <tableColumn id="2" xr3:uid="{00000000-0010-0000-0100-000002000000}" name="State"/>
    <tableColumn id="3" xr3:uid="{00000000-0010-0000-0100-000003000000}" name="County" dataDxfId="199"/>
    <tableColumn id="4" xr3:uid="{00000000-0010-0000-0100-000004000000}" name="Population" dataDxfId="198"/>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te" displayName="State" ref="F1:H58" totalsRowShown="0">
  <autoFilter ref="F1:H58" xr:uid="{00000000-0009-0000-0100-000003000000}"/>
  <sortState xmlns:xlrd2="http://schemas.microsoft.com/office/spreadsheetml/2017/richdata2" ref="F2:H61">
    <sortCondition ref="F1:F61"/>
  </sortState>
  <tableColumns count="3">
    <tableColumn id="1" xr3:uid="{00000000-0010-0000-0200-000001000000}" name="Region"/>
    <tableColumn id="2" xr3:uid="{00000000-0010-0000-0200-000002000000}" name="Code"/>
    <tableColumn id="3" xr3:uid="{00000000-0010-0000-0200-000003000000}" name="State"/>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ion" displayName="Region" ref="J1:J11" totalsRowShown="0" headerRowDxfId="197" dataDxfId="196">
  <autoFilter ref="J1:J11" xr:uid="{00000000-0009-0000-0100-000004000000}"/>
  <tableColumns count="1">
    <tableColumn id="1" xr3:uid="{00000000-0010-0000-0300-000001000000}" name="Region" dataDxfId="195"/>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tatus" displayName="Status" ref="J14:J17" totalsRowShown="0" headerRowDxfId="194">
  <autoFilter ref="J14:J17" xr:uid="{00000000-0009-0000-0100-000005000000}"/>
  <tableColumns count="1">
    <tableColumn id="1" xr3:uid="{00000000-0010-0000-0400-000001000000}" name="Status"/>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5.bin"/><Relationship Id="rId5" Type="http://schemas.openxmlformats.org/officeDocument/2006/relationships/table" Target="../tables/table14.xml"/><Relationship Id="rId4"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T905"/>
  <sheetViews>
    <sheetView zoomScale="80" zoomScaleNormal="80" workbookViewId="0">
      <pane xSplit="1" ySplit="14" topLeftCell="B15" activePane="bottomRight" state="frozen"/>
      <selection pane="topRight" activeCell="B1" sqref="B1"/>
      <selection pane="bottomLeft" activeCell="A2" sqref="A2"/>
      <selection pane="bottomRight" activeCell="A23" sqref="A23:J23"/>
      <pivotSelection showHeader="1" extendable="1" start="8" max="38" activeRow="22" click="1" r:id="rId1">
        <pivotArea dataOnly="0" fieldPosition="0">
          <references count="1">
            <reference field="1" count="1">
              <x v="8"/>
            </reference>
          </references>
        </pivotArea>
      </pivotSelection>
    </sheetView>
  </sheetViews>
  <sheetFormatPr defaultColWidth="9.109375" defaultRowHeight="14.4" x14ac:dyDescent="0.3"/>
  <cols>
    <col min="1" max="1" width="20.88671875" style="3" customWidth="1"/>
    <col min="2" max="2" width="31.5546875" style="6" customWidth="1"/>
    <col min="3" max="3" width="14.5546875" style="6" customWidth="1"/>
    <col min="4" max="4" width="14" style="6" customWidth="1"/>
    <col min="5" max="5" width="13.44140625" style="6" bestFit="1" customWidth="1"/>
    <col min="6" max="6" width="12.33203125" style="6" customWidth="1"/>
    <col min="7" max="7" width="13.5546875" style="6" customWidth="1"/>
    <col min="8" max="8" width="13" style="6" customWidth="1"/>
    <col min="9" max="9" width="16" style="3" customWidth="1"/>
    <col min="10" max="10" width="13.44140625" style="3" customWidth="1"/>
    <col min="11" max="11" width="13.33203125" style="28" customWidth="1"/>
    <col min="12" max="12" width="14.6640625" style="5" customWidth="1"/>
    <col min="13" max="13" width="11.88671875" style="7" customWidth="1"/>
    <col min="14" max="14" width="11" style="17" customWidth="1"/>
    <col min="15" max="15" width="15.5546875" style="6" hidden="1" customWidth="1"/>
    <col min="16" max="16" width="9.109375" style="3" hidden="1" customWidth="1"/>
    <col min="17" max="20" width="7.6640625" style="3" hidden="1" customWidth="1"/>
    <col min="21" max="16384" width="9.109375" style="3"/>
  </cols>
  <sheetData>
    <row r="1" spans="1:20" ht="21" x14ac:dyDescent="0.3">
      <c r="A1" s="116"/>
      <c r="B1" s="79"/>
      <c r="C1" s="268" t="str">
        <f>"FEMA Region " &amp; IFERROR(INDEX(State[Region],MATCH('Input Sheet'!$D$2,State[Code],0)),"") &amp; " - "&amp; IFERROR(INDEX(State[State],MATCH('Input Sheet'!$D$2,State[Code],0)),"Select State on Input Sheet")</f>
        <v>FEMA Region 5 - Michigan</v>
      </c>
      <c r="D1" s="269"/>
      <c r="E1" s="269"/>
      <c r="F1" s="269"/>
      <c r="G1" s="269"/>
      <c r="H1" s="269"/>
      <c r="I1" s="269"/>
      <c r="J1" s="269"/>
      <c r="K1" s="269"/>
      <c r="L1" s="269"/>
      <c r="M1" s="270"/>
      <c r="O1" s="59" t="s">
        <v>0</v>
      </c>
      <c r="P1" s="3" t="e">
        <f ca="1">OFFSET($A$1,0,0,MATCH("Grand Total",A:A,0),14)</f>
        <v>#VALUE!</v>
      </c>
    </row>
    <row r="2" spans="1:20" ht="21.6" thickBot="1" x14ac:dyDescent="0.35">
      <c r="A2" s="79"/>
      <c r="B2" s="79"/>
      <c r="C2" s="271" t="str">
        <f>" PRELIMINARY DAMAGE ASSESSMENT for " &amp;'Input Sheet'!F1&amp;" " &amp; TEXT('Input Sheet'!H1,"M/D/YYYY") &amp; " to " &amp;  TEXT('Input Sheet'!H2,"M/D/YYYY")</f>
        <v xml:space="preserve"> PRELIMINARY DAMAGE ASSESSMENT for Flood 4/10/2026 to 4/21/2026</v>
      </c>
      <c r="D2" s="272"/>
      <c r="E2" s="272"/>
      <c r="F2" s="272"/>
      <c r="G2" s="272"/>
      <c r="H2" s="272"/>
      <c r="I2" s="272"/>
      <c r="J2" s="272"/>
      <c r="K2" s="272"/>
      <c r="L2" s="272"/>
      <c r="M2" s="273"/>
      <c r="O2" s="59" t="s">
        <v>1</v>
      </c>
      <c r="P2" s="3">
        <f>MATCH("Grand Total",A:A,0)</f>
        <v>52</v>
      </c>
    </row>
    <row r="3" spans="1:20" customFormat="1" x14ac:dyDescent="0.3">
      <c r="G3" s="274" t="s">
        <v>2170</v>
      </c>
      <c r="H3" s="275"/>
      <c r="I3" s="173">
        <f>SUM(Table1[A])
+SUM(Table1[B])
+SUM(Table1[C])
+SUM(Table1[D])
+SUM(Table1[E])
+SUM(Table1[F])
+SUM(Table1[G])</f>
        <v>24592236.594999999</v>
      </c>
    </row>
    <row r="4" spans="1:20" customFormat="1" ht="15" thickBot="1" x14ac:dyDescent="0.35">
      <c r="G4" s="276" t="s">
        <v>2300</v>
      </c>
      <c r="H4" s="277"/>
      <c r="I4" s="174">
        <v>1097723</v>
      </c>
    </row>
    <row r="5" spans="1:20" customFormat="1" ht="15" thickBot="1" x14ac:dyDescent="0.35">
      <c r="G5" s="278" t="s">
        <v>2171</v>
      </c>
      <c r="H5" s="279"/>
      <c r="I5" s="175">
        <f>I3-I4</f>
        <v>23494513.594999999</v>
      </c>
    </row>
    <row r="6" spans="1:20" ht="37.5" customHeight="1" x14ac:dyDescent="0.3">
      <c r="A6" s="8"/>
      <c r="B6" s="3"/>
      <c r="C6" s="9" t="s">
        <v>2</v>
      </c>
      <c r="D6" s="9" t="s">
        <v>3</v>
      </c>
      <c r="E6" s="9" t="s">
        <v>4</v>
      </c>
      <c r="F6" s="9" t="s">
        <v>5</v>
      </c>
      <c r="G6" s="9" t="s">
        <v>6</v>
      </c>
      <c r="H6" s="9" t="s">
        <v>7</v>
      </c>
      <c r="I6" s="9" t="s">
        <v>8</v>
      </c>
      <c r="J6" s="9" t="s">
        <v>9</v>
      </c>
      <c r="K6" s="10" t="s">
        <v>10</v>
      </c>
      <c r="L6" s="11" t="s">
        <v>11</v>
      </c>
      <c r="M6" s="11" t="s">
        <v>12</v>
      </c>
      <c r="O6" s="8"/>
    </row>
    <row r="7" spans="1:20" x14ac:dyDescent="0.3">
      <c r="A7" s="263" t="s">
        <v>13</v>
      </c>
      <c r="B7" s="24" t="s">
        <v>14</v>
      </c>
      <c r="C7" s="225" cm="1">
        <f t="array" ref="C7">LOOKUP(2,1/(1-ISBLANK(C:C)),C:C)</f>
        <v>1238739.4649999999</v>
      </c>
      <c r="D7" s="225">
        <f t="shared" ref="D7:J7" si="0">LOOKUP(2,1/(1-ISBLANK(D:D)),D:D)</f>
        <v>6593820.2600000007</v>
      </c>
      <c r="E7" s="225">
        <f t="shared" si="0"/>
        <v>11634682.180000002</v>
      </c>
      <c r="F7" s="225">
        <f t="shared" si="0"/>
        <v>1278185.1299999999</v>
      </c>
      <c r="G7" s="225">
        <f t="shared" si="0"/>
        <v>202713.38</v>
      </c>
      <c r="H7" s="225">
        <f t="shared" si="0"/>
        <v>792473.22</v>
      </c>
      <c r="I7" s="225">
        <f t="shared" si="0"/>
        <v>2851622.96</v>
      </c>
      <c r="J7" s="225">
        <f t="shared" si="0"/>
        <v>24592236.594999999</v>
      </c>
      <c r="K7" s="226">
        <f>VLOOKUP('Input Sheet'!$D$2 &amp; " Grand Total",Pop[],4,FALSE)</f>
        <v>10077331</v>
      </c>
      <c r="L7" s="227" t="str">
        <f>TEXT(J7/K7,"$0.00") &amp;" "</f>
        <v xml:space="preserve">$2.44 </v>
      </c>
      <c r="M7" s="228">
        <f ca="1">COUNTA(OFFSET($A$16,0,0,$P$2-10,1))-IFERROR(IF(VLOOKUP("State Agencies",A:A,1,FALSE)="State Agencies",1,0),0)-IFERROR(IF(VLOOKUP("(blank)",A:A,1,FALSE)="(blank)",1,0),0)</f>
        <v>37</v>
      </c>
      <c r="O7" s="8"/>
    </row>
    <row r="8" spans="1:20" ht="15" thickBot="1" x14ac:dyDescent="0.35">
      <c r="A8" s="264"/>
      <c r="B8" s="162" t="s">
        <v>15</v>
      </c>
      <c r="C8" s="18">
        <f t="shared" ref="C8:I8" si="1">C7/$J7</f>
        <v>5.0371159215825682E-2</v>
      </c>
      <c r="D8" s="18">
        <f t="shared" si="1"/>
        <v>0.26812609070866827</v>
      </c>
      <c r="E8" s="18">
        <f t="shared" si="1"/>
        <v>0.47310386491505702</v>
      </c>
      <c r="F8" s="18">
        <f t="shared" si="1"/>
        <v>5.1975147728526475E-2</v>
      </c>
      <c r="G8" s="18">
        <f t="shared" si="1"/>
        <v>8.2429826671891627E-3</v>
      </c>
      <c r="H8" s="18">
        <f t="shared" si="1"/>
        <v>3.2224528132635266E-2</v>
      </c>
      <c r="I8" s="18">
        <f t="shared" si="1"/>
        <v>0.11595622663209824</v>
      </c>
      <c r="J8" s="23" t="str">
        <f t="array" aca="1" ref="J8" ca="1">"County Per Capita Min: " &amp;TEXT(MIN(IF(ISNUMBER(OFFSET($L$15,0,0,$P$2-10,1)),OFFSET($L$15,0,0,$P$2-10,1))),"$0.00") &amp; "  |  Max: " &amp;TEXT(MAX(IF(ISNUMBER(OFFSET($L$15,0,0,$P$2-10,1)),OFFSET($L$15,0,0,$P$2-10,1))),"$0.00")</f>
        <v>County Per Capita Min: $0.07  |  Max: $330.85</v>
      </c>
      <c r="K8" s="27"/>
      <c r="L8" s="19"/>
      <c r="M8" s="19"/>
      <c r="O8" s="20"/>
    </row>
    <row r="9" spans="1:20" ht="15" thickTop="1" x14ac:dyDescent="0.3">
      <c r="A9" s="280" t="s">
        <v>2173</v>
      </c>
      <c r="B9" s="164" t="s">
        <v>14</v>
      </c>
      <c r="C9" s="207">
        <v>0</v>
      </c>
      <c r="D9" s="208">
        <v>0</v>
      </c>
      <c r="E9" s="208">
        <v>44948</v>
      </c>
      <c r="F9" s="208">
        <v>0</v>
      </c>
      <c r="G9" s="208">
        <v>0</v>
      </c>
      <c r="H9" s="208">
        <v>0</v>
      </c>
      <c r="I9" s="208">
        <v>33625</v>
      </c>
      <c r="J9" s="209">
        <f>SUM(C9:I9)</f>
        <v>78573</v>
      </c>
      <c r="K9" s="159"/>
      <c r="L9" s="160"/>
      <c r="M9" s="160"/>
      <c r="O9" s="20"/>
    </row>
    <row r="10" spans="1:20" ht="15" thickBot="1" x14ac:dyDescent="0.35">
      <c r="A10" s="281"/>
      <c r="B10" s="165" t="s">
        <v>15</v>
      </c>
      <c r="C10" s="163">
        <f>C9/$J$9</f>
        <v>0</v>
      </c>
      <c r="D10" s="163">
        <f t="shared" ref="D10:I10" si="2">D9/$J$9</f>
        <v>0</v>
      </c>
      <c r="E10" s="163">
        <f t="shared" si="2"/>
        <v>0.57205401346518525</v>
      </c>
      <c r="F10" s="163">
        <f t="shared" si="2"/>
        <v>0</v>
      </c>
      <c r="G10" s="163">
        <f t="shared" si="2"/>
        <v>0</v>
      </c>
      <c r="H10" s="163">
        <f t="shared" si="2"/>
        <v>0</v>
      </c>
      <c r="I10" s="163">
        <f t="shared" si="2"/>
        <v>0.42794598653481475</v>
      </c>
      <c r="J10" s="158"/>
      <c r="K10" s="159"/>
      <c r="L10" s="160"/>
      <c r="M10" s="160"/>
      <c r="O10" s="20"/>
    </row>
    <row r="11" spans="1:20" ht="15" customHeight="1" x14ac:dyDescent="0.3">
      <c r="A11" s="265" t="s">
        <v>2174</v>
      </c>
      <c r="B11" s="161" t="s">
        <v>14</v>
      </c>
      <c r="C11" s="221">
        <f t="shared" ref="C11:J11" ca="1" si="3">SUMPRODUCT(OFFSET(C$15,0,0,$P$2-10,1),OFFSET($P$15,0,0,$P$2-10,1))</f>
        <v>1072897.135</v>
      </c>
      <c r="D11" s="221">
        <f t="shared" ca="1" si="3"/>
        <v>6509052.3500000006</v>
      </c>
      <c r="E11" s="221">
        <f t="shared" ca="1" si="3"/>
        <v>11161419.760000002</v>
      </c>
      <c r="F11" s="221">
        <f t="shared" ca="1" si="3"/>
        <v>1113981.69</v>
      </c>
      <c r="G11" s="221">
        <f t="shared" ca="1" si="3"/>
        <v>158956.38</v>
      </c>
      <c r="H11" s="221">
        <f t="shared" ca="1" si="3"/>
        <v>781898.22</v>
      </c>
      <c r="I11" s="221">
        <f t="shared" ca="1" si="3"/>
        <v>2617734.5</v>
      </c>
      <c r="J11" s="221">
        <f t="shared" ca="1" si="3"/>
        <v>23415940.035</v>
      </c>
      <c r="K11" s="222">
        <f>VLOOKUP('Input Sheet'!$D$2 &amp; " Grand Total",Pop[],4,FALSE)</f>
        <v>10077331</v>
      </c>
      <c r="L11" s="223" t="str">
        <f ca="1">TEXT(J11/K11,"$0.00") &amp;" "</f>
        <v xml:space="preserve">$2.32 </v>
      </c>
      <c r="M11" s="224">
        <f ca="1">COUNT(OFFSET($P$15,0,0,$P$2-10,1))-IFERROR(IF(VLOOKUP("State Agencies",A:A,1,FALSE)="State Agencies",1,0),0)-IFERROR(IF(VLOOKUP("(blank)",A:A,1,FALSE)="(blank)",1,0),0)</f>
        <v>26</v>
      </c>
      <c r="O11" s="20"/>
    </row>
    <row r="12" spans="1:20" x14ac:dyDescent="0.3">
      <c r="A12" s="266"/>
      <c r="B12" s="9" t="s">
        <v>15</v>
      </c>
      <c r="C12" s="12">
        <f t="shared" ref="C12:I12" ca="1" si="4">C11/$J11</f>
        <v>4.5819093036467112E-2</v>
      </c>
      <c r="D12" s="12">
        <f t="shared" ca="1" si="4"/>
        <v>0.27797527411971784</v>
      </c>
      <c r="E12" s="12">
        <f t="shared" ca="1" si="4"/>
        <v>0.47665905119832619</v>
      </c>
      <c r="F12" s="12">
        <f t="shared" ca="1" si="4"/>
        <v>4.7573648050640814E-2</v>
      </c>
      <c r="G12" s="12">
        <f t="shared" ca="1" si="4"/>
        <v>6.7883834585503117E-3</v>
      </c>
      <c r="H12" s="12">
        <f t="shared" ca="1" si="4"/>
        <v>3.3391707479233812E-2</v>
      </c>
      <c r="I12" s="12">
        <f t="shared" ca="1" si="4"/>
        <v>0.11179284265706398</v>
      </c>
      <c r="J12" s="22" t="str">
        <f t="array" aca="1" ref="J12" ca="1">"County Per Capita Min: " &amp;TEXT(MIN(IF(ISNUMBER(OFFSET($Q$15,0,0,$P$2-10,1)),OFFSET($Q$15,0,0,$P$2-10,1))),"$0.00") &amp; "  |  Max: " &amp;TEXT(MAX(IF(ISNUMBER(OFFSET($Q$15,0,0,$P$2-10,1)),OFFSET($Q$15,0,0,$P$2-10,1))),"$0.00")</f>
        <v>County Per Capita Min: $4.94  |  Max: $330.85</v>
      </c>
      <c r="K12" s="26"/>
      <c r="L12" s="13"/>
      <c r="M12" s="13"/>
      <c r="O12" s="267" t="s">
        <v>16</v>
      </c>
      <c r="P12" s="267"/>
      <c r="Q12" s="267"/>
      <c r="R12" s="267"/>
      <c r="S12" s="267"/>
      <c r="T12" s="267"/>
    </row>
    <row r="14" spans="1:20" ht="28.8" x14ac:dyDescent="0.3">
      <c r="A14" s="80" t="s">
        <v>17</v>
      </c>
      <c r="B14" s="80" t="s">
        <v>18</v>
      </c>
      <c r="C14" s="75" t="s">
        <v>19</v>
      </c>
      <c r="D14" s="75" t="s">
        <v>20</v>
      </c>
      <c r="E14" s="238" t="s">
        <v>21</v>
      </c>
      <c r="F14" s="238" t="s">
        <v>22</v>
      </c>
      <c r="G14" s="238" t="s">
        <v>23</v>
      </c>
      <c r="H14" s="238" t="s">
        <v>24</v>
      </c>
      <c r="I14" s="238" t="s">
        <v>25</v>
      </c>
      <c r="J14" s="76" t="s">
        <v>26</v>
      </c>
      <c r="K14" s="77" t="s">
        <v>27</v>
      </c>
      <c r="L14" s="78" t="s">
        <v>11</v>
      </c>
      <c r="M14" s="78" t="s">
        <v>28</v>
      </c>
      <c r="N14" s="78" t="s">
        <v>29</v>
      </c>
      <c r="O14" s="21" t="s">
        <v>30</v>
      </c>
      <c r="P14" s="21" t="s">
        <v>31</v>
      </c>
      <c r="Q14" s="21" t="s">
        <v>32</v>
      </c>
      <c r="R14" s="25" t="s">
        <v>33</v>
      </c>
      <c r="S14" s="25" t="s">
        <v>34</v>
      </c>
      <c r="T14" s="25" t="s">
        <v>35</v>
      </c>
    </row>
    <row r="15" spans="1:20" x14ac:dyDescent="0.3">
      <c r="A15" s="215" t="s">
        <v>1068</v>
      </c>
      <c r="B15" s="215"/>
      <c r="C15" s="216">
        <v>0</v>
      </c>
      <c r="D15" s="216">
        <v>79576.63</v>
      </c>
      <c r="E15" s="216">
        <v>370322.78</v>
      </c>
      <c r="F15" s="216">
        <v>0</v>
      </c>
      <c r="G15" s="216">
        <v>0</v>
      </c>
      <c r="H15" s="216">
        <v>0</v>
      </c>
      <c r="I15" s="216">
        <v>0</v>
      </c>
      <c r="J15" s="216">
        <v>449899.41000000003</v>
      </c>
      <c r="K15" s="211">
        <f>IF($A15="","",VLOOKUP('Input Sheet'!$D$2 &amp; " " &amp; $A15,Pop[#All],4,FALSE))</f>
        <v>10167</v>
      </c>
      <c r="L15" s="212">
        <f>IFERROR(IF($A15="","",ROUND($J15/$K15,2)),"")</f>
        <v>44.25</v>
      </c>
      <c r="M15" s="213">
        <f t="shared" ref="M15:M78" ca="1" si="5">IF(A15="Grand Total","",IF(ISNUMBER($O15),$O15*2/SUM($O:$O),""))</f>
        <v>1.9213382393682751E-2</v>
      </c>
      <c r="N15" s="214">
        <f>IF(OR($A15="",$A15="Grand Total"),IF($A15="Grand Total",SUM($N14:$N$15),""),SUMPRODUCT((Table1[County]=SummaryPage!$A15)*(Table1[Status]&lt;&gt;"Complete")))</f>
        <v>0</v>
      </c>
      <c r="O15" s="6">
        <f ca="1">IF($A15="Grand Total",SUM(INDIRECT(ADDRESS(1,COLUMN())&amp;":"&amp;ADDRESS(ROW()-1,COLUMN()))),IF(OR($A15="State Agencies",IFERROR(AND($L15&gt;='Input Sheet'!$J$2,$A15&lt;&gt;""),0)),$J15,""))</f>
        <v>449899.41000000003</v>
      </c>
      <c r="P15" s="3">
        <f>IF(OR($A15="",$A15="Grand Total"),"",IF(IFERROR(ROUND($J15/$K15,2),1000)&gt;='Input Sheet'!$J$2,1,""))</f>
        <v>1</v>
      </c>
      <c r="Q15" s="3">
        <f>IFERROR($L15*$P15,"")</f>
        <v>44.25</v>
      </c>
      <c r="R15" s="3" t="b">
        <f>IF(OR($A15="",$A15="Grand Total"),"",AND($J15=0,(SUMPRODUCT((Table1[County]=SummaryPage!$A15)*(Table1[Status]="Not Started"))+SUMPRODUCT((Table1[County]=SummaryPage!$A15)*(Table1[Status]="")))=SUMPRODUCT((Table1[County]=SummaryPage!$A15)*(Table1[Status]&lt;&gt;"Q"))))</f>
        <v>0</v>
      </c>
      <c r="S15" s="3" t="str">
        <f>IF(ISNUMBER($J15),IF(A15&lt;&gt;"",A15,IF(ISTEXT(S14),1,S14+1)),"")</f>
        <v>Alcona</v>
      </c>
      <c r="T15" s="3" t="str">
        <f ca="1">IF(1=IF(ISNUMBER($J15),SUMPRODUCT((Table1[County]=OFFSET(S15,IF(ISNUMBER(S15),-S15,0),0))*(Table1[Subrecipient]=B15)*(Table1[Status]&lt;&gt;"Complete")),""),"Pending","")</f>
        <v/>
      </c>
    </row>
    <row r="16" spans="1:20" x14ac:dyDescent="0.3">
      <c r="A16" s="219" t="s">
        <v>1070</v>
      </c>
      <c r="B16" s="254"/>
      <c r="C16" s="220">
        <v>104147.3</v>
      </c>
      <c r="D16" s="220">
        <v>0</v>
      </c>
      <c r="E16" s="220">
        <v>89967</v>
      </c>
      <c r="F16" s="220">
        <v>20282</v>
      </c>
      <c r="G16" s="220">
        <v>0</v>
      </c>
      <c r="H16" s="220">
        <v>0</v>
      </c>
      <c r="I16" s="220">
        <v>0</v>
      </c>
      <c r="J16" s="220">
        <v>214396.3</v>
      </c>
      <c r="K16" s="211">
        <f>IF($A16="","",VLOOKUP('Input Sheet'!$D$2 &amp; " " &amp; $A16,Pop[#All],4,FALSE))</f>
        <v>120502</v>
      </c>
      <c r="L16" s="212">
        <f t="shared" ref="L16:L79" si="6">IFERROR(IF($A16="","",ROUND($J16/$K16,2)),"")</f>
        <v>1.78</v>
      </c>
      <c r="M16" s="213" t="str">
        <f t="shared" ca="1" si="5"/>
        <v/>
      </c>
      <c r="N16" s="214">
        <f>IF(OR($A16="",$A16="Grand Total"),IF($A16="Grand Total",SUM($N$15:$N15),""),SUMPRODUCT((Table1[County]=SummaryPage!$A16)*(Table1[Status]&lt;&gt;"Complete")))</f>
        <v>0</v>
      </c>
      <c r="O16" s="6" t="str">
        <f ca="1">IF($A16="Grand Total",SUM(INDIRECT(ADDRESS(1,COLUMN())&amp;":"&amp;ADDRESS(ROW()-1,COLUMN()))),IF(OR($A16="State Agencies",IFERROR(AND($L16&gt;='Input Sheet'!$J$2,$A16&lt;&gt;""),0)),$J16,""))</f>
        <v/>
      </c>
      <c r="P16" s="3" t="str">
        <f>IF(OR($A16="",$A16="Grand Total"),"",IF(IFERROR(ROUND($J16/$K16,2),1000)&gt;='Input Sheet'!$J$2,1,""))</f>
        <v/>
      </c>
      <c r="Q16" s="3" t="str">
        <f t="shared" ref="Q16:Q79" si="7">IFERROR($L16*$P16,"")</f>
        <v/>
      </c>
      <c r="R16" s="3" t="b">
        <f>IF(OR($A16="",$A16="Grand Total"),"",AND($J16=0,(SUMPRODUCT((Table1[County]=SummaryPage!$A16)*(Table1[Status]="Not Started"))+SUMPRODUCT((Table1[County]=SummaryPage!$A16)*(Table1[Status]="")))=SUMPRODUCT((Table1[County]=SummaryPage!$A16)*(Table1[Status]&lt;&gt;"Q"))))</f>
        <v>0</v>
      </c>
    </row>
    <row r="17" spans="1:18" x14ac:dyDescent="0.3">
      <c r="A17" s="215" t="s">
        <v>1071</v>
      </c>
      <c r="B17" s="215"/>
      <c r="C17" s="216">
        <v>0</v>
      </c>
      <c r="D17" s="216">
        <v>0</v>
      </c>
      <c r="E17" s="216">
        <v>147388</v>
      </c>
      <c r="F17" s="216">
        <v>73375.929999999993</v>
      </c>
      <c r="G17" s="216">
        <v>0</v>
      </c>
      <c r="H17" s="216">
        <v>0</v>
      </c>
      <c r="I17" s="216">
        <v>0</v>
      </c>
      <c r="J17" s="216">
        <v>220763.93</v>
      </c>
      <c r="K17" s="211">
        <f>IF($A17="","",VLOOKUP('Input Sheet'!$D$2 &amp; " " &amp; $A17,Pop[#All],4,FALSE))</f>
        <v>28907</v>
      </c>
      <c r="L17" s="212">
        <f t="shared" si="6"/>
        <v>7.64</v>
      </c>
      <c r="M17" s="213">
        <f t="shared" ca="1" si="5"/>
        <v>9.4279336926052209E-3</v>
      </c>
      <c r="N17" s="214">
        <f>IF(OR($A17="",$A17="Grand Total"),IF($A17="Grand Total",SUM($N$15:$N16),""),SUMPRODUCT((Table1[County]=SummaryPage!$A17)*(Table1[Status]&lt;&gt;"Complete")))</f>
        <v>0</v>
      </c>
      <c r="O17" s="6">
        <f ca="1">IF($A17="Grand Total",SUM(INDIRECT(ADDRESS(1,COLUMN())&amp;":"&amp;ADDRESS(ROW()-1,COLUMN()))),IF(OR($A17="State Agencies",IFERROR(AND($L17&gt;='Input Sheet'!$J$2,$A17&lt;&gt;""),0)),$J17,""))</f>
        <v>220763.93</v>
      </c>
      <c r="P17" s="3">
        <f>IF(OR($A17="",$A17="Grand Total"),"",IF(IFERROR(ROUND($J17/$K17,2),1000)&gt;='Input Sheet'!$J$2,1,""))</f>
        <v>1</v>
      </c>
      <c r="Q17" s="3">
        <f t="shared" si="7"/>
        <v>7.64</v>
      </c>
      <c r="R17" s="3" t="b">
        <f>IF(OR($A17="",$A17="Grand Total"),"",AND($J17=0,(SUMPRODUCT((Table1[County]=SummaryPage!$A17)*(Table1[Status]="Not Started"))+SUMPRODUCT((Table1[County]=SummaryPage!$A17)*(Table1[Status]="")))=SUMPRODUCT((Table1[County]=SummaryPage!$A17)*(Table1[Status]&lt;&gt;"Q"))))</f>
        <v>0</v>
      </c>
    </row>
    <row r="18" spans="1:18" x14ac:dyDescent="0.3">
      <c r="A18" s="219" t="s">
        <v>1072</v>
      </c>
      <c r="B18" s="254"/>
      <c r="C18" s="220">
        <v>0</v>
      </c>
      <c r="D18" s="220">
        <v>28062.99</v>
      </c>
      <c r="E18" s="220">
        <v>0</v>
      </c>
      <c r="F18" s="220">
        <v>20183.439999999999</v>
      </c>
      <c r="G18" s="220">
        <v>0</v>
      </c>
      <c r="H18" s="220">
        <v>0</v>
      </c>
      <c r="I18" s="220">
        <v>0</v>
      </c>
      <c r="J18" s="220">
        <v>48246.43</v>
      </c>
      <c r="K18" s="211">
        <f>IF($A18="","",VLOOKUP('Input Sheet'!$D$2 &amp; " " &amp; $A18,Pop[#All],4,FALSE))</f>
        <v>23431</v>
      </c>
      <c r="L18" s="212">
        <f t="shared" si="6"/>
        <v>2.06</v>
      </c>
      <c r="M18" s="213" t="str">
        <f t="shared" ca="1" si="5"/>
        <v/>
      </c>
      <c r="N18" s="214">
        <f>IF(OR($A18="",$A18="Grand Total"),IF($A18="Grand Total",SUM($N$15:$N17),""),SUMPRODUCT((Table1[County]=SummaryPage!$A18)*(Table1[Status]&lt;&gt;"Complete")))</f>
        <v>0</v>
      </c>
      <c r="O18" s="6" t="str">
        <f ca="1">IF($A18="Grand Total",SUM(INDIRECT(ADDRESS(1,COLUMN())&amp;":"&amp;ADDRESS(ROW()-1,COLUMN()))),IF(OR($A18="State Agencies",IFERROR(AND($L18&gt;='Input Sheet'!$J$2,$A18&lt;&gt;""),0)),$J18,""))</f>
        <v/>
      </c>
      <c r="P18" s="3" t="str">
        <f>IF(OR($A18="",$A18="Grand Total"),"",IF(IFERROR(ROUND($J18/$K18,2),1000)&gt;='Input Sheet'!$J$2,1,""))</f>
        <v/>
      </c>
      <c r="Q18" s="3" t="str">
        <f t="shared" si="7"/>
        <v/>
      </c>
      <c r="R18" s="3" t="b">
        <f>IF(OR($A18="",$A18="Grand Total"),"",AND($J18=0,(SUMPRODUCT((Table1[County]=SummaryPage!$A18)*(Table1[Status]="Not Started"))+SUMPRODUCT((Table1[County]=SummaryPage!$A18)*(Table1[Status]="")))=SUMPRODUCT((Table1[County]=SummaryPage!$A18)*(Table1[Status]&lt;&gt;"Q"))))</f>
        <v>0</v>
      </c>
    </row>
    <row r="19" spans="1:18" x14ac:dyDescent="0.3">
      <c r="A19" s="215" t="s">
        <v>1076</v>
      </c>
      <c r="B19" s="215"/>
      <c r="C19" s="216">
        <v>0</v>
      </c>
      <c r="D19" s="216">
        <v>0</v>
      </c>
      <c r="E19" s="216">
        <v>0</v>
      </c>
      <c r="F19" s="216">
        <v>35892.619999999995</v>
      </c>
      <c r="G19" s="216">
        <v>0</v>
      </c>
      <c r="H19" s="216">
        <v>187982</v>
      </c>
      <c r="I19" s="216">
        <v>7812</v>
      </c>
      <c r="J19" s="216">
        <v>231686.62</v>
      </c>
      <c r="K19" s="211">
        <f>IF($A19="","",VLOOKUP('Input Sheet'!$D$2 &amp; " " &amp; $A19,Pop[#All],4,FALSE))</f>
        <v>17970</v>
      </c>
      <c r="L19" s="212">
        <f t="shared" si="6"/>
        <v>12.89</v>
      </c>
      <c r="M19" s="213">
        <f t="shared" ca="1" si="5"/>
        <v>9.8943975622458932E-3</v>
      </c>
      <c r="N19" s="214">
        <f>IF(OR($A19="",$A19="Grand Total"),IF($A19="Grand Total",SUM($N$15:$N18),""),SUMPRODUCT((Table1[County]=SummaryPage!$A19)*(Table1[Status]&lt;&gt;"Complete")))</f>
        <v>0</v>
      </c>
      <c r="O19" s="6">
        <f ca="1">IF($A19="Grand Total",SUM(INDIRECT(ADDRESS(1,COLUMN())&amp;":"&amp;ADDRESS(ROW()-1,COLUMN()))),IF(OR($A19="State Agencies",IFERROR(AND($L19&gt;='Input Sheet'!$J$2,$A19&lt;&gt;""),0)),$J19,""))</f>
        <v>231686.62</v>
      </c>
      <c r="P19" s="3">
        <f>IF(OR($A19="",$A19="Grand Total"),"",IF(IFERROR(ROUND($J19/$K19,2),1000)&gt;='Input Sheet'!$J$2,1,""))</f>
        <v>1</v>
      </c>
      <c r="Q19" s="3">
        <f t="shared" si="7"/>
        <v>12.89</v>
      </c>
      <c r="R19" s="3" t="b">
        <f>IF(OR($A19="",$A19="Grand Total"),"",AND($J19=0,(SUMPRODUCT((Table1[County]=SummaryPage!$A19)*(Table1[Status]="Not Started"))+SUMPRODUCT((Table1[County]=SummaryPage!$A19)*(Table1[Status]="")))=SUMPRODUCT((Table1[County]=SummaryPage!$A19)*(Table1[Status]&lt;&gt;"Q"))))</f>
        <v>0</v>
      </c>
    </row>
    <row r="20" spans="1:18" x14ac:dyDescent="0.3">
      <c r="A20" s="215" t="s">
        <v>1078</v>
      </c>
      <c r="B20" s="215"/>
      <c r="C20" s="216">
        <v>0</v>
      </c>
      <c r="D20" s="216">
        <v>0</v>
      </c>
      <c r="E20" s="216">
        <v>190676.5</v>
      </c>
      <c r="F20" s="216">
        <v>26145</v>
      </c>
      <c r="G20" s="216">
        <v>0</v>
      </c>
      <c r="H20" s="216">
        <v>7936</v>
      </c>
      <c r="I20" s="216">
        <v>0</v>
      </c>
      <c r="J20" s="216">
        <v>224757.5</v>
      </c>
      <c r="K20" s="211">
        <f>IF($A20="","",VLOOKUP('Input Sheet'!$D$2 &amp; " " &amp; $A20,Pop[#All],4,FALSE))</f>
        <v>26054</v>
      </c>
      <c r="L20" s="212">
        <f t="shared" si="6"/>
        <v>8.6300000000000008</v>
      </c>
      <c r="M20" s="213">
        <f t="shared" ca="1" si="5"/>
        <v>9.5984828994288979E-3</v>
      </c>
      <c r="N20" s="214">
        <f>IF(OR($A20="",$A20="Grand Total"),IF($A20="Grand Total",SUM($N$15:$N19),""),SUMPRODUCT((Table1[County]=SummaryPage!$A20)*(Table1[Status]&lt;&gt;"Complete")))</f>
        <v>0</v>
      </c>
      <c r="O20" s="6">
        <f ca="1">IF($A20="Grand Total",SUM(INDIRECT(ADDRESS(1,COLUMN())&amp;":"&amp;ADDRESS(ROW()-1,COLUMN()))),IF(OR($A20="State Agencies",IFERROR(AND($L20&gt;='Input Sheet'!$J$2,$A20&lt;&gt;""),0)),$J20,""))</f>
        <v>224757.5</v>
      </c>
      <c r="P20" s="3">
        <f>IF(OR($A20="",$A20="Grand Total"),"",IF(IFERROR(ROUND($J20/$K20,2),1000)&gt;='Input Sheet'!$J$2,1,""))</f>
        <v>1</v>
      </c>
      <c r="Q20" s="3">
        <f t="shared" si="7"/>
        <v>8.6300000000000008</v>
      </c>
      <c r="R20" s="3" t="b">
        <f>IF(OR($A20="",$A20="Grand Total"),"",AND($J20=0,(SUMPRODUCT((Table1[County]=SummaryPage!$A20)*(Table1[Status]="Not Started"))+SUMPRODUCT((Table1[County]=SummaryPage!$A20)*(Table1[Status]="")))=SUMPRODUCT((Table1[County]=SummaryPage!$A20)*(Table1[Status]&lt;&gt;"Q"))))</f>
        <v>0</v>
      </c>
    </row>
    <row r="21" spans="1:18" x14ac:dyDescent="0.3">
      <c r="A21" s="215" t="s">
        <v>1079</v>
      </c>
      <c r="B21" s="215"/>
      <c r="C21" s="216">
        <v>820369.85</v>
      </c>
      <c r="D21" s="216">
        <v>5255688.6000000006</v>
      </c>
      <c r="E21" s="216">
        <v>905964</v>
      </c>
      <c r="F21" s="216">
        <v>624844.77</v>
      </c>
      <c r="G21" s="216">
        <v>0</v>
      </c>
      <c r="H21" s="216">
        <v>66138</v>
      </c>
      <c r="I21" s="216">
        <v>789903</v>
      </c>
      <c r="J21" s="216">
        <v>8462908.2200000007</v>
      </c>
      <c r="K21" s="211">
        <f>IF($A21="","",VLOOKUP('Input Sheet'!$D$2 &amp; " " &amp; $A21,Pop[#All],4,FALSE))</f>
        <v>25579</v>
      </c>
      <c r="L21" s="212">
        <f t="shared" si="6"/>
        <v>330.85</v>
      </c>
      <c r="M21" s="213">
        <f t="shared" ca="1" si="5"/>
        <v>0.36141654818685143</v>
      </c>
      <c r="N21" s="214">
        <f>IF(OR($A21="",$A21="Grand Total"),IF($A21="Grand Total",SUM($N$15:$N20),""),SUMPRODUCT((Table1[County]=SummaryPage!$A21)*(Table1[Status]&lt;&gt;"Complete")))</f>
        <v>0</v>
      </c>
      <c r="O21" s="6">
        <f ca="1">IF($A21="Grand Total",SUM(INDIRECT(ADDRESS(1,COLUMN())&amp;":"&amp;ADDRESS(ROW()-1,COLUMN()))),IF(OR($A21="State Agencies",IFERROR(AND($L21&gt;='Input Sheet'!$J$2,$A21&lt;&gt;""),0)),$J21,""))</f>
        <v>8462908.2200000007</v>
      </c>
      <c r="P21" s="3">
        <f>IF(OR($A21="",$A21="Grand Total"),"",IF(IFERROR(ROUND($J21/$K21,2),1000)&gt;='Input Sheet'!$J$2,1,""))</f>
        <v>1</v>
      </c>
      <c r="Q21" s="3">
        <f t="shared" si="7"/>
        <v>330.85</v>
      </c>
      <c r="R21" s="3" t="b">
        <f>IF(OR($A21="",$A21="Grand Total"),"",AND($J21=0,(SUMPRODUCT((Table1[County]=SummaryPage!$A21)*(Table1[Status]="Not Started"))+SUMPRODUCT((Table1[County]=SummaryPage!$A21)*(Table1[Status]="")))=SUMPRODUCT((Table1[County]=SummaryPage!$A21)*(Table1[Status]&lt;&gt;"Q"))))</f>
        <v>0</v>
      </c>
    </row>
    <row r="22" spans="1:18" x14ac:dyDescent="0.3">
      <c r="A22" s="219" t="s">
        <v>1081</v>
      </c>
      <c r="B22" s="254"/>
      <c r="C22" s="220">
        <v>0</v>
      </c>
      <c r="D22" s="220">
        <v>0</v>
      </c>
      <c r="E22" s="220">
        <v>38906.370000000003</v>
      </c>
      <c r="F22" s="220">
        <v>0</v>
      </c>
      <c r="G22" s="220">
        <v>0</v>
      </c>
      <c r="H22" s="220">
        <v>4075</v>
      </c>
      <c r="I22" s="220">
        <v>0</v>
      </c>
      <c r="J22" s="220">
        <v>42981.37</v>
      </c>
      <c r="K22" s="211">
        <f>IF($A22="","",VLOOKUP('Input Sheet'!$D$2 &amp; " " &amp; $A22,Pop[#All],4,FALSE))</f>
        <v>30856</v>
      </c>
      <c r="L22" s="212">
        <f t="shared" si="6"/>
        <v>1.39</v>
      </c>
      <c r="M22" s="213" t="str">
        <f t="shared" ca="1" si="5"/>
        <v/>
      </c>
      <c r="N22" s="214">
        <f>IF(OR($A22="",$A22="Grand Total"),IF($A22="Grand Total",SUM($N$15:$N21),""),SUMPRODUCT((Table1[County]=SummaryPage!$A22)*(Table1[Status]&lt;&gt;"Complete")))</f>
        <v>0</v>
      </c>
      <c r="O22" s="6" t="str">
        <f ca="1">IF($A22="Grand Total",SUM(INDIRECT(ADDRESS(1,COLUMN())&amp;":"&amp;ADDRESS(ROW()-1,COLUMN()))),IF(OR($A22="State Agencies",IFERROR(AND($L22&gt;='Input Sheet'!$J$2,$A22&lt;&gt;""),0)),$J22,""))</f>
        <v/>
      </c>
      <c r="P22" s="3" t="str">
        <f>IF(OR($A22="",$A22="Grand Total"),"",IF(IFERROR(ROUND($J22/$K22,2),1000)&gt;='Input Sheet'!$J$2,1,""))</f>
        <v/>
      </c>
      <c r="Q22" s="3" t="str">
        <f t="shared" si="7"/>
        <v/>
      </c>
      <c r="R22" s="3" t="b">
        <f>IF(OR($A22="",$A22="Grand Total"),"",AND($J22=0,(SUMPRODUCT((Table1[County]=SummaryPage!$A22)*(Table1[Status]="Not Started"))+SUMPRODUCT((Table1[County]=SummaryPage!$A22)*(Table1[Status]="")))=SUMPRODUCT((Table1[County]=SummaryPage!$A22)*(Table1[Status]&lt;&gt;"Q"))))</f>
        <v>0</v>
      </c>
    </row>
    <row r="23" spans="1:18" x14ac:dyDescent="0.3">
      <c r="A23" s="215" t="s">
        <v>40</v>
      </c>
      <c r="B23" s="215"/>
      <c r="C23" s="216">
        <v>0</v>
      </c>
      <c r="D23" s="216">
        <v>17423</v>
      </c>
      <c r="E23" s="216">
        <v>49288</v>
      </c>
      <c r="F23" s="216">
        <v>0</v>
      </c>
      <c r="G23" s="216">
        <v>0</v>
      </c>
      <c r="H23" s="216">
        <v>0</v>
      </c>
      <c r="I23" s="216">
        <v>804</v>
      </c>
      <c r="J23" s="216">
        <v>67515</v>
      </c>
      <c r="K23" s="211">
        <f>IF($A23="","",VLOOKUP('Input Sheet'!$D$2 &amp; " " &amp; $A23,Pop[#All],4,FALSE))</f>
        <v>12988</v>
      </c>
      <c r="L23" s="212">
        <f t="shared" si="6"/>
        <v>5.2</v>
      </c>
      <c r="M23" s="213">
        <f t="shared" ca="1" si="5"/>
        <v>2.8832923170748117E-3</v>
      </c>
      <c r="N23" s="214">
        <f>IF(OR($A23="",$A23="Grand Total"),IF($A23="Grand Total",SUM($N$15:$N22),""),SUMPRODUCT((Table1[County]=SummaryPage!$A23)*(Table1[Status]&lt;&gt;"Complete")))</f>
        <v>0</v>
      </c>
      <c r="O23" s="6">
        <f ca="1">IF($A23="Grand Total",SUM(INDIRECT(ADDRESS(1,COLUMN())&amp;":"&amp;ADDRESS(ROW()-1,COLUMN()))),IF(OR($A23="State Agencies",IFERROR(AND($L23&gt;='Input Sheet'!$J$2,$A23&lt;&gt;""),0)),$J23,""))</f>
        <v>67515</v>
      </c>
      <c r="P23" s="3">
        <f>IF(OR($A23="",$A23="Grand Total"),"",IF(IFERROR(ROUND($J23/$K23,2),1000)&gt;='Input Sheet'!$J$2,1,""))</f>
        <v>1</v>
      </c>
      <c r="Q23" s="3">
        <f t="shared" si="7"/>
        <v>5.2</v>
      </c>
      <c r="R23" s="3" t="b">
        <f>IF(OR($A23="",$A23="Grand Total"),"",AND($J23=0,(SUMPRODUCT((Table1[County]=SummaryPage!$A23)*(Table1[Status]="Not Started"))+SUMPRODUCT((Table1[County]=SummaryPage!$A23)*(Table1[Status]="")))=SUMPRODUCT((Table1[County]=SummaryPage!$A23)*(Table1[Status]&lt;&gt;"Q"))))</f>
        <v>0</v>
      </c>
    </row>
    <row r="24" spans="1:18" x14ac:dyDescent="0.3">
      <c r="A24" s="215" t="s">
        <v>1082</v>
      </c>
      <c r="B24" s="215"/>
      <c r="C24" s="216">
        <v>0</v>
      </c>
      <c r="D24" s="216">
        <v>196291.04</v>
      </c>
      <c r="E24" s="216">
        <v>503921.9</v>
      </c>
      <c r="F24" s="216">
        <v>124264.1</v>
      </c>
      <c r="G24" s="216">
        <v>0</v>
      </c>
      <c r="H24" s="216">
        <v>0</v>
      </c>
      <c r="I24" s="216">
        <v>0</v>
      </c>
      <c r="J24" s="216">
        <v>824477.04</v>
      </c>
      <c r="K24" s="211">
        <f>IF($A24="","",VLOOKUP('Input Sheet'!$D$2 &amp; " " &amp; $A24,Pop[#All],4,FALSE))</f>
        <v>109175</v>
      </c>
      <c r="L24" s="212">
        <f t="shared" si="6"/>
        <v>7.55</v>
      </c>
      <c r="M24" s="213">
        <f t="shared" ca="1" si="5"/>
        <v>3.5210076502060025E-2</v>
      </c>
      <c r="N24" s="214">
        <f>IF(OR($A24="",$A24="Grand Total"),IF($A24="Grand Total",SUM($N$15:$N23),""),SUMPRODUCT((Table1[County]=SummaryPage!$A24)*(Table1[Status]&lt;&gt;"Complete")))</f>
        <v>0</v>
      </c>
      <c r="O24" s="6">
        <f ca="1">IF($A24="Grand Total",SUM(INDIRECT(ADDRESS(1,COLUMN())&amp;":"&amp;ADDRESS(ROW()-1,COLUMN()))),IF(OR($A24="State Agencies",IFERROR(AND($L24&gt;='Input Sheet'!$J$2,$A24&lt;&gt;""),0)),$J24,""))</f>
        <v>824477.04</v>
      </c>
      <c r="P24" s="3">
        <f>IF(OR($A24="",$A24="Grand Total"),"",IF(IFERROR(ROUND($J24/$K24,2),1000)&gt;='Input Sheet'!$J$2,1,""))</f>
        <v>1</v>
      </c>
      <c r="Q24" s="3">
        <f t="shared" si="7"/>
        <v>7.55</v>
      </c>
      <c r="R24" s="3" t="b">
        <f>IF(OR($A24="",$A24="Grand Total"),"",AND($J24=0,(SUMPRODUCT((Table1[County]=SummaryPage!$A24)*(Table1[Status]="Not Started"))+SUMPRODUCT((Table1[County]=SummaryPage!$A24)*(Table1[Status]="")))=SUMPRODUCT((Table1[County]=SummaryPage!$A24)*(Table1[Status]&lt;&gt;"Q"))))</f>
        <v>0</v>
      </c>
    </row>
    <row r="25" spans="1:18" x14ac:dyDescent="0.3">
      <c r="A25" s="215" t="s">
        <v>720</v>
      </c>
      <c r="B25" s="215"/>
      <c r="C25" s="216">
        <v>0</v>
      </c>
      <c r="D25" s="216">
        <v>191373.9</v>
      </c>
      <c r="E25" s="216">
        <v>0</v>
      </c>
      <c r="F25" s="216">
        <v>0</v>
      </c>
      <c r="G25" s="216">
        <v>6000</v>
      </c>
      <c r="H25" s="216">
        <v>0</v>
      </c>
      <c r="I25" s="216">
        <v>80643.759999999995</v>
      </c>
      <c r="J25" s="216">
        <v>278017.65999999997</v>
      </c>
      <c r="K25" s="211">
        <f>IF($A25="","",VLOOKUP('Input Sheet'!$D$2 &amp; " " &amp; $A25,Pop[#All],4,FALSE))</f>
        <v>34112</v>
      </c>
      <c r="L25" s="212">
        <f t="shared" si="6"/>
        <v>8.15</v>
      </c>
      <c r="M25" s="213">
        <f t="shared" ca="1" si="5"/>
        <v>1.18730087104957E-2</v>
      </c>
      <c r="N25" s="214">
        <f>IF(OR($A25="",$A25="Grand Total"),IF($A25="Grand Total",SUM($N$15:$N24),""),SUMPRODUCT((Table1[County]=SummaryPage!$A25)*(Table1[Status]&lt;&gt;"Complete")))</f>
        <v>0</v>
      </c>
      <c r="O25" s="6">
        <f ca="1">IF($A25="Grand Total",SUM(INDIRECT(ADDRESS(1,COLUMN())&amp;":"&amp;ADDRESS(ROW()-1,COLUMN()))),IF(OR($A25="State Agencies",IFERROR(AND($L25&gt;='Input Sheet'!$J$2,$A25&lt;&gt;""),0)),$J25,""))</f>
        <v>278017.65999999997</v>
      </c>
      <c r="P25" s="3">
        <f>IF(OR($A25="",$A25="Grand Total"),"",IF(IFERROR(ROUND($J25/$K25,2),1000)&gt;='Input Sheet'!$J$2,1,""))</f>
        <v>1</v>
      </c>
      <c r="Q25" s="3">
        <f t="shared" si="7"/>
        <v>8.15</v>
      </c>
      <c r="R25" s="3" t="b">
        <f>IF(OR($A25="",$A25="Grand Total"),"",AND($J25=0,(SUMPRODUCT((Table1[County]=SummaryPage!$A25)*(Table1[Status]="Not Started"))+SUMPRODUCT((Table1[County]=SummaryPage!$A25)*(Table1[Status]="")))=SUMPRODUCT((Table1[County]=SummaryPage!$A25)*(Table1[Status]&lt;&gt;"Q"))))</f>
        <v>0</v>
      </c>
    </row>
    <row r="26" spans="1:18" x14ac:dyDescent="0.3">
      <c r="A26" s="215" t="s">
        <v>1086</v>
      </c>
      <c r="B26" s="215"/>
      <c r="C26" s="216">
        <v>198000</v>
      </c>
      <c r="D26" s="216">
        <v>143429.51999999999</v>
      </c>
      <c r="E26" s="216">
        <v>1693083.52</v>
      </c>
      <c r="F26" s="216">
        <v>0</v>
      </c>
      <c r="G26" s="216">
        <v>73925.119999999995</v>
      </c>
      <c r="H26" s="216">
        <v>0</v>
      </c>
      <c r="I26" s="216">
        <v>581892.84000000008</v>
      </c>
      <c r="J26" s="216">
        <v>2690331</v>
      </c>
      <c r="K26" s="211">
        <f>IF($A26="","",VLOOKUP('Input Sheet'!$D$2 &amp; " " &amp; $A26,Pop[#All],4,FALSE))</f>
        <v>95238</v>
      </c>
      <c r="L26" s="212">
        <f t="shared" si="6"/>
        <v>28.25</v>
      </c>
      <c r="M26" s="213">
        <f t="shared" ca="1" si="5"/>
        <v>0.11489314526680286</v>
      </c>
      <c r="N26" s="214">
        <f>IF(OR($A26="",$A26="Grand Total"),IF($A26="Grand Total",SUM($N$15:$N25),""),SUMPRODUCT((Table1[County]=SummaryPage!$A26)*(Table1[Status]&lt;&gt;"Complete")))</f>
        <v>0</v>
      </c>
      <c r="O26" s="6">
        <f ca="1">IF($A26="Grand Total",SUM(INDIRECT(ADDRESS(1,COLUMN())&amp;":"&amp;ADDRESS(ROW()-1,COLUMN()))),IF(OR($A26="State Agencies",IFERROR(AND($L26&gt;='Input Sheet'!$J$2,$A26&lt;&gt;""),0)),$J26,""))</f>
        <v>2690331</v>
      </c>
      <c r="P26" s="3">
        <f>IF(OR($A26="",$A26="Grand Total"),"",IF(IFERROR(ROUND($J26/$K26,2),1000)&gt;='Input Sheet'!$J$2,1,""))</f>
        <v>1</v>
      </c>
      <c r="Q26" s="3">
        <f t="shared" si="7"/>
        <v>28.25</v>
      </c>
      <c r="R26" s="3" t="b">
        <f>IF(OR($A26="",$A26="Grand Total"),"",AND($J26=0,(SUMPRODUCT((Table1[County]=SummaryPage!$A26)*(Table1[Status]="Not Started"))+SUMPRODUCT((Table1[County]=SummaryPage!$A26)*(Table1[Status]="")))=SUMPRODUCT((Table1[County]=SummaryPage!$A26)*(Table1[Status]&lt;&gt;"Q"))))</f>
        <v>0</v>
      </c>
    </row>
    <row r="27" spans="1:18" x14ac:dyDescent="0.3">
      <c r="A27" s="215" t="s">
        <v>1087</v>
      </c>
      <c r="B27" s="215"/>
      <c r="C27" s="216">
        <v>12087.220000000001</v>
      </c>
      <c r="D27" s="216">
        <v>19284.330000000002</v>
      </c>
      <c r="E27" s="216">
        <v>60310</v>
      </c>
      <c r="F27" s="216">
        <v>95900</v>
      </c>
      <c r="G27" s="216">
        <v>8591.26</v>
      </c>
      <c r="H27" s="216">
        <v>10008.1</v>
      </c>
      <c r="I27" s="216">
        <v>0</v>
      </c>
      <c r="J27" s="216">
        <v>206180.91</v>
      </c>
      <c r="K27" s="211">
        <f>IF($A27="","",VLOOKUP('Input Sheet'!$D$2 &amp; " " &amp; $A27,Pop[#All],4,FALSE))</f>
        <v>41761</v>
      </c>
      <c r="L27" s="212">
        <f t="shared" si="6"/>
        <v>4.9400000000000004</v>
      </c>
      <c r="M27" s="213">
        <f t="shared" ca="1" si="5"/>
        <v>8.8051519474263984E-3</v>
      </c>
      <c r="N27" s="214">
        <f>IF(OR($A27="",$A27="Grand Total"),IF($A27="Grand Total",SUM($N$15:$N26),""),SUMPRODUCT((Table1[County]=SummaryPage!$A27)*(Table1[Status]&lt;&gt;"Complete")))</f>
        <v>0</v>
      </c>
      <c r="O27" s="6">
        <f ca="1">IF($A27="Grand Total",SUM(INDIRECT(ADDRESS(1,COLUMN())&amp;":"&amp;ADDRESS(ROW()-1,COLUMN()))),IF(OR($A27="State Agencies",IFERROR(AND($L27&gt;='Input Sheet'!$J$2,$A27&lt;&gt;""),0)),$J27,""))</f>
        <v>206180.91</v>
      </c>
      <c r="P27" s="3">
        <f>IF(OR($A27="",$A27="Grand Total"),"",IF(IFERROR(ROUND($J27/$K27,2),1000)&gt;='Input Sheet'!$J$2,1,""))</f>
        <v>1</v>
      </c>
      <c r="Q27" s="3">
        <f t="shared" si="7"/>
        <v>4.9400000000000004</v>
      </c>
      <c r="R27" s="3" t="b">
        <f>IF(OR($A27="",$A27="Grand Total"),"",AND($J27=0,(SUMPRODUCT((Table1[County]=SummaryPage!$A27)*(Table1[Status]="Not Started"))+SUMPRODUCT((Table1[County]=SummaryPage!$A27)*(Table1[Status]="")))=SUMPRODUCT((Table1[County]=SummaryPage!$A27)*(Table1[Status]&lt;&gt;"Q"))))</f>
        <v>0</v>
      </c>
    </row>
    <row r="28" spans="1:18" x14ac:dyDescent="0.3">
      <c r="A28" s="215" t="s">
        <v>1094</v>
      </c>
      <c r="B28" s="215"/>
      <c r="C28" s="216">
        <v>0</v>
      </c>
      <c r="D28" s="216">
        <v>0</v>
      </c>
      <c r="E28" s="216">
        <v>383314</v>
      </c>
      <c r="F28" s="216">
        <v>0</v>
      </c>
      <c r="G28" s="216">
        <v>0</v>
      </c>
      <c r="H28" s="216">
        <v>0</v>
      </c>
      <c r="I28" s="216">
        <v>0</v>
      </c>
      <c r="J28" s="216">
        <v>383314</v>
      </c>
      <c r="K28" s="211">
        <f>IF($A28="","",VLOOKUP('Input Sheet'!$D$2 &amp; " " &amp; $A28,Pop[#All],4,FALSE))</f>
        <v>11631</v>
      </c>
      <c r="L28" s="212">
        <f t="shared" si="6"/>
        <v>32.96</v>
      </c>
      <c r="M28" s="213">
        <f t="shared" ca="1" si="5"/>
        <v>1.6369789102084194E-2</v>
      </c>
      <c r="N28" s="214">
        <f>IF(OR($A28="",$A28="Grand Total"),IF($A28="Grand Total",SUM($N$15:$N27),""),SUMPRODUCT((Table1[County]=SummaryPage!$A28)*(Table1[Status]&lt;&gt;"Complete")))</f>
        <v>0</v>
      </c>
      <c r="O28" s="6">
        <f ca="1">IF($A28="Grand Total",SUM(INDIRECT(ADDRESS(1,COLUMN())&amp;":"&amp;ADDRESS(ROW()-1,COLUMN()))),IF(OR($A28="State Agencies",IFERROR(AND($L28&gt;='Input Sheet'!$J$2,$A28&lt;&gt;""),0)),$J28,""))</f>
        <v>383314</v>
      </c>
      <c r="P28" s="3">
        <f>IF(OR($A28="",$A28="Grand Total"),"",IF(IFERROR(ROUND($J28/$K28,2),1000)&gt;='Input Sheet'!$J$2,1,""))</f>
        <v>1</v>
      </c>
      <c r="Q28" s="3">
        <f t="shared" si="7"/>
        <v>32.96</v>
      </c>
      <c r="R28" s="3" t="b">
        <f>IF(OR($A28="",$A28="Grand Total"),"",AND($J28=0,(SUMPRODUCT((Table1[County]=SummaryPage!$A28)*(Table1[Status]="Not Started"))+SUMPRODUCT((Table1[County]=SummaryPage!$A28)*(Table1[Status]="")))=SUMPRODUCT((Table1[County]=SummaryPage!$A28)*(Table1[Status]&lt;&gt;"Q"))))</f>
        <v>0</v>
      </c>
    </row>
    <row r="29" spans="1:18" x14ac:dyDescent="0.3">
      <c r="A29" s="219" t="s">
        <v>46</v>
      </c>
      <c r="B29" s="254"/>
      <c r="C29" s="220">
        <v>0</v>
      </c>
      <c r="D29" s="220">
        <v>0</v>
      </c>
      <c r="E29" s="220">
        <v>117700</v>
      </c>
      <c r="F29" s="220">
        <v>123738</v>
      </c>
      <c r="G29" s="220">
        <v>0</v>
      </c>
      <c r="H29" s="220">
        <v>0</v>
      </c>
      <c r="I29" s="220">
        <v>0</v>
      </c>
      <c r="J29" s="220">
        <v>241438</v>
      </c>
      <c r="K29" s="211">
        <f>IF($A29="","",VLOOKUP('Input Sheet'!$D$2 &amp; " " &amp; $A29,Pop[#All],4,FALSE))</f>
        <v>160366</v>
      </c>
      <c r="L29" s="212">
        <f t="shared" si="6"/>
        <v>1.51</v>
      </c>
      <c r="M29" s="213" t="str">
        <f t="shared" ca="1" si="5"/>
        <v/>
      </c>
      <c r="N29" s="214">
        <f>IF(OR($A29="",$A29="Grand Total"),IF($A29="Grand Total",SUM($N$15:$N28),""),SUMPRODUCT((Table1[County]=SummaryPage!$A29)*(Table1[Status]&lt;&gt;"Complete")))</f>
        <v>0</v>
      </c>
      <c r="O29" s="6" t="str">
        <f ca="1">IF($A29="Grand Total",SUM(INDIRECT(ADDRESS(1,COLUMN())&amp;":"&amp;ADDRESS(ROW()-1,COLUMN()))),IF(OR($A29="State Agencies",IFERROR(AND($L29&gt;='Input Sheet'!$J$2,$A29&lt;&gt;""),0)),$J29,""))</f>
        <v/>
      </c>
      <c r="P29" s="3" t="str">
        <f>IF(OR($A29="",$A29="Grand Total"),"",IF(IFERROR(ROUND($J29/$K29,2),1000)&gt;='Input Sheet'!$J$2,1,""))</f>
        <v/>
      </c>
      <c r="Q29" s="3" t="str">
        <f t="shared" si="7"/>
        <v/>
      </c>
      <c r="R29" s="3" t="b">
        <f>IF(OR($A29="",$A29="Grand Total"),"",AND($J29=0,(SUMPRODUCT((Table1[County]=SummaryPage!$A29)*(Table1[Status]="Not Started"))+SUMPRODUCT((Table1[County]=SummaryPage!$A29)*(Table1[Status]="")))=SUMPRODUCT((Table1[County]=SummaryPage!$A29)*(Table1[Status]&lt;&gt;"Q"))))</f>
        <v>0</v>
      </c>
    </row>
    <row r="30" spans="1:18" x14ac:dyDescent="0.3">
      <c r="A30" s="219" t="s">
        <v>1096</v>
      </c>
      <c r="B30" s="254"/>
      <c r="C30" s="220">
        <v>6742</v>
      </c>
      <c r="D30" s="220">
        <v>0</v>
      </c>
      <c r="E30" s="220">
        <v>0</v>
      </c>
      <c r="F30" s="220">
        <v>0</v>
      </c>
      <c r="G30" s="220">
        <v>11795</v>
      </c>
      <c r="H30" s="220">
        <v>0</v>
      </c>
      <c r="I30" s="220">
        <v>0</v>
      </c>
      <c r="J30" s="220">
        <v>18537</v>
      </c>
      <c r="K30" s="211">
        <f>IF($A30="","",VLOOKUP('Input Sheet'!$D$2 &amp; " " &amp; $A30,Pop[#All],4,FALSE))</f>
        <v>261670</v>
      </c>
      <c r="L30" s="212">
        <f t="shared" si="6"/>
        <v>7.0000000000000007E-2</v>
      </c>
      <c r="M30" s="213" t="str">
        <f t="shared" ca="1" si="5"/>
        <v/>
      </c>
      <c r="N30" s="214">
        <f>IF(OR($A30="",$A30="Grand Total"),IF($A30="Grand Total",SUM($N$15:$N29),""),SUMPRODUCT((Table1[County]=SummaryPage!$A30)*(Table1[Status]&lt;&gt;"Complete")))</f>
        <v>0</v>
      </c>
      <c r="O30" s="6" t="str">
        <f ca="1">IF($A30="Grand Total",SUM(INDIRECT(ADDRESS(1,COLUMN())&amp;":"&amp;ADDRESS(ROW()-1,COLUMN()))),IF(OR($A30="State Agencies",IFERROR(AND($L30&gt;='Input Sheet'!$J$2,$A30&lt;&gt;""),0)),$J30,""))</f>
        <v/>
      </c>
      <c r="P30" s="3" t="str">
        <f>IF(OR($A30="",$A30="Grand Total"),"",IF(IFERROR(ROUND($J30/$K30,2),1000)&gt;='Input Sheet'!$J$2,1,""))</f>
        <v/>
      </c>
      <c r="Q30" s="3" t="str">
        <f t="shared" si="7"/>
        <v/>
      </c>
      <c r="R30" s="3" t="b">
        <f>IF(OR($A30="",$A30="Grand Total"),"",AND($J30=0,(SUMPRODUCT((Table1[County]=SummaryPage!$A30)*(Table1[Status]="Not Started"))+SUMPRODUCT((Table1[County]=SummaryPage!$A30)*(Table1[Status]="")))=SUMPRODUCT((Table1[County]=SummaryPage!$A30)*(Table1[Status]&lt;&gt;"Q"))))</f>
        <v>0</v>
      </c>
    </row>
    <row r="31" spans="1:18" x14ac:dyDescent="0.3">
      <c r="A31" s="217" t="s">
        <v>1097</v>
      </c>
      <c r="B31" s="217"/>
      <c r="C31" s="218">
        <v>0</v>
      </c>
      <c r="D31" s="218">
        <v>0</v>
      </c>
      <c r="E31" s="218">
        <v>178470.59</v>
      </c>
      <c r="F31" s="218">
        <v>133559.26999999999</v>
      </c>
      <c r="G31" s="218">
        <v>60035</v>
      </c>
      <c r="H31" s="218">
        <v>0</v>
      </c>
      <c r="I31" s="218">
        <v>0</v>
      </c>
      <c r="J31" s="218">
        <v>372064.86</v>
      </c>
      <c r="K31" s="211">
        <f>IF($A31="","",VLOOKUP('Input Sheet'!$D$2 &amp; " " &amp; $A31,Pop[#All],4,FALSE))</f>
        <v>17939</v>
      </c>
      <c r="L31" s="212">
        <f t="shared" si="6"/>
        <v>20.74</v>
      </c>
      <c r="M31" s="213">
        <f t="shared" ca="1" si="5"/>
        <v>1.5889383874568844E-2</v>
      </c>
      <c r="N31" s="214">
        <f>IF(OR($A31="",$A31="Grand Total"),IF($A31="Grand Total",SUM($N$15:$N30),""),SUMPRODUCT((Table1[County]=SummaryPage!$A31)*(Table1[Status]&lt;&gt;"Complete")))</f>
        <v>0</v>
      </c>
      <c r="O31" s="6">
        <f ca="1">IF($A31="Grand Total",SUM(INDIRECT(ADDRESS(1,COLUMN())&amp;":"&amp;ADDRESS(ROW()-1,COLUMN()))),IF(OR($A31="State Agencies",IFERROR(AND($L31&gt;='Input Sheet'!$J$2,$A31&lt;&gt;""),0)),$J31,""))</f>
        <v>372064.86</v>
      </c>
      <c r="P31" s="3">
        <f>IF(OR($A31="",$A31="Grand Total"),"",IF(IFERROR(ROUND($J31/$K31,2),1000)&gt;='Input Sheet'!$J$2,1,""))</f>
        <v>1</v>
      </c>
      <c r="Q31" s="3">
        <f t="shared" si="7"/>
        <v>20.74</v>
      </c>
      <c r="R31" s="3" t="b">
        <f>IF(OR($A31="",$A31="Grand Total"),"",AND($J31=0,(SUMPRODUCT((Table1[County]=SummaryPage!$A31)*(Table1[Status]="Not Started"))+SUMPRODUCT((Table1[County]=SummaryPage!$A31)*(Table1[Status]="")))=SUMPRODUCT((Table1[County]=SummaryPage!$A31)*(Table1[Status]&lt;&gt;"Q"))))</f>
        <v>0</v>
      </c>
    </row>
    <row r="32" spans="1:18" x14ac:dyDescent="0.3">
      <c r="A32" s="217" t="s">
        <v>439</v>
      </c>
      <c r="B32" s="217"/>
      <c r="C32" s="218">
        <v>0</v>
      </c>
      <c r="D32" s="218">
        <v>0</v>
      </c>
      <c r="E32" s="218">
        <v>123782.58</v>
      </c>
      <c r="F32" s="218">
        <v>0</v>
      </c>
      <c r="G32" s="218">
        <v>0</v>
      </c>
      <c r="H32" s="218">
        <v>0</v>
      </c>
      <c r="I32" s="218">
        <v>13554.29</v>
      </c>
      <c r="J32" s="218">
        <v>137336.87</v>
      </c>
      <c r="K32" s="211">
        <f>IF($A32="","",VLOOKUP('Input Sheet'!$D$2 &amp; " " &amp; $A32,Pop[#All],4,FALSE))</f>
        <v>12096</v>
      </c>
      <c r="L32" s="212">
        <f t="shared" si="6"/>
        <v>11.35</v>
      </c>
      <c r="M32" s="213">
        <f t="shared" ca="1" si="5"/>
        <v>5.8651017125394686E-3</v>
      </c>
      <c r="N32" s="214">
        <f>IF(OR($A32="",$A32="Grand Total"),IF($A32="Grand Total",SUM($N$15:$N31),""),SUMPRODUCT((Table1[County]=SummaryPage!$A32)*(Table1[Status]&lt;&gt;"Complete")))</f>
        <v>0</v>
      </c>
      <c r="O32" s="6">
        <f ca="1">IF($A32="Grand Total",SUM(INDIRECT(ADDRESS(1,COLUMN())&amp;":"&amp;ADDRESS(ROW()-1,COLUMN()))),IF(OR($A32="State Agencies",IFERROR(AND($L32&gt;='Input Sheet'!$J$2,$A32&lt;&gt;""),0)),$J32,""))</f>
        <v>137336.87</v>
      </c>
      <c r="P32" s="3">
        <f>IF(OR($A32="",$A32="Grand Total"),"",IF(IFERROR(ROUND($J32/$K32,2),1000)&gt;='Input Sheet'!$J$2,1,""))</f>
        <v>1</v>
      </c>
      <c r="Q32" s="3">
        <f t="shared" si="7"/>
        <v>11.35</v>
      </c>
      <c r="R32" s="3" t="b">
        <f>IF(OR($A32="",$A32="Grand Total"),"",AND($J32=0,(SUMPRODUCT((Table1[County]=SummaryPage!$A32)*(Table1[Status]="Not Started"))+SUMPRODUCT((Table1[County]=SummaryPage!$A32)*(Table1[Status]="")))=SUMPRODUCT((Table1[County]=SummaryPage!$A32)*(Table1[Status]&lt;&gt;"Q"))))</f>
        <v>0</v>
      </c>
    </row>
    <row r="33" spans="1:18" x14ac:dyDescent="0.3">
      <c r="A33" s="219" t="s">
        <v>1100</v>
      </c>
      <c r="B33" s="254"/>
      <c r="C33" s="220">
        <v>0</v>
      </c>
      <c r="D33" s="220">
        <v>0</v>
      </c>
      <c r="E33" s="220">
        <v>5458.15</v>
      </c>
      <c r="F33" s="220">
        <v>0</v>
      </c>
      <c r="G33" s="220">
        <v>0</v>
      </c>
      <c r="H33" s="220">
        <v>0</v>
      </c>
      <c r="I33" s="220">
        <v>400</v>
      </c>
      <c r="J33" s="220">
        <v>5858.15</v>
      </c>
      <c r="K33" s="211">
        <f>IF($A33="","",VLOOKUP('Input Sheet'!$D$2 &amp; " " &amp; $A33,Pop[#All],4,FALSE))</f>
        <v>22301</v>
      </c>
      <c r="L33" s="212">
        <f t="shared" si="6"/>
        <v>0.26</v>
      </c>
      <c r="M33" s="213" t="str">
        <f t="shared" ca="1" si="5"/>
        <v/>
      </c>
      <c r="N33" s="214">
        <f>IF(OR($A33="",$A33="Grand Total"),IF($A33="Grand Total",SUM($N$15:$N32),""),SUMPRODUCT((Table1[County]=SummaryPage!$A33)*(Table1[Status]&lt;&gt;"Complete")))</f>
        <v>0</v>
      </c>
      <c r="O33" s="6" t="str">
        <f ca="1">IF($A33="Grand Total",SUM(INDIRECT(ADDRESS(1,COLUMN())&amp;":"&amp;ADDRESS(ROW()-1,COLUMN()))),IF(OR($A33="State Agencies",IFERROR(AND($L33&gt;='Input Sheet'!$J$2,$A33&lt;&gt;""),0)),$J33,""))</f>
        <v/>
      </c>
      <c r="P33" s="3" t="str">
        <f>IF(OR($A33="",$A33="Grand Total"),"",IF(IFERROR(ROUND($J33/$K33,2),1000)&gt;='Input Sheet'!$J$2,1,""))</f>
        <v/>
      </c>
      <c r="Q33" s="3" t="str">
        <f t="shared" si="7"/>
        <v/>
      </c>
      <c r="R33" s="3" t="b">
        <f>IF(OR($A33="",$A33="Grand Total"),"",AND($J33=0,(SUMPRODUCT((Table1[County]=SummaryPage!$A33)*(Table1[Status]="Not Started"))+SUMPRODUCT((Table1[County]=SummaryPage!$A33)*(Table1[Status]="")))=SUMPRODUCT((Table1[County]=SummaryPage!$A33)*(Table1[Status]&lt;&gt;"Q"))))</f>
        <v>0</v>
      </c>
    </row>
    <row r="34" spans="1:18" x14ac:dyDescent="0.3">
      <c r="A34" s="217" t="s">
        <v>1105</v>
      </c>
      <c r="B34" s="217"/>
      <c r="C34" s="218">
        <v>4202</v>
      </c>
      <c r="D34" s="218">
        <v>8275</v>
      </c>
      <c r="E34" s="218">
        <v>1932750</v>
      </c>
      <c r="F34" s="218">
        <v>0</v>
      </c>
      <c r="G34" s="218">
        <v>0</v>
      </c>
      <c r="H34" s="218">
        <v>0</v>
      </c>
      <c r="I34" s="218">
        <v>7744.61</v>
      </c>
      <c r="J34" s="218">
        <v>1952971.61</v>
      </c>
      <c r="K34" s="211">
        <f>IF($A34="","",VLOOKUP('Input Sheet'!$D$2 &amp; " " &amp; $A34,Pop[#All],4,FALSE))</f>
        <v>25032</v>
      </c>
      <c r="L34" s="212">
        <f t="shared" si="6"/>
        <v>78.02</v>
      </c>
      <c r="M34" s="213">
        <f t="shared" ca="1" si="5"/>
        <v>8.3403510902439845E-2</v>
      </c>
      <c r="N34" s="214">
        <f>IF(OR($A34="",$A34="Grand Total"),IF($A34="Grand Total",SUM($N$15:$N33),""),SUMPRODUCT((Table1[County]=SummaryPage!$A34)*(Table1[Status]&lt;&gt;"Complete")))</f>
        <v>0</v>
      </c>
      <c r="O34" s="6">
        <f ca="1">IF($A34="Grand Total",SUM(INDIRECT(ADDRESS(1,COLUMN())&amp;":"&amp;ADDRESS(ROW()-1,COLUMN()))),IF(OR($A34="State Agencies",IFERROR(AND($L34&gt;='Input Sheet'!$J$2,$A34&lt;&gt;""),0)),$J34,""))</f>
        <v>1952971.61</v>
      </c>
      <c r="P34" s="3">
        <f>IF(OR($A34="",$A34="Grand Total"),"",IF(IFERROR(ROUND($J34/$K34,2),1000)&gt;='Input Sheet'!$J$2,1,""))</f>
        <v>1</v>
      </c>
      <c r="Q34" s="3">
        <f t="shared" si="7"/>
        <v>78.02</v>
      </c>
      <c r="R34" s="3" t="b">
        <f>IF(OR($A34="",$A34="Grand Total"),"",AND($J34=0,(SUMPRODUCT((Table1[County]=SummaryPage!$A34)*(Table1[Status]="Not Started"))+SUMPRODUCT((Table1[County]=SummaryPage!$A34)*(Table1[Status]="")))=SUMPRODUCT((Table1[County]=SummaryPage!$A34)*(Table1[Status]&lt;&gt;"Q"))))</f>
        <v>0</v>
      </c>
    </row>
    <row r="35" spans="1:18" x14ac:dyDescent="0.3">
      <c r="A35" s="217" t="s">
        <v>1106</v>
      </c>
      <c r="B35" s="217"/>
      <c r="C35" s="218">
        <v>0</v>
      </c>
      <c r="D35" s="218">
        <v>19945</v>
      </c>
      <c r="E35" s="218">
        <v>380617</v>
      </c>
      <c r="F35" s="218">
        <v>0</v>
      </c>
      <c r="G35" s="218">
        <v>0</v>
      </c>
      <c r="H35" s="218">
        <v>0</v>
      </c>
      <c r="I35" s="218">
        <v>0</v>
      </c>
      <c r="J35" s="218">
        <v>400562</v>
      </c>
      <c r="K35" s="211">
        <f>IF($A35="","",VLOOKUP('Input Sheet'!$D$2 &amp; " " &amp; $A35,Pop[#All],4,FALSE))</f>
        <v>66017</v>
      </c>
      <c r="L35" s="212">
        <f t="shared" si="6"/>
        <v>6.07</v>
      </c>
      <c r="M35" s="213">
        <f t="shared" ca="1" si="5"/>
        <v>1.7106381353952763E-2</v>
      </c>
      <c r="N35" s="214">
        <f>IF(OR($A35="",$A35="Grand Total"),IF($A35="Grand Total",SUM($N$15:$N34),""),SUMPRODUCT((Table1[County]=SummaryPage!$A35)*(Table1[Status]&lt;&gt;"Complete")))</f>
        <v>0</v>
      </c>
      <c r="O35" s="6">
        <f ca="1">IF($A35="Grand Total",SUM(INDIRECT(ADDRESS(1,COLUMN())&amp;":"&amp;ADDRESS(ROW()-1,COLUMN()))),IF(OR($A35="State Agencies",IFERROR(AND($L35&gt;='Input Sheet'!$J$2,$A35&lt;&gt;""),0)),$J35,""))</f>
        <v>400562</v>
      </c>
      <c r="P35" s="3">
        <f>IF(OR($A35="",$A35="Grand Total"),"",IF(IFERROR(ROUND($J35/$K35,2),1000)&gt;='Input Sheet'!$J$2,1,""))</f>
        <v>1</v>
      </c>
      <c r="Q35" s="3">
        <f t="shared" si="7"/>
        <v>6.07</v>
      </c>
      <c r="R35" s="3" t="b">
        <f>IF(OR($A35="",$A35="Grand Total"),"",AND($J35=0,(SUMPRODUCT((Table1[County]=SummaryPage!$A35)*(Table1[Status]="Not Started"))+SUMPRODUCT((Table1[County]=SummaryPage!$A35)*(Table1[Status]="")))=SUMPRODUCT((Table1[County]=SummaryPage!$A35)*(Table1[Status]&lt;&gt;"Q"))))</f>
        <v>0</v>
      </c>
    </row>
    <row r="36" spans="1:18" x14ac:dyDescent="0.3">
      <c r="A36" s="217" t="s">
        <v>1107</v>
      </c>
      <c r="B36" s="217"/>
      <c r="C36" s="218">
        <v>0</v>
      </c>
      <c r="D36" s="218">
        <v>0</v>
      </c>
      <c r="E36" s="218">
        <v>0</v>
      </c>
      <c r="F36" s="218">
        <v>0</v>
      </c>
      <c r="G36" s="218">
        <v>0</v>
      </c>
      <c r="H36" s="218">
        <v>0</v>
      </c>
      <c r="I36" s="218">
        <v>632000</v>
      </c>
      <c r="J36" s="218">
        <v>632000</v>
      </c>
      <c r="K36" s="211">
        <f>IF($A36="","",VLOOKUP('Input Sheet'!$D$2 &amp; " " &amp; $A36,Pop[#All],4,FALSE))</f>
        <v>39714</v>
      </c>
      <c r="L36" s="212">
        <f t="shared" si="6"/>
        <v>15.91</v>
      </c>
      <c r="M36" s="213">
        <f t="shared" ca="1" si="5"/>
        <v>2.6990161362531007E-2</v>
      </c>
      <c r="N36" s="214">
        <f>IF(OR($A36="",$A36="Grand Total"),IF($A36="Grand Total",SUM($N$15:$N35),""),SUMPRODUCT((Table1[County]=SummaryPage!$A36)*(Table1[Status]&lt;&gt;"Complete")))</f>
        <v>0</v>
      </c>
      <c r="O36" s="6">
        <f ca="1">IF($A36="Grand Total",SUM(INDIRECT(ADDRESS(1,COLUMN())&amp;":"&amp;ADDRESS(ROW()-1,COLUMN()))),IF(OR($A36="State Agencies",IFERROR(AND($L36&gt;='Input Sheet'!$J$2,$A36&lt;&gt;""),0)),$J36,""))</f>
        <v>632000</v>
      </c>
      <c r="P36" s="3">
        <f>IF(OR($A36="",$A36="Grand Total"),"",IF(IFERROR(ROUND($J36/$K36,2),1000)&gt;='Input Sheet'!$J$2,1,""))</f>
        <v>1</v>
      </c>
      <c r="Q36" s="3">
        <f t="shared" si="7"/>
        <v>15.91</v>
      </c>
      <c r="R36" s="3" t="b">
        <f>IF(OR($A36="",$A36="Grand Total"),"",AND($J36=0,(SUMPRODUCT((Table1[County]=SummaryPage!$A36)*(Table1[Status]="Not Started"))+SUMPRODUCT((Table1[County]=SummaryPage!$A36)*(Table1[Status]="")))=SUMPRODUCT((Table1[County]=SummaryPage!$A36)*(Table1[Status]&lt;&gt;"Q"))))</f>
        <v>0</v>
      </c>
    </row>
    <row r="37" spans="1:18" x14ac:dyDescent="0.3">
      <c r="A37" s="217" t="s">
        <v>1108</v>
      </c>
      <c r="B37" s="217"/>
      <c r="C37" s="218">
        <v>0</v>
      </c>
      <c r="D37" s="218">
        <v>0</v>
      </c>
      <c r="E37" s="218">
        <v>403474</v>
      </c>
      <c r="F37" s="218">
        <v>0</v>
      </c>
      <c r="G37" s="218">
        <v>0</v>
      </c>
      <c r="H37" s="218">
        <v>0</v>
      </c>
      <c r="I37" s="218">
        <v>0</v>
      </c>
      <c r="J37" s="218">
        <v>403474</v>
      </c>
      <c r="K37" s="211">
        <f>IF($A37="","",VLOOKUP('Input Sheet'!$D$2 &amp; " " &amp; $A37,Pop[#All],4,FALSE))</f>
        <v>23502</v>
      </c>
      <c r="L37" s="212">
        <f t="shared" si="6"/>
        <v>17.170000000000002</v>
      </c>
      <c r="M37" s="213">
        <f t="shared" ca="1" si="5"/>
        <v>1.7230741084787716E-2</v>
      </c>
      <c r="N37" s="214">
        <f>IF(OR($A37="",$A37="Grand Total"),IF($A37="Grand Total",SUM($N$15:$N36),""),SUMPRODUCT((Table1[County]=SummaryPage!$A37)*(Table1[Status]&lt;&gt;"Complete")))</f>
        <v>0</v>
      </c>
      <c r="O37" s="6">
        <f ca="1">IF($A37="Grand Total",SUM(INDIRECT(ADDRESS(1,COLUMN())&amp;":"&amp;ADDRESS(ROW()-1,COLUMN()))),IF(OR($A37="State Agencies",IFERROR(AND($L37&gt;='Input Sheet'!$J$2,$A37&lt;&gt;""),0)),$J37,""))</f>
        <v>403474</v>
      </c>
      <c r="P37" s="3">
        <f>IF(OR($A37="",$A37="Grand Total"),"",IF(IFERROR(ROUND($J37/$K37,2),1000)&gt;='Input Sheet'!$J$2,1,""))</f>
        <v>1</v>
      </c>
      <c r="Q37" s="3">
        <f t="shared" si="7"/>
        <v>17.170000000000002</v>
      </c>
      <c r="R37" s="3" t="b">
        <f>IF(OR($A37="",$A37="Grand Total"),"",AND($J37=0,(SUMPRODUCT((Table1[County]=SummaryPage!$A37)*(Table1[Status]="Not Started"))+SUMPRODUCT((Table1[County]=SummaryPage!$A37)*(Table1[Status]="")))=SUMPRODUCT((Table1[County]=SummaryPage!$A37)*(Table1[Status]&lt;&gt;"Q"))))</f>
        <v>0</v>
      </c>
    </row>
    <row r="38" spans="1:18" x14ac:dyDescent="0.3">
      <c r="A38" s="217" t="s">
        <v>1110</v>
      </c>
      <c r="B38" s="217"/>
      <c r="C38" s="218">
        <v>0</v>
      </c>
      <c r="D38" s="218">
        <v>0</v>
      </c>
      <c r="E38" s="218">
        <v>286453</v>
      </c>
      <c r="F38" s="218">
        <v>0</v>
      </c>
      <c r="G38" s="218">
        <v>0</v>
      </c>
      <c r="H38" s="218">
        <v>0</v>
      </c>
      <c r="I38" s="218">
        <v>0</v>
      </c>
      <c r="J38" s="218">
        <v>286453</v>
      </c>
      <c r="K38" s="211">
        <f>IF($A38="","",VLOOKUP('Input Sheet'!$D$2 &amp; " " &amp; $A38,Pop[#All],4,FALSE))</f>
        <v>15052</v>
      </c>
      <c r="L38" s="212">
        <f t="shared" si="6"/>
        <v>19.03</v>
      </c>
      <c r="M38" s="213">
        <f t="shared" ca="1" si="5"/>
        <v>1.2233247931615657E-2</v>
      </c>
      <c r="N38" s="214">
        <f>IF(OR($A38="",$A38="Grand Total"),IF($A38="Grand Total",SUM($N$15:$N37),""),SUMPRODUCT((Table1[County]=SummaryPage!$A38)*(Table1[Status]&lt;&gt;"Complete")))</f>
        <v>0</v>
      </c>
      <c r="O38" s="6">
        <f ca="1">IF($A38="Grand Total",SUM(INDIRECT(ADDRESS(1,COLUMN())&amp;":"&amp;ADDRESS(ROW()-1,COLUMN()))),IF(OR($A38="State Agencies",IFERROR(AND($L38&gt;='Input Sheet'!$J$2,$A38&lt;&gt;""),0)),$J38,""))</f>
        <v>286453</v>
      </c>
      <c r="P38" s="3">
        <f>IF(OR($A38="",$A38="Grand Total"),"",IF(IFERROR(ROUND($J38/$K38,2),1000)&gt;='Input Sheet'!$J$2,1,""))</f>
        <v>1</v>
      </c>
      <c r="Q38" s="3">
        <f t="shared" si="7"/>
        <v>19.03</v>
      </c>
      <c r="R38" s="3" t="b">
        <f>IF(OR($A38="",$A38="Grand Total"),"",AND($J38=0,(SUMPRODUCT((Table1[County]=SummaryPage!$A38)*(Table1[Status]="Not Started"))+SUMPRODUCT((Table1[County]=SummaryPage!$A38)*(Table1[Status]="")))=SUMPRODUCT((Table1[County]=SummaryPage!$A38)*(Table1[Status]&lt;&gt;"Q"))))</f>
        <v>0</v>
      </c>
    </row>
    <row r="39" spans="1:18" x14ac:dyDescent="0.3">
      <c r="A39" s="219" t="s">
        <v>1111</v>
      </c>
      <c r="B39" s="254"/>
      <c r="C39" s="220">
        <v>23413.01</v>
      </c>
      <c r="D39" s="220">
        <v>28550.639999999999</v>
      </c>
      <c r="E39" s="220">
        <v>0</v>
      </c>
      <c r="F39" s="220">
        <v>0</v>
      </c>
      <c r="G39" s="220">
        <v>0</v>
      </c>
      <c r="H39" s="220">
        <v>0</v>
      </c>
      <c r="I39" s="220">
        <v>0</v>
      </c>
      <c r="J39" s="220">
        <v>51963.649999999994</v>
      </c>
      <c r="K39" s="211">
        <f>IF($A39="","",VLOOKUP('Input Sheet'!$D$2 &amp; " " &amp; $A39,Pop[#All],4,FALSE))</f>
        <v>66614</v>
      </c>
      <c r="L39" s="212">
        <f t="shared" si="6"/>
        <v>0.78</v>
      </c>
      <c r="M39" s="213" t="str">
        <f t="shared" ca="1" si="5"/>
        <v/>
      </c>
      <c r="N39" s="214">
        <f>IF(OR($A39="",$A39="Grand Total"),IF($A39="Grand Total",SUM($N$15:$N38),""),SUMPRODUCT((Table1[County]=SummaryPage!$A39)*(Table1[Status]&lt;&gt;"Complete")))</f>
        <v>0</v>
      </c>
      <c r="O39" s="6" t="str">
        <f ca="1">IF($A39="Grand Total",SUM(INDIRECT(ADDRESS(1,COLUMN())&amp;":"&amp;ADDRESS(ROW()-1,COLUMN()))),IF(OR($A39="State Agencies",IFERROR(AND($L39&gt;='Input Sheet'!$J$2,$A39&lt;&gt;""),0)),$J39,""))</f>
        <v/>
      </c>
      <c r="P39" s="3" t="str">
        <f>IF(OR($A39="",$A39="Grand Total"),"",IF(IFERROR(ROUND($J39/$K39,2),1000)&gt;='Input Sheet'!$J$2,1,""))</f>
        <v/>
      </c>
      <c r="Q39" s="3" t="str">
        <f t="shared" si="7"/>
        <v/>
      </c>
      <c r="R39" s="3" t="b">
        <f>IF(OR($A39="",$A39="Grand Total"),"",AND($J39=0,(SUMPRODUCT((Table1[County]=SummaryPage!$A39)*(Table1[Status]="Not Started"))+SUMPRODUCT((Table1[County]=SummaryPage!$A39)*(Table1[Status]="")))=SUMPRODUCT((Table1[County]=SummaryPage!$A39)*(Table1[Status]&lt;&gt;"Q"))))</f>
        <v>0</v>
      </c>
    </row>
    <row r="40" spans="1:18" x14ac:dyDescent="0.3">
      <c r="A40" s="217" t="s">
        <v>1112</v>
      </c>
      <c r="B40" s="217"/>
      <c r="C40" s="218">
        <v>0</v>
      </c>
      <c r="D40" s="218">
        <v>2852.51</v>
      </c>
      <c r="E40" s="218">
        <v>57128</v>
      </c>
      <c r="F40" s="218">
        <v>0</v>
      </c>
      <c r="G40" s="218">
        <v>0</v>
      </c>
      <c r="H40" s="218">
        <v>0</v>
      </c>
      <c r="I40" s="218">
        <v>0</v>
      </c>
      <c r="J40" s="218">
        <v>59980.51</v>
      </c>
      <c r="K40" s="211">
        <f>IF($A40="","",VLOOKUP('Input Sheet'!$D$2 &amp; " " &amp; $A40,Pop[#All],4,FALSE))</f>
        <v>9153</v>
      </c>
      <c r="L40" s="212">
        <f t="shared" si="6"/>
        <v>6.55</v>
      </c>
      <c r="M40" s="213">
        <f t="shared" ca="1" si="5"/>
        <v>2.5615247523843431E-3</v>
      </c>
      <c r="N40" s="214">
        <f>IF(OR($A40="",$A40="Grand Total"),IF($A40="Grand Total",SUM($N$15:$N39),""),SUMPRODUCT((Table1[County]=SummaryPage!$A40)*(Table1[Status]&lt;&gt;"Complete")))</f>
        <v>0</v>
      </c>
      <c r="O40" s="6">
        <f ca="1">IF($A40="Grand Total",SUM(INDIRECT(ADDRESS(1,COLUMN())&amp;":"&amp;ADDRESS(ROW()-1,COLUMN()))),IF(OR($A40="State Agencies",IFERROR(AND($L40&gt;='Input Sheet'!$J$2,$A40&lt;&gt;""),0)),$J40,""))</f>
        <v>59980.51</v>
      </c>
      <c r="P40" s="3">
        <f>IF(OR($A40="",$A40="Grand Total"),"",IF(IFERROR(ROUND($J40/$K40,2),1000)&gt;='Input Sheet'!$J$2,1,""))</f>
        <v>1</v>
      </c>
      <c r="Q40" s="3">
        <f t="shared" si="7"/>
        <v>6.55</v>
      </c>
      <c r="R40" s="3" t="b">
        <f>IF(OR($A40="",$A40="Grand Total"),"",AND($J40=0,(SUMPRODUCT((Table1[County]=SummaryPage!$A40)*(Table1[Status]="Not Started"))+SUMPRODUCT((Table1[County]=SummaryPage!$A40)*(Table1[Status]="")))=SUMPRODUCT((Table1[County]=SummaryPage!$A40)*(Table1[Status]&lt;&gt;"Q"))))</f>
        <v>0</v>
      </c>
    </row>
    <row r="41" spans="1:18" x14ac:dyDescent="0.3">
      <c r="A41" s="219" t="s">
        <v>1113</v>
      </c>
      <c r="B41" s="254"/>
      <c r="C41" s="220">
        <v>0</v>
      </c>
      <c r="D41" s="220">
        <v>28154.28</v>
      </c>
      <c r="E41" s="220">
        <v>109000</v>
      </c>
      <c r="F41" s="220">
        <v>0</v>
      </c>
      <c r="G41" s="220">
        <v>0</v>
      </c>
      <c r="H41" s="220">
        <v>0</v>
      </c>
      <c r="I41" s="220">
        <v>168313.65</v>
      </c>
      <c r="J41" s="220">
        <v>305467.93</v>
      </c>
      <c r="K41" s="211">
        <f>IF($A41="","",VLOOKUP('Input Sheet'!$D$2 &amp; " " &amp; $A41,Pop[#All],4,FALSE))</f>
        <v>175824</v>
      </c>
      <c r="L41" s="212">
        <f t="shared" si="6"/>
        <v>1.74</v>
      </c>
      <c r="M41" s="213" t="str">
        <f t="shared" ca="1" si="5"/>
        <v/>
      </c>
      <c r="N41" s="214">
        <f>IF(OR($A41="",$A41="Grand Total"),IF($A41="Grand Total",SUM($N$15:$N40),""),SUMPRODUCT((Table1[County]=SummaryPage!$A41)*(Table1[Status]&lt;&gt;"Complete")))</f>
        <v>0</v>
      </c>
      <c r="O41" s="6" t="str">
        <f ca="1">IF($A41="Grand Total",SUM(INDIRECT(ADDRESS(1,COLUMN())&amp;":"&amp;ADDRESS(ROW()-1,COLUMN()))),IF(OR($A41="State Agencies",IFERROR(AND($L41&gt;='Input Sheet'!$J$2,$A41&lt;&gt;""),0)),$J41,""))</f>
        <v/>
      </c>
      <c r="P41" s="3" t="str">
        <f>IF(OR($A41="",$A41="Grand Total"),"",IF(IFERROR(ROUND($J41/$K41,2),1000)&gt;='Input Sheet'!$J$2,1,""))</f>
        <v/>
      </c>
      <c r="Q41" s="3" t="str">
        <f t="shared" si="7"/>
        <v/>
      </c>
      <c r="R41" s="3" t="b">
        <f>IF(OR($A41="",$A41="Grand Total"),"",AND($J41=0,(SUMPRODUCT((Table1[County]=SummaryPage!$A41)*(Table1[Status]="Not Started"))+SUMPRODUCT((Table1[County]=SummaryPage!$A41)*(Table1[Status]="")))=SUMPRODUCT((Table1[County]=SummaryPage!$A41)*(Table1[Status]&lt;&gt;"Q"))))</f>
        <v>0</v>
      </c>
    </row>
    <row r="42" spans="1:18" x14ac:dyDescent="0.3">
      <c r="A42" s="217" t="s">
        <v>1114</v>
      </c>
      <c r="B42" s="217"/>
      <c r="C42" s="218">
        <v>0</v>
      </c>
      <c r="D42" s="218">
        <v>49098.400000000001</v>
      </c>
      <c r="E42" s="218">
        <v>248373.84</v>
      </c>
      <c r="F42" s="218">
        <v>0</v>
      </c>
      <c r="G42" s="218">
        <v>0</v>
      </c>
      <c r="H42" s="218">
        <v>11697.359999999999</v>
      </c>
      <c r="I42" s="218">
        <v>4515</v>
      </c>
      <c r="J42" s="218">
        <v>313684.59999999998</v>
      </c>
      <c r="K42" s="211">
        <f>IF($A42="","",VLOOKUP('Input Sheet'!$D$2 &amp; " " &amp; $A42,Pop[#All],4,FALSE))</f>
        <v>49978</v>
      </c>
      <c r="L42" s="212">
        <f t="shared" si="6"/>
        <v>6.28</v>
      </c>
      <c r="M42" s="213">
        <f t="shared" ca="1" si="5"/>
        <v>1.3396199321109168E-2</v>
      </c>
      <c r="N42" s="214">
        <f>IF(OR($A42="",$A42="Grand Total"),IF($A42="Grand Total",SUM($N$15:$N41),""),SUMPRODUCT((Table1[County]=SummaryPage!$A42)*(Table1[Status]&lt;&gt;"Complete")))</f>
        <v>0</v>
      </c>
      <c r="O42" s="6">
        <f ca="1">IF($A42="Grand Total",SUM(INDIRECT(ADDRESS(1,COLUMN())&amp;":"&amp;ADDRESS(ROW()-1,COLUMN()))),IF(OR($A42="State Agencies",IFERROR(AND($L42&gt;='Input Sheet'!$J$2,$A42&lt;&gt;""),0)),$J42,""))</f>
        <v>313684.59999999998</v>
      </c>
      <c r="P42" s="3">
        <f>IF(OR($A42="",$A42="Grand Total"),"",IF(IFERROR(ROUND($J42/$K42,2),1000)&gt;='Input Sheet'!$J$2,1,""))</f>
        <v>1</v>
      </c>
      <c r="Q42" s="3">
        <f t="shared" si="7"/>
        <v>6.28</v>
      </c>
      <c r="R42" s="3" t="b">
        <f>IF(OR($A42="",$A42="Grand Total"),"",AND($J42=0,(SUMPRODUCT((Table1[County]=SummaryPage!$A42)*(Table1[Status]="Not Started"))+SUMPRODUCT((Table1[County]=SummaryPage!$A42)*(Table1[Status]="")))=SUMPRODUCT((Table1[County]=SummaryPage!$A42)*(Table1[Status]&lt;&gt;"Q"))))</f>
        <v>0</v>
      </c>
    </row>
    <row r="43" spans="1:18" x14ac:dyDescent="0.3">
      <c r="A43" s="217" t="s">
        <v>1117</v>
      </c>
      <c r="B43" s="217"/>
      <c r="C43" s="218">
        <v>0</v>
      </c>
      <c r="D43" s="218">
        <v>0</v>
      </c>
      <c r="E43" s="218">
        <v>106500</v>
      </c>
      <c r="F43" s="218">
        <v>0</v>
      </c>
      <c r="G43" s="218">
        <v>10405</v>
      </c>
      <c r="H43" s="218">
        <v>0</v>
      </c>
      <c r="I43" s="218">
        <v>6000</v>
      </c>
      <c r="J43" s="218">
        <v>122905</v>
      </c>
      <c r="K43" s="211">
        <f>IF($A43="","",VLOOKUP('Input Sheet'!$D$2 &amp; " " &amp; $A43,Pop[#All],4,FALSE))</f>
        <v>20770</v>
      </c>
      <c r="L43" s="212">
        <f t="shared" si="6"/>
        <v>5.92</v>
      </c>
      <c r="M43" s="213">
        <f t="shared" ca="1" si="5"/>
        <v>5.248774971933344E-3</v>
      </c>
      <c r="N43" s="214">
        <f>IF(OR($A43="",$A43="Grand Total"),IF($A43="Grand Total",SUM($N$15:$N42),""),SUMPRODUCT((Table1[County]=SummaryPage!$A43)*(Table1[Status]&lt;&gt;"Complete")))</f>
        <v>0</v>
      </c>
      <c r="O43" s="6">
        <f ca="1">IF($A43="Grand Total",SUM(INDIRECT(ADDRESS(1,COLUMN())&amp;":"&amp;ADDRESS(ROW()-1,COLUMN()))),IF(OR($A43="State Agencies",IFERROR(AND($L43&gt;='Input Sheet'!$J$2,$A43&lt;&gt;""),0)),$J43,""))</f>
        <v>122905</v>
      </c>
      <c r="P43" s="3">
        <f>IF(OR($A43="",$A43="Grand Total"),"",IF(IFERROR(ROUND($J43/$K43,2),1000)&gt;='Input Sheet'!$J$2,1,""))</f>
        <v>1</v>
      </c>
      <c r="Q43" s="3">
        <f t="shared" si="7"/>
        <v>5.92</v>
      </c>
      <c r="R43" s="3" t="b">
        <f>IF(OR($A43="",$A43="Grand Total"),"",AND($J43=0,(SUMPRODUCT((Table1[County]=SummaryPage!$A43)*(Table1[Status]="Not Started"))+SUMPRODUCT((Table1[County]=SummaryPage!$A43)*(Table1[Status]="")))=SUMPRODUCT((Table1[County]=SummaryPage!$A43)*(Table1[Status]&lt;&gt;"Q"))))</f>
        <v>0</v>
      </c>
    </row>
    <row r="44" spans="1:18" x14ac:dyDescent="0.3">
      <c r="A44" s="217" t="s">
        <v>577</v>
      </c>
      <c r="B44" s="217"/>
      <c r="C44" s="218">
        <v>23489.065000000002</v>
      </c>
      <c r="D44" s="218">
        <v>287628.34999999998</v>
      </c>
      <c r="E44" s="218">
        <v>886290</v>
      </c>
      <c r="F44" s="218">
        <v>0</v>
      </c>
      <c r="G44" s="218">
        <v>0</v>
      </c>
      <c r="H44" s="218">
        <v>25385.759999999998</v>
      </c>
      <c r="I44" s="218">
        <v>34759</v>
      </c>
      <c r="J44" s="218">
        <v>1257552.175</v>
      </c>
      <c r="K44" s="211">
        <f>IF($A44="","",VLOOKUP('Input Sheet'!$D$2 &amp; " " &amp; $A44,Pop[#All],4,FALSE))</f>
        <v>22891</v>
      </c>
      <c r="L44" s="212">
        <f t="shared" si="6"/>
        <v>54.94</v>
      </c>
      <c r="M44" s="213">
        <f t="shared" ca="1" si="5"/>
        <v>5.3704962223183286E-2</v>
      </c>
      <c r="N44" s="214">
        <f>IF(OR($A44="",$A44="Grand Total"),IF($A44="Grand Total",SUM($N$15:$N43),""),SUMPRODUCT((Table1[County]=SummaryPage!$A44)*(Table1[Status]&lt;&gt;"Complete")))</f>
        <v>0</v>
      </c>
      <c r="O44" s="6">
        <f ca="1">IF($A44="Grand Total",SUM(INDIRECT(ADDRESS(1,COLUMN())&amp;":"&amp;ADDRESS(ROW()-1,COLUMN()))),IF(OR($A44="State Agencies",IFERROR(AND($L44&gt;='Input Sheet'!$J$2,$A44&lt;&gt;""),0)),$J44,""))</f>
        <v>1257552.175</v>
      </c>
      <c r="P44" s="3">
        <f>IF(OR($A44="",$A44="Grand Total"),"",IF(IFERROR(ROUND($J44/$K44,2),1000)&gt;='Input Sheet'!$J$2,1,""))</f>
        <v>1</v>
      </c>
      <c r="Q44" s="3">
        <f t="shared" si="7"/>
        <v>54.94</v>
      </c>
      <c r="R44" s="3" t="b">
        <f>IF(OR($A44="",$A44="Grand Total"),"",AND($J44=0,(SUMPRODUCT((Table1[County]=SummaryPage!$A44)*(Table1[Status]="Not Started"))+SUMPRODUCT((Table1[County]=SummaryPage!$A44)*(Table1[Status]="")))=SUMPRODUCT((Table1[County]=SummaryPage!$A44)*(Table1[Status]&lt;&gt;"Q"))))</f>
        <v>0</v>
      </c>
    </row>
    <row r="45" spans="1:18" x14ac:dyDescent="0.3">
      <c r="A45" s="217" t="s">
        <v>1119</v>
      </c>
      <c r="B45" s="217"/>
      <c r="C45" s="218">
        <v>0</v>
      </c>
      <c r="D45" s="218">
        <v>7058.07</v>
      </c>
      <c r="E45" s="218">
        <v>82348.05</v>
      </c>
      <c r="F45" s="218">
        <v>0</v>
      </c>
      <c r="G45" s="218">
        <v>0</v>
      </c>
      <c r="H45" s="218">
        <v>0</v>
      </c>
      <c r="I45" s="218">
        <v>1036</v>
      </c>
      <c r="J45" s="218">
        <v>90442.12</v>
      </c>
      <c r="K45" s="211">
        <f>IF($A45="","",VLOOKUP('Input Sheet'!$D$2 &amp; " " &amp; $A45,Pop[#All],4,FALSE))</f>
        <v>8219</v>
      </c>
      <c r="L45" s="212">
        <f t="shared" si="6"/>
        <v>11</v>
      </c>
      <c r="M45" s="213">
        <f t="shared" ca="1" si="5"/>
        <v>3.8624167923566343E-3</v>
      </c>
      <c r="N45" s="214">
        <f>IF(OR($A45="",$A45="Grand Total"),IF($A45="Grand Total",SUM($N$15:$N44),""),SUMPRODUCT((Table1[County]=SummaryPage!$A45)*(Table1[Status]&lt;&gt;"Complete")))</f>
        <v>0</v>
      </c>
      <c r="O45" s="6">
        <f ca="1">IF($A45="Grand Total",SUM(INDIRECT(ADDRESS(1,COLUMN())&amp;":"&amp;ADDRESS(ROW()-1,COLUMN()))),IF(OR($A45="State Agencies",IFERROR(AND($L45&gt;='Input Sheet'!$J$2,$A45&lt;&gt;""),0)),$J45,""))</f>
        <v>90442.12</v>
      </c>
      <c r="P45" s="3">
        <f>IF(OR($A45="",$A45="Grand Total"),"",IF(IFERROR(ROUND($J45/$K45,2),1000)&gt;='Input Sheet'!$J$2,1,""))</f>
        <v>1</v>
      </c>
      <c r="Q45" s="3">
        <f t="shared" si="7"/>
        <v>11</v>
      </c>
      <c r="R45" s="3" t="b">
        <f>IF(OR($A45="",$A45="Grand Total"),"",AND($J45=0,(SUMPRODUCT((Table1[County]=SummaryPage!$A45)*(Table1[Status]="Not Started"))+SUMPRODUCT((Table1[County]=SummaryPage!$A45)*(Table1[Status]="")))=SUMPRODUCT((Table1[County]=SummaryPage!$A45)*(Table1[Status]&lt;&gt;"Q"))))</f>
        <v>0</v>
      </c>
    </row>
    <row r="46" spans="1:18" x14ac:dyDescent="0.3">
      <c r="A46" s="217" t="s">
        <v>1121</v>
      </c>
      <c r="B46" s="217"/>
      <c r="C46" s="218">
        <v>0</v>
      </c>
      <c r="D46" s="218">
        <v>0</v>
      </c>
      <c r="E46" s="218">
        <v>105000</v>
      </c>
      <c r="F46" s="218">
        <v>0</v>
      </c>
      <c r="G46" s="218">
        <v>0</v>
      </c>
      <c r="H46" s="218">
        <v>14620</v>
      </c>
      <c r="I46" s="218">
        <v>93750</v>
      </c>
      <c r="J46" s="218">
        <v>213370</v>
      </c>
      <c r="K46" s="211">
        <f>IF($A46="","",VLOOKUP('Input Sheet'!$D$2 &amp; " " &amp; $A46,Pop[#All],4,FALSE))</f>
        <v>12982</v>
      </c>
      <c r="L46" s="212">
        <f t="shared" si="6"/>
        <v>16.440000000000001</v>
      </c>
      <c r="M46" s="213">
        <f t="shared" ca="1" si="5"/>
        <v>9.1121688764608244E-3</v>
      </c>
      <c r="N46" s="214">
        <f>IF(OR($A46="",$A46="Grand Total"),IF($A46="Grand Total",SUM($N$15:$N45),""),SUMPRODUCT((Table1[County]=SummaryPage!$A46)*(Table1[Status]&lt;&gt;"Complete")))</f>
        <v>0</v>
      </c>
      <c r="O46" s="6">
        <f ca="1">IF($A46="Grand Total",SUM(INDIRECT(ADDRESS(1,COLUMN())&amp;":"&amp;ADDRESS(ROW()-1,COLUMN()))),IF(OR($A46="State Agencies",IFERROR(AND($L46&gt;='Input Sheet'!$J$2,$A46&lt;&gt;""),0)),$J46,""))</f>
        <v>213370</v>
      </c>
      <c r="P46" s="3">
        <f>IF(OR($A46="",$A46="Grand Total"),"",IF(IFERROR(ROUND($J46/$K46,2),1000)&gt;='Input Sheet'!$J$2,1,""))</f>
        <v>1</v>
      </c>
      <c r="Q46" s="3">
        <f t="shared" si="7"/>
        <v>16.440000000000001</v>
      </c>
      <c r="R46" s="3" t="b">
        <f>IF(OR($A46="",$A46="Grand Total"),"",AND($J46=0,(SUMPRODUCT((Table1[County]=SummaryPage!$A46)*(Table1[Status]="Not Started"))+SUMPRODUCT((Table1[County]=SummaryPage!$A46)*(Table1[Status]="")))=SUMPRODUCT((Table1[County]=SummaryPage!$A46)*(Table1[Status]&lt;&gt;"Q"))))</f>
        <v>0</v>
      </c>
    </row>
    <row r="47" spans="1:18" x14ac:dyDescent="0.3">
      <c r="A47" s="203" t="s">
        <v>1122</v>
      </c>
      <c r="B47" s="203"/>
      <c r="C47" s="204">
        <v>0</v>
      </c>
      <c r="D47" s="204">
        <v>0</v>
      </c>
      <c r="E47" s="204">
        <v>44948.27</v>
      </c>
      <c r="F47" s="204">
        <v>0</v>
      </c>
      <c r="G47" s="204">
        <v>0</v>
      </c>
      <c r="H47" s="204">
        <v>0</v>
      </c>
      <c r="I47" s="204">
        <v>33624.81</v>
      </c>
      <c r="J47" s="204">
        <v>78573.079999999987</v>
      </c>
      <c r="K47" s="211">
        <f>IF($A47="","",VLOOKUP('Input Sheet'!$D$2 &amp; " " &amp; $A47,Pop[#All],4,FALSE))</f>
        <v>23459</v>
      </c>
      <c r="L47" s="212">
        <f t="shared" si="6"/>
        <v>3.35</v>
      </c>
      <c r="M47" s="213" t="str">
        <f t="shared" ca="1" si="5"/>
        <v/>
      </c>
      <c r="N47" s="214">
        <f>IF(OR($A47="",$A47="Grand Total"),IF($A47="Grand Total",SUM($N$15:$N46),""),SUMPRODUCT((Table1[County]=SummaryPage!$A47)*(Table1[Status]&lt;&gt;"Complete")))</f>
        <v>0</v>
      </c>
      <c r="O47" s="6" t="str">
        <f ca="1">IF($A47="Grand Total",SUM(INDIRECT(ADDRESS(1,COLUMN())&amp;":"&amp;ADDRESS(ROW()-1,COLUMN()))),IF(OR($A47="State Agencies",IFERROR(AND($L47&gt;='Input Sheet'!$J$2,$A47&lt;&gt;""),0)),$J47,""))</f>
        <v/>
      </c>
      <c r="P47" s="3" t="str">
        <f>IF(OR($A47="",$A47="Grand Total"),"",IF(IFERROR(ROUND($J47/$K47,2),1000)&gt;='Input Sheet'!$J$2,1,""))</f>
        <v/>
      </c>
      <c r="Q47" s="3" t="str">
        <f t="shared" si="7"/>
        <v/>
      </c>
      <c r="R47" s="3" t="b">
        <f>IF(OR($A47="",$A47="Grand Total"),"",AND($J47=0,(SUMPRODUCT((Table1[County]=SummaryPage!$A47)*(Table1[Status]="Not Started"))+SUMPRODUCT((Table1[County]=SummaryPage!$A47)*(Table1[Status]="")))=SUMPRODUCT((Table1[County]=SummaryPage!$A47)*(Table1[Status]&lt;&gt;"Q"))))</f>
        <v>0</v>
      </c>
    </row>
    <row r="48" spans="1:18" x14ac:dyDescent="0.3">
      <c r="A48" s="219" t="s">
        <v>1123</v>
      </c>
      <c r="B48" s="254"/>
      <c r="C48" s="220">
        <v>5000</v>
      </c>
      <c r="D48" s="220">
        <v>0</v>
      </c>
      <c r="E48" s="220">
        <v>61799</v>
      </c>
      <c r="F48" s="220">
        <v>0</v>
      </c>
      <c r="G48" s="220">
        <v>10000</v>
      </c>
      <c r="H48" s="220">
        <v>6500</v>
      </c>
      <c r="I48" s="220">
        <v>31550</v>
      </c>
      <c r="J48" s="220">
        <v>114849</v>
      </c>
      <c r="K48" s="211">
        <f>IF($A48="","",VLOOKUP('Input Sheet'!$D$2 &amp; " " &amp; $A48,Pop[#All],4,FALSE))</f>
        <v>190124</v>
      </c>
      <c r="L48" s="212">
        <f t="shared" si="6"/>
        <v>0.6</v>
      </c>
      <c r="M48" s="213" t="str">
        <f t="shared" ca="1" si="5"/>
        <v/>
      </c>
      <c r="N48" s="214">
        <f>IF(OR($A48="",$A48="Grand Total"),IF($A48="Grand Total",SUM($N$15:$N47),""),SUMPRODUCT((Table1[County]=SummaryPage!$A48)*(Table1[Status]&lt;&gt;"Complete")))</f>
        <v>0</v>
      </c>
      <c r="O48" s="6" t="str">
        <f ca="1">IF($A48="Grand Total",SUM(INDIRECT(ADDRESS(1,COLUMN())&amp;":"&amp;ADDRESS(ROW()-1,COLUMN()))),IF(OR($A48="State Agencies",IFERROR(AND($L48&gt;='Input Sheet'!$J$2,$A48&lt;&gt;""),0)),$J48,""))</f>
        <v/>
      </c>
      <c r="P48" s="3" t="str">
        <f>IF(OR($A48="",$A48="Grand Total"),"",IF(IFERROR(ROUND($J48/$K48,2),1000)&gt;='Input Sheet'!$J$2,1,""))</f>
        <v/>
      </c>
      <c r="Q48" s="3" t="str">
        <f t="shared" si="7"/>
        <v/>
      </c>
      <c r="R48" s="3" t="b">
        <f>IF(OR($A48="",$A48="Grand Total"),"",AND($J48=0,(SUMPRODUCT((Table1[County]=SummaryPage!$A48)*(Table1[Status]="Not Started"))+SUMPRODUCT((Table1[County]=SummaryPage!$A48)*(Table1[Status]="")))=SUMPRODUCT((Table1[County]=SummaryPage!$A48)*(Table1[Status]&lt;&gt;"Q"))))</f>
        <v>0</v>
      </c>
    </row>
    <row r="49" spans="1:18" x14ac:dyDescent="0.3">
      <c r="A49" s="219" t="s">
        <v>1126</v>
      </c>
      <c r="B49" s="254"/>
      <c r="C49" s="220">
        <v>26540.02</v>
      </c>
      <c r="D49" s="220">
        <v>0</v>
      </c>
      <c r="E49" s="220">
        <v>5483.63</v>
      </c>
      <c r="F49" s="220">
        <v>0</v>
      </c>
      <c r="G49" s="220">
        <v>21962</v>
      </c>
      <c r="H49" s="220">
        <v>0</v>
      </c>
      <c r="I49" s="220">
        <v>0</v>
      </c>
      <c r="J49" s="220">
        <v>53985.65</v>
      </c>
      <c r="K49" s="211">
        <f>IF($A49="","",VLOOKUP('Input Sheet'!$D$2 &amp; " " &amp; $A49,Pop[#All],4,FALSE))</f>
        <v>68094</v>
      </c>
      <c r="L49" s="212">
        <f t="shared" si="6"/>
        <v>0.79</v>
      </c>
      <c r="M49" s="213" t="str">
        <f t="shared" ca="1" si="5"/>
        <v/>
      </c>
      <c r="N49" s="214">
        <f>IF(OR($A49="",$A49="Grand Total"),IF($A49="Grand Total",SUM($N$15:$N48),""),SUMPRODUCT((Table1[County]=SummaryPage!$A49)*(Table1[Status]&lt;&gt;"Complete")))</f>
        <v>0</v>
      </c>
      <c r="O49" s="6" t="str">
        <f ca="1">IF($A49="Grand Total",SUM(INDIRECT(ADDRESS(1,COLUMN())&amp;":"&amp;ADDRESS(ROW()-1,COLUMN()))),IF(OR($A49="State Agencies",IFERROR(AND($L49&gt;='Input Sheet'!$J$2,$A49&lt;&gt;""),0)),$J49,""))</f>
        <v/>
      </c>
      <c r="P49" s="3" t="str">
        <f>IF(OR($A49="",$A49="Grand Total"),"",IF(IFERROR(ROUND($J49/$K49,2),1000)&gt;='Input Sheet'!$J$2,1,""))</f>
        <v/>
      </c>
      <c r="Q49" s="3" t="str">
        <f t="shared" si="7"/>
        <v/>
      </c>
      <c r="R49" s="3" t="b">
        <f>IF(OR($A49="",$A49="Grand Total"),"",AND($J49=0,(SUMPRODUCT((Table1[County]=SummaryPage!$A49)*(Table1[Status]="Not Started"))+SUMPRODUCT((Table1[County]=SummaryPage!$A49)*(Table1[Status]="")))=SUMPRODUCT((Table1[County]=SummaryPage!$A49)*(Table1[Status]&lt;&gt;"Q"))))</f>
        <v>0</v>
      </c>
    </row>
    <row r="50" spans="1:18" x14ac:dyDescent="0.3">
      <c r="A50" s="215" t="s">
        <v>1127</v>
      </c>
      <c r="B50" s="215"/>
      <c r="C50" s="216">
        <v>9000</v>
      </c>
      <c r="D50" s="216">
        <v>0</v>
      </c>
      <c r="E50" s="216">
        <v>294150</v>
      </c>
      <c r="F50" s="216">
        <v>0</v>
      </c>
      <c r="G50" s="216">
        <v>0</v>
      </c>
      <c r="H50" s="216">
        <v>0</v>
      </c>
      <c r="I50" s="216">
        <v>0</v>
      </c>
      <c r="J50" s="216">
        <v>303150</v>
      </c>
      <c r="K50" s="211">
        <f>IF($A50="","",VLOOKUP('Input Sheet'!$D$2 &amp; " " &amp; $A50,Pop[#All],4,FALSE))</f>
        <v>53323</v>
      </c>
      <c r="L50" s="212">
        <f t="shared" si="6"/>
        <v>5.69</v>
      </c>
      <c r="M50" s="213">
        <f t="shared" ca="1" si="5"/>
        <v>1.2946309204195056E-2</v>
      </c>
      <c r="N50" s="214">
        <f>IF(OR($A50="",$A50="Grand Total"),IF($A50="Grand Total",SUM($N$15:$N49),""),SUMPRODUCT((Table1[County]=SummaryPage!$A50)*(Table1[Status]&lt;&gt;"Complete")))</f>
        <v>0</v>
      </c>
      <c r="O50" s="6">
        <f ca="1">IF($A50="Grand Total",SUM(INDIRECT(ADDRESS(1,COLUMN())&amp;":"&amp;ADDRESS(ROW()-1,COLUMN()))),IF(OR($A50="State Agencies",IFERROR(AND($L50&gt;='Input Sheet'!$J$2,$A50&lt;&gt;""),0)),$J50,""))</f>
        <v>303150</v>
      </c>
      <c r="P50" s="3">
        <f>IF(OR($A50="",$A50="Grand Total"),"",IF(IFERROR(ROUND($J50/$K50,2),1000)&gt;='Input Sheet'!$J$2,1,""))</f>
        <v>1</v>
      </c>
      <c r="Q50" s="3">
        <f t="shared" si="7"/>
        <v>5.69</v>
      </c>
      <c r="R50" s="3" t="b">
        <f>IF(OR($A50="",$A50="Grand Total"),"",AND($J50=0,(SUMPRODUCT((Table1[County]=SummaryPage!$A50)*(Table1[Status]="Not Started"))+SUMPRODUCT((Table1[County]=SummaryPage!$A50)*(Table1[Status]="")))=SUMPRODUCT((Table1[County]=SummaryPage!$A50)*(Table1[Status]&lt;&gt;"Q"))))</f>
        <v>0</v>
      </c>
    </row>
    <row r="51" spans="1:18" x14ac:dyDescent="0.3">
      <c r="A51" s="215" t="s">
        <v>1129</v>
      </c>
      <c r="B51" s="215"/>
      <c r="C51" s="216">
        <v>5749</v>
      </c>
      <c r="D51" s="216">
        <v>231128</v>
      </c>
      <c r="E51" s="216">
        <v>1771814</v>
      </c>
      <c r="F51" s="216">
        <v>0</v>
      </c>
      <c r="G51" s="216">
        <v>0</v>
      </c>
      <c r="H51" s="216">
        <v>458131</v>
      </c>
      <c r="I51" s="216">
        <v>363320</v>
      </c>
      <c r="J51" s="216">
        <v>2830142</v>
      </c>
      <c r="K51" s="211">
        <f>IF($A51="","",VLOOKUP('Input Sheet'!$D$2 &amp; " " &amp; $A51,Pop[#All],4,FALSE))</f>
        <v>33673</v>
      </c>
      <c r="L51" s="212">
        <f t="shared" si="6"/>
        <v>84.05</v>
      </c>
      <c r="M51" s="213">
        <f t="shared" ref="M51" ca="1" si="8">IF(A51="Grand Total","",IF(ISNUMBER($O51),$O51*2/SUM($O:$O),""))</f>
        <v>0.12086390705518392</v>
      </c>
      <c r="N51" s="214">
        <f>IF(OR($A51="",$A51="Grand Total"),IF($A51="Grand Total",SUM($N$15:$N50),""),SUMPRODUCT((Table1[County]=SummaryPage!$A51)*(Table1[Status]&lt;&gt;"Complete")))</f>
        <v>0</v>
      </c>
      <c r="O51" s="6">
        <f ca="1">IF($A51="Grand Total",SUM(INDIRECT(ADDRESS(1,COLUMN())&amp;":"&amp;ADDRESS(ROW()-1,COLUMN()))),IF(OR($A51="State Agencies",IFERROR(AND($L51&gt;='Input Sheet'!$J$2,$A51&lt;&gt;""),0)),$J51,""))</f>
        <v>2830142</v>
      </c>
      <c r="P51" s="3">
        <f>IF(OR($A51="",$A51="Grand Total"),"",IF(IFERROR(ROUND($J51/$K51,2),1000)&gt;='Input Sheet'!$J$2,1,""))</f>
        <v>1</v>
      </c>
      <c r="Q51" s="3">
        <f t="shared" si="7"/>
        <v>84.05</v>
      </c>
      <c r="R51" s="3" t="b">
        <f>IF(OR($A51="",$A51="Grand Total"),"",AND($J51=0,(SUMPRODUCT((Table1[County]=SummaryPage!$A51)*(Table1[Status]="Not Started"))+SUMPRODUCT((Table1[County]=SummaryPage!$A51)*(Table1[Status]="")))=SUMPRODUCT((Table1[County]=SummaryPage!$A51)*(Table1[Status]&lt;&gt;"Q"))))</f>
        <v>0</v>
      </c>
    </row>
    <row r="52" spans="1:18" x14ac:dyDescent="0.3">
      <c r="A52" s="3" t="s">
        <v>67</v>
      </c>
      <c r="B52" s="3"/>
      <c r="C52" s="4">
        <v>1238739.4649999999</v>
      </c>
      <c r="D52" s="4">
        <v>6593820.2600000007</v>
      </c>
      <c r="E52" s="4">
        <v>11634682.180000002</v>
      </c>
      <c r="F52" s="4">
        <v>1278185.1299999999</v>
      </c>
      <c r="G52" s="4">
        <v>202713.38</v>
      </c>
      <c r="H52" s="4">
        <v>792473.22</v>
      </c>
      <c r="I52" s="4">
        <v>2851622.96</v>
      </c>
      <c r="J52" s="210">
        <v>24592236.594999999</v>
      </c>
      <c r="K52" s="211">
        <f>IF($A52="","",VLOOKUP('Input Sheet'!$D$2 &amp; " " &amp; $A52,Pop[#All],4,FALSE))</f>
        <v>10077331</v>
      </c>
      <c r="L52" s="212">
        <f>IFERROR(IF($A52="","",ROUND($J52/$K52,2)),"")</f>
        <v>2.44</v>
      </c>
      <c r="M52" s="213" t="str">
        <f t="shared" si="5"/>
        <v/>
      </c>
      <c r="N52" s="214">
        <f>IF(OR($A52="",$A52="Grand Total"),IF($A52="Grand Total",SUM($N$15:$N51),""),SUMPRODUCT((Table1[County]=SummaryPage!$A52)*(Table1[Status]&lt;&gt;"Complete")))</f>
        <v>0</v>
      </c>
      <c r="O52" s="6">
        <f ca="1">IF($A52="Grand Total",SUM(INDIRECT(ADDRESS(1,COLUMN())&amp;":"&amp;ADDRESS(ROW()-1,COLUMN()))),IF(OR($A52="State Agencies",IFERROR(AND($L52&gt;='Input Sheet'!$J$2,$A52&lt;&gt;""),0)),$J52,""))</f>
        <v>23415940.035</v>
      </c>
      <c r="P52" s="3" t="str">
        <f>IF(OR($A52="",$A52="Grand Total"),"",IF(IFERROR(ROUND($J52/$K52,2),1000)&gt;='Input Sheet'!$J$2,1,""))</f>
        <v/>
      </c>
      <c r="Q52" s="3" t="str">
        <f t="shared" si="7"/>
        <v/>
      </c>
      <c r="R52" s="3" t="str">
        <f>IF(OR($A52="",$A52="Grand Total"),"",AND($J52=0,(SUMPRODUCT((Table1[County]=SummaryPage!$A52)*(Table1[Status]="Not Started"))+SUMPRODUCT((Table1[County]=SummaryPage!$A52)*(Table1[Status]="")))=SUMPRODUCT((Table1[County]=SummaryPage!$A52)*(Table1[Status]&lt;&gt;"Q"))))</f>
        <v/>
      </c>
    </row>
    <row r="53" spans="1:18" x14ac:dyDescent="0.3">
      <c r="A53"/>
      <c r="B53"/>
      <c r="C53"/>
      <c r="D53"/>
      <c r="E53"/>
      <c r="F53"/>
      <c r="G53"/>
      <c r="H53"/>
      <c r="I53"/>
      <c r="J53"/>
      <c r="K53" s="211" t="str">
        <f>IF($A53="","",VLOOKUP('Input Sheet'!$D$2 &amp; " " &amp; $A53,Pop[#All],4,FALSE))</f>
        <v/>
      </c>
      <c r="L53" s="212" t="str">
        <f t="shared" si="6"/>
        <v/>
      </c>
      <c r="M53" s="213" t="str">
        <f t="shared" ca="1" si="5"/>
        <v/>
      </c>
      <c r="N53" s="214" t="str">
        <f>IF(OR($A53="",$A53="Grand Total"),IF($A53="Grand Total",SUM($N$15:$N52),""),SUMPRODUCT((Table1[County]=SummaryPage!$A53)*(Table1[Status]&lt;&gt;"Complete")))</f>
        <v/>
      </c>
      <c r="O53" s="6" t="str">
        <f ca="1">IF($A53="Grand Total",SUM(INDIRECT(ADDRESS(1,COLUMN())&amp;":"&amp;ADDRESS(ROW()-1,COLUMN()))),IF(OR($A53="State Agencies",IFERROR(AND($L53&gt;='Input Sheet'!$J$2,$A53&lt;&gt;""),0)),$J53,""))</f>
        <v/>
      </c>
      <c r="P53" s="3" t="str">
        <f>IF(OR($A53="",$A53="Grand Total"),"",IF(IFERROR(ROUND($J53/$K53,2),1000)&gt;='Input Sheet'!$J$2,1,""))</f>
        <v/>
      </c>
      <c r="Q53" s="3" t="str">
        <f t="shared" si="7"/>
        <v/>
      </c>
      <c r="R53" s="3" t="str">
        <f>IF(OR($A53="",$A53="Grand Total"),"",AND($J53=0,(SUMPRODUCT((Table1[County]=SummaryPage!$A53)*(Table1[Status]="Not Started"))+SUMPRODUCT((Table1[County]=SummaryPage!$A53)*(Table1[Status]="")))=SUMPRODUCT((Table1[County]=SummaryPage!$A53)*(Table1[Status]&lt;&gt;"Q"))))</f>
        <v/>
      </c>
    </row>
    <row r="54" spans="1:18" x14ac:dyDescent="0.3">
      <c r="A54"/>
      <c r="B54"/>
      <c r="C54"/>
      <c r="D54"/>
      <c r="E54"/>
      <c r="F54"/>
      <c r="G54"/>
      <c r="H54"/>
      <c r="I54"/>
      <c r="J54"/>
      <c r="K54" s="211" t="str">
        <f>IF($A54="","",VLOOKUP('Input Sheet'!$D$2 &amp; " " &amp; $A54,Pop[#All],4,FALSE))</f>
        <v/>
      </c>
      <c r="L54" s="212" t="str">
        <f t="shared" si="6"/>
        <v/>
      </c>
      <c r="M54" s="213" t="str">
        <f t="shared" ca="1" si="5"/>
        <v/>
      </c>
      <c r="N54" s="214" t="str">
        <f>IF(OR($A54="",$A54="Grand Total"),IF($A54="Grand Total",SUM($N$15:$N53),""),SUMPRODUCT((Table1[County]=SummaryPage!$A54)*(Table1[Status]&lt;&gt;"Complete")))</f>
        <v/>
      </c>
      <c r="O54" s="6" t="str">
        <f ca="1">IF($A54="Grand Total",SUM(INDIRECT(ADDRESS(1,COLUMN())&amp;":"&amp;ADDRESS(ROW()-1,COLUMN()))),IF(OR($A54="State Agencies",IFERROR(AND($L54&gt;='Input Sheet'!$J$2,$A54&lt;&gt;""),0)),$J54,""))</f>
        <v/>
      </c>
      <c r="P54" s="3" t="str">
        <f>IF(OR($A54="",$A54="Grand Total"),"",IF(IFERROR(ROUND($J54/$K54,2),1000)&gt;='Input Sheet'!$J$2,1,""))</f>
        <v/>
      </c>
      <c r="Q54" s="3" t="str">
        <f t="shared" si="7"/>
        <v/>
      </c>
      <c r="R54" s="3" t="str">
        <f>IF(OR($A54="",$A54="Grand Total"),"",AND($J54=0,(SUMPRODUCT((Table1[County]=SummaryPage!$A54)*(Table1[Status]="Not Started"))+SUMPRODUCT((Table1[County]=SummaryPage!$A54)*(Table1[Status]="")))=SUMPRODUCT((Table1[County]=SummaryPage!$A54)*(Table1[Status]&lt;&gt;"Q"))))</f>
        <v/>
      </c>
    </row>
    <row r="55" spans="1:18" x14ac:dyDescent="0.3">
      <c r="A55"/>
      <c r="B55"/>
      <c r="C55"/>
      <c r="D55"/>
      <c r="E55"/>
      <c r="F55"/>
      <c r="G55"/>
      <c r="H55"/>
      <c r="I55"/>
      <c r="J55"/>
      <c r="K55" s="211" t="str">
        <f>IF($A55="","",VLOOKUP('Input Sheet'!$D$2 &amp; " " &amp; $A55,Pop[#All],4,FALSE))</f>
        <v/>
      </c>
      <c r="L55" s="212" t="str">
        <f t="shared" si="6"/>
        <v/>
      </c>
      <c r="M55" s="213" t="str">
        <f t="shared" ca="1" si="5"/>
        <v/>
      </c>
      <c r="N55" s="214" t="str">
        <f>IF(OR($A55="",$A55="Grand Total"),IF($A55="Grand Total",SUM($N$15:$N54),""),SUMPRODUCT((Table1[County]=SummaryPage!$A55)*(Table1[Status]&lt;&gt;"Complete")))</f>
        <v/>
      </c>
      <c r="O55" s="6" t="str">
        <f ca="1">IF($A55="Grand Total",SUM(INDIRECT(ADDRESS(1,COLUMN())&amp;":"&amp;ADDRESS(ROW()-1,COLUMN()))),IF(OR($A55="State Agencies",IFERROR(AND($L55&gt;='Input Sheet'!$J$2,$A55&lt;&gt;""),0)),$J55,""))</f>
        <v/>
      </c>
      <c r="P55" s="3" t="str">
        <f>IF(OR($A55="",$A55="Grand Total"),"",IF(IFERROR(ROUND($J55/$K55,2),1000)&gt;='Input Sheet'!$J$2,1,""))</f>
        <v/>
      </c>
      <c r="Q55" s="3" t="str">
        <f t="shared" si="7"/>
        <v/>
      </c>
      <c r="R55" s="3" t="str">
        <f>IF(OR($A55="",$A55="Grand Total"),"",AND($J55=0,(SUMPRODUCT((Table1[County]=SummaryPage!$A55)*(Table1[Status]="Not Started"))+SUMPRODUCT((Table1[County]=SummaryPage!$A55)*(Table1[Status]="")))=SUMPRODUCT((Table1[County]=SummaryPage!$A55)*(Table1[Status]&lt;&gt;"Q"))))</f>
        <v/>
      </c>
    </row>
    <row r="56" spans="1:18" x14ac:dyDescent="0.3">
      <c r="A56"/>
      <c r="B56"/>
      <c r="C56"/>
      <c r="D56"/>
      <c r="E56"/>
      <c r="F56"/>
      <c r="G56"/>
      <c r="H56"/>
      <c r="I56"/>
      <c r="J56"/>
      <c r="K56" s="211" t="str">
        <f>IF($A56="","",VLOOKUP('Input Sheet'!$D$2 &amp; " " &amp; $A56,Pop[#All],4,FALSE))</f>
        <v/>
      </c>
      <c r="L56" s="212" t="str">
        <f t="shared" si="6"/>
        <v/>
      </c>
      <c r="M56" s="213" t="str">
        <f t="shared" ca="1" si="5"/>
        <v/>
      </c>
      <c r="N56" s="214" t="str">
        <f>IF(OR($A56="",$A56="Grand Total"),IF($A56="Grand Total",SUM($N$15:$N55),""),SUMPRODUCT((Table1[County]=SummaryPage!$A56)*(Table1[Status]&lt;&gt;"Complete")))</f>
        <v/>
      </c>
      <c r="O56" s="6" t="str">
        <f ca="1">IF($A56="Grand Total",SUM(INDIRECT(ADDRESS(1,COLUMN())&amp;":"&amp;ADDRESS(ROW()-1,COLUMN()))),IF(OR($A56="State Agencies",IFERROR(AND($L56&gt;='Input Sheet'!$J$2,$A56&lt;&gt;""),0)),$J56,""))</f>
        <v/>
      </c>
      <c r="P56" s="3" t="str">
        <f>IF(OR($A56="",$A56="Grand Total"),"",IF(IFERROR(ROUND($J56/$K56,2),1000)&gt;='Input Sheet'!$J$2,1,""))</f>
        <v/>
      </c>
      <c r="Q56" s="3" t="str">
        <f t="shared" si="7"/>
        <v/>
      </c>
      <c r="R56" s="3" t="str">
        <f>IF(OR($A56="",$A56="Grand Total"),"",AND($J56=0,(SUMPRODUCT((Table1[County]=SummaryPage!$A56)*(Table1[Status]="Not Started"))+SUMPRODUCT((Table1[County]=SummaryPage!$A56)*(Table1[Status]="")))=SUMPRODUCT((Table1[County]=SummaryPage!$A56)*(Table1[Status]&lt;&gt;"Q"))))</f>
        <v/>
      </c>
    </row>
    <row r="57" spans="1:18" x14ac:dyDescent="0.3">
      <c r="A57"/>
      <c r="B57"/>
      <c r="C57"/>
      <c r="D57"/>
      <c r="E57"/>
      <c r="F57"/>
      <c r="G57"/>
      <c r="H57"/>
      <c r="I57"/>
      <c r="J57"/>
      <c r="K57" s="211" t="str">
        <f>IF($A57="","",VLOOKUP('Input Sheet'!$D$2 &amp; " " &amp; $A57,Pop[#All],4,FALSE))</f>
        <v/>
      </c>
      <c r="L57" s="212" t="str">
        <f t="shared" si="6"/>
        <v/>
      </c>
      <c r="M57" s="213" t="str">
        <f t="shared" ca="1" si="5"/>
        <v/>
      </c>
      <c r="N57" s="214" t="str">
        <f>IF(OR($A57="",$A57="Grand Total"),IF($A57="Grand Total",SUM($N$15:$N56),""),SUMPRODUCT((Table1[County]=SummaryPage!$A57)*(Table1[Status]&lt;&gt;"Complete")))</f>
        <v/>
      </c>
      <c r="O57" s="6" t="str">
        <f ca="1">IF($A57="Grand Total",SUM(INDIRECT(ADDRESS(1,COLUMN())&amp;":"&amp;ADDRESS(ROW()-1,COLUMN()))),IF(OR($A57="State Agencies",IFERROR(AND($L57&gt;='Input Sheet'!$J$2,$A57&lt;&gt;""),0)),$J57,""))</f>
        <v/>
      </c>
      <c r="P57" s="3" t="str">
        <f>IF(OR($A57="",$A57="Grand Total"),"",IF(IFERROR(ROUND($J57/$K57,2),1000)&gt;='Input Sheet'!$J$2,1,""))</f>
        <v/>
      </c>
      <c r="Q57" s="3" t="str">
        <f t="shared" si="7"/>
        <v/>
      </c>
      <c r="R57" s="3" t="str">
        <f>IF(OR($A57="",$A57="Grand Total"),"",AND($J57=0,(SUMPRODUCT((Table1[County]=SummaryPage!$A57)*(Table1[Status]="Not Started"))+SUMPRODUCT((Table1[County]=SummaryPage!$A57)*(Table1[Status]="")))=SUMPRODUCT((Table1[County]=SummaryPage!$A57)*(Table1[Status]&lt;&gt;"Q"))))</f>
        <v/>
      </c>
    </row>
    <row r="58" spans="1:18" x14ac:dyDescent="0.3">
      <c r="A58"/>
      <c r="B58"/>
      <c r="C58"/>
      <c r="D58"/>
      <c r="E58"/>
      <c r="F58"/>
      <c r="G58"/>
      <c r="H58"/>
      <c r="I58"/>
      <c r="J58"/>
      <c r="K58" s="211" t="str">
        <f>IF($A58="","",VLOOKUP('Input Sheet'!$D$2 &amp; " " &amp; $A58,Pop[#All],4,FALSE))</f>
        <v/>
      </c>
      <c r="L58" s="212" t="str">
        <f t="shared" si="6"/>
        <v/>
      </c>
      <c r="M58" s="213" t="str">
        <f t="shared" ca="1" si="5"/>
        <v/>
      </c>
      <c r="N58" s="214" t="str">
        <f>IF(OR($A58="",$A58="Grand Total"),IF($A58="Grand Total",SUM($N$15:$N57),""),SUMPRODUCT((Table1[County]=SummaryPage!$A58)*(Table1[Status]&lt;&gt;"Complete")))</f>
        <v/>
      </c>
      <c r="O58" s="6" t="str">
        <f ca="1">IF($A58="Grand Total",SUM(INDIRECT(ADDRESS(1,COLUMN())&amp;":"&amp;ADDRESS(ROW()-1,COLUMN()))),IF(OR($A58="State Agencies",IFERROR(AND($L58&gt;='Input Sheet'!$J$2,$A58&lt;&gt;""),0)),$J58,""))</f>
        <v/>
      </c>
      <c r="P58" s="3" t="str">
        <f>IF(OR($A58="",$A58="Grand Total"),"",IF(IFERROR(ROUND($J58/$K58,2),1000)&gt;='Input Sheet'!$J$2,1,""))</f>
        <v/>
      </c>
      <c r="Q58" s="3" t="str">
        <f t="shared" si="7"/>
        <v/>
      </c>
      <c r="R58" s="3" t="str">
        <f>IF(OR($A58="",$A58="Grand Total"),"",AND($J58=0,(SUMPRODUCT((Table1[County]=SummaryPage!$A58)*(Table1[Status]="Not Started"))+SUMPRODUCT((Table1[County]=SummaryPage!$A58)*(Table1[Status]="")))=SUMPRODUCT((Table1[County]=SummaryPage!$A58)*(Table1[Status]&lt;&gt;"Q"))))</f>
        <v/>
      </c>
    </row>
    <row r="59" spans="1:18" x14ac:dyDescent="0.3">
      <c r="A59"/>
      <c r="B59"/>
      <c r="C59"/>
      <c r="D59"/>
      <c r="E59"/>
      <c r="F59"/>
      <c r="G59"/>
      <c r="H59"/>
      <c r="I59"/>
      <c r="J59"/>
      <c r="K59" s="211" t="str">
        <f>IF($A59="","",VLOOKUP('Input Sheet'!$D$2 &amp; " " &amp; $A59,Pop[#All],4,FALSE))</f>
        <v/>
      </c>
      <c r="L59" s="212" t="str">
        <f t="shared" si="6"/>
        <v/>
      </c>
      <c r="M59" s="213" t="str">
        <f t="shared" ca="1" si="5"/>
        <v/>
      </c>
      <c r="N59" s="214" t="str">
        <f>IF(OR($A59="",$A59="Grand Total"),IF($A59="Grand Total",SUM($N$15:$N58),""),SUMPRODUCT((Table1[County]=SummaryPage!$A59)*(Table1[Status]&lt;&gt;"Complete")))</f>
        <v/>
      </c>
      <c r="O59" s="6" t="str">
        <f ca="1">IF($A59="Grand Total",SUM(INDIRECT(ADDRESS(1,COLUMN())&amp;":"&amp;ADDRESS(ROW()-1,COLUMN()))),IF(OR($A59="State Agencies",IFERROR(AND($L59&gt;='Input Sheet'!$J$2,$A59&lt;&gt;""),0)),$J59,""))</f>
        <v/>
      </c>
      <c r="P59" s="3" t="str">
        <f>IF(OR($A59="",$A59="Grand Total"),"",IF(IFERROR(ROUND($J59/$K59,2),1000)&gt;='Input Sheet'!$J$2,1,""))</f>
        <v/>
      </c>
      <c r="Q59" s="3" t="str">
        <f t="shared" si="7"/>
        <v/>
      </c>
      <c r="R59" s="3" t="str">
        <f>IF(OR($A59="",$A59="Grand Total"),"",AND($J59=0,(SUMPRODUCT((Table1[County]=SummaryPage!$A59)*(Table1[Status]="Not Started"))+SUMPRODUCT((Table1[County]=SummaryPage!$A59)*(Table1[Status]="")))=SUMPRODUCT((Table1[County]=SummaryPage!$A59)*(Table1[Status]&lt;&gt;"Q"))))</f>
        <v/>
      </c>
    </row>
    <row r="60" spans="1:18" x14ac:dyDescent="0.3">
      <c r="A60"/>
      <c r="B60"/>
      <c r="C60"/>
      <c r="D60"/>
      <c r="E60"/>
      <c r="F60"/>
      <c r="G60"/>
      <c r="H60"/>
      <c r="I60"/>
      <c r="J60"/>
      <c r="K60" s="211" t="str">
        <f>IF($A60="","",VLOOKUP('Input Sheet'!$D$2 &amp; " " &amp; $A60,Pop[#All],4,FALSE))</f>
        <v/>
      </c>
      <c r="L60" s="212" t="str">
        <f t="shared" si="6"/>
        <v/>
      </c>
      <c r="M60" s="213" t="str">
        <f t="shared" ca="1" si="5"/>
        <v/>
      </c>
      <c r="N60" s="214" t="str">
        <f>IF(OR($A60="",$A60="Grand Total"),IF($A60="Grand Total",SUM($N$15:$N59),""),SUMPRODUCT((Table1[County]=SummaryPage!$A60)*(Table1[Status]&lt;&gt;"Complete")))</f>
        <v/>
      </c>
      <c r="O60" s="6" t="str">
        <f ca="1">IF($A60="Grand Total",SUM(INDIRECT(ADDRESS(1,COLUMN())&amp;":"&amp;ADDRESS(ROW()-1,COLUMN()))),IF(OR($A60="State Agencies",IFERROR(AND($L60&gt;='Input Sheet'!$J$2,$A60&lt;&gt;""),0)),$J60,""))</f>
        <v/>
      </c>
      <c r="P60" s="3" t="str">
        <f>IF(OR($A60="",$A60="Grand Total"),"",IF(IFERROR(ROUND($J60/$K60,2),1000)&gt;='Input Sheet'!$J$2,1,""))</f>
        <v/>
      </c>
      <c r="Q60" s="3" t="str">
        <f t="shared" si="7"/>
        <v/>
      </c>
      <c r="R60" s="3" t="str">
        <f>IF(OR($A60="",$A60="Grand Total"),"",AND($J60=0,(SUMPRODUCT((Table1[County]=SummaryPage!$A60)*(Table1[Status]="Not Started"))+SUMPRODUCT((Table1[County]=SummaryPage!$A60)*(Table1[Status]="")))=SUMPRODUCT((Table1[County]=SummaryPage!$A60)*(Table1[Status]&lt;&gt;"Q"))))</f>
        <v/>
      </c>
    </row>
    <row r="61" spans="1:18" x14ac:dyDescent="0.3">
      <c r="A61"/>
      <c r="B61"/>
      <c r="C61"/>
      <c r="D61"/>
      <c r="E61"/>
      <c r="F61"/>
      <c r="G61"/>
      <c r="H61"/>
      <c r="I61"/>
      <c r="J61"/>
      <c r="K61" s="211" t="str">
        <f>IF($A61="","",VLOOKUP('Input Sheet'!$D$2 &amp; " " &amp; $A61,Pop[#All],4,FALSE))</f>
        <v/>
      </c>
      <c r="L61" s="212" t="str">
        <f t="shared" si="6"/>
        <v/>
      </c>
      <c r="M61" s="213" t="str">
        <f t="shared" ca="1" si="5"/>
        <v/>
      </c>
      <c r="N61" s="214" t="str">
        <f>IF(OR($A61="",$A61="Grand Total"),IF($A61="Grand Total",SUM($N$15:$N60),""),SUMPRODUCT((Table1[County]=SummaryPage!$A61)*(Table1[Status]&lt;&gt;"Complete")))</f>
        <v/>
      </c>
      <c r="O61" s="6" t="str">
        <f ca="1">IF($A61="Grand Total",SUM(INDIRECT(ADDRESS(1,COLUMN())&amp;":"&amp;ADDRESS(ROW()-1,COLUMN()))),IF(OR($A61="State Agencies",IFERROR(AND($L61&gt;='Input Sheet'!$J$2,$A61&lt;&gt;""),0)),$J61,""))</f>
        <v/>
      </c>
      <c r="P61" s="3" t="str">
        <f>IF(OR($A61="",$A61="Grand Total"),"",IF(IFERROR(ROUND($J61/$K61,2),1000)&gt;='Input Sheet'!$J$2,1,""))</f>
        <v/>
      </c>
      <c r="Q61" s="3" t="str">
        <f t="shared" si="7"/>
        <v/>
      </c>
      <c r="R61" s="3" t="str">
        <f>IF(OR($A61="",$A61="Grand Total"),"",AND($J61=0,(SUMPRODUCT((Table1[County]=SummaryPage!$A61)*(Table1[Status]="Not Started"))+SUMPRODUCT((Table1[County]=SummaryPage!$A61)*(Table1[Status]="")))=SUMPRODUCT((Table1[County]=SummaryPage!$A61)*(Table1[Status]&lt;&gt;"Q"))))</f>
        <v/>
      </c>
    </row>
    <row r="62" spans="1:18" x14ac:dyDescent="0.3">
      <c r="A62"/>
      <c r="B62"/>
      <c r="C62"/>
      <c r="D62"/>
      <c r="E62"/>
      <c r="F62"/>
      <c r="G62"/>
      <c r="H62"/>
      <c r="I62"/>
      <c r="J62"/>
      <c r="K62" s="211" t="str">
        <f>IF($A62="","",VLOOKUP('Input Sheet'!$D$2 &amp; " " &amp; $A62,Pop[#All],4,FALSE))</f>
        <v/>
      </c>
      <c r="L62" s="212" t="str">
        <f t="shared" si="6"/>
        <v/>
      </c>
      <c r="M62" s="213" t="str">
        <f t="shared" ca="1" si="5"/>
        <v/>
      </c>
      <c r="N62" s="214" t="str">
        <f>IF(OR($A62="",$A62="Grand Total"),IF($A62="Grand Total",SUM($N$15:$N61),""),SUMPRODUCT((Table1[County]=SummaryPage!$A62)*(Table1[Status]&lt;&gt;"Complete")))</f>
        <v/>
      </c>
      <c r="O62" s="6" t="str">
        <f ca="1">IF($A62="Grand Total",SUM(INDIRECT(ADDRESS(1,COLUMN())&amp;":"&amp;ADDRESS(ROW()-1,COLUMN()))),IF(OR($A62="State Agencies",IFERROR(AND($L62&gt;='Input Sheet'!$J$2,$A62&lt;&gt;""),0)),$J62,""))</f>
        <v/>
      </c>
      <c r="P62" s="3" t="str">
        <f>IF(OR($A62="",$A62="Grand Total"),"",IF(IFERROR(ROUND($J62/$K62,2),1000)&gt;='Input Sheet'!$J$2,1,""))</f>
        <v/>
      </c>
      <c r="Q62" s="3" t="str">
        <f t="shared" si="7"/>
        <v/>
      </c>
      <c r="R62" s="3" t="str">
        <f>IF(OR($A62="",$A62="Grand Total"),"",AND($J62=0,(SUMPRODUCT((Table1[County]=SummaryPage!$A62)*(Table1[Status]="Not Started"))+SUMPRODUCT((Table1[County]=SummaryPage!$A62)*(Table1[Status]="")))=SUMPRODUCT((Table1[County]=SummaryPage!$A62)*(Table1[Status]&lt;&gt;"Q"))))</f>
        <v/>
      </c>
    </row>
    <row r="63" spans="1:18" x14ac:dyDescent="0.3">
      <c r="A63"/>
      <c r="B63"/>
      <c r="C63"/>
      <c r="D63"/>
      <c r="E63"/>
      <c r="F63"/>
      <c r="G63"/>
      <c r="H63"/>
      <c r="I63"/>
      <c r="J63"/>
      <c r="K63" s="211" t="str">
        <f>IF($A63="","",VLOOKUP('Input Sheet'!$D$2 &amp; " " &amp; $A63,Pop[#All],4,FALSE))</f>
        <v/>
      </c>
      <c r="L63" s="212" t="str">
        <f t="shared" si="6"/>
        <v/>
      </c>
      <c r="M63" s="213" t="str">
        <f t="shared" ca="1" si="5"/>
        <v/>
      </c>
      <c r="N63" s="214" t="str">
        <f>IF(OR($A63="",$A63="Grand Total"),IF($A63="Grand Total",SUM($N$15:$N62),""),SUMPRODUCT((Table1[County]=SummaryPage!$A63)*(Table1[Status]&lt;&gt;"Complete")))</f>
        <v/>
      </c>
      <c r="O63" s="6" t="str">
        <f ca="1">IF($A63="Grand Total",SUM(INDIRECT(ADDRESS(1,COLUMN())&amp;":"&amp;ADDRESS(ROW()-1,COLUMN()))),IF(OR($A63="State Agencies",IFERROR(AND($L63&gt;='Input Sheet'!$J$2,$A63&lt;&gt;""),0)),$J63,""))</f>
        <v/>
      </c>
      <c r="P63" s="3" t="str">
        <f>IF(OR($A63="",$A63="Grand Total"),"",IF(IFERROR(ROUND($J63/$K63,2),1000)&gt;='Input Sheet'!$J$2,1,""))</f>
        <v/>
      </c>
      <c r="Q63" s="3" t="str">
        <f t="shared" si="7"/>
        <v/>
      </c>
      <c r="R63" s="3" t="str">
        <f>IF(OR($A63="",$A63="Grand Total"),"",AND($J63=0,(SUMPRODUCT((Table1[County]=SummaryPage!$A63)*(Table1[Status]="Not Started"))+SUMPRODUCT((Table1[County]=SummaryPage!$A63)*(Table1[Status]="")))=SUMPRODUCT((Table1[County]=SummaryPage!$A63)*(Table1[Status]&lt;&gt;"Q"))))</f>
        <v/>
      </c>
    </row>
    <row r="64" spans="1:18" x14ac:dyDescent="0.3">
      <c r="A64"/>
      <c r="B64"/>
      <c r="C64"/>
      <c r="D64"/>
      <c r="E64"/>
      <c r="F64"/>
      <c r="G64"/>
      <c r="H64"/>
      <c r="I64"/>
      <c r="J64"/>
      <c r="K64" s="211" t="str">
        <f>IF($A64="","",VLOOKUP('Input Sheet'!$D$2 &amp; " " &amp; $A64,Pop[#All],4,FALSE))</f>
        <v/>
      </c>
      <c r="L64" s="212" t="str">
        <f t="shared" si="6"/>
        <v/>
      </c>
      <c r="M64" s="213" t="str">
        <f t="shared" ca="1" si="5"/>
        <v/>
      </c>
      <c r="N64" s="214" t="str">
        <f>IF(OR($A64="",$A64="Grand Total"),IF($A64="Grand Total",SUM($N$15:$N63),""),SUMPRODUCT((Table1[County]=SummaryPage!$A64)*(Table1[Status]&lt;&gt;"Complete")))</f>
        <v/>
      </c>
      <c r="O64" s="6" t="str">
        <f ca="1">IF($A64="Grand Total",SUM(INDIRECT(ADDRESS(1,COLUMN())&amp;":"&amp;ADDRESS(ROW()-1,COLUMN()))),IF(OR($A64="State Agencies",IFERROR(AND($L64&gt;='Input Sheet'!$J$2,$A64&lt;&gt;""),0)),$J64,""))</f>
        <v/>
      </c>
      <c r="P64" s="3" t="str">
        <f>IF(OR($A64="",$A64="Grand Total"),"",IF(IFERROR(ROUND($J64/$K64,2),1000)&gt;='Input Sheet'!$J$2,1,""))</f>
        <v/>
      </c>
      <c r="Q64" s="3" t="str">
        <f t="shared" si="7"/>
        <v/>
      </c>
      <c r="R64" s="3" t="str">
        <f>IF(OR($A64="",$A64="Grand Total"),"",AND($J64=0,(SUMPRODUCT((Table1[County]=SummaryPage!$A64)*(Table1[Status]="Not Started"))+SUMPRODUCT((Table1[County]=SummaryPage!$A64)*(Table1[Status]="")))=SUMPRODUCT((Table1[County]=SummaryPage!$A64)*(Table1[Status]&lt;&gt;"Q"))))</f>
        <v/>
      </c>
    </row>
    <row r="65" spans="1:18" x14ac:dyDescent="0.3">
      <c r="A65"/>
      <c r="B65"/>
      <c r="C65"/>
      <c r="D65"/>
      <c r="E65"/>
      <c r="F65"/>
      <c r="G65"/>
      <c r="H65"/>
      <c r="I65"/>
      <c r="J65"/>
      <c r="K65" s="211" t="str">
        <f>IF($A65="","",VLOOKUP('Input Sheet'!$D$2 &amp; " " &amp; $A65,Pop[#All],4,FALSE))</f>
        <v/>
      </c>
      <c r="L65" s="212" t="str">
        <f t="shared" si="6"/>
        <v/>
      </c>
      <c r="M65" s="213" t="str">
        <f t="shared" ca="1" si="5"/>
        <v/>
      </c>
      <c r="N65" s="214" t="str">
        <f>IF(OR($A65="",$A65="Grand Total"),IF($A65="Grand Total",SUM($N$15:$N64),""),SUMPRODUCT((Table1[County]=SummaryPage!$A65)*(Table1[Status]&lt;&gt;"Complete")))</f>
        <v/>
      </c>
      <c r="O65" s="6" t="str">
        <f ca="1">IF($A65="Grand Total",SUM(INDIRECT(ADDRESS(1,COLUMN())&amp;":"&amp;ADDRESS(ROW()-1,COLUMN()))),IF(OR($A65="State Agencies",IFERROR(AND($L65&gt;='Input Sheet'!$J$2,$A65&lt;&gt;""),0)),$J65,""))</f>
        <v/>
      </c>
      <c r="P65" s="3" t="str">
        <f>IF(OR($A65="",$A65="Grand Total"),"",IF(IFERROR(ROUND($J65/$K65,2),1000)&gt;='Input Sheet'!$J$2,1,""))</f>
        <v/>
      </c>
      <c r="Q65" s="3" t="str">
        <f t="shared" si="7"/>
        <v/>
      </c>
      <c r="R65" s="3" t="str">
        <f>IF(OR($A65="",$A65="Grand Total"),"",AND($J65=0,(SUMPRODUCT((Table1[County]=SummaryPage!$A65)*(Table1[Status]="Not Started"))+SUMPRODUCT((Table1[County]=SummaryPage!$A65)*(Table1[Status]="")))=SUMPRODUCT((Table1[County]=SummaryPage!$A65)*(Table1[Status]&lt;&gt;"Q"))))</f>
        <v/>
      </c>
    </row>
    <row r="66" spans="1:18" x14ac:dyDescent="0.3">
      <c r="A66"/>
      <c r="B66"/>
      <c r="C66"/>
      <c r="D66"/>
      <c r="E66"/>
      <c r="F66"/>
      <c r="G66"/>
      <c r="H66"/>
      <c r="I66"/>
      <c r="J66"/>
      <c r="K66" s="211" t="str">
        <f>IF($A66="","",VLOOKUP('Input Sheet'!$D$2 &amp; " " &amp; $A66,Pop[#All],4,FALSE))</f>
        <v/>
      </c>
      <c r="L66" s="212" t="str">
        <f t="shared" si="6"/>
        <v/>
      </c>
      <c r="M66" s="213" t="str">
        <f t="shared" ca="1" si="5"/>
        <v/>
      </c>
      <c r="N66" s="214" t="str">
        <f>IF(OR($A66="",$A66="Grand Total"),IF($A66="Grand Total",SUM($N$15:$N65),""),SUMPRODUCT((Table1[County]=SummaryPage!$A66)*(Table1[Status]&lt;&gt;"Complete")))</f>
        <v/>
      </c>
      <c r="O66" s="6" t="str">
        <f ca="1">IF($A66="Grand Total",SUM(INDIRECT(ADDRESS(1,COLUMN())&amp;":"&amp;ADDRESS(ROW()-1,COLUMN()))),IF(OR($A66="State Agencies",IFERROR(AND($L66&gt;='Input Sheet'!$J$2,$A66&lt;&gt;""),0)),$J66,""))</f>
        <v/>
      </c>
      <c r="P66" s="3" t="str">
        <f>IF(OR($A66="",$A66="Grand Total"),"",IF(IFERROR(ROUND($J66/$K66,2),1000)&gt;='Input Sheet'!$J$2,1,""))</f>
        <v/>
      </c>
      <c r="Q66" s="3" t="str">
        <f t="shared" si="7"/>
        <v/>
      </c>
      <c r="R66" s="3" t="str">
        <f>IF(OR($A66="",$A66="Grand Total"),"",AND($J66=0,(SUMPRODUCT((Table1[County]=SummaryPage!$A66)*(Table1[Status]="Not Started"))+SUMPRODUCT((Table1[County]=SummaryPage!$A66)*(Table1[Status]="")))=SUMPRODUCT((Table1[County]=SummaryPage!$A66)*(Table1[Status]&lt;&gt;"Q"))))</f>
        <v/>
      </c>
    </row>
    <row r="67" spans="1:18" x14ac:dyDescent="0.3">
      <c r="A67"/>
      <c r="B67"/>
      <c r="C67"/>
      <c r="D67"/>
      <c r="E67"/>
      <c r="F67"/>
      <c r="G67"/>
      <c r="H67"/>
      <c r="I67"/>
      <c r="J67"/>
      <c r="K67" s="211" t="str">
        <f>IF($A67="","",VLOOKUP('Input Sheet'!$D$2 &amp; " " &amp; $A67,Pop[#All],4,FALSE))</f>
        <v/>
      </c>
      <c r="L67" s="212" t="str">
        <f t="shared" si="6"/>
        <v/>
      </c>
      <c r="M67" s="213" t="str">
        <f t="shared" ca="1" si="5"/>
        <v/>
      </c>
      <c r="N67" s="214" t="str">
        <f>IF(OR($A67="",$A67="Grand Total"),IF($A67="Grand Total",SUM($N$15:$N66),""),SUMPRODUCT((Table1[County]=SummaryPage!$A67)*(Table1[Status]&lt;&gt;"Complete")))</f>
        <v/>
      </c>
      <c r="O67" s="6" t="str">
        <f ca="1">IF($A67="Grand Total",SUM(INDIRECT(ADDRESS(1,COLUMN())&amp;":"&amp;ADDRESS(ROW()-1,COLUMN()))),IF(OR($A67="State Agencies",IFERROR(AND($L67&gt;='Input Sheet'!$J$2,$A67&lt;&gt;""),0)),$J67,""))</f>
        <v/>
      </c>
      <c r="P67" s="3" t="str">
        <f>IF(OR($A67="",$A67="Grand Total"),"",IF(IFERROR(ROUND($J67/$K67,2),1000)&gt;='Input Sheet'!$J$2,1,""))</f>
        <v/>
      </c>
      <c r="Q67" s="3" t="str">
        <f t="shared" si="7"/>
        <v/>
      </c>
      <c r="R67" s="3" t="str">
        <f>IF(OR($A67="",$A67="Grand Total"),"",AND($J67=0,(SUMPRODUCT((Table1[County]=SummaryPage!$A67)*(Table1[Status]="Not Started"))+SUMPRODUCT((Table1[County]=SummaryPage!$A67)*(Table1[Status]="")))=SUMPRODUCT((Table1[County]=SummaryPage!$A67)*(Table1[Status]&lt;&gt;"Q"))))</f>
        <v/>
      </c>
    </row>
    <row r="68" spans="1:18" x14ac:dyDescent="0.3">
      <c r="A68"/>
      <c r="B68"/>
      <c r="C68"/>
      <c r="D68"/>
      <c r="E68"/>
      <c r="F68"/>
      <c r="G68"/>
      <c r="H68"/>
      <c r="I68"/>
      <c r="J68"/>
      <c r="K68" s="211" t="str">
        <f>IF($A68="","",VLOOKUP('Input Sheet'!$D$2 &amp; " " &amp; $A68,Pop[#All],4,FALSE))</f>
        <v/>
      </c>
      <c r="L68" s="212" t="str">
        <f t="shared" si="6"/>
        <v/>
      </c>
      <c r="M68" s="213" t="str">
        <f t="shared" ca="1" si="5"/>
        <v/>
      </c>
      <c r="N68" s="214" t="str">
        <f>IF(OR($A68="",$A68="Grand Total"),IF($A68="Grand Total",SUM($N$15:$N67),""),SUMPRODUCT((Table1[County]=SummaryPage!$A68)*(Table1[Status]&lt;&gt;"Complete")))</f>
        <v/>
      </c>
      <c r="O68" s="6" t="str">
        <f ca="1">IF($A68="Grand Total",SUM(INDIRECT(ADDRESS(1,COLUMN())&amp;":"&amp;ADDRESS(ROW()-1,COLUMN()))),IF(OR($A68="State Agencies",IFERROR(AND($L68&gt;='Input Sheet'!$J$2,$A68&lt;&gt;""),0)),$J68,""))</f>
        <v/>
      </c>
      <c r="P68" s="3" t="str">
        <f>IF(OR($A68="",$A68="Grand Total"),"",IF(IFERROR(ROUND($J68/$K68,2),1000)&gt;='Input Sheet'!$J$2,1,""))</f>
        <v/>
      </c>
      <c r="Q68" s="3" t="str">
        <f t="shared" si="7"/>
        <v/>
      </c>
      <c r="R68" s="3" t="str">
        <f>IF(OR($A68="",$A68="Grand Total"),"",AND($J68=0,(SUMPRODUCT((Table1[County]=SummaryPage!$A68)*(Table1[Status]="Not Started"))+SUMPRODUCT((Table1[County]=SummaryPage!$A68)*(Table1[Status]="")))=SUMPRODUCT((Table1[County]=SummaryPage!$A68)*(Table1[Status]&lt;&gt;"Q"))))</f>
        <v/>
      </c>
    </row>
    <row r="69" spans="1:18" x14ac:dyDescent="0.3">
      <c r="A69"/>
      <c r="B69"/>
      <c r="C69"/>
      <c r="D69"/>
      <c r="E69"/>
      <c r="F69"/>
      <c r="G69"/>
      <c r="H69"/>
      <c r="I69"/>
      <c r="J69"/>
      <c r="K69" s="211" t="str">
        <f>IF($A69="","",VLOOKUP('Input Sheet'!$D$2 &amp; " " &amp; $A69,Pop[#All],4,FALSE))</f>
        <v/>
      </c>
      <c r="L69" s="212" t="str">
        <f t="shared" si="6"/>
        <v/>
      </c>
      <c r="M69" s="213" t="str">
        <f t="shared" ca="1" si="5"/>
        <v/>
      </c>
      <c r="N69" s="214" t="str">
        <f>IF(OR($A69="",$A69="Grand Total"),IF($A69="Grand Total",SUM($N$15:$N68),""),SUMPRODUCT((Table1[County]=SummaryPage!$A69)*(Table1[Status]&lt;&gt;"Complete")))</f>
        <v/>
      </c>
      <c r="O69" s="6" t="str">
        <f ca="1">IF($A69="Grand Total",SUM(INDIRECT(ADDRESS(1,COLUMN())&amp;":"&amp;ADDRESS(ROW()-1,COLUMN()))),IF(OR($A69="State Agencies",IFERROR(AND($L69&gt;='Input Sheet'!$J$2,$A69&lt;&gt;""),0)),$J69,""))</f>
        <v/>
      </c>
      <c r="P69" s="3" t="str">
        <f>IF(OR($A69="",$A69="Grand Total"),"",IF(IFERROR(ROUND($J69/$K69,2),1000)&gt;='Input Sheet'!$J$2,1,""))</f>
        <v/>
      </c>
      <c r="Q69" s="3" t="str">
        <f t="shared" si="7"/>
        <v/>
      </c>
      <c r="R69" s="3" t="str">
        <f>IF(OR($A69="",$A69="Grand Total"),"",AND($J69=0,(SUMPRODUCT((Table1[County]=SummaryPage!$A69)*(Table1[Status]="Not Started"))+SUMPRODUCT((Table1[County]=SummaryPage!$A69)*(Table1[Status]="")))=SUMPRODUCT((Table1[County]=SummaryPage!$A69)*(Table1[Status]&lt;&gt;"Q"))))</f>
        <v/>
      </c>
    </row>
    <row r="70" spans="1:18" x14ac:dyDescent="0.3">
      <c r="A70"/>
      <c r="B70"/>
      <c r="C70"/>
      <c r="D70"/>
      <c r="E70"/>
      <c r="F70"/>
      <c r="G70"/>
      <c r="H70"/>
      <c r="I70"/>
      <c r="J70"/>
      <c r="K70" s="211" t="str">
        <f>IF($A70="","",VLOOKUP('Input Sheet'!$D$2 &amp; " " &amp; $A70,Pop[#All],4,FALSE))</f>
        <v/>
      </c>
      <c r="L70" s="212" t="str">
        <f t="shared" si="6"/>
        <v/>
      </c>
      <c r="M70" s="213" t="str">
        <f t="shared" ca="1" si="5"/>
        <v/>
      </c>
      <c r="N70" s="214" t="str">
        <f>IF(OR($A70="",$A70="Grand Total"),IF($A70="Grand Total",SUM($N$15:$N69),""),SUMPRODUCT((Table1[County]=SummaryPage!$A70)*(Table1[Status]&lt;&gt;"Complete")))</f>
        <v/>
      </c>
      <c r="O70" s="6" t="str">
        <f ca="1">IF($A70="Grand Total",SUM(INDIRECT(ADDRESS(1,COLUMN())&amp;":"&amp;ADDRESS(ROW()-1,COLUMN()))),IF(OR($A70="State Agencies",IFERROR(AND($L70&gt;='Input Sheet'!$J$2,$A70&lt;&gt;""),0)),$J70,""))</f>
        <v/>
      </c>
      <c r="P70" s="3" t="str">
        <f>IF(OR($A70="",$A70="Grand Total"),"",IF(IFERROR(ROUND($J70/$K70,2),1000)&gt;='Input Sheet'!$J$2,1,""))</f>
        <v/>
      </c>
      <c r="Q70" s="3" t="str">
        <f t="shared" si="7"/>
        <v/>
      </c>
      <c r="R70" s="3" t="str">
        <f>IF(OR($A70="",$A70="Grand Total"),"",AND($J70=0,(SUMPRODUCT((Table1[County]=SummaryPage!$A70)*(Table1[Status]="Not Started"))+SUMPRODUCT((Table1[County]=SummaryPage!$A70)*(Table1[Status]="")))=SUMPRODUCT((Table1[County]=SummaryPage!$A70)*(Table1[Status]&lt;&gt;"Q"))))</f>
        <v/>
      </c>
    </row>
    <row r="71" spans="1:18" x14ac:dyDescent="0.3">
      <c r="A71"/>
      <c r="B71"/>
      <c r="C71"/>
      <c r="D71"/>
      <c r="E71"/>
      <c r="F71"/>
      <c r="G71"/>
      <c r="H71"/>
      <c r="I71"/>
      <c r="J71"/>
      <c r="K71" s="211" t="str">
        <f>IF($A71="","",VLOOKUP('Input Sheet'!$D$2 &amp; " " &amp; $A71,Pop[#All],4,FALSE))</f>
        <v/>
      </c>
      <c r="L71" s="212" t="str">
        <f t="shared" si="6"/>
        <v/>
      </c>
      <c r="M71" s="213" t="str">
        <f t="shared" ca="1" si="5"/>
        <v/>
      </c>
      <c r="N71" s="214" t="str">
        <f>IF(OR($A71="",$A71="Grand Total"),IF($A71="Grand Total",SUM($N$15:$N70),""),SUMPRODUCT((Table1[County]=SummaryPage!$A71)*(Table1[Status]&lt;&gt;"Complete")))</f>
        <v/>
      </c>
      <c r="O71" s="6" t="str">
        <f ca="1">IF($A71="Grand Total",SUM(INDIRECT(ADDRESS(1,COLUMN())&amp;":"&amp;ADDRESS(ROW()-1,COLUMN()))),IF(OR($A71="State Agencies",IFERROR(AND($L71&gt;='Input Sheet'!$J$2,$A71&lt;&gt;""),0)),$J71,""))</f>
        <v/>
      </c>
      <c r="P71" s="3" t="str">
        <f>IF(OR($A71="",$A71="Grand Total"),"",IF(IFERROR(ROUND($J71/$K71,2),1000)&gt;='Input Sheet'!$J$2,1,""))</f>
        <v/>
      </c>
      <c r="Q71" s="3" t="str">
        <f t="shared" si="7"/>
        <v/>
      </c>
      <c r="R71" s="3" t="str">
        <f>IF(OR($A71="",$A71="Grand Total"),"",AND($J71=0,(SUMPRODUCT((Table1[County]=SummaryPage!$A71)*(Table1[Status]="Not Started"))+SUMPRODUCT((Table1[County]=SummaryPage!$A71)*(Table1[Status]="")))=SUMPRODUCT((Table1[County]=SummaryPage!$A71)*(Table1[Status]&lt;&gt;"Q"))))</f>
        <v/>
      </c>
    </row>
    <row r="72" spans="1:18" x14ac:dyDescent="0.3">
      <c r="A72"/>
      <c r="B72"/>
      <c r="C72"/>
      <c r="D72"/>
      <c r="E72"/>
      <c r="F72"/>
      <c r="G72"/>
      <c r="H72"/>
      <c r="I72"/>
      <c r="J72"/>
      <c r="K72" s="211" t="str">
        <f>IF($A72="","",VLOOKUP('Input Sheet'!$D$2 &amp; " " &amp; $A72,Pop[#All],4,FALSE))</f>
        <v/>
      </c>
      <c r="L72" s="212" t="str">
        <f t="shared" si="6"/>
        <v/>
      </c>
      <c r="M72" s="213" t="str">
        <f t="shared" ca="1" si="5"/>
        <v/>
      </c>
      <c r="N72" s="214" t="str">
        <f>IF(OR($A72="",$A72="Grand Total"),IF($A72="Grand Total",SUM($N$15:$N71),""),SUMPRODUCT((Table1[County]=SummaryPage!$A72)*(Table1[Status]&lt;&gt;"Complete")))</f>
        <v/>
      </c>
      <c r="O72" s="6" t="str">
        <f ca="1">IF($A72="Grand Total",SUM(INDIRECT(ADDRESS(1,COLUMN())&amp;":"&amp;ADDRESS(ROW()-1,COLUMN()))),IF(OR($A72="State Agencies",IFERROR(AND($L72&gt;='Input Sheet'!$J$2,$A72&lt;&gt;""),0)),$J72,""))</f>
        <v/>
      </c>
      <c r="P72" s="3" t="str">
        <f>IF(OR($A72="",$A72="Grand Total"),"",IF(IFERROR(ROUND($J72/$K72,2),1000)&gt;='Input Sheet'!$J$2,1,""))</f>
        <v/>
      </c>
      <c r="Q72" s="3" t="str">
        <f t="shared" si="7"/>
        <v/>
      </c>
      <c r="R72" s="3" t="str">
        <f>IF(OR($A72="",$A72="Grand Total"),"",AND($J72=0,(SUMPRODUCT((Table1[County]=SummaryPage!$A72)*(Table1[Status]="Not Started"))+SUMPRODUCT((Table1[County]=SummaryPage!$A72)*(Table1[Status]="")))=SUMPRODUCT((Table1[County]=SummaryPage!$A72)*(Table1[Status]&lt;&gt;"Q"))))</f>
        <v/>
      </c>
    </row>
    <row r="73" spans="1:18" x14ac:dyDescent="0.3">
      <c r="A73"/>
      <c r="B73"/>
      <c r="C73"/>
      <c r="D73"/>
      <c r="E73"/>
      <c r="F73"/>
      <c r="G73"/>
      <c r="H73"/>
      <c r="I73"/>
      <c r="J73"/>
      <c r="K73" s="211" t="str">
        <f>IF($A73="","",VLOOKUP('Input Sheet'!$D$2 &amp; " " &amp; $A73,Pop[#All],4,FALSE))</f>
        <v/>
      </c>
      <c r="L73" s="212" t="str">
        <f t="shared" si="6"/>
        <v/>
      </c>
      <c r="M73" s="213" t="str">
        <f t="shared" ca="1" si="5"/>
        <v/>
      </c>
      <c r="N73" s="214" t="str">
        <f>IF(OR($A73="",$A73="Grand Total"),IF($A73="Grand Total",SUM($N$15:$N72),""),SUMPRODUCT((Table1[County]=SummaryPage!$A73)*(Table1[Status]&lt;&gt;"Complete")))</f>
        <v/>
      </c>
      <c r="O73" s="6" t="str">
        <f ca="1">IF($A73="Grand Total",SUM(INDIRECT(ADDRESS(1,COLUMN())&amp;":"&amp;ADDRESS(ROW()-1,COLUMN()))),IF(OR($A73="State Agencies",IFERROR(AND($L73&gt;='Input Sheet'!$J$2,$A73&lt;&gt;""),0)),$J73,""))</f>
        <v/>
      </c>
      <c r="P73" s="3" t="str">
        <f>IF(OR($A73="",$A73="Grand Total"),"",IF(IFERROR(ROUND($J73/$K73,2),1000)&gt;='Input Sheet'!$J$2,1,""))</f>
        <v/>
      </c>
      <c r="Q73" s="3" t="str">
        <f t="shared" si="7"/>
        <v/>
      </c>
      <c r="R73" s="3" t="str">
        <f>IF(OR($A73="",$A73="Grand Total"),"",AND($J73=0,(SUMPRODUCT((Table1[County]=SummaryPage!$A73)*(Table1[Status]="Not Started"))+SUMPRODUCT((Table1[County]=SummaryPage!$A73)*(Table1[Status]="")))=SUMPRODUCT((Table1[County]=SummaryPage!$A73)*(Table1[Status]&lt;&gt;"Q"))))</f>
        <v/>
      </c>
    </row>
    <row r="74" spans="1:18" x14ac:dyDescent="0.3">
      <c r="A74"/>
      <c r="B74"/>
      <c r="C74"/>
      <c r="D74"/>
      <c r="E74"/>
      <c r="F74"/>
      <c r="G74"/>
      <c r="H74"/>
      <c r="I74"/>
      <c r="J74"/>
      <c r="K74" s="211" t="str">
        <f>IF($A74="","",VLOOKUP('Input Sheet'!$D$2 &amp; " " &amp; $A74,Pop[#All],4,FALSE))</f>
        <v/>
      </c>
      <c r="L74" s="212" t="str">
        <f t="shared" si="6"/>
        <v/>
      </c>
      <c r="M74" s="213" t="str">
        <f t="shared" ca="1" si="5"/>
        <v/>
      </c>
      <c r="N74" s="214" t="str">
        <f>IF(OR($A74="",$A74="Grand Total"),IF($A74="Grand Total",SUM($N$15:$N73),""),SUMPRODUCT((Table1[County]=SummaryPage!$A74)*(Table1[Status]&lt;&gt;"Complete")))</f>
        <v/>
      </c>
      <c r="O74" s="6" t="str">
        <f ca="1">IF($A74="Grand Total",SUM(INDIRECT(ADDRESS(1,COLUMN())&amp;":"&amp;ADDRESS(ROW()-1,COLUMN()))),IF(OR($A74="State Agencies",IFERROR(AND($L74&gt;='Input Sheet'!$J$2,$A74&lt;&gt;""),0)),$J74,""))</f>
        <v/>
      </c>
      <c r="P74" s="3" t="str">
        <f>IF(OR($A74="",$A74="Grand Total"),"",IF(IFERROR(ROUND($J74/$K74,2),1000)&gt;='Input Sheet'!$J$2,1,""))</f>
        <v/>
      </c>
      <c r="Q74" s="3" t="str">
        <f t="shared" si="7"/>
        <v/>
      </c>
      <c r="R74" s="3" t="str">
        <f>IF(OR($A74="",$A74="Grand Total"),"",AND($J74=0,(SUMPRODUCT((Table1[County]=SummaryPage!$A74)*(Table1[Status]="Not Started"))+SUMPRODUCT((Table1[County]=SummaryPage!$A74)*(Table1[Status]="")))=SUMPRODUCT((Table1[County]=SummaryPage!$A74)*(Table1[Status]&lt;&gt;"Q"))))</f>
        <v/>
      </c>
    </row>
    <row r="75" spans="1:18" x14ac:dyDescent="0.3">
      <c r="A75"/>
      <c r="B75"/>
      <c r="C75"/>
      <c r="D75"/>
      <c r="E75"/>
      <c r="F75"/>
      <c r="G75"/>
      <c r="H75"/>
      <c r="I75"/>
      <c r="J75"/>
      <c r="K75" s="211" t="str">
        <f>IF($A75="","",VLOOKUP('Input Sheet'!$D$2 &amp; " " &amp; $A75,Pop[#All],4,FALSE))</f>
        <v/>
      </c>
      <c r="L75" s="212" t="str">
        <f t="shared" si="6"/>
        <v/>
      </c>
      <c r="M75" s="213" t="str">
        <f t="shared" ca="1" si="5"/>
        <v/>
      </c>
      <c r="N75" s="214" t="str">
        <f>IF(OR($A75="",$A75="Grand Total"),IF($A75="Grand Total",SUM($N$15:$N74),""),SUMPRODUCT((Table1[County]=SummaryPage!$A75)*(Table1[Status]&lt;&gt;"Complete")))</f>
        <v/>
      </c>
      <c r="O75" s="6" t="str">
        <f ca="1">IF($A75="Grand Total",SUM(INDIRECT(ADDRESS(1,COLUMN())&amp;":"&amp;ADDRESS(ROW()-1,COLUMN()))),IF(OR($A75="State Agencies",IFERROR(AND($L75&gt;='Input Sheet'!$J$2,$A75&lt;&gt;""),0)),$J75,""))</f>
        <v/>
      </c>
      <c r="P75" s="3" t="str">
        <f>IF(OR($A75="",$A75="Grand Total"),"",IF(IFERROR(ROUND($J75/$K75,2),1000)&gt;='Input Sheet'!$J$2,1,""))</f>
        <v/>
      </c>
      <c r="Q75" s="3" t="str">
        <f t="shared" si="7"/>
        <v/>
      </c>
      <c r="R75" s="3" t="str">
        <f>IF(OR($A75="",$A75="Grand Total"),"",AND($J75=0,(SUMPRODUCT((Table1[County]=SummaryPage!$A75)*(Table1[Status]="Not Started"))+SUMPRODUCT((Table1[County]=SummaryPage!$A75)*(Table1[Status]="")))=SUMPRODUCT((Table1[County]=SummaryPage!$A75)*(Table1[Status]&lt;&gt;"Q"))))</f>
        <v/>
      </c>
    </row>
    <row r="76" spans="1:18" x14ac:dyDescent="0.3">
      <c r="A76"/>
      <c r="B76"/>
      <c r="C76"/>
      <c r="D76"/>
      <c r="E76"/>
      <c r="F76"/>
      <c r="G76"/>
      <c r="H76"/>
      <c r="I76"/>
      <c r="J76"/>
      <c r="K76" s="211" t="str">
        <f>IF($A76="","",VLOOKUP('Input Sheet'!$D$2 &amp; " " &amp; $A76,Pop[#All],4,FALSE))</f>
        <v/>
      </c>
      <c r="L76" s="212" t="str">
        <f t="shared" si="6"/>
        <v/>
      </c>
      <c r="M76" s="213" t="str">
        <f t="shared" ca="1" si="5"/>
        <v/>
      </c>
      <c r="N76" s="214" t="str">
        <f>IF(OR($A76="",$A76="Grand Total"),IF($A76="Grand Total",SUM($N$15:$N75),""),SUMPRODUCT((Table1[County]=SummaryPage!$A76)*(Table1[Status]&lt;&gt;"Complete")))</f>
        <v/>
      </c>
      <c r="O76" s="6" t="str">
        <f ca="1">IF($A76="Grand Total",SUM(INDIRECT(ADDRESS(1,COLUMN())&amp;":"&amp;ADDRESS(ROW()-1,COLUMN()))),IF(OR($A76="State Agencies",IFERROR(AND($L76&gt;='Input Sheet'!$J$2,$A76&lt;&gt;""),0)),$J76,""))</f>
        <v/>
      </c>
      <c r="P76" s="3" t="str">
        <f>IF(OR($A76="",$A76="Grand Total"),"",IF(IFERROR(ROUND($J76/$K76,2),1000)&gt;='Input Sheet'!$J$2,1,""))</f>
        <v/>
      </c>
      <c r="Q76" s="3" t="str">
        <f t="shared" si="7"/>
        <v/>
      </c>
      <c r="R76" s="3" t="str">
        <f>IF(OR($A76="",$A76="Grand Total"),"",AND($J76=0,(SUMPRODUCT((Table1[County]=SummaryPage!$A76)*(Table1[Status]="Not Started"))+SUMPRODUCT((Table1[County]=SummaryPage!$A76)*(Table1[Status]="")))=SUMPRODUCT((Table1[County]=SummaryPage!$A76)*(Table1[Status]&lt;&gt;"Q"))))</f>
        <v/>
      </c>
    </row>
    <row r="77" spans="1:18" x14ac:dyDescent="0.3">
      <c r="A77"/>
      <c r="B77"/>
      <c r="C77"/>
      <c r="D77"/>
      <c r="E77"/>
      <c r="F77"/>
      <c r="G77"/>
      <c r="H77"/>
      <c r="I77"/>
      <c r="J77"/>
      <c r="K77" s="211" t="str">
        <f>IF($A77="","",VLOOKUP('Input Sheet'!$D$2 &amp; " " &amp; $A77,Pop[#All],4,FALSE))</f>
        <v/>
      </c>
      <c r="L77" s="212" t="str">
        <f t="shared" si="6"/>
        <v/>
      </c>
      <c r="M77" s="213" t="str">
        <f t="shared" ca="1" si="5"/>
        <v/>
      </c>
      <c r="N77" s="214" t="str">
        <f>IF(OR($A77="",$A77="Grand Total"),IF($A77="Grand Total",SUM($N$15:$N76),""),SUMPRODUCT((Table1[County]=SummaryPage!$A77)*(Table1[Status]&lt;&gt;"Complete")))</f>
        <v/>
      </c>
      <c r="O77" s="6" t="str">
        <f ca="1">IF($A77="Grand Total",SUM(INDIRECT(ADDRESS(1,COLUMN())&amp;":"&amp;ADDRESS(ROW()-1,COLUMN()))),IF(OR($A77="State Agencies",IFERROR(AND($L77&gt;='Input Sheet'!$J$2,$A77&lt;&gt;""),0)),$J77,""))</f>
        <v/>
      </c>
      <c r="P77" s="3" t="str">
        <f>IF(OR($A77="",$A77="Grand Total"),"",IF(IFERROR(ROUND($J77/$K77,2),1000)&gt;='Input Sheet'!$J$2,1,""))</f>
        <v/>
      </c>
      <c r="Q77" s="3" t="str">
        <f t="shared" si="7"/>
        <v/>
      </c>
      <c r="R77" s="3" t="str">
        <f>IF(OR($A77="",$A77="Grand Total"),"",AND($J77=0,(SUMPRODUCT((Table1[County]=SummaryPage!$A77)*(Table1[Status]="Not Started"))+SUMPRODUCT((Table1[County]=SummaryPage!$A77)*(Table1[Status]="")))=SUMPRODUCT((Table1[County]=SummaryPage!$A77)*(Table1[Status]&lt;&gt;"Q"))))</f>
        <v/>
      </c>
    </row>
    <row r="78" spans="1:18" x14ac:dyDescent="0.3">
      <c r="A78"/>
      <c r="B78"/>
      <c r="C78"/>
      <c r="D78"/>
      <c r="E78"/>
      <c r="F78"/>
      <c r="G78"/>
      <c r="H78"/>
      <c r="I78"/>
      <c r="J78"/>
      <c r="K78" s="211" t="str">
        <f>IF($A78="","",VLOOKUP('Input Sheet'!$D$2 &amp; " " &amp; $A78,Pop[#All],4,FALSE))</f>
        <v/>
      </c>
      <c r="L78" s="212" t="str">
        <f t="shared" si="6"/>
        <v/>
      </c>
      <c r="M78" s="213" t="str">
        <f t="shared" ca="1" si="5"/>
        <v/>
      </c>
      <c r="N78" s="214" t="str">
        <f>IF(OR($A78="",$A78="Grand Total"),IF($A78="Grand Total",SUM($N$15:$N77),""),SUMPRODUCT((Table1[County]=SummaryPage!$A78)*(Table1[Status]&lt;&gt;"Complete")))</f>
        <v/>
      </c>
      <c r="O78" s="6" t="str">
        <f ca="1">IF($A78="Grand Total",SUM(INDIRECT(ADDRESS(1,COLUMN())&amp;":"&amp;ADDRESS(ROW()-1,COLUMN()))),IF(OR($A78="State Agencies",IFERROR(AND($L78&gt;='Input Sheet'!$J$2,$A78&lt;&gt;""),0)),$J78,""))</f>
        <v/>
      </c>
      <c r="P78" s="3" t="str">
        <f>IF(OR($A78="",$A78="Grand Total"),"",IF(IFERROR(ROUND($J78/$K78,2),1000)&gt;='Input Sheet'!$J$2,1,""))</f>
        <v/>
      </c>
      <c r="Q78" s="3" t="str">
        <f t="shared" si="7"/>
        <v/>
      </c>
      <c r="R78" s="3" t="str">
        <f>IF(OR($A78="",$A78="Grand Total"),"",AND($J78=0,(SUMPRODUCT((Table1[County]=SummaryPage!$A78)*(Table1[Status]="Not Started"))+SUMPRODUCT((Table1[County]=SummaryPage!$A78)*(Table1[Status]="")))=SUMPRODUCT((Table1[County]=SummaryPage!$A78)*(Table1[Status]&lt;&gt;"Q"))))</f>
        <v/>
      </c>
    </row>
    <row r="79" spans="1:18" x14ac:dyDescent="0.3">
      <c r="A79"/>
      <c r="B79"/>
      <c r="C79"/>
      <c r="D79"/>
      <c r="E79"/>
      <c r="F79"/>
      <c r="G79"/>
      <c r="H79"/>
      <c r="I79"/>
      <c r="J79"/>
      <c r="K79" s="211" t="str">
        <f>IF($A79="","",VLOOKUP('Input Sheet'!$D$2 &amp; " " &amp; $A79,Pop[#All],4,FALSE))</f>
        <v/>
      </c>
      <c r="L79" s="212" t="str">
        <f t="shared" si="6"/>
        <v/>
      </c>
      <c r="M79" s="213" t="str">
        <f t="shared" ref="M79:M142" ca="1" si="9">IF(A79="Grand Total","",IF(ISNUMBER($O79),$O79*2/SUM($O:$O),""))</f>
        <v/>
      </c>
      <c r="N79" s="214" t="str">
        <f>IF(OR($A79="",$A79="Grand Total"),IF($A79="Grand Total",SUM($N$15:$N78),""),SUMPRODUCT((Table1[County]=SummaryPage!$A79)*(Table1[Status]&lt;&gt;"Complete")))</f>
        <v/>
      </c>
      <c r="O79" s="6" t="str">
        <f ca="1">IF($A79="Grand Total",SUM(INDIRECT(ADDRESS(1,COLUMN())&amp;":"&amp;ADDRESS(ROW()-1,COLUMN()))),IF(OR($A79="State Agencies",IFERROR(AND($L79&gt;='Input Sheet'!$J$2,$A79&lt;&gt;""),0)),$J79,""))</f>
        <v/>
      </c>
      <c r="P79" s="3" t="str">
        <f>IF(OR($A79="",$A79="Grand Total"),"",IF(IFERROR(ROUND($J79/$K79,2),1000)&gt;='Input Sheet'!$J$2,1,""))</f>
        <v/>
      </c>
      <c r="Q79" s="3" t="str">
        <f t="shared" si="7"/>
        <v/>
      </c>
      <c r="R79" s="3" t="str">
        <f>IF(OR($A79="",$A79="Grand Total"),"",AND($J79=0,(SUMPRODUCT((Table1[County]=SummaryPage!$A79)*(Table1[Status]="Not Started"))+SUMPRODUCT((Table1[County]=SummaryPage!$A79)*(Table1[Status]="")))=SUMPRODUCT((Table1[County]=SummaryPage!$A79)*(Table1[Status]&lt;&gt;"Q"))))</f>
        <v/>
      </c>
    </row>
    <row r="80" spans="1:18" x14ac:dyDescent="0.3">
      <c r="A80"/>
      <c r="B80"/>
      <c r="C80"/>
      <c r="D80"/>
      <c r="E80"/>
      <c r="F80"/>
      <c r="G80"/>
      <c r="H80"/>
      <c r="I80"/>
      <c r="J80"/>
      <c r="K80" s="211" t="str">
        <f>IF($A80="","",VLOOKUP('Input Sheet'!$D$2 &amp; " " &amp; $A80,Pop[#All],4,FALSE))</f>
        <v/>
      </c>
      <c r="L80" s="212" t="str">
        <f t="shared" ref="L80:L143" si="10">IFERROR(IF($A80="","",ROUND($J80/$K80,2)),"")</f>
        <v/>
      </c>
      <c r="M80" s="213" t="str">
        <f t="shared" ca="1" si="9"/>
        <v/>
      </c>
      <c r="N80" s="214" t="str">
        <f>IF(OR($A80="",$A80="Grand Total"),IF($A80="Grand Total",SUM($N$15:$N79),""),SUMPRODUCT((Table1[County]=SummaryPage!$A80)*(Table1[Status]&lt;&gt;"Complete")))</f>
        <v/>
      </c>
      <c r="O80" s="6" t="str">
        <f ca="1">IF($A80="Grand Total",SUM(INDIRECT(ADDRESS(1,COLUMN())&amp;":"&amp;ADDRESS(ROW()-1,COLUMN()))),IF(OR($A80="State Agencies",IFERROR(AND($L80&gt;='Input Sheet'!$J$2,$A80&lt;&gt;""),0)),$J80,""))</f>
        <v/>
      </c>
      <c r="P80" s="3" t="str">
        <f>IF(OR($A80="",$A80="Grand Total"),"",IF(IFERROR(ROUND($J80/$K80,2),1000)&gt;='Input Sheet'!$J$2,1,""))</f>
        <v/>
      </c>
      <c r="Q80" s="3" t="str">
        <f t="shared" ref="Q80:Q143" si="11">IFERROR($L80*$P80,"")</f>
        <v/>
      </c>
      <c r="R80" s="3" t="str">
        <f>IF(OR($A80="",$A80="Grand Total"),"",AND($J80=0,(SUMPRODUCT((Table1[County]=SummaryPage!$A80)*(Table1[Status]="Not Started"))+SUMPRODUCT((Table1[County]=SummaryPage!$A80)*(Table1[Status]="")))=SUMPRODUCT((Table1[County]=SummaryPage!$A80)*(Table1[Status]&lt;&gt;"Q"))))</f>
        <v/>
      </c>
    </row>
    <row r="81" spans="1:18" x14ac:dyDescent="0.3">
      <c r="A81"/>
      <c r="B81"/>
      <c r="C81"/>
      <c r="D81"/>
      <c r="E81"/>
      <c r="F81"/>
      <c r="G81"/>
      <c r="H81"/>
      <c r="I81"/>
      <c r="J81"/>
      <c r="K81" s="211" t="str">
        <f>IF($A81="","",VLOOKUP('Input Sheet'!$D$2 &amp; " " &amp; $A81,Pop[#All],4,FALSE))</f>
        <v/>
      </c>
      <c r="L81" s="212" t="str">
        <f t="shared" si="10"/>
        <v/>
      </c>
      <c r="M81" s="213" t="str">
        <f t="shared" ca="1" si="9"/>
        <v/>
      </c>
      <c r="N81" s="214" t="str">
        <f>IF(OR($A81="",$A81="Grand Total"),IF($A81="Grand Total",SUM($N$15:$N80),""),SUMPRODUCT((Table1[County]=SummaryPage!$A81)*(Table1[Status]&lt;&gt;"Complete")))</f>
        <v/>
      </c>
      <c r="O81" s="6" t="str">
        <f ca="1">IF($A81="Grand Total",SUM(INDIRECT(ADDRESS(1,COLUMN())&amp;":"&amp;ADDRESS(ROW()-1,COLUMN()))),IF(OR($A81="State Agencies",IFERROR(AND($L81&gt;='Input Sheet'!$J$2,$A81&lt;&gt;""),0)),$J81,""))</f>
        <v/>
      </c>
      <c r="P81" s="3" t="str">
        <f>IF(OR($A81="",$A81="Grand Total"),"",IF(IFERROR(ROUND($J81/$K81,2),1000)&gt;='Input Sheet'!$J$2,1,""))</f>
        <v/>
      </c>
      <c r="Q81" s="3" t="str">
        <f t="shared" si="11"/>
        <v/>
      </c>
      <c r="R81" s="3" t="str">
        <f>IF(OR($A81="",$A81="Grand Total"),"",AND($J81=0,(SUMPRODUCT((Table1[County]=SummaryPage!$A81)*(Table1[Status]="Not Started"))+SUMPRODUCT((Table1[County]=SummaryPage!$A81)*(Table1[Status]="")))=SUMPRODUCT((Table1[County]=SummaryPage!$A81)*(Table1[Status]&lt;&gt;"Q"))))</f>
        <v/>
      </c>
    </row>
    <row r="82" spans="1:18" x14ac:dyDescent="0.3">
      <c r="A82"/>
      <c r="B82"/>
      <c r="C82"/>
      <c r="D82"/>
      <c r="E82"/>
      <c r="F82"/>
      <c r="G82"/>
      <c r="H82"/>
      <c r="I82"/>
      <c r="J82"/>
      <c r="K82" s="211" t="str">
        <f>IF($A82="","",VLOOKUP('Input Sheet'!$D$2 &amp; " " &amp; $A82,Pop[#All],4,FALSE))</f>
        <v/>
      </c>
      <c r="L82" s="212" t="str">
        <f t="shared" si="10"/>
        <v/>
      </c>
      <c r="M82" s="213" t="str">
        <f t="shared" ca="1" si="9"/>
        <v/>
      </c>
      <c r="N82" s="214" t="str">
        <f>IF(OR($A82="",$A82="Grand Total"),IF($A82="Grand Total",SUM($N$15:$N81),""),SUMPRODUCT((Table1[County]=SummaryPage!$A82)*(Table1[Status]&lt;&gt;"Complete")))</f>
        <v/>
      </c>
      <c r="O82" s="6" t="str">
        <f ca="1">IF($A82="Grand Total",SUM(INDIRECT(ADDRESS(1,COLUMN())&amp;":"&amp;ADDRESS(ROW()-1,COLUMN()))),IF(OR($A82="State Agencies",IFERROR(AND($L82&gt;='Input Sheet'!$J$2,$A82&lt;&gt;""),0)),$J82,""))</f>
        <v/>
      </c>
      <c r="P82" s="3" t="str">
        <f>IF(OR($A82="",$A82="Grand Total"),"",IF(IFERROR(ROUND($J82/$K82,2),1000)&gt;='Input Sheet'!$J$2,1,""))</f>
        <v/>
      </c>
      <c r="Q82" s="3" t="str">
        <f t="shared" si="11"/>
        <v/>
      </c>
      <c r="R82" s="3" t="str">
        <f>IF(OR($A82="",$A82="Grand Total"),"",AND($J82=0,(SUMPRODUCT((Table1[County]=SummaryPage!$A82)*(Table1[Status]="Not Started"))+SUMPRODUCT((Table1[County]=SummaryPage!$A82)*(Table1[Status]="")))=SUMPRODUCT((Table1[County]=SummaryPage!$A82)*(Table1[Status]&lt;&gt;"Q"))))</f>
        <v/>
      </c>
    </row>
    <row r="83" spans="1:18" x14ac:dyDescent="0.3">
      <c r="A83"/>
      <c r="B83"/>
      <c r="C83"/>
      <c r="D83"/>
      <c r="E83"/>
      <c r="F83"/>
      <c r="G83"/>
      <c r="H83"/>
      <c r="I83"/>
      <c r="J83"/>
      <c r="K83" s="211" t="str">
        <f>IF($A83="","",VLOOKUP('Input Sheet'!$D$2 &amp; " " &amp; $A83,Pop[#All],4,FALSE))</f>
        <v/>
      </c>
      <c r="L83" s="212" t="str">
        <f t="shared" si="10"/>
        <v/>
      </c>
      <c r="M83" s="213" t="str">
        <f t="shared" ca="1" si="9"/>
        <v/>
      </c>
      <c r="N83" s="214" t="str">
        <f>IF(OR($A83="",$A83="Grand Total"),IF($A83="Grand Total",SUM($N$15:$N82),""),SUMPRODUCT((Table1[County]=SummaryPage!$A83)*(Table1[Status]&lt;&gt;"Complete")))</f>
        <v/>
      </c>
      <c r="O83" s="6" t="str">
        <f ca="1">IF($A83="Grand Total",SUM(INDIRECT(ADDRESS(1,COLUMN())&amp;":"&amp;ADDRESS(ROW()-1,COLUMN()))),IF(OR($A83="State Agencies",IFERROR(AND($L83&gt;='Input Sheet'!$J$2,$A83&lt;&gt;""),0)),$J83,""))</f>
        <v/>
      </c>
      <c r="P83" s="3" t="str">
        <f>IF(OR($A83="",$A83="Grand Total"),"",IF(IFERROR(ROUND($J83/$K83,2),1000)&gt;='Input Sheet'!$J$2,1,""))</f>
        <v/>
      </c>
      <c r="Q83" s="3" t="str">
        <f t="shared" si="11"/>
        <v/>
      </c>
      <c r="R83" s="3" t="str">
        <f>IF(OR($A83="",$A83="Grand Total"),"",AND($J83=0,(SUMPRODUCT((Table1[County]=SummaryPage!$A83)*(Table1[Status]="Not Started"))+SUMPRODUCT((Table1[County]=SummaryPage!$A83)*(Table1[Status]="")))=SUMPRODUCT((Table1[County]=SummaryPage!$A83)*(Table1[Status]&lt;&gt;"Q"))))</f>
        <v/>
      </c>
    </row>
    <row r="84" spans="1:18" x14ac:dyDescent="0.3">
      <c r="A84"/>
      <c r="B84"/>
      <c r="C84"/>
      <c r="D84"/>
      <c r="E84"/>
      <c r="F84"/>
      <c r="G84"/>
      <c r="H84"/>
      <c r="I84"/>
      <c r="J84"/>
      <c r="K84" s="211" t="str">
        <f>IF($A84="","",VLOOKUP('Input Sheet'!$D$2 &amp; " " &amp; $A84,Pop[#All],4,FALSE))</f>
        <v/>
      </c>
      <c r="L84" s="212" t="str">
        <f t="shared" si="10"/>
        <v/>
      </c>
      <c r="M84" s="213" t="str">
        <f t="shared" ca="1" si="9"/>
        <v/>
      </c>
      <c r="N84" s="214" t="str">
        <f>IF(OR($A84="",$A84="Grand Total"),IF($A84="Grand Total",SUM($N$15:$N83),""),SUMPRODUCT((Table1[County]=SummaryPage!$A84)*(Table1[Status]&lt;&gt;"Complete")))</f>
        <v/>
      </c>
      <c r="O84" s="6" t="str">
        <f ca="1">IF($A84="Grand Total",SUM(INDIRECT(ADDRESS(1,COLUMN())&amp;":"&amp;ADDRESS(ROW()-1,COLUMN()))),IF(OR($A84="State Agencies",IFERROR(AND($L84&gt;='Input Sheet'!$J$2,$A84&lt;&gt;""),0)),$J84,""))</f>
        <v/>
      </c>
      <c r="P84" s="3" t="str">
        <f>IF(OR($A84="",$A84="Grand Total"),"",IF(IFERROR(ROUND($J84/$K84,2),1000)&gt;='Input Sheet'!$J$2,1,""))</f>
        <v/>
      </c>
      <c r="Q84" s="3" t="str">
        <f t="shared" si="11"/>
        <v/>
      </c>
      <c r="R84" s="3" t="str">
        <f>IF(OR($A84="",$A84="Grand Total"),"",AND($J84=0,(SUMPRODUCT((Table1[County]=SummaryPage!$A84)*(Table1[Status]="Not Started"))+SUMPRODUCT((Table1[County]=SummaryPage!$A84)*(Table1[Status]="")))=SUMPRODUCT((Table1[County]=SummaryPage!$A84)*(Table1[Status]&lt;&gt;"Q"))))</f>
        <v/>
      </c>
    </row>
    <row r="85" spans="1:18" x14ac:dyDescent="0.3">
      <c r="A85"/>
      <c r="B85"/>
      <c r="C85"/>
      <c r="D85"/>
      <c r="E85"/>
      <c r="F85"/>
      <c r="G85"/>
      <c r="H85"/>
      <c r="I85"/>
      <c r="J85"/>
      <c r="K85" s="211" t="str">
        <f>IF($A85="","",VLOOKUP('Input Sheet'!$D$2 &amp; " " &amp; $A85,Pop[#All],4,FALSE))</f>
        <v/>
      </c>
      <c r="L85" s="212" t="str">
        <f t="shared" si="10"/>
        <v/>
      </c>
      <c r="M85" s="213" t="str">
        <f t="shared" ca="1" si="9"/>
        <v/>
      </c>
      <c r="N85" s="214" t="str">
        <f>IF(OR($A85="",$A85="Grand Total"),IF($A85="Grand Total",SUM($N$15:$N84),""),SUMPRODUCT((Table1[County]=SummaryPage!$A85)*(Table1[Status]&lt;&gt;"Complete")))</f>
        <v/>
      </c>
      <c r="O85" s="6" t="str">
        <f ca="1">IF($A85="Grand Total",SUM(INDIRECT(ADDRESS(1,COLUMN())&amp;":"&amp;ADDRESS(ROW()-1,COLUMN()))),IF(OR($A85="State Agencies",IFERROR(AND($L85&gt;='Input Sheet'!$J$2,$A85&lt;&gt;""),0)),$J85,""))</f>
        <v/>
      </c>
      <c r="P85" s="3" t="str">
        <f>IF(OR($A85="",$A85="Grand Total"),"",IF(IFERROR(ROUND($J85/$K85,2),1000)&gt;='Input Sheet'!$J$2,1,""))</f>
        <v/>
      </c>
      <c r="Q85" s="3" t="str">
        <f t="shared" si="11"/>
        <v/>
      </c>
      <c r="R85" s="3" t="str">
        <f>IF(OR($A85="",$A85="Grand Total"),"",AND($J85=0,(SUMPRODUCT((Table1[County]=SummaryPage!$A85)*(Table1[Status]="Not Started"))+SUMPRODUCT((Table1[County]=SummaryPage!$A85)*(Table1[Status]="")))=SUMPRODUCT((Table1[County]=SummaryPage!$A85)*(Table1[Status]&lt;&gt;"Q"))))</f>
        <v/>
      </c>
    </row>
    <row r="86" spans="1:18" x14ac:dyDescent="0.3">
      <c r="A86"/>
      <c r="B86"/>
      <c r="C86"/>
      <c r="D86"/>
      <c r="E86"/>
      <c r="F86"/>
      <c r="G86"/>
      <c r="H86"/>
      <c r="I86"/>
      <c r="J86"/>
      <c r="K86" s="211" t="str">
        <f>IF($A86="","",VLOOKUP('Input Sheet'!$D$2 &amp; " " &amp; $A86,Pop[#All],4,FALSE))</f>
        <v/>
      </c>
      <c r="L86" s="212" t="str">
        <f t="shared" si="10"/>
        <v/>
      </c>
      <c r="M86" s="213" t="str">
        <f t="shared" ca="1" si="9"/>
        <v/>
      </c>
      <c r="N86" s="214" t="str">
        <f>IF(OR($A86="",$A86="Grand Total"),IF($A86="Grand Total",SUM($N$15:$N85),""),SUMPRODUCT((Table1[County]=SummaryPage!$A86)*(Table1[Status]&lt;&gt;"Complete")))</f>
        <v/>
      </c>
      <c r="O86" s="6" t="str">
        <f ca="1">IF($A86="Grand Total",SUM(INDIRECT(ADDRESS(1,COLUMN())&amp;":"&amp;ADDRESS(ROW()-1,COLUMN()))),IF(OR($A86="State Agencies",IFERROR(AND($L86&gt;='Input Sheet'!$J$2,$A86&lt;&gt;""),0)),$J86,""))</f>
        <v/>
      </c>
      <c r="P86" s="3" t="str">
        <f>IF(OR($A86="",$A86="Grand Total"),"",IF(IFERROR(ROUND($J86/$K86,2),1000)&gt;='Input Sheet'!$J$2,1,""))</f>
        <v/>
      </c>
      <c r="Q86" s="3" t="str">
        <f t="shared" si="11"/>
        <v/>
      </c>
      <c r="R86" s="3" t="str">
        <f>IF(OR($A86="",$A86="Grand Total"),"",AND($J86=0,(SUMPRODUCT((Table1[County]=SummaryPage!$A86)*(Table1[Status]="Not Started"))+SUMPRODUCT((Table1[County]=SummaryPage!$A86)*(Table1[Status]="")))=SUMPRODUCT((Table1[County]=SummaryPage!$A86)*(Table1[Status]&lt;&gt;"Q"))))</f>
        <v/>
      </c>
    </row>
    <row r="87" spans="1:18" x14ac:dyDescent="0.3">
      <c r="A87"/>
      <c r="B87"/>
      <c r="C87"/>
      <c r="D87"/>
      <c r="E87"/>
      <c r="F87"/>
      <c r="G87"/>
      <c r="H87"/>
      <c r="I87"/>
      <c r="J87"/>
      <c r="K87" s="211" t="str">
        <f>IF($A87="","",VLOOKUP('Input Sheet'!$D$2 &amp; " " &amp; $A87,Pop[#All],4,FALSE))</f>
        <v/>
      </c>
      <c r="L87" s="212" t="str">
        <f t="shared" si="10"/>
        <v/>
      </c>
      <c r="M87" s="213" t="str">
        <f t="shared" ca="1" si="9"/>
        <v/>
      </c>
      <c r="N87" s="214" t="str">
        <f>IF(OR($A87="",$A87="Grand Total"),IF($A87="Grand Total",SUM($N$15:$N86),""),SUMPRODUCT((Table1[County]=SummaryPage!$A87)*(Table1[Status]&lt;&gt;"Complete")))</f>
        <v/>
      </c>
      <c r="O87" s="6" t="str">
        <f ca="1">IF($A87="Grand Total",SUM(INDIRECT(ADDRESS(1,COLUMN())&amp;":"&amp;ADDRESS(ROW()-1,COLUMN()))),IF(OR($A87="State Agencies",IFERROR(AND($L87&gt;='Input Sheet'!$J$2,$A87&lt;&gt;""),0)),$J87,""))</f>
        <v/>
      </c>
      <c r="P87" s="3" t="str">
        <f>IF(OR($A87="",$A87="Grand Total"),"",IF(IFERROR(ROUND($J87/$K87,2),1000)&gt;='Input Sheet'!$J$2,1,""))</f>
        <v/>
      </c>
      <c r="Q87" s="3" t="str">
        <f t="shared" si="11"/>
        <v/>
      </c>
      <c r="R87" s="3" t="str">
        <f>IF(OR($A87="",$A87="Grand Total"),"",AND($J87=0,(SUMPRODUCT((Table1[County]=SummaryPage!$A87)*(Table1[Status]="Not Started"))+SUMPRODUCT((Table1[County]=SummaryPage!$A87)*(Table1[Status]="")))=SUMPRODUCT((Table1[County]=SummaryPage!$A87)*(Table1[Status]&lt;&gt;"Q"))))</f>
        <v/>
      </c>
    </row>
    <row r="88" spans="1:18" x14ac:dyDescent="0.3">
      <c r="A88"/>
      <c r="B88"/>
      <c r="C88"/>
      <c r="D88"/>
      <c r="E88"/>
      <c r="F88"/>
      <c r="G88"/>
      <c r="H88"/>
      <c r="I88"/>
      <c r="J88"/>
      <c r="K88" s="211" t="str">
        <f>IF($A88="","",VLOOKUP('Input Sheet'!$D$2 &amp; " " &amp; $A88,Pop[#All],4,FALSE))</f>
        <v/>
      </c>
      <c r="L88" s="212" t="str">
        <f t="shared" si="10"/>
        <v/>
      </c>
      <c r="M88" s="213" t="str">
        <f t="shared" ca="1" si="9"/>
        <v/>
      </c>
      <c r="N88" s="214" t="str">
        <f>IF(OR($A88="",$A88="Grand Total"),IF($A88="Grand Total",SUM($N$15:$N87),""),SUMPRODUCT((Table1[County]=SummaryPage!$A88)*(Table1[Status]&lt;&gt;"Complete")))</f>
        <v/>
      </c>
      <c r="O88" s="6" t="str">
        <f ca="1">IF($A88="Grand Total",SUM(INDIRECT(ADDRESS(1,COLUMN())&amp;":"&amp;ADDRESS(ROW()-1,COLUMN()))),IF(OR($A88="State Agencies",IFERROR(AND($L88&gt;='Input Sheet'!$J$2,$A88&lt;&gt;""),0)),$J88,""))</f>
        <v/>
      </c>
      <c r="P88" s="3" t="str">
        <f>IF(OR($A88="",$A88="Grand Total"),"",IF(IFERROR(ROUND($J88/$K88,2),1000)&gt;='Input Sheet'!$J$2,1,""))</f>
        <v/>
      </c>
      <c r="Q88" s="3" t="str">
        <f t="shared" si="11"/>
        <v/>
      </c>
      <c r="R88" s="3" t="str">
        <f>IF(OR($A88="",$A88="Grand Total"),"",AND($J88=0,(SUMPRODUCT((Table1[County]=SummaryPage!$A88)*(Table1[Status]="Not Started"))+SUMPRODUCT((Table1[County]=SummaryPage!$A88)*(Table1[Status]="")))=SUMPRODUCT((Table1[County]=SummaryPage!$A88)*(Table1[Status]&lt;&gt;"Q"))))</f>
        <v/>
      </c>
    </row>
    <row r="89" spans="1:18" x14ac:dyDescent="0.3">
      <c r="A89"/>
      <c r="B89"/>
      <c r="C89"/>
      <c r="D89"/>
      <c r="E89"/>
      <c r="F89"/>
      <c r="G89"/>
      <c r="H89"/>
      <c r="I89"/>
      <c r="J89"/>
      <c r="K89" s="211" t="str">
        <f>IF($A89="","",VLOOKUP('Input Sheet'!$D$2 &amp; " " &amp; $A89,Pop[#All],4,FALSE))</f>
        <v/>
      </c>
      <c r="L89" s="212" t="str">
        <f t="shared" si="10"/>
        <v/>
      </c>
      <c r="M89" s="213" t="str">
        <f t="shared" ca="1" si="9"/>
        <v/>
      </c>
      <c r="N89" s="214" t="str">
        <f>IF(OR($A89="",$A89="Grand Total"),IF($A89="Grand Total",SUM($N$15:$N88),""),SUMPRODUCT((Table1[County]=SummaryPage!$A89)*(Table1[Status]&lt;&gt;"Complete")))</f>
        <v/>
      </c>
      <c r="O89" s="6" t="str">
        <f ca="1">IF($A89="Grand Total",SUM(INDIRECT(ADDRESS(1,COLUMN())&amp;":"&amp;ADDRESS(ROW()-1,COLUMN()))),IF(OR($A89="State Agencies",IFERROR(AND($L89&gt;='Input Sheet'!$J$2,$A89&lt;&gt;""),0)),$J89,""))</f>
        <v/>
      </c>
      <c r="P89" s="3" t="str">
        <f>IF(OR($A89="",$A89="Grand Total"),"",IF(IFERROR(ROUND($J89/$K89,2),1000)&gt;='Input Sheet'!$J$2,1,""))</f>
        <v/>
      </c>
      <c r="Q89" s="3" t="str">
        <f t="shared" si="11"/>
        <v/>
      </c>
      <c r="R89" s="3" t="str">
        <f>IF(OR($A89="",$A89="Grand Total"),"",AND($J89=0,(SUMPRODUCT((Table1[County]=SummaryPage!$A89)*(Table1[Status]="Not Started"))+SUMPRODUCT((Table1[County]=SummaryPage!$A89)*(Table1[Status]="")))=SUMPRODUCT((Table1[County]=SummaryPage!$A89)*(Table1[Status]&lt;&gt;"Q"))))</f>
        <v/>
      </c>
    </row>
    <row r="90" spans="1:18" x14ac:dyDescent="0.3">
      <c r="A90"/>
      <c r="B90"/>
      <c r="C90"/>
      <c r="D90"/>
      <c r="E90"/>
      <c r="F90"/>
      <c r="G90"/>
      <c r="H90"/>
      <c r="I90"/>
      <c r="J90"/>
      <c r="K90" s="211" t="str">
        <f>IF($A90="","",VLOOKUP('Input Sheet'!$D$2 &amp; " " &amp; $A90,Pop[#All],4,FALSE))</f>
        <v/>
      </c>
      <c r="L90" s="212" t="str">
        <f t="shared" si="10"/>
        <v/>
      </c>
      <c r="M90" s="213" t="str">
        <f t="shared" ca="1" si="9"/>
        <v/>
      </c>
      <c r="N90" s="214" t="str">
        <f>IF(OR($A90="",$A90="Grand Total"),IF($A90="Grand Total",SUM($N$15:$N89),""),SUMPRODUCT((Table1[County]=SummaryPage!$A90)*(Table1[Status]&lt;&gt;"Complete")))</f>
        <v/>
      </c>
      <c r="O90" s="6" t="str">
        <f ca="1">IF($A90="Grand Total",SUM(INDIRECT(ADDRESS(1,COLUMN())&amp;":"&amp;ADDRESS(ROW()-1,COLUMN()))),IF(OR($A90="State Agencies",IFERROR(AND($L90&gt;='Input Sheet'!$J$2,$A90&lt;&gt;""),0)),$J90,""))</f>
        <v/>
      </c>
      <c r="P90" s="3" t="str">
        <f>IF(OR($A90="",$A90="Grand Total"),"",IF(IFERROR(ROUND($J90/$K90,2),1000)&gt;='Input Sheet'!$J$2,1,""))</f>
        <v/>
      </c>
      <c r="Q90" s="3" t="str">
        <f t="shared" si="11"/>
        <v/>
      </c>
      <c r="R90" s="3" t="str">
        <f>IF(OR($A90="",$A90="Grand Total"),"",AND($J90=0,(SUMPRODUCT((Table1[County]=SummaryPage!$A90)*(Table1[Status]="Not Started"))+SUMPRODUCT((Table1[County]=SummaryPage!$A90)*(Table1[Status]="")))=SUMPRODUCT((Table1[County]=SummaryPage!$A90)*(Table1[Status]&lt;&gt;"Q"))))</f>
        <v/>
      </c>
    </row>
    <row r="91" spans="1:18" x14ac:dyDescent="0.3">
      <c r="A91"/>
      <c r="B91"/>
      <c r="C91"/>
      <c r="D91"/>
      <c r="E91"/>
      <c r="F91"/>
      <c r="G91"/>
      <c r="H91"/>
      <c r="I91"/>
      <c r="J91"/>
      <c r="K91" s="211" t="str">
        <f>IF($A91="","",VLOOKUP('Input Sheet'!$D$2 &amp; " " &amp; $A91,Pop[#All],4,FALSE))</f>
        <v/>
      </c>
      <c r="L91" s="212" t="str">
        <f t="shared" si="10"/>
        <v/>
      </c>
      <c r="M91" s="213" t="str">
        <f t="shared" ca="1" si="9"/>
        <v/>
      </c>
      <c r="N91" s="214" t="str">
        <f>IF(OR($A91="",$A91="Grand Total"),IF($A91="Grand Total",SUM($N$15:$N90),""),SUMPRODUCT((Table1[County]=SummaryPage!$A91)*(Table1[Status]&lt;&gt;"Complete")))</f>
        <v/>
      </c>
      <c r="O91" s="6" t="str">
        <f ca="1">IF($A91="Grand Total",SUM(INDIRECT(ADDRESS(1,COLUMN())&amp;":"&amp;ADDRESS(ROW()-1,COLUMN()))),IF(OR($A91="State Agencies",IFERROR(AND($L91&gt;='Input Sheet'!$J$2,$A91&lt;&gt;""),0)),$J91,""))</f>
        <v/>
      </c>
      <c r="P91" s="3" t="str">
        <f>IF(OR($A91="",$A91="Grand Total"),"",IF(IFERROR(ROUND($J91/$K91,2),1000)&gt;='Input Sheet'!$J$2,1,""))</f>
        <v/>
      </c>
      <c r="Q91" s="3" t="str">
        <f t="shared" si="11"/>
        <v/>
      </c>
      <c r="R91" s="3" t="str">
        <f>IF(OR($A91="",$A91="Grand Total"),"",AND($J91=0,(SUMPRODUCT((Table1[County]=SummaryPage!$A91)*(Table1[Status]="Not Started"))+SUMPRODUCT((Table1[County]=SummaryPage!$A91)*(Table1[Status]="")))=SUMPRODUCT((Table1[County]=SummaryPage!$A91)*(Table1[Status]&lt;&gt;"Q"))))</f>
        <v/>
      </c>
    </row>
    <row r="92" spans="1:18" x14ac:dyDescent="0.3">
      <c r="A92"/>
      <c r="B92"/>
      <c r="C92"/>
      <c r="D92"/>
      <c r="E92"/>
      <c r="F92"/>
      <c r="G92"/>
      <c r="H92"/>
      <c r="I92"/>
      <c r="J92"/>
      <c r="K92" s="211" t="str">
        <f>IF($A92="","",VLOOKUP('Input Sheet'!$D$2 &amp; " " &amp; $A92,Pop[#All],4,FALSE))</f>
        <v/>
      </c>
      <c r="L92" s="212" t="str">
        <f t="shared" si="10"/>
        <v/>
      </c>
      <c r="M92" s="213" t="str">
        <f t="shared" ca="1" si="9"/>
        <v/>
      </c>
      <c r="N92" s="214" t="str">
        <f>IF(OR($A92="",$A92="Grand Total"),IF($A92="Grand Total",SUM($N$15:$N91),""),SUMPRODUCT((Table1[County]=SummaryPage!$A92)*(Table1[Status]&lt;&gt;"Complete")))</f>
        <v/>
      </c>
      <c r="O92" s="6" t="str">
        <f ca="1">IF($A92="Grand Total",SUM(INDIRECT(ADDRESS(1,COLUMN())&amp;":"&amp;ADDRESS(ROW()-1,COLUMN()))),IF(OR($A92="State Agencies",IFERROR(AND($L92&gt;='Input Sheet'!$J$2,$A92&lt;&gt;""),0)),$J92,""))</f>
        <v/>
      </c>
      <c r="P92" s="3" t="str">
        <f>IF(OR($A92="",$A92="Grand Total"),"",IF(IFERROR(ROUND($J92/$K92,2),1000)&gt;='Input Sheet'!$J$2,1,""))</f>
        <v/>
      </c>
      <c r="Q92" s="3" t="str">
        <f t="shared" si="11"/>
        <v/>
      </c>
      <c r="R92" s="3" t="str">
        <f>IF(OR($A92="",$A92="Grand Total"),"",AND($J92=0,(SUMPRODUCT((Table1[County]=SummaryPage!$A92)*(Table1[Status]="Not Started"))+SUMPRODUCT((Table1[County]=SummaryPage!$A92)*(Table1[Status]="")))=SUMPRODUCT((Table1[County]=SummaryPage!$A92)*(Table1[Status]&lt;&gt;"Q"))))</f>
        <v/>
      </c>
    </row>
    <row r="93" spans="1:18" x14ac:dyDescent="0.3">
      <c r="A93"/>
      <c r="B93"/>
      <c r="C93"/>
      <c r="D93"/>
      <c r="E93"/>
      <c r="F93"/>
      <c r="G93"/>
      <c r="H93"/>
      <c r="I93"/>
      <c r="J93"/>
      <c r="K93" s="211" t="str">
        <f>IF($A93="","",VLOOKUP('Input Sheet'!$D$2 &amp; " " &amp; $A93,Pop[#All],4,FALSE))</f>
        <v/>
      </c>
      <c r="L93" s="212" t="str">
        <f t="shared" si="10"/>
        <v/>
      </c>
      <c r="M93" s="213" t="str">
        <f t="shared" ca="1" si="9"/>
        <v/>
      </c>
      <c r="N93" s="214" t="str">
        <f>IF(OR($A93="",$A93="Grand Total"),IF($A93="Grand Total",SUM($N$15:$N92),""),SUMPRODUCT((Table1[County]=SummaryPage!$A93)*(Table1[Status]&lt;&gt;"Complete")))</f>
        <v/>
      </c>
      <c r="O93" s="6" t="str">
        <f ca="1">IF($A93="Grand Total",SUM(INDIRECT(ADDRESS(1,COLUMN())&amp;":"&amp;ADDRESS(ROW()-1,COLUMN()))),IF(OR($A93="State Agencies",IFERROR(AND($L93&gt;='Input Sheet'!$J$2,$A93&lt;&gt;""),0)),$J93,""))</f>
        <v/>
      </c>
      <c r="P93" s="3" t="str">
        <f>IF(OR($A93="",$A93="Grand Total"),"",IF(IFERROR(ROUND($J93/$K93,2),1000)&gt;='Input Sheet'!$J$2,1,""))</f>
        <v/>
      </c>
      <c r="Q93" s="3" t="str">
        <f t="shared" si="11"/>
        <v/>
      </c>
      <c r="R93" s="3" t="str">
        <f>IF(OR($A93="",$A93="Grand Total"),"",AND($J93=0,(SUMPRODUCT((Table1[County]=SummaryPage!$A93)*(Table1[Status]="Not Started"))+SUMPRODUCT((Table1[County]=SummaryPage!$A93)*(Table1[Status]="")))=SUMPRODUCT((Table1[County]=SummaryPage!$A93)*(Table1[Status]&lt;&gt;"Q"))))</f>
        <v/>
      </c>
    </row>
    <row r="94" spans="1:18" x14ac:dyDescent="0.3">
      <c r="A94"/>
      <c r="B94"/>
      <c r="C94"/>
      <c r="D94"/>
      <c r="E94"/>
      <c r="F94"/>
      <c r="G94"/>
      <c r="H94"/>
      <c r="I94"/>
      <c r="J94"/>
      <c r="K94" s="211" t="str">
        <f>IF($A94="","",VLOOKUP('Input Sheet'!$D$2 &amp; " " &amp; $A94,Pop[#All],4,FALSE))</f>
        <v/>
      </c>
      <c r="L94" s="212" t="str">
        <f t="shared" si="10"/>
        <v/>
      </c>
      <c r="M94" s="213" t="str">
        <f t="shared" ca="1" si="9"/>
        <v/>
      </c>
      <c r="N94" s="214" t="str">
        <f>IF(OR($A94="",$A94="Grand Total"),IF($A94="Grand Total",SUM($N$15:$N93),""),SUMPRODUCT((Table1[County]=SummaryPage!$A94)*(Table1[Status]&lt;&gt;"Complete")))</f>
        <v/>
      </c>
      <c r="O94" s="6" t="str">
        <f ca="1">IF($A94="Grand Total",SUM(INDIRECT(ADDRESS(1,COLUMN())&amp;":"&amp;ADDRESS(ROW()-1,COLUMN()))),IF(OR($A94="State Agencies",IFERROR(AND($L94&gt;='Input Sheet'!$J$2,$A94&lt;&gt;""),0)),$J94,""))</f>
        <v/>
      </c>
      <c r="P94" s="3" t="str">
        <f>IF(OR($A94="",$A94="Grand Total"),"",IF(IFERROR(ROUND($J94/$K94,2),1000)&gt;='Input Sheet'!$J$2,1,""))</f>
        <v/>
      </c>
      <c r="Q94" s="3" t="str">
        <f t="shared" si="11"/>
        <v/>
      </c>
      <c r="R94" s="3" t="str">
        <f>IF(OR($A94="",$A94="Grand Total"),"",AND($J94=0,(SUMPRODUCT((Table1[County]=SummaryPage!$A94)*(Table1[Status]="Not Started"))+SUMPRODUCT((Table1[County]=SummaryPage!$A94)*(Table1[Status]="")))=SUMPRODUCT((Table1[County]=SummaryPage!$A94)*(Table1[Status]&lt;&gt;"Q"))))</f>
        <v/>
      </c>
    </row>
    <row r="95" spans="1:18" x14ac:dyDescent="0.3">
      <c r="A95"/>
      <c r="B95"/>
      <c r="C95"/>
      <c r="D95"/>
      <c r="E95"/>
      <c r="F95"/>
      <c r="G95"/>
      <c r="H95"/>
      <c r="I95"/>
      <c r="J95"/>
      <c r="K95" s="211" t="str">
        <f>IF($A95="","",VLOOKUP('Input Sheet'!$D$2 &amp; " " &amp; $A95,Pop[#All],4,FALSE))</f>
        <v/>
      </c>
      <c r="L95" s="212" t="str">
        <f t="shared" si="10"/>
        <v/>
      </c>
      <c r="M95" s="213" t="str">
        <f t="shared" ca="1" si="9"/>
        <v/>
      </c>
      <c r="N95" s="214" t="str">
        <f>IF(OR($A95="",$A95="Grand Total"),IF($A95="Grand Total",SUM($N$15:$N94),""),SUMPRODUCT((Table1[County]=SummaryPage!$A95)*(Table1[Status]&lt;&gt;"Complete")))</f>
        <v/>
      </c>
      <c r="O95" s="6" t="str">
        <f ca="1">IF($A95="Grand Total",SUM(INDIRECT(ADDRESS(1,COLUMN())&amp;":"&amp;ADDRESS(ROW()-1,COLUMN()))),IF(OR($A95="State Agencies",IFERROR(AND($L95&gt;='Input Sheet'!$J$2,$A95&lt;&gt;""),0)),$J95,""))</f>
        <v/>
      </c>
      <c r="P95" s="3" t="str">
        <f>IF(OR($A95="",$A95="Grand Total"),"",IF(IFERROR(ROUND($J95/$K95,2),1000)&gt;='Input Sheet'!$J$2,1,""))</f>
        <v/>
      </c>
      <c r="Q95" s="3" t="str">
        <f t="shared" si="11"/>
        <v/>
      </c>
      <c r="R95" s="3" t="str">
        <f>IF(OR($A95="",$A95="Grand Total"),"",AND($J95=0,(SUMPRODUCT((Table1[County]=SummaryPage!$A95)*(Table1[Status]="Not Started"))+SUMPRODUCT((Table1[County]=SummaryPage!$A95)*(Table1[Status]="")))=SUMPRODUCT((Table1[County]=SummaryPage!$A95)*(Table1[Status]&lt;&gt;"Q"))))</f>
        <v/>
      </c>
    </row>
    <row r="96" spans="1:18" x14ac:dyDescent="0.3">
      <c r="A96"/>
      <c r="B96"/>
      <c r="C96"/>
      <c r="D96"/>
      <c r="E96"/>
      <c r="F96"/>
      <c r="G96"/>
      <c r="H96"/>
      <c r="I96"/>
      <c r="J96"/>
      <c r="K96" s="211" t="str">
        <f>IF($A96="","",VLOOKUP('Input Sheet'!$D$2 &amp; " " &amp; $A96,Pop[#All],4,FALSE))</f>
        <v/>
      </c>
      <c r="L96" s="212" t="str">
        <f t="shared" si="10"/>
        <v/>
      </c>
      <c r="M96" s="213" t="str">
        <f t="shared" ca="1" si="9"/>
        <v/>
      </c>
      <c r="N96" s="214" t="str">
        <f>IF(OR($A96="",$A96="Grand Total"),IF($A96="Grand Total",SUM($N$15:$N95),""),SUMPRODUCT((Table1[County]=SummaryPage!$A96)*(Table1[Status]&lt;&gt;"Complete")))</f>
        <v/>
      </c>
      <c r="O96" s="6" t="str">
        <f ca="1">IF($A96="Grand Total",SUM(INDIRECT(ADDRESS(1,COLUMN())&amp;":"&amp;ADDRESS(ROW()-1,COLUMN()))),IF(OR($A96="State Agencies",IFERROR(AND($L96&gt;='Input Sheet'!$J$2,$A96&lt;&gt;""),0)),$J96,""))</f>
        <v/>
      </c>
      <c r="P96" s="3" t="str">
        <f>IF(OR($A96="",$A96="Grand Total"),"",IF(IFERROR(ROUND($J96/$K96,2),1000)&gt;='Input Sheet'!$J$2,1,""))</f>
        <v/>
      </c>
      <c r="Q96" s="3" t="str">
        <f t="shared" si="11"/>
        <v/>
      </c>
      <c r="R96" s="3" t="str">
        <f>IF(OR($A96="",$A96="Grand Total"),"",AND($J96=0,(SUMPRODUCT((Table1[County]=SummaryPage!$A96)*(Table1[Status]="Not Started"))+SUMPRODUCT((Table1[County]=SummaryPage!$A96)*(Table1[Status]="")))=SUMPRODUCT((Table1[County]=SummaryPage!$A96)*(Table1[Status]&lt;&gt;"Q"))))</f>
        <v/>
      </c>
    </row>
    <row r="97" spans="1:18" x14ac:dyDescent="0.3">
      <c r="A97"/>
      <c r="B97"/>
      <c r="C97"/>
      <c r="D97"/>
      <c r="E97"/>
      <c r="F97"/>
      <c r="G97"/>
      <c r="H97"/>
      <c r="I97"/>
      <c r="J97"/>
      <c r="K97" s="211" t="str">
        <f>IF($A97="","",VLOOKUP('Input Sheet'!$D$2 &amp; " " &amp; $A97,Pop[#All],4,FALSE))</f>
        <v/>
      </c>
      <c r="L97" s="212" t="str">
        <f t="shared" si="10"/>
        <v/>
      </c>
      <c r="M97" s="213" t="str">
        <f t="shared" ca="1" si="9"/>
        <v/>
      </c>
      <c r="N97" s="214" t="str">
        <f>IF(OR($A97="",$A97="Grand Total"),IF($A97="Grand Total",SUM($N$15:$N96),""),SUMPRODUCT((Table1[County]=SummaryPage!$A97)*(Table1[Status]&lt;&gt;"Complete")))</f>
        <v/>
      </c>
      <c r="O97" s="6" t="str">
        <f ca="1">IF($A97="Grand Total",SUM(INDIRECT(ADDRESS(1,COLUMN())&amp;":"&amp;ADDRESS(ROW()-1,COLUMN()))),IF(OR($A97="State Agencies",IFERROR(AND($L97&gt;='Input Sheet'!$J$2,$A97&lt;&gt;""),0)),$J97,""))</f>
        <v/>
      </c>
      <c r="P97" s="3" t="str">
        <f>IF(OR($A97="",$A97="Grand Total"),"",IF(IFERROR(ROUND($J97/$K97,2),1000)&gt;='Input Sheet'!$J$2,1,""))</f>
        <v/>
      </c>
      <c r="Q97" s="3" t="str">
        <f t="shared" si="11"/>
        <v/>
      </c>
      <c r="R97" s="3" t="str">
        <f>IF(OR($A97="",$A97="Grand Total"),"",AND($J97=0,(SUMPRODUCT((Table1[County]=SummaryPage!$A97)*(Table1[Status]="Not Started"))+SUMPRODUCT((Table1[County]=SummaryPage!$A97)*(Table1[Status]="")))=SUMPRODUCT((Table1[County]=SummaryPage!$A97)*(Table1[Status]&lt;&gt;"Q"))))</f>
        <v/>
      </c>
    </row>
    <row r="98" spans="1:18" x14ac:dyDescent="0.3">
      <c r="A98"/>
      <c r="B98"/>
      <c r="C98"/>
      <c r="D98"/>
      <c r="E98"/>
      <c r="F98"/>
      <c r="G98"/>
      <c r="H98"/>
      <c r="I98"/>
      <c r="J98"/>
      <c r="K98" s="211" t="str">
        <f>IF($A98="","",VLOOKUP('Input Sheet'!$D$2 &amp; " " &amp; $A98,Pop[#All],4,FALSE))</f>
        <v/>
      </c>
      <c r="L98" s="212" t="str">
        <f t="shared" si="10"/>
        <v/>
      </c>
      <c r="M98" s="213" t="str">
        <f t="shared" ca="1" si="9"/>
        <v/>
      </c>
      <c r="N98" s="214" t="str">
        <f>IF(OR($A98="",$A98="Grand Total"),IF($A98="Grand Total",SUM($N$15:$N97),""),SUMPRODUCT((Table1[County]=SummaryPage!$A98)*(Table1[Status]&lt;&gt;"Complete")))</f>
        <v/>
      </c>
      <c r="O98" s="6" t="str">
        <f ca="1">IF($A98="Grand Total",SUM(INDIRECT(ADDRESS(1,COLUMN())&amp;":"&amp;ADDRESS(ROW()-1,COLUMN()))),IF(OR($A98="State Agencies",IFERROR(AND($L98&gt;='Input Sheet'!$J$2,$A98&lt;&gt;""),0)),$J98,""))</f>
        <v/>
      </c>
      <c r="P98" s="3" t="str">
        <f>IF(OR($A98="",$A98="Grand Total"),"",IF(IFERROR(ROUND($J98/$K98,2),1000)&gt;='Input Sheet'!$J$2,1,""))</f>
        <v/>
      </c>
      <c r="Q98" s="3" t="str">
        <f t="shared" si="11"/>
        <v/>
      </c>
      <c r="R98" s="3" t="str">
        <f>IF(OR($A98="",$A98="Grand Total"),"",AND($J98=0,(SUMPRODUCT((Table1[County]=SummaryPage!$A98)*(Table1[Status]="Not Started"))+SUMPRODUCT((Table1[County]=SummaryPage!$A98)*(Table1[Status]="")))=SUMPRODUCT((Table1[County]=SummaryPage!$A98)*(Table1[Status]&lt;&gt;"Q"))))</f>
        <v/>
      </c>
    </row>
    <row r="99" spans="1:18" x14ac:dyDescent="0.3">
      <c r="A99"/>
      <c r="B99"/>
      <c r="C99"/>
      <c r="D99"/>
      <c r="E99"/>
      <c r="F99"/>
      <c r="G99"/>
      <c r="H99"/>
      <c r="I99"/>
      <c r="J99"/>
      <c r="K99" s="211" t="str">
        <f>IF($A99="","",VLOOKUP('Input Sheet'!$D$2 &amp; " " &amp; $A99,Pop[#All],4,FALSE))</f>
        <v/>
      </c>
      <c r="L99" s="212" t="str">
        <f t="shared" si="10"/>
        <v/>
      </c>
      <c r="M99" s="213" t="str">
        <f t="shared" ca="1" si="9"/>
        <v/>
      </c>
      <c r="N99" s="214" t="str">
        <f>IF(OR($A99="",$A99="Grand Total"),IF($A99="Grand Total",SUM($N$15:$N98),""),SUMPRODUCT((Table1[County]=SummaryPage!$A99)*(Table1[Status]&lt;&gt;"Complete")))</f>
        <v/>
      </c>
      <c r="O99" s="6" t="str">
        <f ca="1">IF($A99="Grand Total",SUM(INDIRECT(ADDRESS(1,COLUMN())&amp;":"&amp;ADDRESS(ROW()-1,COLUMN()))),IF(OR($A99="State Agencies",IFERROR(AND($L99&gt;='Input Sheet'!$J$2,$A99&lt;&gt;""),0)),$J99,""))</f>
        <v/>
      </c>
      <c r="P99" s="3" t="str">
        <f>IF(OR($A99="",$A99="Grand Total"),"",IF(IFERROR(ROUND($J99/$K99,2),1000)&gt;='Input Sheet'!$J$2,1,""))</f>
        <v/>
      </c>
      <c r="Q99" s="3" t="str">
        <f t="shared" si="11"/>
        <v/>
      </c>
      <c r="R99" s="3" t="str">
        <f>IF(OR($A99="",$A99="Grand Total"),"",AND($J99=0,(SUMPRODUCT((Table1[County]=SummaryPage!$A99)*(Table1[Status]="Not Started"))+SUMPRODUCT((Table1[County]=SummaryPage!$A99)*(Table1[Status]="")))=SUMPRODUCT((Table1[County]=SummaryPage!$A99)*(Table1[Status]&lt;&gt;"Q"))))</f>
        <v/>
      </c>
    </row>
    <row r="100" spans="1:18" x14ac:dyDescent="0.3">
      <c r="A100"/>
      <c r="B100"/>
      <c r="C100"/>
      <c r="D100"/>
      <c r="E100"/>
      <c r="F100"/>
      <c r="G100"/>
      <c r="H100"/>
      <c r="I100"/>
      <c r="J100"/>
      <c r="K100" s="211" t="str">
        <f>IF($A100="","",VLOOKUP('Input Sheet'!$D$2 &amp; " " &amp; $A100,Pop[#All],4,FALSE))</f>
        <v/>
      </c>
      <c r="L100" s="212" t="str">
        <f t="shared" si="10"/>
        <v/>
      </c>
      <c r="M100" s="213" t="str">
        <f t="shared" ca="1" si="9"/>
        <v/>
      </c>
      <c r="N100" s="214" t="str">
        <f>IF(OR($A100="",$A100="Grand Total"),IF($A100="Grand Total",SUM($N$15:$N99),""),SUMPRODUCT((Table1[County]=SummaryPage!$A100)*(Table1[Status]&lt;&gt;"Complete")))</f>
        <v/>
      </c>
      <c r="O100" s="6" t="str">
        <f ca="1">IF($A100="Grand Total",SUM(INDIRECT(ADDRESS(1,COLUMN())&amp;":"&amp;ADDRESS(ROW()-1,COLUMN()))),IF(OR($A100="State Agencies",IFERROR(AND($L100&gt;='Input Sheet'!$J$2,$A100&lt;&gt;""),0)),$J100,""))</f>
        <v/>
      </c>
      <c r="P100" s="3" t="str">
        <f>IF(OR($A100="",$A100="Grand Total"),"",IF(IFERROR(ROUND($J100/$K100,2),1000)&gt;='Input Sheet'!$J$2,1,""))</f>
        <v/>
      </c>
      <c r="Q100" s="3" t="str">
        <f t="shared" si="11"/>
        <v/>
      </c>
      <c r="R100" s="3" t="str">
        <f>IF(OR($A100="",$A100="Grand Total"),"",AND($J100=0,(SUMPRODUCT((Table1[County]=SummaryPage!$A100)*(Table1[Status]="Not Started"))+SUMPRODUCT((Table1[County]=SummaryPage!$A100)*(Table1[Status]="")))=SUMPRODUCT((Table1[County]=SummaryPage!$A100)*(Table1[Status]&lt;&gt;"Q"))))</f>
        <v/>
      </c>
    </row>
    <row r="101" spans="1:18" x14ac:dyDescent="0.3">
      <c r="A101"/>
      <c r="B101"/>
      <c r="C101"/>
      <c r="D101"/>
      <c r="E101"/>
      <c r="F101"/>
      <c r="G101"/>
      <c r="H101"/>
      <c r="I101"/>
      <c r="J101"/>
      <c r="K101" s="211" t="str">
        <f>IF($A101="","",VLOOKUP('Input Sheet'!$D$2 &amp; " " &amp; $A101,Pop[#All],4,FALSE))</f>
        <v/>
      </c>
      <c r="L101" s="212" t="str">
        <f t="shared" si="10"/>
        <v/>
      </c>
      <c r="M101" s="213" t="str">
        <f t="shared" ca="1" si="9"/>
        <v/>
      </c>
      <c r="N101" s="214" t="str">
        <f>IF(OR($A101="",$A101="Grand Total"),IF($A101="Grand Total",SUM($N$15:$N100),""),SUMPRODUCT((Table1[County]=SummaryPage!$A101)*(Table1[Status]&lt;&gt;"Complete")))</f>
        <v/>
      </c>
      <c r="O101" s="6" t="str">
        <f ca="1">IF($A101="Grand Total",SUM(INDIRECT(ADDRESS(1,COLUMN())&amp;":"&amp;ADDRESS(ROW()-1,COLUMN()))),IF(OR($A101="State Agencies",IFERROR(AND($L101&gt;='Input Sheet'!$J$2,$A101&lt;&gt;""),0)),$J101,""))</f>
        <v/>
      </c>
      <c r="P101" s="3" t="str">
        <f>IF(OR($A101="",$A101="Grand Total"),"",IF(IFERROR(ROUND($J101/$K101,2),1000)&gt;='Input Sheet'!$J$2,1,""))</f>
        <v/>
      </c>
      <c r="Q101" s="3" t="str">
        <f t="shared" si="11"/>
        <v/>
      </c>
      <c r="R101" s="3" t="str">
        <f>IF(OR($A101="",$A101="Grand Total"),"",AND($J101=0,(SUMPRODUCT((Table1[County]=SummaryPage!$A101)*(Table1[Status]="Not Started"))+SUMPRODUCT((Table1[County]=SummaryPage!$A101)*(Table1[Status]="")))=SUMPRODUCT((Table1[County]=SummaryPage!$A101)*(Table1[Status]&lt;&gt;"Q"))))</f>
        <v/>
      </c>
    </row>
    <row r="102" spans="1:18" x14ac:dyDescent="0.3">
      <c r="A102"/>
      <c r="B102"/>
      <c r="C102"/>
      <c r="D102"/>
      <c r="E102"/>
      <c r="F102"/>
      <c r="G102"/>
      <c r="H102"/>
      <c r="I102"/>
      <c r="J102"/>
      <c r="K102" s="211" t="str">
        <f>IF($A102="","",VLOOKUP('Input Sheet'!$D$2 &amp; " " &amp; $A102,Pop[#All],4,FALSE))</f>
        <v/>
      </c>
      <c r="L102" s="212" t="str">
        <f t="shared" si="10"/>
        <v/>
      </c>
      <c r="M102" s="213" t="str">
        <f t="shared" ca="1" si="9"/>
        <v/>
      </c>
      <c r="N102" s="214" t="str">
        <f>IF(OR($A102="",$A102="Grand Total"),IF($A102="Grand Total",SUM($N$15:$N101),""),SUMPRODUCT((Table1[County]=SummaryPage!$A102)*(Table1[Status]&lt;&gt;"Complete")))</f>
        <v/>
      </c>
      <c r="O102" s="6" t="str">
        <f ca="1">IF($A102="Grand Total",SUM(INDIRECT(ADDRESS(1,COLUMN())&amp;":"&amp;ADDRESS(ROW()-1,COLUMN()))),IF(OR($A102="State Agencies",IFERROR(AND($L102&gt;='Input Sheet'!$J$2,$A102&lt;&gt;""),0)),$J102,""))</f>
        <v/>
      </c>
      <c r="P102" s="3" t="str">
        <f>IF(OR($A102="",$A102="Grand Total"),"",IF(IFERROR(ROUND($J102/$K102,2),1000)&gt;='Input Sheet'!$J$2,1,""))</f>
        <v/>
      </c>
      <c r="Q102" s="3" t="str">
        <f t="shared" si="11"/>
        <v/>
      </c>
      <c r="R102" s="3" t="str">
        <f>IF(OR($A102="",$A102="Grand Total"),"",AND($J102=0,(SUMPRODUCT((Table1[County]=SummaryPage!$A102)*(Table1[Status]="Not Started"))+SUMPRODUCT((Table1[County]=SummaryPage!$A102)*(Table1[Status]="")))=SUMPRODUCT((Table1[County]=SummaryPage!$A102)*(Table1[Status]&lt;&gt;"Q"))))</f>
        <v/>
      </c>
    </row>
    <row r="103" spans="1:18" x14ac:dyDescent="0.3">
      <c r="A103"/>
      <c r="B103"/>
      <c r="C103"/>
      <c r="D103"/>
      <c r="E103"/>
      <c r="F103"/>
      <c r="G103"/>
      <c r="H103"/>
      <c r="I103"/>
      <c r="J103"/>
      <c r="K103" s="211" t="str">
        <f>IF($A103="","",VLOOKUP('Input Sheet'!$D$2 &amp; " " &amp; $A103,Pop[#All],4,FALSE))</f>
        <v/>
      </c>
      <c r="L103" s="212" t="str">
        <f t="shared" si="10"/>
        <v/>
      </c>
      <c r="M103" s="213" t="str">
        <f t="shared" ca="1" si="9"/>
        <v/>
      </c>
      <c r="N103" s="214" t="str">
        <f>IF(OR($A103="",$A103="Grand Total"),IF($A103="Grand Total",SUM($N$15:$N102),""),SUMPRODUCT((Table1[County]=SummaryPage!$A103)*(Table1[Status]&lt;&gt;"Complete")))</f>
        <v/>
      </c>
      <c r="O103" s="6" t="str">
        <f ca="1">IF($A103="Grand Total",SUM(INDIRECT(ADDRESS(1,COLUMN())&amp;":"&amp;ADDRESS(ROW()-1,COLUMN()))),IF(OR($A103="State Agencies",IFERROR(AND($L103&gt;='Input Sheet'!$J$2,$A103&lt;&gt;""),0)),$J103,""))</f>
        <v/>
      </c>
      <c r="P103" s="3" t="str">
        <f>IF(OR($A103="",$A103="Grand Total"),"",IF(IFERROR(ROUND($J103/$K103,2),1000)&gt;='Input Sheet'!$J$2,1,""))</f>
        <v/>
      </c>
      <c r="Q103" s="3" t="str">
        <f t="shared" si="11"/>
        <v/>
      </c>
      <c r="R103" s="3" t="str">
        <f>IF(OR($A103="",$A103="Grand Total"),"",AND($J103=0,(SUMPRODUCT((Table1[County]=SummaryPage!$A103)*(Table1[Status]="Not Started"))+SUMPRODUCT((Table1[County]=SummaryPage!$A103)*(Table1[Status]="")))=SUMPRODUCT((Table1[County]=SummaryPage!$A103)*(Table1[Status]&lt;&gt;"Q"))))</f>
        <v/>
      </c>
    </row>
    <row r="104" spans="1:18" x14ac:dyDescent="0.3">
      <c r="A104"/>
      <c r="B104"/>
      <c r="C104"/>
      <c r="D104"/>
      <c r="E104"/>
      <c r="F104"/>
      <c r="G104"/>
      <c r="H104"/>
      <c r="I104"/>
      <c r="J104"/>
      <c r="K104" s="211" t="str">
        <f>IF($A104="","",VLOOKUP('Input Sheet'!$D$2 &amp; " " &amp; $A104,Pop[#All],4,FALSE))</f>
        <v/>
      </c>
      <c r="L104" s="212" t="str">
        <f t="shared" si="10"/>
        <v/>
      </c>
      <c r="M104" s="213" t="str">
        <f t="shared" ca="1" si="9"/>
        <v/>
      </c>
      <c r="N104" s="214" t="str">
        <f>IF(OR($A104="",$A104="Grand Total"),IF($A104="Grand Total",SUM($N$15:$N103),""),SUMPRODUCT((Table1[County]=SummaryPage!$A104)*(Table1[Status]&lt;&gt;"Complete")))</f>
        <v/>
      </c>
      <c r="O104" s="6" t="str">
        <f ca="1">IF($A104="Grand Total",SUM(INDIRECT(ADDRESS(1,COLUMN())&amp;":"&amp;ADDRESS(ROW()-1,COLUMN()))),IF(OR($A104="State Agencies",IFERROR(AND($L104&gt;='Input Sheet'!$J$2,$A104&lt;&gt;""),0)),$J104,""))</f>
        <v/>
      </c>
      <c r="P104" s="3" t="str">
        <f>IF(OR($A104="",$A104="Grand Total"),"",IF(IFERROR(ROUND($J104/$K104,2),1000)&gt;='Input Sheet'!$J$2,1,""))</f>
        <v/>
      </c>
      <c r="Q104" s="3" t="str">
        <f t="shared" si="11"/>
        <v/>
      </c>
      <c r="R104" s="3" t="str">
        <f>IF(OR($A104="",$A104="Grand Total"),"",AND($J104=0,(SUMPRODUCT((Table1[County]=SummaryPage!$A104)*(Table1[Status]="Not Started"))+SUMPRODUCT((Table1[County]=SummaryPage!$A104)*(Table1[Status]="")))=SUMPRODUCT((Table1[County]=SummaryPage!$A104)*(Table1[Status]&lt;&gt;"Q"))))</f>
        <v/>
      </c>
    </row>
    <row r="105" spans="1:18" x14ac:dyDescent="0.3">
      <c r="A105"/>
      <c r="B105"/>
      <c r="C105"/>
      <c r="D105"/>
      <c r="E105"/>
      <c r="F105"/>
      <c r="G105"/>
      <c r="H105"/>
      <c r="I105"/>
      <c r="J105"/>
      <c r="K105" s="211" t="str">
        <f>IF($A105="","",VLOOKUP('Input Sheet'!$D$2 &amp; " " &amp; $A105,Pop[#All],4,FALSE))</f>
        <v/>
      </c>
      <c r="L105" s="212" t="str">
        <f t="shared" si="10"/>
        <v/>
      </c>
      <c r="M105" s="213" t="str">
        <f t="shared" ca="1" si="9"/>
        <v/>
      </c>
      <c r="N105" s="214" t="str">
        <f>IF(OR($A105="",$A105="Grand Total"),IF($A105="Grand Total",SUM($N$15:$N104),""),SUMPRODUCT((Table1[County]=SummaryPage!$A105)*(Table1[Status]&lt;&gt;"Complete")))</f>
        <v/>
      </c>
      <c r="O105" s="6" t="str">
        <f ca="1">IF($A105="Grand Total",SUM(INDIRECT(ADDRESS(1,COLUMN())&amp;":"&amp;ADDRESS(ROW()-1,COLUMN()))),IF(OR($A105="State Agencies",IFERROR(AND($L105&gt;='Input Sheet'!$J$2,$A105&lt;&gt;""),0)),$J105,""))</f>
        <v/>
      </c>
      <c r="P105" s="3" t="str">
        <f>IF(OR($A105="",$A105="Grand Total"),"",IF(IFERROR(ROUND($J105/$K105,2),1000)&gt;='Input Sheet'!$J$2,1,""))</f>
        <v/>
      </c>
      <c r="Q105" s="3" t="str">
        <f t="shared" si="11"/>
        <v/>
      </c>
      <c r="R105" s="3" t="str">
        <f>IF(OR($A105="",$A105="Grand Total"),"",AND($J105=0,(SUMPRODUCT((Table1[County]=SummaryPage!$A105)*(Table1[Status]="Not Started"))+SUMPRODUCT((Table1[County]=SummaryPage!$A105)*(Table1[Status]="")))=SUMPRODUCT((Table1[County]=SummaryPage!$A105)*(Table1[Status]&lt;&gt;"Q"))))</f>
        <v/>
      </c>
    </row>
    <row r="106" spans="1:18" x14ac:dyDescent="0.3">
      <c r="A106"/>
      <c r="B106"/>
      <c r="C106"/>
      <c r="D106"/>
      <c r="E106"/>
      <c r="F106"/>
      <c r="G106"/>
      <c r="H106"/>
      <c r="I106"/>
      <c r="J106"/>
      <c r="K106" s="211" t="str">
        <f>IF($A106="","",VLOOKUP('Input Sheet'!$D$2 &amp; " " &amp; $A106,Pop[#All],4,FALSE))</f>
        <v/>
      </c>
      <c r="L106" s="212" t="str">
        <f t="shared" si="10"/>
        <v/>
      </c>
      <c r="M106" s="213" t="str">
        <f t="shared" ca="1" si="9"/>
        <v/>
      </c>
      <c r="N106" s="214" t="str">
        <f>IF(OR($A106="",$A106="Grand Total"),IF($A106="Grand Total",SUM($N$15:$N105),""),SUMPRODUCT((Table1[County]=SummaryPage!$A106)*(Table1[Status]&lt;&gt;"Complete")))</f>
        <v/>
      </c>
      <c r="O106" s="6" t="str">
        <f ca="1">IF($A106="Grand Total",SUM(INDIRECT(ADDRESS(1,COLUMN())&amp;":"&amp;ADDRESS(ROW()-1,COLUMN()))),IF(OR($A106="State Agencies",IFERROR(AND($L106&gt;='Input Sheet'!$J$2,$A106&lt;&gt;""),0)),$J106,""))</f>
        <v/>
      </c>
      <c r="P106" s="3" t="str">
        <f>IF(OR($A106="",$A106="Grand Total"),"",IF(IFERROR(ROUND($J106/$K106,2),1000)&gt;='Input Sheet'!$J$2,1,""))</f>
        <v/>
      </c>
      <c r="Q106" s="3" t="str">
        <f t="shared" si="11"/>
        <v/>
      </c>
      <c r="R106" s="3" t="str">
        <f>IF(OR($A106="",$A106="Grand Total"),"",AND($J106=0,(SUMPRODUCT((Table1[County]=SummaryPage!$A106)*(Table1[Status]="Not Started"))+SUMPRODUCT((Table1[County]=SummaryPage!$A106)*(Table1[Status]="")))=SUMPRODUCT((Table1[County]=SummaryPage!$A106)*(Table1[Status]&lt;&gt;"Q"))))</f>
        <v/>
      </c>
    </row>
    <row r="107" spans="1:18" x14ac:dyDescent="0.3">
      <c r="A107"/>
      <c r="B107"/>
      <c r="C107"/>
      <c r="D107"/>
      <c r="E107"/>
      <c r="F107"/>
      <c r="G107"/>
      <c r="H107"/>
      <c r="I107"/>
      <c r="J107"/>
      <c r="K107" s="211" t="str">
        <f>IF($A107="","",VLOOKUP('Input Sheet'!$D$2 &amp; " " &amp; $A107,Pop[#All],4,FALSE))</f>
        <v/>
      </c>
      <c r="L107" s="212" t="str">
        <f t="shared" si="10"/>
        <v/>
      </c>
      <c r="M107" s="213" t="str">
        <f t="shared" ca="1" si="9"/>
        <v/>
      </c>
      <c r="N107" s="214" t="str">
        <f>IF(OR($A107="",$A107="Grand Total"),IF($A107="Grand Total",SUM($N$15:$N106),""),SUMPRODUCT((Table1[County]=SummaryPage!$A107)*(Table1[Status]&lt;&gt;"Complete")))</f>
        <v/>
      </c>
      <c r="O107" s="6" t="str">
        <f ca="1">IF($A107="Grand Total",SUM(INDIRECT(ADDRESS(1,COLUMN())&amp;":"&amp;ADDRESS(ROW()-1,COLUMN()))),IF(OR($A107="State Agencies",IFERROR(AND($L107&gt;='Input Sheet'!$J$2,$A107&lt;&gt;""),0)),$J107,""))</f>
        <v/>
      </c>
      <c r="P107" s="3" t="str">
        <f>IF(OR($A107="",$A107="Grand Total"),"",IF(IFERROR(ROUND($J107/$K107,2),1000)&gt;='Input Sheet'!$J$2,1,""))</f>
        <v/>
      </c>
      <c r="Q107" s="3" t="str">
        <f t="shared" si="11"/>
        <v/>
      </c>
      <c r="R107" s="3" t="str">
        <f>IF(OR($A107="",$A107="Grand Total"),"",AND($J107=0,(SUMPRODUCT((Table1[County]=SummaryPage!$A107)*(Table1[Status]="Not Started"))+SUMPRODUCT((Table1[County]=SummaryPage!$A107)*(Table1[Status]="")))=SUMPRODUCT((Table1[County]=SummaryPage!$A107)*(Table1[Status]&lt;&gt;"Q"))))</f>
        <v/>
      </c>
    </row>
    <row r="108" spans="1:18" x14ac:dyDescent="0.3">
      <c r="A108"/>
      <c r="B108"/>
      <c r="C108"/>
      <c r="D108"/>
      <c r="E108"/>
      <c r="F108"/>
      <c r="G108"/>
      <c r="H108"/>
      <c r="I108"/>
      <c r="J108"/>
      <c r="K108" s="211" t="str">
        <f>IF($A108="","",VLOOKUP('Input Sheet'!$D$2 &amp; " " &amp; $A108,Pop[#All],4,FALSE))</f>
        <v/>
      </c>
      <c r="L108" s="212" t="str">
        <f t="shared" si="10"/>
        <v/>
      </c>
      <c r="M108" s="213" t="str">
        <f t="shared" ca="1" si="9"/>
        <v/>
      </c>
      <c r="N108" s="214" t="str">
        <f>IF(OR($A108="",$A108="Grand Total"),IF($A108="Grand Total",SUM($N$15:$N107),""),SUMPRODUCT((Table1[County]=SummaryPage!$A108)*(Table1[Status]&lt;&gt;"Complete")))</f>
        <v/>
      </c>
      <c r="O108" s="6" t="str">
        <f ca="1">IF($A108="Grand Total",SUM(INDIRECT(ADDRESS(1,COLUMN())&amp;":"&amp;ADDRESS(ROW()-1,COLUMN()))),IF(OR($A108="State Agencies",IFERROR(AND($L108&gt;='Input Sheet'!$J$2,$A108&lt;&gt;""),0)),$J108,""))</f>
        <v/>
      </c>
      <c r="P108" s="3" t="str">
        <f>IF(OR($A108="",$A108="Grand Total"),"",IF(IFERROR(ROUND($J108/$K108,2),1000)&gt;='Input Sheet'!$J$2,1,""))</f>
        <v/>
      </c>
      <c r="Q108" s="3" t="str">
        <f t="shared" si="11"/>
        <v/>
      </c>
      <c r="R108" s="3" t="str">
        <f>IF(OR($A108="",$A108="Grand Total"),"",AND($J108=0,(SUMPRODUCT((Table1[County]=SummaryPage!$A108)*(Table1[Status]="Not Started"))+SUMPRODUCT((Table1[County]=SummaryPage!$A108)*(Table1[Status]="")))=SUMPRODUCT((Table1[County]=SummaryPage!$A108)*(Table1[Status]&lt;&gt;"Q"))))</f>
        <v/>
      </c>
    </row>
    <row r="109" spans="1:18" x14ac:dyDescent="0.3">
      <c r="A109"/>
      <c r="B109"/>
      <c r="C109"/>
      <c r="D109"/>
      <c r="E109"/>
      <c r="F109"/>
      <c r="G109"/>
      <c r="H109"/>
      <c r="I109"/>
      <c r="J109"/>
      <c r="K109" s="211" t="str">
        <f>IF($A109="","",VLOOKUP('Input Sheet'!$D$2 &amp; " " &amp; $A109,Pop[#All],4,FALSE))</f>
        <v/>
      </c>
      <c r="L109" s="212" t="str">
        <f t="shared" si="10"/>
        <v/>
      </c>
      <c r="M109" s="213" t="str">
        <f t="shared" ca="1" si="9"/>
        <v/>
      </c>
      <c r="N109" s="214" t="str">
        <f>IF(OR($A109="",$A109="Grand Total"),IF($A109="Grand Total",SUM($N$15:$N108),""),SUMPRODUCT((Table1[County]=SummaryPage!$A109)*(Table1[Status]&lt;&gt;"Complete")))</f>
        <v/>
      </c>
      <c r="O109" s="6" t="str">
        <f ca="1">IF($A109="Grand Total",SUM(INDIRECT(ADDRESS(1,COLUMN())&amp;":"&amp;ADDRESS(ROW()-1,COLUMN()))),IF(OR($A109="State Agencies",IFERROR(AND($L109&gt;='Input Sheet'!$J$2,$A109&lt;&gt;""),0)),$J109,""))</f>
        <v/>
      </c>
      <c r="P109" s="3" t="str">
        <f>IF(OR($A109="",$A109="Grand Total"),"",IF(IFERROR(ROUND($J109/$K109,2),1000)&gt;='Input Sheet'!$J$2,1,""))</f>
        <v/>
      </c>
      <c r="Q109" s="3" t="str">
        <f t="shared" si="11"/>
        <v/>
      </c>
      <c r="R109" s="3" t="str">
        <f>IF(OR($A109="",$A109="Grand Total"),"",AND($J109=0,(SUMPRODUCT((Table1[County]=SummaryPage!$A109)*(Table1[Status]="Not Started"))+SUMPRODUCT((Table1[County]=SummaryPage!$A109)*(Table1[Status]="")))=SUMPRODUCT((Table1[County]=SummaryPage!$A109)*(Table1[Status]&lt;&gt;"Q"))))</f>
        <v/>
      </c>
    </row>
    <row r="110" spans="1:18" x14ac:dyDescent="0.3">
      <c r="A110"/>
      <c r="B110"/>
      <c r="C110"/>
      <c r="D110"/>
      <c r="E110"/>
      <c r="F110"/>
      <c r="G110"/>
      <c r="H110"/>
      <c r="I110"/>
      <c r="J110"/>
      <c r="K110" s="211" t="str">
        <f>IF($A110="","",VLOOKUP('Input Sheet'!$D$2 &amp; " " &amp; $A110,Pop[#All],4,FALSE))</f>
        <v/>
      </c>
      <c r="L110" s="212" t="str">
        <f t="shared" si="10"/>
        <v/>
      </c>
      <c r="M110" s="213" t="str">
        <f t="shared" ca="1" si="9"/>
        <v/>
      </c>
      <c r="N110" s="214" t="str">
        <f>IF(OR($A110="",$A110="Grand Total"),IF($A110="Grand Total",SUM($N$15:$N109),""),SUMPRODUCT((Table1[County]=SummaryPage!$A110)*(Table1[Status]&lt;&gt;"Complete")))</f>
        <v/>
      </c>
      <c r="O110" s="6" t="str">
        <f ca="1">IF($A110="Grand Total",SUM(INDIRECT(ADDRESS(1,COLUMN())&amp;":"&amp;ADDRESS(ROW()-1,COLUMN()))),IF(OR($A110="State Agencies",IFERROR(AND($L110&gt;='Input Sheet'!$J$2,$A110&lt;&gt;""),0)),$J110,""))</f>
        <v/>
      </c>
      <c r="P110" s="3" t="str">
        <f>IF(OR($A110="",$A110="Grand Total"),"",IF(IFERROR(ROUND($J110/$K110,2),1000)&gt;='Input Sheet'!$J$2,1,""))</f>
        <v/>
      </c>
      <c r="Q110" s="3" t="str">
        <f t="shared" si="11"/>
        <v/>
      </c>
      <c r="R110" s="3" t="str">
        <f>IF(OR($A110="",$A110="Grand Total"),"",AND($J110=0,(SUMPRODUCT((Table1[County]=SummaryPage!$A110)*(Table1[Status]="Not Started"))+SUMPRODUCT((Table1[County]=SummaryPage!$A110)*(Table1[Status]="")))=SUMPRODUCT((Table1[County]=SummaryPage!$A110)*(Table1[Status]&lt;&gt;"Q"))))</f>
        <v/>
      </c>
    </row>
    <row r="111" spans="1:18" x14ac:dyDescent="0.3">
      <c r="A111"/>
      <c r="B111"/>
      <c r="C111"/>
      <c r="D111"/>
      <c r="E111"/>
      <c r="F111"/>
      <c r="G111"/>
      <c r="H111"/>
      <c r="I111"/>
      <c r="J111"/>
      <c r="K111" s="211" t="str">
        <f>IF($A111="","",VLOOKUP('Input Sheet'!$D$2 &amp; " " &amp; $A111,Pop[#All],4,FALSE))</f>
        <v/>
      </c>
      <c r="L111" s="212" t="str">
        <f t="shared" si="10"/>
        <v/>
      </c>
      <c r="M111" s="213" t="str">
        <f t="shared" ca="1" si="9"/>
        <v/>
      </c>
      <c r="N111" s="214" t="str">
        <f>IF(OR($A111="",$A111="Grand Total"),IF($A111="Grand Total",SUM($N$15:$N110),""),SUMPRODUCT((Table1[County]=SummaryPage!$A111)*(Table1[Status]&lt;&gt;"Complete")))</f>
        <v/>
      </c>
      <c r="O111" s="6" t="str">
        <f ca="1">IF($A111="Grand Total",SUM(INDIRECT(ADDRESS(1,COLUMN())&amp;":"&amp;ADDRESS(ROW()-1,COLUMN()))),IF(OR($A111="State Agencies",IFERROR(AND($L111&gt;='Input Sheet'!$J$2,$A111&lt;&gt;""),0)),$J111,""))</f>
        <v/>
      </c>
      <c r="P111" s="3" t="str">
        <f>IF(OR($A111="",$A111="Grand Total"),"",IF(IFERROR(ROUND($J111/$K111,2),1000)&gt;='Input Sheet'!$J$2,1,""))</f>
        <v/>
      </c>
      <c r="Q111" s="3" t="str">
        <f t="shared" si="11"/>
        <v/>
      </c>
      <c r="R111" s="3" t="str">
        <f>IF(OR($A111="",$A111="Grand Total"),"",AND($J111=0,(SUMPRODUCT((Table1[County]=SummaryPage!$A111)*(Table1[Status]="Not Started"))+SUMPRODUCT((Table1[County]=SummaryPage!$A111)*(Table1[Status]="")))=SUMPRODUCT((Table1[County]=SummaryPage!$A111)*(Table1[Status]&lt;&gt;"Q"))))</f>
        <v/>
      </c>
    </row>
    <row r="112" spans="1:18" x14ac:dyDescent="0.3">
      <c r="A112"/>
      <c r="B112"/>
      <c r="C112"/>
      <c r="D112"/>
      <c r="E112"/>
      <c r="F112"/>
      <c r="G112"/>
      <c r="H112"/>
      <c r="I112"/>
      <c r="J112"/>
      <c r="K112" s="211" t="str">
        <f>IF($A112="","",VLOOKUP('Input Sheet'!$D$2 &amp; " " &amp; $A112,Pop[#All],4,FALSE))</f>
        <v/>
      </c>
      <c r="L112" s="212" t="str">
        <f t="shared" si="10"/>
        <v/>
      </c>
      <c r="M112" s="213" t="str">
        <f t="shared" ca="1" si="9"/>
        <v/>
      </c>
      <c r="N112" s="214" t="str">
        <f>IF(OR($A112="",$A112="Grand Total"),IF($A112="Grand Total",SUM($N$15:$N111),""),SUMPRODUCT((Table1[County]=SummaryPage!$A112)*(Table1[Status]&lt;&gt;"Complete")))</f>
        <v/>
      </c>
      <c r="O112" s="6" t="str">
        <f ca="1">IF($A112="Grand Total",SUM(INDIRECT(ADDRESS(1,COLUMN())&amp;":"&amp;ADDRESS(ROW()-1,COLUMN()))),IF(OR($A112="State Agencies",IFERROR(AND($L112&gt;='Input Sheet'!$J$2,$A112&lt;&gt;""),0)),$J112,""))</f>
        <v/>
      </c>
      <c r="P112" s="3" t="str">
        <f>IF(OR($A112="",$A112="Grand Total"),"",IF(IFERROR(ROUND($J112/$K112,2),1000)&gt;='Input Sheet'!$J$2,1,""))</f>
        <v/>
      </c>
      <c r="Q112" s="3" t="str">
        <f t="shared" si="11"/>
        <v/>
      </c>
      <c r="R112" s="3" t="str">
        <f>IF(OR($A112="",$A112="Grand Total"),"",AND($J112=0,(SUMPRODUCT((Table1[County]=SummaryPage!$A112)*(Table1[Status]="Not Started"))+SUMPRODUCT((Table1[County]=SummaryPage!$A112)*(Table1[Status]="")))=SUMPRODUCT((Table1[County]=SummaryPage!$A112)*(Table1[Status]&lt;&gt;"Q"))))</f>
        <v/>
      </c>
    </row>
    <row r="113" spans="1:18" x14ac:dyDescent="0.3">
      <c r="A113"/>
      <c r="B113"/>
      <c r="C113"/>
      <c r="D113"/>
      <c r="E113"/>
      <c r="F113"/>
      <c r="G113"/>
      <c r="H113"/>
      <c r="I113"/>
      <c r="J113"/>
      <c r="K113" s="211" t="str">
        <f>IF($A113="","",VLOOKUP('Input Sheet'!$D$2 &amp; " " &amp; $A113,Pop[#All],4,FALSE))</f>
        <v/>
      </c>
      <c r="L113" s="212" t="str">
        <f t="shared" si="10"/>
        <v/>
      </c>
      <c r="M113" s="213" t="str">
        <f t="shared" ca="1" si="9"/>
        <v/>
      </c>
      <c r="N113" s="214" t="str">
        <f>IF(OR($A113="",$A113="Grand Total"),IF($A113="Grand Total",SUM($N$15:$N112),""),SUMPRODUCT((Table1[County]=SummaryPage!$A113)*(Table1[Status]&lt;&gt;"Complete")))</f>
        <v/>
      </c>
      <c r="O113" s="6" t="str">
        <f ca="1">IF($A113="Grand Total",SUM(INDIRECT(ADDRESS(1,COLUMN())&amp;":"&amp;ADDRESS(ROW()-1,COLUMN()))),IF(OR($A113="State Agencies",IFERROR(AND($L113&gt;='Input Sheet'!$J$2,$A113&lt;&gt;""),0)),$J113,""))</f>
        <v/>
      </c>
      <c r="P113" s="3" t="str">
        <f>IF(OR($A113="",$A113="Grand Total"),"",IF(IFERROR(ROUND($J113/$K113,2),1000)&gt;='Input Sheet'!$J$2,1,""))</f>
        <v/>
      </c>
      <c r="Q113" s="3" t="str">
        <f t="shared" si="11"/>
        <v/>
      </c>
      <c r="R113" s="3" t="str">
        <f>IF(OR($A113="",$A113="Grand Total"),"",AND($J113=0,(SUMPRODUCT((Table1[County]=SummaryPage!$A113)*(Table1[Status]="Not Started"))+SUMPRODUCT((Table1[County]=SummaryPage!$A113)*(Table1[Status]="")))=SUMPRODUCT((Table1[County]=SummaryPage!$A113)*(Table1[Status]&lt;&gt;"Q"))))</f>
        <v/>
      </c>
    </row>
    <row r="114" spans="1:18" x14ac:dyDescent="0.3">
      <c r="A114"/>
      <c r="B114"/>
      <c r="C114"/>
      <c r="D114"/>
      <c r="E114"/>
      <c r="F114"/>
      <c r="G114"/>
      <c r="H114"/>
      <c r="I114"/>
      <c r="J114"/>
      <c r="K114" s="211" t="str">
        <f>IF($A114="","",VLOOKUP('Input Sheet'!$D$2 &amp; " " &amp; $A114,Pop[#All],4,FALSE))</f>
        <v/>
      </c>
      <c r="L114" s="212" t="str">
        <f t="shared" si="10"/>
        <v/>
      </c>
      <c r="M114" s="213" t="str">
        <f t="shared" ca="1" si="9"/>
        <v/>
      </c>
      <c r="N114" s="214" t="str">
        <f>IF(OR($A114="",$A114="Grand Total"),IF($A114="Grand Total",SUM($N$15:$N113),""),SUMPRODUCT((Table1[County]=SummaryPage!$A114)*(Table1[Status]&lt;&gt;"Complete")))</f>
        <v/>
      </c>
      <c r="O114" s="6" t="str">
        <f ca="1">IF($A114="Grand Total",SUM(INDIRECT(ADDRESS(1,COLUMN())&amp;":"&amp;ADDRESS(ROW()-1,COLUMN()))),IF(OR($A114="State Agencies",IFERROR(AND($L114&gt;='Input Sheet'!$J$2,$A114&lt;&gt;""),0)),$J114,""))</f>
        <v/>
      </c>
      <c r="P114" s="3" t="str">
        <f>IF(OR($A114="",$A114="Grand Total"),"",IF(IFERROR(ROUND($J114/$K114,2),1000)&gt;='Input Sheet'!$J$2,1,""))</f>
        <v/>
      </c>
      <c r="Q114" s="3" t="str">
        <f t="shared" si="11"/>
        <v/>
      </c>
      <c r="R114" s="3" t="str">
        <f>IF(OR($A114="",$A114="Grand Total"),"",AND($J114=0,(SUMPRODUCT((Table1[County]=SummaryPage!$A114)*(Table1[Status]="Not Started"))+SUMPRODUCT((Table1[County]=SummaryPage!$A114)*(Table1[Status]="")))=SUMPRODUCT((Table1[County]=SummaryPage!$A114)*(Table1[Status]&lt;&gt;"Q"))))</f>
        <v/>
      </c>
    </row>
    <row r="115" spans="1:18" x14ac:dyDescent="0.3">
      <c r="A115"/>
      <c r="B115"/>
      <c r="C115"/>
      <c r="D115"/>
      <c r="E115"/>
      <c r="F115"/>
      <c r="G115"/>
      <c r="H115"/>
      <c r="I115"/>
      <c r="J115"/>
      <c r="K115" s="211" t="str">
        <f>IF($A115="","",VLOOKUP('Input Sheet'!$D$2 &amp; " " &amp; $A115,Pop[#All],4,FALSE))</f>
        <v/>
      </c>
      <c r="L115" s="212" t="str">
        <f t="shared" si="10"/>
        <v/>
      </c>
      <c r="M115" s="213" t="str">
        <f t="shared" ca="1" si="9"/>
        <v/>
      </c>
      <c r="N115" s="214" t="str">
        <f>IF(OR($A115="",$A115="Grand Total"),IF($A115="Grand Total",SUM($N$15:$N114),""),SUMPRODUCT((Table1[County]=SummaryPage!$A115)*(Table1[Status]&lt;&gt;"Complete")))</f>
        <v/>
      </c>
      <c r="O115" s="6" t="str">
        <f ca="1">IF($A115="Grand Total",SUM(INDIRECT(ADDRESS(1,COLUMN())&amp;":"&amp;ADDRESS(ROW()-1,COLUMN()))),IF(OR($A115="State Agencies",IFERROR(AND($L115&gt;='Input Sheet'!$J$2,$A115&lt;&gt;""),0)),$J115,""))</f>
        <v/>
      </c>
      <c r="P115" s="3" t="str">
        <f>IF(OR($A115="",$A115="Grand Total"),"",IF(IFERROR(ROUND($J115/$K115,2),1000)&gt;='Input Sheet'!$J$2,1,""))</f>
        <v/>
      </c>
      <c r="Q115" s="3" t="str">
        <f t="shared" si="11"/>
        <v/>
      </c>
      <c r="R115" s="3" t="str">
        <f>IF(OR($A115="",$A115="Grand Total"),"",AND($J115=0,(SUMPRODUCT((Table1[County]=SummaryPage!$A115)*(Table1[Status]="Not Started"))+SUMPRODUCT((Table1[County]=SummaryPage!$A115)*(Table1[Status]="")))=SUMPRODUCT((Table1[County]=SummaryPage!$A115)*(Table1[Status]&lt;&gt;"Q"))))</f>
        <v/>
      </c>
    </row>
    <row r="116" spans="1:18" x14ac:dyDescent="0.3">
      <c r="A116"/>
      <c r="B116"/>
      <c r="C116"/>
      <c r="D116"/>
      <c r="E116"/>
      <c r="F116"/>
      <c r="G116"/>
      <c r="H116"/>
      <c r="I116"/>
      <c r="J116"/>
      <c r="K116" s="211" t="str">
        <f>IF($A116="","",VLOOKUP('Input Sheet'!$D$2 &amp; " " &amp; $A116,Pop[#All],4,FALSE))</f>
        <v/>
      </c>
      <c r="L116" s="212" t="str">
        <f t="shared" si="10"/>
        <v/>
      </c>
      <c r="M116" s="213" t="str">
        <f t="shared" ca="1" si="9"/>
        <v/>
      </c>
      <c r="N116" s="214" t="str">
        <f>IF(OR($A116="",$A116="Grand Total"),IF($A116="Grand Total",SUM($N$15:$N115),""),SUMPRODUCT((Table1[County]=SummaryPage!$A116)*(Table1[Status]&lt;&gt;"Complete")))</f>
        <v/>
      </c>
      <c r="O116" s="6" t="str">
        <f ca="1">IF($A116="Grand Total",SUM(INDIRECT(ADDRESS(1,COLUMN())&amp;":"&amp;ADDRESS(ROW()-1,COLUMN()))),IF(OR($A116="State Agencies",IFERROR(AND($L116&gt;='Input Sheet'!$J$2,$A116&lt;&gt;""),0)),$J116,""))</f>
        <v/>
      </c>
      <c r="P116" s="3" t="str">
        <f>IF(OR($A116="",$A116="Grand Total"),"",IF(IFERROR(ROUND($J116/$K116,2),1000)&gt;='Input Sheet'!$J$2,1,""))</f>
        <v/>
      </c>
      <c r="Q116" s="3" t="str">
        <f t="shared" si="11"/>
        <v/>
      </c>
      <c r="R116" s="3" t="str">
        <f>IF(OR($A116="",$A116="Grand Total"),"",AND($J116=0,(SUMPRODUCT((Table1[County]=SummaryPage!$A116)*(Table1[Status]="Not Started"))+SUMPRODUCT((Table1[County]=SummaryPage!$A116)*(Table1[Status]="")))=SUMPRODUCT((Table1[County]=SummaryPage!$A116)*(Table1[Status]&lt;&gt;"Q"))))</f>
        <v/>
      </c>
    </row>
    <row r="117" spans="1:18" x14ac:dyDescent="0.3">
      <c r="A117"/>
      <c r="B117"/>
      <c r="C117"/>
      <c r="D117"/>
      <c r="E117"/>
      <c r="F117"/>
      <c r="G117"/>
      <c r="H117"/>
      <c r="I117"/>
      <c r="J117"/>
      <c r="K117" s="211" t="str">
        <f>IF($A117="","",VLOOKUP('Input Sheet'!$D$2 &amp; " " &amp; $A117,Pop[#All],4,FALSE))</f>
        <v/>
      </c>
      <c r="L117" s="212" t="str">
        <f t="shared" si="10"/>
        <v/>
      </c>
      <c r="M117" s="213" t="str">
        <f t="shared" ca="1" si="9"/>
        <v/>
      </c>
      <c r="N117" s="214" t="str">
        <f>IF(OR($A117="",$A117="Grand Total"),IF($A117="Grand Total",SUM($N$15:$N116),""),SUMPRODUCT((Table1[County]=SummaryPage!$A117)*(Table1[Status]&lt;&gt;"Complete")))</f>
        <v/>
      </c>
      <c r="O117" s="6" t="str">
        <f ca="1">IF($A117="Grand Total",SUM(INDIRECT(ADDRESS(1,COLUMN())&amp;":"&amp;ADDRESS(ROW()-1,COLUMN()))),IF(OR($A117="State Agencies",IFERROR(AND($L117&gt;='Input Sheet'!$J$2,$A117&lt;&gt;""),0)),$J117,""))</f>
        <v/>
      </c>
      <c r="P117" s="3" t="str">
        <f>IF(OR($A117="",$A117="Grand Total"),"",IF(IFERROR(ROUND($J117/$K117,2),1000)&gt;='Input Sheet'!$J$2,1,""))</f>
        <v/>
      </c>
      <c r="Q117" s="3" t="str">
        <f t="shared" si="11"/>
        <v/>
      </c>
      <c r="R117" s="3" t="str">
        <f>IF(OR($A117="",$A117="Grand Total"),"",AND($J117=0,(SUMPRODUCT((Table1[County]=SummaryPage!$A117)*(Table1[Status]="Not Started"))+SUMPRODUCT((Table1[County]=SummaryPage!$A117)*(Table1[Status]="")))=SUMPRODUCT((Table1[County]=SummaryPage!$A117)*(Table1[Status]&lt;&gt;"Q"))))</f>
        <v/>
      </c>
    </row>
    <row r="118" spans="1:18" x14ac:dyDescent="0.3">
      <c r="A118"/>
      <c r="B118"/>
      <c r="C118"/>
      <c r="D118"/>
      <c r="E118"/>
      <c r="F118"/>
      <c r="G118"/>
      <c r="H118"/>
      <c r="I118"/>
      <c r="J118"/>
      <c r="K118" s="211" t="str">
        <f>IF($A118="","",VLOOKUP('Input Sheet'!$D$2 &amp; " " &amp; $A118,Pop[#All],4,FALSE))</f>
        <v/>
      </c>
      <c r="L118" s="212" t="str">
        <f t="shared" si="10"/>
        <v/>
      </c>
      <c r="M118" s="213" t="str">
        <f t="shared" ca="1" si="9"/>
        <v/>
      </c>
      <c r="N118" s="214" t="str">
        <f>IF(OR($A118="",$A118="Grand Total"),IF($A118="Grand Total",SUM($N$15:$N117),""),SUMPRODUCT((Table1[County]=SummaryPage!$A118)*(Table1[Status]&lt;&gt;"Complete")))</f>
        <v/>
      </c>
      <c r="O118" s="6" t="str">
        <f ca="1">IF($A118="Grand Total",SUM(INDIRECT(ADDRESS(1,COLUMN())&amp;":"&amp;ADDRESS(ROW()-1,COLUMN()))),IF(OR($A118="State Agencies",IFERROR(AND($L118&gt;='Input Sheet'!$J$2,$A118&lt;&gt;""),0)),$J118,""))</f>
        <v/>
      </c>
      <c r="P118" s="3" t="str">
        <f>IF(OR($A118="",$A118="Grand Total"),"",IF(IFERROR(ROUND($J118/$K118,2),1000)&gt;='Input Sheet'!$J$2,1,""))</f>
        <v/>
      </c>
      <c r="Q118" s="3" t="str">
        <f t="shared" si="11"/>
        <v/>
      </c>
      <c r="R118" s="3" t="str">
        <f>IF(OR($A118="",$A118="Grand Total"),"",AND($J118=0,(SUMPRODUCT((Table1[County]=SummaryPage!$A118)*(Table1[Status]="Not Started"))+SUMPRODUCT((Table1[County]=SummaryPage!$A118)*(Table1[Status]="")))=SUMPRODUCT((Table1[County]=SummaryPage!$A118)*(Table1[Status]&lt;&gt;"Q"))))</f>
        <v/>
      </c>
    </row>
    <row r="119" spans="1:18" x14ac:dyDescent="0.3">
      <c r="A119"/>
      <c r="B119"/>
      <c r="C119"/>
      <c r="D119"/>
      <c r="E119"/>
      <c r="F119"/>
      <c r="G119"/>
      <c r="H119"/>
      <c r="I119"/>
      <c r="J119"/>
      <c r="K119" s="211" t="str">
        <f>IF($A119="","",VLOOKUP('Input Sheet'!$D$2 &amp; " " &amp; $A119,Pop[#All],4,FALSE))</f>
        <v/>
      </c>
      <c r="L119" s="212" t="str">
        <f t="shared" si="10"/>
        <v/>
      </c>
      <c r="M119" s="213" t="str">
        <f t="shared" ca="1" si="9"/>
        <v/>
      </c>
      <c r="N119" s="214" t="str">
        <f>IF(OR($A119="",$A119="Grand Total"),IF($A119="Grand Total",SUM($N$15:$N118),""),SUMPRODUCT((Table1[County]=SummaryPage!$A119)*(Table1[Status]&lt;&gt;"Complete")))</f>
        <v/>
      </c>
      <c r="O119" s="6" t="str">
        <f ca="1">IF($A119="Grand Total",SUM(INDIRECT(ADDRESS(1,COLUMN())&amp;":"&amp;ADDRESS(ROW()-1,COLUMN()))),IF(OR($A119="State Agencies",IFERROR(AND($L119&gt;='Input Sheet'!$J$2,$A119&lt;&gt;""),0)),$J119,""))</f>
        <v/>
      </c>
      <c r="P119" s="3" t="str">
        <f>IF(OR($A119="",$A119="Grand Total"),"",IF(IFERROR(ROUND($J119/$K119,2),1000)&gt;='Input Sheet'!$J$2,1,""))</f>
        <v/>
      </c>
      <c r="Q119" s="3" t="str">
        <f t="shared" si="11"/>
        <v/>
      </c>
      <c r="R119" s="3" t="str">
        <f>IF(OR($A119="",$A119="Grand Total"),"",AND($J119=0,(SUMPRODUCT((Table1[County]=SummaryPage!$A119)*(Table1[Status]="Not Started"))+SUMPRODUCT((Table1[County]=SummaryPage!$A119)*(Table1[Status]="")))=SUMPRODUCT((Table1[County]=SummaryPage!$A119)*(Table1[Status]&lt;&gt;"Q"))))</f>
        <v/>
      </c>
    </row>
    <row r="120" spans="1:18" x14ac:dyDescent="0.3">
      <c r="A120"/>
      <c r="B120"/>
      <c r="C120"/>
      <c r="D120"/>
      <c r="E120"/>
      <c r="F120"/>
      <c r="G120"/>
      <c r="H120"/>
      <c r="I120"/>
      <c r="J120"/>
      <c r="K120" s="211" t="str">
        <f>IF($A120="","",VLOOKUP('Input Sheet'!$D$2 &amp; " " &amp; $A120,Pop[#All],4,FALSE))</f>
        <v/>
      </c>
      <c r="L120" s="212" t="str">
        <f t="shared" si="10"/>
        <v/>
      </c>
      <c r="M120" s="213" t="str">
        <f t="shared" ca="1" si="9"/>
        <v/>
      </c>
      <c r="N120" s="214" t="str">
        <f>IF(OR($A120="",$A120="Grand Total"),IF($A120="Grand Total",SUM($N$15:$N119),""),SUMPRODUCT((Table1[County]=SummaryPage!$A120)*(Table1[Status]&lt;&gt;"Complete")))</f>
        <v/>
      </c>
      <c r="O120" s="6" t="str">
        <f ca="1">IF($A120="Grand Total",SUM(INDIRECT(ADDRESS(1,COLUMN())&amp;":"&amp;ADDRESS(ROW()-1,COLUMN()))),IF(OR($A120="State Agencies",IFERROR(AND($L120&gt;='Input Sheet'!$J$2,$A120&lt;&gt;""),0)),$J120,""))</f>
        <v/>
      </c>
      <c r="P120" s="3" t="str">
        <f>IF(OR($A120="",$A120="Grand Total"),"",IF(IFERROR(ROUND($J120/$K120,2),1000)&gt;='Input Sheet'!$J$2,1,""))</f>
        <v/>
      </c>
      <c r="Q120" s="3" t="str">
        <f t="shared" si="11"/>
        <v/>
      </c>
      <c r="R120" s="3" t="str">
        <f>IF(OR($A120="",$A120="Grand Total"),"",AND($J120=0,(SUMPRODUCT((Table1[County]=SummaryPage!$A120)*(Table1[Status]="Not Started"))+SUMPRODUCT((Table1[County]=SummaryPage!$A120)*(Table1[Status]="")))=SUMPRODUCT((Table1[County]=SummaryPage!$A120)*(Table1[Status]&lt;&gt;"Q"))))</f>
        <v/>
      </c>
    </row>
    <row r="121" spans="1:18" x14ac:dyDescent="0.3">
      <c r="A121"/>
      <c r="B121"/>
      <c r="C121"/>
      <c r="D121"/>
      <c r="E121"/>
      <c r="F121"/>
      <c r="G121"/>
      <c r="H121"/>
      <c r="I121"/>
      <c r="J121"/>
      <c r="K121" s="211" t="str">
        <f>IF($A121="","",VLOOKUP('Input Sheet'!$D$2 &amp; " " &amp; $A121,Pop[#All],4,FALSE))</f>
        <v/>
      </c>
      <c r="L121" s="212" t="str">
        <f t="shared" si="10"/>
        <v/>
      </c>
      <c r="M121" s="213" t="str">
        <f t="shared" ca="1" si="9"/>
        <v/>
      </c>
      <c r="N121" s="214" t="str">
        <f>IF(OR($A121="",$A121="Grand Total"),IF($A121="Grand Total",SUM($N$15:$N120),""),SUMPRODUCT((Table1[County]=SummaryPage!$A121)*(Table1[Status]&lt;&gt;"Complete")))</f>
        <v/>
      </c>
      <c r="O121" s="6" t="str">
        <f ca="1">IF($A121="Grand Total",SUM(INDIRECT(ADDRESS(1,COLUMN())&amp;":"&amp;ADDRESS(ROW()-1,COLUMN()))),IF(OR($A121="State Agencies",IFERROR(AND($L121&gt;='Input Sheet'!$J$2,$A121&lt;&gt;""),0)),$J121,""))</f>
        <v/>
      </c>
      <c r="P121" s="3" t="str">
        <f>IF(OR($A121="",$A121="Grand Total"),"",IF(IFERROR(ROUND($J121/$K121,2),1000)&gt;='Input Sheet'!$J$2,1,""))</f>
        <v/>
      </c>
      <c r="Q121" s="3" t="str">
        <f t="shared" si="11"/>
        <v/>
      </c>
      <c r="R121" s="3" t="str">
        <f>IF(OR($A121="",$A121="Grand Total"),"",AND($J121=0,(SUMPRODUCT((Table1[County]=SummaryPage!$A121)*(Table1[Status]="Not Started"))+SUMPRODUCT((Table1[County]=SummaryPage!$A121)*(Table1[Status]="")))=SUMPRODUCT((Table1[County]=SummaryPage!$A121)*(Table1[Status]&lt;&gt;"Q"))))</f>
        <v/>
      </c>
    </row>
    <row r="122" spans="1:18" x14ac:dyDescent="0.3">
      <c r="A122"/>
      <c r="B122"/>
      <c r="C122"/>
      <c r="D122"/>
      <c r="E122"/>
      <c r="F122"/>
      <c r="G122"/>
      <c r="H122"/>
      <c r="I122"/>
      <c r="J122"/>
      <c r="K122" s="211" t="str">
        <f>IF($A122="","",VLOOKUP('Input Sheet'!$D$2 &amp; " " &amp; $A122,Pop[#All],4,FALSE))</f>
        <v/>
      </c>
      <c r="L122" s="212" t="str">
        <f t="shared" si="10"/>
        <v/>
      </c>
      <c r="M122" s="213" t="str">
        <f t="shared" ca="1" si="9"/>
        <v/>
      </c>
      <c r="N122" s="214" t="str">
        <f>IF(OR($A122="",$A122="Grand Total"),IF($A122="Grand Total",SUM($N$15:$N121),""),SUMPRODUCT((Table1[County]=SummaryPage!$A122)*(Table1[Status]&lt;&gt;"Complete")))</f>
        <v/>
      </c>
      <c r="O122" s="6" t="str">
        <f ca="1">IF($A122="Grand Total",SUM(INDIRECT(ADDRESS(1,COLUMN())&amp;":"&amp;ADDRESS(ROW()-1,COLUMN()))),IF(OR($A122="State Agencies",IFERROR(AND($L122&gt;='Input Sheet'!$J$2,$A122&lt;&gt;""),0)),$J122,""))</f>
        <v/>
      </c>
      <c r="P122" s="3" t="str">
        <f>IF(OR($A122="",$A122="Grand Total"),"",IF(IFERROR(ROUND($J122/$K122,2),1000)&gt;='Input Sheet'!$J$2,1,""))</f>
        <v/>
      </c>
      <c r="Q122" s="3" t="str">
        <f t="shared" si="11"/>
        <v/>
      </c>
      <c r="R122" s="3" t="str">
        <f>IF(OR($A122="",$A122="Grand Total"),"",AND($J122=0,(SUMPRODUCT((Table1[County]=SummaryPage!$A122)*(Table1[Status]="Not Started"))+SUMPRODUCT((Table1[County]=SummaryPage!$A122)*(Table1[Status]="")))=SUMPRODUCT((Table1[County]=SummaryPage!$A122)*(Table1[Status]&lt;&gt;"Q"))))</f>
        <v/>
      </c>
    </row>
    <row r="123" spans="1:18" x14ac:dyDescent="0.3">
      <c r="A123"/>
      <c r="B123"/>
      <c r="C123"/>
      <c r="D123"/>
      <c r="E123"/>
      <c r="F123"/>
      <c r="G123"/>
      <c r="H123"/>
      <c r="I123"/>
      <c r="J123"/>
      <c r="K123" s="211" t="str">
        <f>IF($A123="","",VLOOKUP('Input Sheet'!$D$2 &amp; " " &amp; $A123,Pop[#All],4,FALSE))</f>
        <v/>
      </c>
      <c r="L123" s="212" t="str">
        <f t="shared" si="10"/>
        <v/>
      </c>
      <c r="M123" s="213" t="str">
        <f t="shared" ca="1" si="9"/>
        <v/>
      </c>
      <c r="N123" s="214" t="str">
        <f>IF(OR($A123="",$A123="Grand Total"),IF($A123="Grand Total",SUM($N$15:$N122),""),SUMPRODUCT((Table1[County]=SummaryPage!$A123)*(Table1[Status]&lt;&gt;"Complete")))</f>
        <v/>
      </c>
      <c r="O123" s="6" t="str">
        <f ca="1">IF($A123="Grand Total",SUM(INDIRECT(ADDRESS(1,COLUMN())&amp;":"&amp;ADDRESS(ROW()-1,COLUMN()))),IF(OR($A123="State Agencies",IFERROR(AND($L123&gt;='Input Sheet'!$J$2,$A123&lt;&gt;""),0)),$J123,""))</f>
        <v/>
      </c>
      <c r="P123" s="3" t="str">
        <f>IF(OR($A123="",$A123="Grand Total"),"",IF(IFERROR(ROUND($J123/$K123,2),1000)&gt;='Input Sheet'!$J$2,1,""))</f>
        <v/>
      </c>
      <c r="Q123" s="3" t="str">
        <f t="shared" si="11"/>
        <v/>
      </c>
      <c r="R123" s="3" t="str">
        <f>IF(OR($A123="",$A123="Grand Total"),"",AND($J123=0,(SUMPRODUCT((Table1[County]=SummaryPage!$A123)*(Table1[Status]="Not Started"))+SUMPRODUCT((Table1[County]=SummaryPage!$A123)*(Table1[Status]="")))=SUMPRODUCT((Table1[County]=SummaryPage!$A123)*(Table1[Status]&lt;&gt;"Q"))))</f>
        <v/>
      </c>
    </row>
    <row r="124" spans="1:18" x14ac:dyDescent="0.3">
      <c r="A124"/>
      <c r="B124"/>
      <c r="C124"/>
      <c r="D124"/>
      <c r="E124"/>
      <c r="F124"/>
      <c r="G124"/>
      <c r="H124"/>
      <c r="I124"/>
      <c r="J124"/>
      <c r="K124" s="211" t="str">
        <f>IF($A124="","",VLOOKUP('Input Sheet'!$D$2 &amp; " " &amp; $A124,Pop[#All],4,FALSE))</f>
        <v/>
      </c>
      <c r="L124" s="212" t="str">
        <f t="shared" si="10"/>
        <v/>
      </c>
      <c r="M124" s="213" t="str">
        <f t="shared" ca="1" si="9"/>
        <v/>
      </c>
      <c r="N124" s="214" t="str">
        <f>IF(OR($A124="",$A124="Grand Total"),IF($A124="Grand Total",SUM($N$15:$N123),""),SUMPRODUCT((Table1[County]=SummaryPage!$A124)*(Table1[Status]&lt;&gt;"Complete")))</f>
        <v/>
      </c>
      <c r="O124" s="6" t="str">
        <f ca="1">IF($A124="Grand Total",SUM(INDIRECT(ADDRESS(1,COLUMN())&amp;":"&amp;ADDRESS(ROW()-1,COLUMN()))),IF(OR($A124="State Agencies",IFERROR(AND($L124&gt;='Input Sheet'!$J$2,$A124&lt;&gt;""),0)),$J124,""))</f>
        <v/>
      </c>
      <c r="P124" s="3" t="str">
        <f>IF(OR($A124="",$A124="Grand Total"),"",IF(IFERROR(ROUND($J124/$K124,2),1000)&gt;='Input Sheet'!$J$2,1,""))</f>
        <v/>
      </c>
      <c r="Q124" s="3" t="str">
        <f t="shared" si="11"/>
        <v/>
      </c>
      <c r="R124" s="3" t="str">
        <f>IF(OR($A124="",$A124="Grand Total"),"",AND($J124=0,(SUMPRODUCT((Table1[County]=SummaryPage!$A124)*(Table1[Status]="Not Started"))+SUMPRODUCT((Table1[County]=SummaryPage!$A124)*(Table1[Status]="")))=SUMPRODUCT((Table1[County]=SummaryPage!$A124)*(Table1[Status]&lt;&gt;"Q"))))</f>
        <v/>
      </c>
    </row>
    <row r="125" spans="1:18" x14ac:dyDescent="0.3">
      <c r="A125"/>
      <c r="B125"/>
      <c r="C125"/>
      <c r="D125"/>
      <c r="E125"/>
      <c r="F125"/>
      <c r="G125"/>
      <c r="H125"/>
      <c r="I125"/>
      <c r="J125"/>
      <c r="K125" s="211" t="str">
        <f>IF($A125="","",VLOOKUP('Input Sheet'!$D$2 &amp; " " &amp; $A125,Pop[#All],4,FALSE))</f>
        <v/>
      </c>
      <c r="L125" s="212" t="str">
        <f t="shared" si="10"/>
        <v/>
      </c>
      <c r="M125" s="213" t="str">
        <f t="shared" ca="1" si="9"/>
        <v/>
      </c>
      <c r="N125" s="214" t="str">
        <f>IF(OR($A125="",$A125="Grand Total"),IF($A125="Grand Total",SUM($N$15:$N124),""),SUMPRODUCT((Table1[County]=SummaryPage!$A125)*(Table1[Status]&lt;&gt;"Complete")))</f>
        <v/>
      </c>
      <c r="O125" s="6" t="str">
        <f ca="1">IF($A125="Grand Total",SUM(INDIRECT(ADDRESS(1,COLUMN())&amp;":"&amp;ADDRESS(ROW()-1,COLUMN()))),IF(OR($A125="State Agencies",IFERROR(AND($L125&gt;='Input Sheet'!$J$2,$A125&lt;&gt;""),0)),$J125,""))</f>
        <v/>
      </c>
      <c r="P125" s="3" t="str">
        <f>IF(OR($A125="",$A125="Grand Total"),"",IF(IFERROR(ROUND($J125/$K125,2),1000)&gt;='Input Sheet'!$J$2,1,""))</f>
        <v/>
      </c>
      <c r="Q125" s="3" t="str">
        <f t="shared" si="11"/>
        <v/>
      </c>
      <c r="R125" s="3" t="str">
        <f>IF(OR($A125="",$A125="Grand Total"),"",AND($J125=0,(SUMPRODUCT((Table1[County]=SummaryPage!$A125)*(Table1[Status]="Not Started"))+SUMPRODUCT((Table1[County]=SummaryPage!$A125)*(Table1[Status]="")))=SUMPRODUCT((Table1[County]=SummaryPage!$A125)*(Table1[Status]&lt;&gt;"Q"))))</f>
        <v/>
      </c>
    </row>
    <row r="126" spans="1:18" x14ac:dyDescent="0.3">
      <c r="A126"/>
      <c r="B126"/>
      <c r="C126"/>
      <c r="D126"/>
      <c r="E126"/>
      <c r="F126"/>
      <c r="G126"/>
      <c r="H126"/>
      <c r="I126"/>
      <c r="J126"/>
      <c r="K126" s="211" t="str">
        <f>IF($A126="","",VLOOKUP('Input Sheet'!$D$2 &amp; " " &amp; $A126,Pop[#All],4,FALSE))</f>
        <v/>
      </c>
      <c r="L126" s="212" t="str">
        <f t="shared" si="10"/>
        <v/>
      </c>
      <c r="M126" s="213" t="str">
        <f t="shared" ca="1" si="9"/>
        <v/>
      </c>
      <c r="N126" s="214" t="str">
        <f>IF(OR($A126="",$A126="Grand Total"),IF($A126="Grand Total",SUM($N$15:$N125),""),SUMPRODUCT((Table1[County]=SummaryPage!$A126)*(Table1[Status]&lt;&gt;"Complete")))</f>
        <v/>
      </c>
      <c r="O126" s="6" t="str">
        <f ca="1">IF($A126="Grand Total",SUM(INDIRECT(ADDRESS(1,COLUMN())&amp;":"&amp;ADDRESS(ROW()-1,COLUMN()))),IF(OR($A126="State Agencies",IFERROR(AND($L126&gt;='Input Sheet'!$J$2,$A126&lt;&gt;""),0)),$J126,""))</f>
        <v/>
      </c>
      <c r="P126" s="3" t="str">
        <f>IF(OR($A126="",$A126="Grand Total"),"",IF(IFERROR(ROUND($J126/$K126,2),1000)&gt;='Input Sheet'!$J$2,1,""))</f>
        <v/>
      </c>
      <c r="Q126" s="3" t="str">
        <f t="shared" si="11"/>
        <v/>
      </c>
      <c r="R126" s="3" t="str">
        <f>IF(OR($A126="",$A126="Grand Total"),"",AND($J126=0,(SUMPRODUCT((Table1[County]=SummaryPage!$A126)*(Table1[Status]="Not Started"))+SUMPRODUCT((Table1[County]=SummaryPage!$A126)*(Table1[Status]="")))=SUMPRODUCT((Table1[County]=SummaryPage!$A126)*(Table1[Status]&lt;&gt;"Q"))))</f>
        <v/>
      </c>
    </row>
    <row r="127" spans="1:18" x14ac:dyDescent="0.3">
      <c r="A127"/>
      <c r="B127"/>
      <c r="C127"/>
      <c r="D127"/>
      <c r="E127"/>
      <c r="F127"/>
      <c r="G127"/>
      <c r="H127"/>
      <c r="I127"/>
      <c r="J127"/>
      <c r="K127" s="211" t="str">
        <f>IF($A127="","",VLOOKUP('Input Sheet'!$D$2 &amp; " " &amp; $A127,Pop[#All],4,FALSE))</f>
        <v/>
      </c>
      <c r="L127" s="212" t="str">
        <f t="shared" si="10"/>
        <v/>
      </c>
      <c r="M127" s="213" t="str">
        <f t="shared" ca="1" si="9"/>
        <v/>
      </c>
      <c r="N127" s="214" t="str">
        <f>IF(OR($A127="",$A127="Grand Total"),IF($A127="Grand Total",SUM($N$15:$N126),""),SUMPRODUCT((Table1[County]=SummaryPage!$A127)*(Table1[Status]&lt;&gt;"Complete")))</f>
        <v/>
      </c>
      <c r="O127" s="6" t="str">
        <f ca="1">IF($A127="Grand Total",SUM(INDIRECT(ADDRESS(1,COLUMN())&amp;":"&amp;ADDRESS(ROW()-1,COLUMN()))),IF(OR($A127="State Agencies",IFERROR(AND($L127&gt;='Input Sheet'!$J$2,$A127&lt;&gt;""),0)),$J127,""))</f>
        <v/>
      </c>
      <c r="P127" s="3" t="str">
        <f>IF(OR($A127="",$A127="Grand Total"),"",IF(IFERROR(ROUND($J127/$K127,2),1000)&gt;='Input Sheet'!$J$2,1,""))</f>
        <v/>
      </c>
      <c r="Q127" s="3" t="str">
        <f t="shared" si="11"/>
        <v/>
      </c>
      <c r="R127" s="3" t="str">
        <f>IF(OR($A127="",$A127="Grand Total"),"",AND($J127=0,(SUMPRODUCT((Table1[County]=SummaryPage!$A127)*(Table1[Status]="Not Started"))+SUMPRODUCT((Table1[County]=SummaryPage!$A127)*(Table1[Status]="")))=SUMPRODUCT((Table1[County]=SummaryPage!$A127)*(Table1[Status]&lt;&gt;"Q"))))</f>
        <v/>
      </c>
    </row>
    <row r="128" spans="1:18" x14ac:dyDescent="0.3">
      <c r="A128"/>
      <c r="B128"/>
      <c r="C128"/>
      <c r="D128"/>
      <c r="E128"/>
      <c r="F128"/>
      <c r="G128"/>
      <c r="H128"/>
      <c r="I128"/>
      <c r="J128"/>
      <c r="K128" s="211" t="str">
        <f>IF($A128="","",VLOOKUP('Input Sheet'!$D$2 &amp; " " &amp; $A128,Pop[#All],4,FALSE))</f>
        <v/>
      </c>
      <c r="L128" s="212" t="str">
        <f t="shared" si="10"/>
        <v/>
      </c>
      <c r="M128" s="213" t="str">
        <f t="shared" ca="1" si="9"/>
        <v/>
      </c>
      <c r="N128" s="214" t="str">
        <f>IF(OR($A128="",$A128="Grand Total"),IF($A128="Grand Total",SUM($N$15:$N127),""),SUMPRODUCT((Table1[County]=SummaryPage!$A128)*(Table1[Status]&lt;&gt;"Complete")))</f>
        <v/>
      </c>
      <c r="O128" s="6" t="str">
        <f ca="1">IF($A128="Grand Total",SUM(INDIRECT(ADDRESS(1,COLUMN())&amp;":"&amp;ADDRESS(ROW()-1,COLUMN()))),IF(OR($A128="State Agencies",IFERROR(AND($L128&gt;='Input Sheet'!$J$2,$A128&lt;&gt;""),0)),$J128,""))</f>
        <v/>
      </c>
      <c r="P128" s="3" t="str">
        <f>IF(OR($A128="",$A128="Grand Total"),"",IF(IFERROR(ROUND($J128/$K128,2),1000)&gt;='Input Sheet'!$J$2,1,""))</f>
        <v/>
      </c>
      <c r="Q128" s="3" t="str">
        <f t="shared" si="11"/>
        <v/>
      </c>
      <c r="R128" s="3" t="str">
        <f>IF(OR($A128="",$A128="Grand Total"),"",AND($J128=0,(SUMPRODUCT((Table1[County]=SummaryPage!$A128)*(Table1[Status]="Not Started"))+SUMPRODUCT((Table1[County]=SummaryPage!$A128)*(Table1[Status]="")))=SUMPRODUCT((Table1[County]=SummaryPage!$A128)*(Table1[Status]&lt;&gt;"Q"))))</f>
        <v/>
      </c>
    </row>
    <row r="129" spans="1:18" x14ac:dyDescent="0.3">
      <c r="A129"/>
      <c r="B129"/>
      <c r="C129"/>
      <c r="D129"/>
      <c r="E129"/>
      <c r="F129"/>
      <c r="G129"/>
      <c r="H129"/>
      <c r="I129"/>
      <c r="J129"/>
      <c r="K129" s="211" t="str">
        <f>IF($A129="","",VLOOKUP('Input Sheet'!$D$2 &amp; " " &amp; $A129,Pop[#All],4,FALSE))</f>
        <v/>
      </c>
      <c r="L129" s="212" t="str">
        <f t="shared" si="10"/>
        <v/>
      </c>
      <c r="M129" s="213" t="str">
        <f t="shared" ca="1" si="9"/>
        <v/>
      </c>
      <c r="N129" s="214" t="str">
        <f>IF(OR($A129="",$A129="Grand Total"),IF($A129="Grand Total",SUM($N$15:$N128),""),SUMPRODUCT((Table1[County]=SummaryPage!$A129)*(Table1[Status]&lt;&gt;"Complete")))</f>
        <v/>
      </c>
      <c r="O129" s="6" t="str">
        <f ca="1">IF($A129="Grand Total",SUM(INDIRECT(ADDRESS(1,COLUMN())&amp;":"&amp;ADDRESS(ROW()-1,COLUMN()))),IF(OR($A129="State Agencies",IFERROR(AND($L129&gt;='Input Sheet'!$J$2,$A129&lt;&gt;""),0)),$J129,""))</f>
        <v/>
      </c>
      <c r="P129" s="3" t="str">
        <f>IF(OR($A129="",$A129="Grand Total"),"",IF(IFERROR(ROUND($J129/$K129,2),1000)&gt;='Input Sheet'!$J$2,1,""))</f>
        <v/>
      </c>
      <c r="Q129" s="3" t="str">
        <f t="shared" si="11"/>
        <v/>
      </c>
      <c r="R129" s="3" t="str">
        <f>IF(OR($A129="",$A129="Grand Total"),"",AND($J129=0,(SUMPRODUCT((Table1[County]=SummaryPage!$A129)*(Table1[Status]="Not Started"))+SUMPRODUCT((Table1[County]=SummaryPage!$A129)*(Table1[Status]="")))=SUMPRODUCT((Table1[County]=SummaryPage!$A129)*(Table1[Status]&lt;&gt;"Q"))))</f>
        <v/>
      </c>
    </row>
    <row r="130" spans="1:18" x14ac:dyDescent="0.3">
      <c r="A130"/>
      <c r="B130"/>
      <c r="C130"/>
      <c r="D130"/>
      <c r="E130"/>
      <c r="F130"/>
      <c r="G130"/>
      <c r="H130"/>
      <c r="I130"/>
      <c r="J130"/>
      <c r="K130" s="211" t="str">
        <f>IF($A130="","",VLOOKUP('Input Sheet'!$D$2 &amp; " " &amp; $A130,Pop[#All],4,FALSE))</f>
        <v/>
      </c>
      <c r="L130" s="212" t="str">
        <f t="shared" si="10"/>
        <v/>
      </c>
      <c r="M130" s="213" t="str">
        <f t="shared" ca="1" si="9"/>
        <v/>
      </c>
      <c r="N130" s="214" t="str">
        <f>IF(OR($A130="",$A130="Grand Total"),IF($A130="Grand Total",SUM($N$15:$N129),""),SUMPRODUCT((Table1[County]=SummaryPage!$A130)*(Table1[Status]&lt;&gt;"Complete")))</f>
        <v/>
      </c>
      <c r="O130" s="6" t="str">
        <f ca="1">IF($A130="Grand Total",SUM(INDIRECT(ADDRESS(1,COLUMN())&amp;":"&amp;ADDRESS(ROW()-1,COLUMN()))),IF(OR($A130="State Agencies",IFERROR(AND($L130&gt;='Input Sheet'!$J$2,$A130&lt;&gt;""),0)),$J130,""))</f>
        <v/>
      </c>
      <c r="P130" s="3" t="str">
        <f>IF(OR($A130="",$A130="Grand Total"),"",IF(IFERROR(ROUND($J130/$K130,2),1000)&gt;='Input Sheet'!$J$2,1,""))</f>
        <v/>
      </c>
      <c r="Q130" s="3" t="str">
        <f t="shared" si="11"/>
        <v/>
      </c>
      <c r="R130" s="3" t="str">
        <f>IF(OR($A130="",$A130="Grand Total"),"",AND($J130=0,(SUMPRODUCT((Table1[County]=SummaryPage!$A130)*(Table1[Status]="Not Started"))+SUMPRODUCT((Table1[County]=SummaryPage!$A130)*(Table1[Status]="")))=SUMPRODUCT((Table1[County]=SummaryPage!$A130)*(Table1[Status]&lt;&gt;"Q"))))</f>
        <v/>
      </c>
    </row>
    <row r="131" spans="1:18" x14ac:dyDescent="0.3">
      <c r="A131"/>
      <c r="B131"/>
      <c r="C131"/>
      <c r="D131"/>
      <c r="E131"/>
      <c r="F131"/>
      <c r="G131"/>
      <c r="H131"/>
      <c r="I131"/>
      <c r="J131"/>
      <c r="K131" s="211" t="str">
        <f>IF($A131="","",VLOOKUP('Input Sheet'!$D$2 &amp; " " &amp; $A131,Pop[#All],4,FALSE))</f>
        <v/>
      </c>
      <c r="L131" s="212" t="str">
        <f t="shared" si="10"/>
        <v/>
      </c>
      <c r="M131" s="213" t="str">
        <f t="shared" ca="1" si="9"/>
        <v/>
      </c>
      <c r="N131" s="214" t="str">
        <f>IF(OR($A131="",$A131="Grand Total"),IF($A131="Grand Total",SUM($N$15:$N130),""),SUMPRODUCT((Table1[County]=SummaryPage!$A131)*(Table1[Status]&lt;&gt;"Complete")))</f>
        <v/>
      </c>
      <c r="O131" s="6" t="str">
        <f ca="1">IF($A131="Grand Total",SUM(INDIRECT(ADDRESS(1,COLUMN())&amp;":"&amp;ADDRESS(ROW()-1,COLUMN()))),IF(OR($A131="State Agencies",IFERROR(AND($L131&gt;='Input Sheet'!$J$2,$A131&lt;&gt;""),0)),$J131,""))</f>
        <v/>
      </c>
      <c r="P131" s="3" t="str">
        <f>IF(OR($A131="",$A131="Grand Total"),"",IF(IFERROR(ROUND($J131/$K131,2),1000)&gt;='Input Sheet'!$J$2,1,""))</f>
        <v/>
      </c>
      <c r="Q131" s="3" t="str">
        <f t="shared" si="11"/>
        <v/>
      </c>
      <c r="R131" s="3" t="str">
        <f>IF(OR($A131="",$A131="Grand Total"),"",AND($J131=0,(SUMPRODUCT((Table1[County]=SummaryPage!$A131)*(Table1[Status]="Not Started"))+SUMPRODUCT((Table1[County]=SummaryPage!$A131)*(Table1[Status]="")))=SUMPRODUCT((Table1[County]=SummaryPage!$A131)*(Table1[Status]&lt;&gt;"Q"))))</f>
        <v/>
      </c>
    </row>
    <row r="132" spans="1:18" x14ac:dyDescent="0.3">
      <c r="A132"/>
      <c r="B132"/>
      <c r="C132"/>
      <c r="D132"/>
      <c r="E132"/>
      <c r="F132"/>
      <c r="G132"/>
      <c r="H132"/>
      <c r="I132"/>
      <c r="J132"/>
      <c r="K132" s="211" t="str">
        <f>IF($A132="","",VLOOKUP('Input Sheet'!$D$2 &amp; " " &amp; $A132,Pop[#All],4,FALSE))</f>
        <v/>
      </c>
      <c r="L132" s="212" t="str">
        <f t="shared" si="10"/>
        <v/>
      </c>
      <c r="M132" s="213" t="str">
        <f t="shared" ca="1" si="9"/>
        <v/>
      </c>
      <c r="N132" s="214" t="str">
        <f>IF(OR($A132="",$A132="Grand Total"),IF($A132="Grand Total",SUM($N$15:$N131),""),SUMPRODUCT((Table1[County]=SummaryPage!$A132)*(Table1[Status]&lt;&gt;"Complete")))</f>
        <v/>
      </c>
      <c r="O132" s="6" t="str">
        <f ca="1">IF($A132="Grand Total",SUM(INDIRECT(ADDRESS(1,COLUMN())&amp;":"&amp;ADDRESS(ROW()-1,COLUMN()))),IF(OR($A132="State Agencies",IFERROR(AND($L132&gt;='Input Sheet'!$J$2,$A132&lt;&gt;""),0)),$J132,""))</f>
        <v/>
      </c>
      <c r="P132" s="3" t="str">
        <f>IF(OR($A132="",$A132="Grand Total"),"",IF(IFERROR(ROUND($J132/$K132,2),1000)&gt;='Input Sheet'!$J$2,1,""))</f>
        <v/>
      </c>
      <c r="Q132" s="3" t="str">
        <f t="shared" si="11"/>
        <v/>
      </c>
      <c r="R132" s="3" t="str">
        <f>IF(OR($A132="",$A132="Grand Total"),"",AND($J132=0,(SUMPRODUCT((Table1[County]=SummaryPage!$A132)*(Table1[Status]="Not Started"))+SUMPRODUCT((Table1[County]=SummaryPage!$A132)*(Table1[Status]="")))=SUMPRODUCT((Table1[County]=SummaryPage!$A132)*(Table1[Status]&lt;&gt;"Q"))))</f>
        <v/>
      </c>
    </row>
    <row r="133" spans="1:18" x14ac:dyDescent="0.3">
      <c r="A133"/>
      <c r="B133"/>
      <c r="C133"/>
      <c r="D133"/>
      <c r="E133"/>
      <c r="F133"/>
      <c r="G133"/>
      <c r="H133"/>
      <c r="I133"/>
      <c r="J133"/>
      <c r="K133" s="211" t="str">
        <f>IF($A133="","",VLOOKUP('Input Sheet'!$D$2 &amp; " " &amp; $A133,Pop[#All],4,FALSE))</f>
        <v/>
      </c>
      <c r="L133" s="212" t="str">
        <f t="shared" si="10"/>
        <v/>
      </c>
      <c r="M133" s="213" t="str">
        <f t="shared" ca="1" si="9"/>
        <v/>
      </c>
      <c r="N133" s="214" t="str">
        <f>IF(OR($A133="",$A133="Grand Total"),IF($A133="Grand Total",SUM($N$15:$N132),""),SUMPRODUCT((Table1[County]=SummaryPage!$A133)*(Table1[Status]&lt;&gt;"Complete")))</f>
        <v/>
      </c>
      <c r="O133" s="6" t="str">
        <f ca="1">IF($A133="Grand Total",SUM(INDIRECT(ADDRESS(1,COLUMN())&amp;":"&amp;ADDRESS(ROW()-1,COLUMN()))),IF(OR($A133="State Agencies",IFERROR(AND($L133&gt;='Input Sheet'!$J$2,$A133&lt;&gt;""),0)),$J133,""))</f>
        <v/>
      </c>
      <c r="P133" s="3" t="str">
        <f>IF(OR($A133="",$A133="Grand Total"),"",IF(IFERROR(ROUND($J133/$K133,2),1000)&gt;='Input Sheet'!$J$2,1,""))</f>
        <v/>
      </c>
      <c r="Q133" s="3" t="str">
        <f t="shared" si="11"/>
        <v/>
      </c>
      <c r="R133" s="3" t="str">
        <f>IF(OR($A133="",$A133="Grand Total"),"",AND($J133=0,(SUMPRODUCT((Table1[County]=SummaryPage!$A133)*(Table1[Status]="Not Started"))+SUMPRODUCT((Table1[County]=SummaryPage!$A133)*(Table1[Status]="")))=SUMPRODUCT((Table1[County]=SummaryPage!$A133)*(Table1[Status]&lt;&gt;"Q"))))</f>
        <v/>
      </c>
    </row>
    <row r="134" spans="1:18" x14ac:dyDescent="0.3">
      <c r="A134"/>
      <c r="B134"/>
      <c r="C134"/>
      <c r="D134"/>
      <c r="E134"/>
      <c r="F134"/>
      <c r="G134"/>
      <c r="H134"/>
      <c r="I134"/>
      <c r="J134"/>
      <c r="K134" s="211" t="str">
        <f>IF($A134="","",VLOOKUP('Input Sheet'!$D$2 &amp; " " &amp; $A134,Pop[#All],4,FALSE))</f>
        <v/>
      </c>
      <c r="L134" s="212" t="str">
        <f t="shared" si="10"/>
        <v/>
      </c>
      <c r="M134" s="213" t="str">
        <f t="shared" ca="1" si="9"/>
        <v/>
      </c>
      <c r="N134" s="214" t="str">
        <f>IF(OR($A134="",$A134="Grand Total"),IF($A134="Grand Total",SUM($N$15:$N133),""),SUMPRODUCT((Table1[County]=SummaryPage!$A134)*(Table1[Status]&lt;&gt;"Complete")))</f>
        <v/>
      </c>
      <c r="O134" s="6" t="str">
        <f ca="1">IF($A134="Grand Total",SUM(INDIRECT(ADDRESS(1,COLUMN())&amp;":"&amp;ADDRESS(ROW()-1,COLUMN()))),IF(OR($A134="State Agencies",IFERROR(AND($L134&gt;='Input Sheet'!$J$2,$A134&lt;&gt;""),0)),$J134,""))</f>
        <v/>
      </c>
      <c r="P134" s="3" t="str">
        <f>IF(OR($A134="",$A134="Grand Total"),"",IF(IFERROR(ROUND($J134/$K134,2),1000)&gt;='Input Sheet'!$J$2,1,""))</f>
        <v/>
      </c>
      <c r="Q134" s="3" t="str">
        <f t="shared" si="11"/>
        <v/>
      </c>
      <c r="R134" s="3" t="str">
        <f>IF(OR($A134="",$A134="Grand Total"),"",AND($J134=0,(SUMPRODUCT((Table1[County]=SummaryPage!$A134)*(Table1[Status]="Not Started"))+SUMPRODUCT((Table1[County]=SummaryPage!$A134)*(Table1[Status]="")))=SUMPRODUCT((Table1[County]=SummaryPage!$A134)*(Table1[Status]&lt;&gt;"Q"))))</f>
        <v/>
      </c>
    </row>
    <row r="135" spans="1:18" x14ac:dyDescent="0.3">
      <c r="A135"/>
      <c r="B135"/>
      <c r="C135"/>
      <c r="D135"/>
      <c r="E135"/>
      <c r="F135"/>
      <c r="G135"/>
      <c r="H135"/>
      <c r="I135"/>
      <c r="J135"/>
      <c r="K135" s="211" t="str">
        <f>IF($A135="","",VLOOKUP('Input Sheet'!$D$2 &amp; " " &amp; $A135,Pop[#All],4,FALSE))</f>
        <v/>
      </c>
      <c r="L135" s="212" t="str">
        <f t="shared" si="10"/>
        <v/>
      </c>
      <c r="M135" s="213" t="str">
        <f t="shared" ca="1" si="9"/>
        <v/>
      </c>
      <c r="N135" s="214" t="str">
        <f>IF(OR($A135="",$A135="Grand Total"),IF($A135="Grand Total",SUM($N$15:$N134),""),SUMPRODUCT((Table1[County]=SummaryPage!$A135)*(Table1[Status]&lt;&gt;"Complete")))</f>
        <v/>
      </c>
      <c r="O135" s="6" t="str">
        <f ca="1">IF($A135="Grand Total",SUM(INDIRECT(ADDRESS(1,COLUMN())&amp;":"&amp;ADDRESS(ROW()-1,COLUMN()))),IF(OR($A135="State Agencies",IFERROR(AND($L135&gt;='Input Sheet'!$J$2,$A135&lt;&gt;""),0)),$J135,""))</f>
        <v/>
      </c>
      <c r="P135" s="3" t="str">
        <f>IF(OR($A135="",$A135="Grand Total"),"",IF(IFERROR(ROUND($J135/$K135,2),1000)&gt;='Input Sheet'!$J$2,1,""))</f>
        <v/>
      </c>
      <c r="Q135" s="3" t="str">
        <f t="shared" si="11"/>
        <v/>
      </c>
      <c r="R135" s="3" t="str">
        <f>IF(OR($A135="",$A135="Grand Total"),"",AND($J135=0,(SUMPRODUCT((Table1[County]=SummaryPage!$A135)*(Table1[Status]="Not Started"))+SUMPRODUCT((Table1[County]=SummaryPage!$A135)*(Table1[Status]="")))=SUMPRODUCT((Table1[County]=SummaryPage!$A135)*(Table1[Status]&lt;&gt;"Q"))))</f>
        <v/>
      </c>
    </row>
    <row r="136" spans="1:18" x14ac:dyDescent="0.3">
      <c r="A136"/>
      <c r="B136"/>
      <c r="C136"/>
      <c r="D136"/>
      <c r="E136"/>
      <c r="F136"/>
      <c r="G136"/>
      <c r="H136"/>
      <c r="I136"/>
      <c r="J136"/>
      <c r="K136" s="211" t="str">
        <f>IF($A136="","",VLOOKUP('Input Sheet'!$D$2 &amp; " " &amp; $A136,Pop[#All],4,FALSE))</f>
        <v/>
      </c>
      <c r="L136" s="212" t="str">
        <f t="shared" si="10"/>
        <v/>
      </c>
      <c r="M136" s="213" t="str">
        <f t="shared" ca="1" si="9"/>
        <v/>
      </c>
      <c r="N136" s="214" t="str">
        <f>IF(OR($A136="",$A136="Grand Total"),IF($A136="Grand Total",SUM($N$15:$N135),""),SUMPRODUCT((Table1[County]=SummaryPage!$A136)*(Table1[Status]&lt;&gt;"Complete")))</f>
        <v/>
      </c>
      <c r="O136" s="6" t="str">
        <f ca="1">IF($A136="Grand Total",SUM(INDIRECT(ADDRESS(1,COLUMN())&amp;":"&amp;ADDRESS(ROW()-1,COLUMN()))),IF(OR($A136="State Agencies",IFERROR(AND($L136&gt;='Input Sheet'!$J$2,$A136&lt;&gt;""),0)),$J136,""))</f>
        <v/>
      </c>
      <c r="P136" s="3" t="str">
        <f>IF(OR($A136="",$A136="Grand Total"),"",IF(IFERROR(ROUND($J136/$K136,2),1000)&gt;='Input Sheet'!$J$2,1,""))</f>
        <v/>
      </c>
      <c r="Q136" s="3" t="str">
        <f t="shared" si="11"/>
        <v/>
      </c>
      <c r="R136" s="3" t="str">
        <f>IF(OR($A136="",$A136="Grand Total"),"",AND($J136=0,(SUMPRODUCT((Table1[County]=SummaryPage!$A136)*(Table1[Status]="Not Started"))+SUMPRODUCT((Table1[County]=SummaryPage!$A136)*(Table1[Status]="")))=SUMPRODUCT((Table1[County]=SummaryPage!$A136)*(Table1[Status]&lt;&gt;"Q"))))</f>
        <v/>
      </c>
    </row>
    <row r="137" spans="1:18" x14ac:dyDescent="0.3">
      <c r="A137"/>
      <c r="B137"/>
      <c r="C137"/>
      <c r="D137"/>
      <c r="E137"/>
      <c r="F137"/>
      <c r="G137"/>
      <c r="H137"/>
      <c r="I137"/>
      <c r="J137"/>
      <c r="K137" s="211" t="str">
        <f>IF($A137="","",VLOOKUP('Input Sheet'!$D$2 &amp; " " &amp; $A137,Pop[#All],4,FALSE))</f>
        <v/>
      </c>
      <c r="L137" s="212" t="str">
        <f t="shared" si="10"/>
        <v/>
      </c>
      <c r="M137" s="213" t="str">
        <f t="shared" ca="1" si="9"/>
        <v/>
      </c>
      <c r="N137" s="214" t="str">
        <f>IF(OR($A137="",$A137="Grand Total"),IF($A137="Grand Total",SUM($N$15:$N136),""),SUMPRODUCT((Table1[County]=SummaryPage!$A137)*(Table1[Status]&lt;&gt;"Complete")))</f>
        <v/>
      </c>
      <c r="O137" s="6" t="str">
        <f ca="1">IF($A137="Grand Total",SUM(INDIRECT(ADDRESS(1,COLUMN())&amp;":"&amp;ADDRESS(ROW()-1,COLUMN()))),IF(OR($A137="State Agencies",IFERROR(AND($L137&gt;='Input Sheet'!$J$2,$A137&lt;&gt;""),0)),$J137,""))</f>
        <v/>
      </c>
      <c r="P137" s="3" t="str">
        <f>IF(OR($A137="",$A137="Grand Total"),"",IF(IFERROR(ROUND($J137/$K137,2),1000)&gt;='Input Sheet'!$J$2,1,""))</f>
        <v/>
      </c>
      <c r="Q137" s="3" t="str">
        <f t="shared" si="11"/>
        <v/>
      </c>
      <c r="R137" s="3" t="str">
        <f>IF(OR($A137="",$A137="Grand Total"),"",AND($J137=0,(SUMPRODUCT((Table1[County]=SummaryPage!$A137)*(Table1[Status]="Not Started"))+SUMPRODUCT((Table1[County]=SummaryPage!$A137)*(Table1[Status]="")))=SUMPRODUCT((Table1[County]=SummaryPage!$A137)*(Table1[Status]&lt;&gt;"Q"))))</f>
        <v/>
      </c>
    </row>
    <row r="138" spans="1:18" x14ac:dyDescent="0.3">
      <c r="A138"/>
      <c r="B138"/>
      <c r="C138"/>
      <c r="D138"/>
      <c r="E138"/>
      <c r="F138"/>
      <c r="G138"/>
      <c r="H138"/>
      <c r="I138"/>
      <c r="J138"/>
      <c r="K138" s="211" t="str">
        <f>IF($A138="","",VLOOKUP('Input Sheet'!$D$2 &amp; " " &amp; $A138,Pop[#All],4,FALSE))</f>
        <v/>
      </c>
      <c r="L138" s="212" t="str">
        <f t="shared" si="10"/>
        <v/>
      </c>
      <c r="M138" s="213" t="str">
        <f t="shared" ca="1" si="9"/>
        <v/>
      </c>
      <c r="N138" s="214" t="str">
        <f>IF(OR($A138="",$A138="Grand Total"),IF($A138="Grand Total",SUM($N$15:$N137),""),SUMPRODUCT((Table1[County]=SummaryPage!$A138)*(Table1[Status]&lt;&gt;"Complete")))</f>
        <v/>
      </c>
      <c r="O138" s="6" t="str">
        <f ca="1">IF($A138="Grand Total",SUM(INDIRECT(ADDRESS(1,COLUMN())&amp;":"&amp;ADDRESS(ROW()-1,COLUMN()))),IF(OR($A138="State Agencies",IFERROR(AND($L138&gt;='Input Sheet'!$J$2,$A138&lt;&gt;""),0)),$J138,""))</f>
        <v/>
      </c>
      <c r="P138" s="3" t="str">
        <f>IF(OR($A138="",$A138="Grand Total"),"",IF(IFERROR(ROUND($J138/$K138,2),1000)&gt;='Input Sheet'!$J$2,1,""))</f>
        <v/>
      </c>
      <c r="Q138" s="3" t="str">
        <f t="shared" si="11"/>
        <v/>
      </c>
      <c r="R138" s="3" t="str">
        <f>IF(OR($A138="",$A138="Grand Total"),"",AND($J138=0,(SUMPRODUCT((Table1[County]=SummaryPage!$A138)*(Table1[Status]="Not Started"))+SUMPRODUCT((Table1[County]=SummaryPage!$A138)*(Table1[Status]="")))=SUMPRODUCT((Table1[County]=SummaryPage!$A138)*(Table1[Status]&lt;&gt;"Q"))))</f>
        <v/>
      </c>
    </row>
    <row r="139" spans="1:18" x14ac:dyDescent="0.3">
      <c r="A139"/>
      <c r="B139"/>
      <c r="C139"/>
      <c r="D139"/>
      <c r="E139"/>
      <c r="F139"/>
      <c r="G139"/>
      <c r="H139"/>
      <c r="I139"/>
      <c r="J139"/>
      <c r="K139" s="211" t="str">
        <f>IF($A139="","",VLOOKUP('Input Sheet'!$D$2 &amp; " " &amp; $A139,Pop[#All],4,FALSE))</f>
        <v/>
      </c>
      <c r="L139" s="212" t="str">
        <f t="shared" si="10"/>
        <v/>
      </c>
      <c r="M139" s="213" t="str">
        <f t="shared" ca="1" si="9"/>
        <v/>
      </c>
      <c r="N139" s="214" t="str">
        <f>IF(OR($A139="",$A139="Grand Total"),IF($A139="Grand Total",SUM($N$15:$N138),""),SUMPRODUCT((Table1[County]=SummaryPage!$A139)*(Table1[Status]&lt;&gt;"Complete")))</f>
        <v/>
      </c>
      <c r="O139" s="6" t="str">
        <f ca="1">IF($A139="Grand Total",SUM(INDIRECT(ADDRESS(1,COLUMN())&amp;":"&amp;ADDRESS(ROW()-1,COLUMN()))),IF(OR($A139="State Agencies",IFERROR(AND($L139&gt;='Input Sheet'!$J$2,$A139&lt;&gt;""),0)),$J139,""))</f>
        <v/>
      </c>
      <c r="P139" s="3" t="str">
        <f>IF(OR($A139="",$A139="Grand Total"),"",IF(IFERROR(ROUND($J139/$K139,2),1000)&gt;='Input Sheet'!$J$2,1,""))</f>
        <v/>
      </c>
      <c r="Q139" s="3" t="str">
        <f t="shared" si="11"/>
        <v/>
      </c>
      <c r="R139" s="3" t="str">
        <f>IF(OR($A139="",$A139="Grand Total"),"",AND($J139=0,(SUMPRODUCT((Table1[County]=SummaryPage!$A139)*(Table1[Status]="Not Started"))+SUMPRODUCT((Table1[County]=SummaryPage!$A139)*(Table1[Status]="")))=SUMPRODUCT((Table1[County]=SummaryPage!$A139)*(Table1[Status]&lt;&gt;"Q"))))</f>
        <v/>
      </c>
    </row>
    <row r="140" spans="1:18" x14ac:dyDescent="0.3">
      <c r="A140"/>
      <c r="B140"/>
      <c r="C140"/>
      <c r="D140"/>
      <c r="E140"/>
      <c r="F140"/>
      <c r="G140"/>
      <c r="H140"/>
      <c r="I140"/>
      <c r="J140"/>
      <c r="K140" s="211" t="str">
        <f>IF($A140="","",VLOOKUP('Input Sheet'!$D$2 &amp; " " &amp; $A140,Pop[#All],4,FALSE))</f>
        <v/>
      </c>
      <c r="L140" s="212" t="str">
        <f t="shared" si="10"/>
        <v/>
      </c>
      <c r="M140" s="213" t="str">
        <f t="shared" ca="1" si="9"/>
        <v/>
      </c>
      <c r="N140" s="214" t="str">
        <f>IF(OR($A140="",$A140="Grand Total"),IF($A140="Grand Total",SUM($N$15:$N139),""),SUMPRODUCT((Table1[County]=SummaryPage!$A140)*(Table1[Status]&lt;&gt;"Complete")))</f>
        <v/>
      </c>
      <c r="O140" s="6" t="str">
        <f ca="1">IF($A140="Grand Total",SUM(INDIRECT(ADDRESS(1,COLUMN())&amp;":"&amp;ADDRESS(ROW()-1,COLUMN()))),IF(OR($A140="State Agencies",IFERROR(AND($L140&gt;='Input Sheet'!$J$2,$A140&lt;&gt;""),0)),$J140,""))</f>
        <v/>
      </c>
      <c r="P140" s="3" t="str">
        <f>IF(OR($A140="",$A140="Grand Total"),"",IF(IFERROR(ROUND($J140/$K140,2),1000)&gt;='Input Sheet'!$J$2,1,""))</f>
        <v/>
      </c>
      <c r="Q140" s="3" t="str">
        <f t="shared" si="11"/>
        <v/>
      </c>
      <c r="R140" s="3" t="str">
        <f>IF(OR($A140="",$A140="Grand Total"),"",AND($J140=0,(SUMPRODUCT((Table1[County]=SummaryPage!$A140)*(Table1[Status]="Not Started"))+SUMPRODUCT((Table1[County]=SummaryPage!$A140)*(Table1[Status]="")))=SUMPRODUCT((Table1[County]=SummaryPage!$A140)*(Table1[Status]&lt;&gt;"Q"))))</f>
        <v/>
      </c>
    </row>
    <row r="141" spans="1:18" x14ac:dyDescent="0.3">
      <c r="A141"/>
      <c r="B141"/>
      <c r="C141"/>
      <c r="D141"/>
      <c r="E141"/>
      <c r="F141"/>
      <c r="G141"/>
      <c r="H141"/>
      <c r="I141"/>
      <c r="J141"/>
      <c r="K141" s="211" t="str">
        <f>IF($A141="","",VLOOKUP('Input Sheet'!$D$2 &amp; " " &amp; $A141,Pop[#All],4,FALSE))</f>
        <v/>
      </c>
      <c r="L141" s="212" t="str">
        <f t="shared" si="10"/>
        <v/>
      </c>
      <c r="M141" s="213" t="str">
        <f t="shared" ca="1" si="9"/>
        <v/>
      </c>
      <c r="N141" s="214" t="str">
        <f>IF(OR($A141="",$A141="Grand Total"),IF($A141="Grand Total",SUM($N$15:$N140),""),SUMPRODUCT((Table1[County]=SummaryPage!$A141)*(Table1[Status]&lt;&gt;"Complete")))</f>
        <v/>
      </c>
      <c r="O141" s="6" t="str">
        <f ca="1">IF($A141="Grand Total",SUM(INDIRECT(ADDRESS(1,COLUMN())&amp;":"&amp;ADDRESS(ROW()-1,COLUMN()))),IF(OR($A141="State Agencies",IFERROR(AND($L141&gt;='Input Sheet'!$J$2,$A141&lt;&gt;""),0)),$J141,""))</f>
        <v/>
      </c>
      <c r="P141" s="3" t="str">
        <f>IF(OR($A141="",$A141="Grand Total"),"",IF(IFERROR(ROUND($J141/$K141,2),1000)&gt;='Input Sheet'!$J$2,1,""))</f>
        <v/>
      </c>
      <c r="Q141" s="3" t="str">
        <f t="shared" si="11"/>
        <v/>
      </c>
      <c r="R141" s="3" t="str">
        <f>IF(OR($A141="",$A141="Grand Total"),"",AND($J141=0,(SUMPRODUCT((Table1[County]=SummaryPage!$A141)*(Table1[Status]="Not Started"))+SUMPRODUCT((Table1[County]=SummaryPage!$A141)*(Table1[Status]="")))=SUMPRODUCT((Table1[County]=SummaryPage!$A141)*(Table1[Status]&lt;&gt;"Q"))))</f>
        <v/>
      </c>
    </row>
    <row r="142" spans="1:18" x14ac:dyDescent="0.3">
      <c r="A142"/>
      <c r="B142"/>
      <c r="C142"/>
      <c r="D142"/>
      <c r="E142"/>
      <c r="F142"/>
      <c r="G142"/>
      <c r="H142"/>
      <c r="I142"/>
      <c r="J142"/>
      <c r="K142" s="211" t="str">
        <f>IF($A142="","",VLOOKUP('Input Sheet'!$D$2 &amp; " " &amp; $A142,Pop[#All],4,FALSE))</f>
        <v/>
      </c>
      <c r="L142" s="212" t="str">
        <f t="shared" si="10"/>
        <v/>
      </c>
      <c r="M142" s="213" t="str">
        <f t="shared" ca="1" si="9"/>
        <v/>
      </c>
      <c r="N142" s="214" t="str">
        <f>IF(OR($A142="",$A142="Grand Total"),IF($A142="Grand Total",SUM($N$15:$N141),""),SUMPRODUCT((Table1[County]=SummaryPage!$A142)*(Table1[Status]&lt;&gt;"Complete")))</f>
        <v/>
      </c>
      <c r="O142" s="6" t="str">
        <f ca="1">IF($A142="Grand Total",SUM(INDIRECT(ADDRESS(1,COLUMN())&amp;":"&amp;ADDRESS(ROW()-1,COLUMN()))),IF(OR($A142="State Agencies",IFERROR(AND($L142&gt;='Input Sheet'!$J$2,$A142&lt;&gt;""),0)),$J142,""))</f>
        <v/>
      </c>
      <c r="P142" s="3" t="str">
        <f>IF(OR($A142="",$A142="Grand Total"),"",IF(IFERROR(ROUND($J142/$K142,2),1000)&gt;='Input Sheet'!$J$2,1,""))</f>
        <v/>
      </c>
      <c r="Q142" s="3" t="str">
        <f t="shared" si="11"/>
        <v/>
      </c>
      <c r="R142" s="3" t="str">
        <f>IF(OR($A142="",$A142="Grand Total"),"",AND($J142=0,(SUMPRODUCT((Table1[County]=SummaryPage!$A142)*(Table1[Status]="Not Started"))+SUMPRODUCT((Table1[County]=SummaryPage!$A142)*(Table1[Status]="")))=SUMPRODUCT((Table1[County]=SummaryPage!$A142)*(Table1[Status]&lt;&gt;"Q"))))</f>
        <v/>
      </c>
    </row>
    <row r="143" spans="1:18" x14ac:dyDescent="0.3">
      <c r="A143"/>
      <c r="B143"/>
      <c r="C143"/>
      <c r="D143"/>
      <c r="E143"/>
      <c r="F143"/>
      <c r="G143"/>
      <c r="H143"/>
      <c r="I143"/>
      <c r="J143"/>
      <c r="K143" s="211" t="str">
        <f>IF($A143="","",VLOOKUP('Input Sheet'!$D$2 &amp; " " &amp; $A143,Pop[#All],4,FALSE))</f>
        <v/>
      </c>
      <c r="L143" s="212" t="str">
        <f t="shared" si="10"/>
        <v/>
      </c>
      <c r="M143" s="213" t="str">
        <f t="shared" ref="M143:M206" ca="1" si="12">IF(A143="Grand Total","",IF(ISNUMBER($O143),$O143*2/SUM($O:$O),""))</f>
        <v/>
      </c>
      <c r="N143" s="214" t="str">
        <f>IF(OR($A143="",$A143="Grand Total"),IF($A143="Grand Total",SUM($N$15:$N142),""),SUMPRODUCT((Table1[County]=SummaryPage!$A143)*(Table1[Status]&lt;&gt;"Complete")))</f>
        <v/>
      </c>
      <c r="O143" s="6" t="str">
        <f ca="1">IF($A143="Grand Total",SUM(INDIRECT(ADDRESS(1,COLUMN())&amp;":"&amp;ADDRESS(ROW()-1,COLUMN()))),IF(OR($A143="State Agencies",IFERROR(AND($L143&gt;='Input Sheet'!$J$2,$A143&lt;&gt;""),0)),$J143,""))</f>
        <v/>
      </c>
      <c r="P143" s="3" t="str">
        <f>IF(OR($A143="",$A143="Grand Total"),"",IF(IFERROR(ROUND($J143/$K143,2),1000)&gt;='Input Sheet'!$J$2,1,""))</f>
        <v/>
      </c>
      <c r="Q143" s="3" t="str">
        <f t="shared" si="11"/>
        <v/>
      </c>
      <c r="R143" s="3" t="str">
        <f>IF(OR($A143="",$A143="Grand Total"),"",AND($J143=0,(SUMPRODUCT((Table1[County]=SummaryPage!$A143)*(Table1[Status]="Not Started"))+SUMPRODUCT((Table1[County]=SummaryPage!$A143)*(Table1[Status]="")))=SUMPRODUCT((Table1[County]=SummaryPage!$A143)*(Table1[Status]&lt;&gt;"Q"))))</f>
        <v/>
      </c>
    </row>
    <row r="144" spans="1:18" x14ac:dyDescent="0.3">
      <c r="A144"/>
      <c r="B144"/>
      <c r="C144"/>
      <c r="D144"/>
      <c r="E144"/>
      <c r="F144"/>
      <c r="G144"/>
      <c r="H144"/>
      <c r="I144"/>
      <c r="J144"/>
      <c r="K144" s="211" t="str">
        <f>IF($A144="","",VLOOKUP('Input Sheet'!$D$2 &amp; " " &amp; $A144,Pop[#All],4,FALSE))</f>
        <v/>
      </c>
      <c r="L144" s="212" t="str">
        <f t="shared" ref="L144:L207" si="13">IFERROR(IF($A144="","",ROUND($J144/$K144,2)),"")</f>
        <v/>
      </c>
      <c r="M144" s="213" t="str">
        <f t="shared" ca="1" si="12"/>
        <v/>
      </c>
      <c r="N144" s="214" t="str">
        <f>IF(OR($A144="",$A144="Grand Total"),IF($A144="Grand Total",SUM($N$15:$N143),""),SUMPRODUCT((Table1[County]=SummaryPage!$A144)*(Table1[Status]&lt;&gt;"Complete")))</f>
        <v/>
      </c>
      <c r="O144" s="6" t="str">
        <f ca="1">IF($A144="Grand Total",SUM(INDIRECT(ADDRESS(1,COLUMN())&amp;":"&amp;ADDRESS(ROW()-1,COLUMN()))),IF(OR($A144="State Agencies",IFERROR(AND($L144&gt;='Input Sheet'!$J$2,$A144&lt;&gt;""),0)),$J144,""))</f>
        <v/>
      </c>
      <c r="P144" s="3" t="str">
        <f>IF(OR($A144="",$A144="Grand Total"),"",IF(IFERROR(ROUND($J144/$K144,2),1000)&gt;='Input Sheet'!$J$2,1,""))</f>
        <v/>
      </c>
      <c r="Q144" s="3" t="str">
        <f t="shared" ref="Q144:Q207" si="14">IFERROR($L144*$P144,"")</f>
        <v/>
      </c>
      <c r="R144" s="3" t="str">
        <f>IF(OR($A144="",$A144="Grand Total"),"",AND($J144=0,(SUMPRODUCT((Table1[County]=SummaryPage!$A144)*(Table1[Status]="Not Started"))+SUMPRODUCT((Table1[County]=SummaryPage!$A144)*(Table1[Status]="")))=SUMPRODUCT((Table1[County]=SummaryPage!$A144)*(Table1[Status]&lt;&gt;"Q"))))</f>
        <v/>
      </c>
    </row>
    <row r="145" spans="1:18" x14ac:dyDescent="0.3">
      <c r="A145"/>
      <c r="B145"/>
      <c r="C145"/>
      <c r="D145"/>
      <c r="E145"/>
      <c r="F145"/>
      <c r="G145"/>
      <c r="H145"/>
      <c r="I145"/>
      <c r="J145"/>
      <c r="K145" s="211" t="str">
        <f>IF($A145="","",VLOOKUP('Input Sheet'!$D$2 &amp; " " &amp; $A145,Pop[#All],4,FALSE))</f>
        <v/>
      </c>
      <c r="L145" s="212" t="str">
        <f t="shared" si="13"/>
        <v/>
      </c>
      <c r="M145" s="213" t="str">
        <f t="shared" ca="1" si="12"/>
        <v/>
      </c>
      <c r="N145" s="214" t="str">
        <f>IF(OR($A145="",$A145="Grand Total"),IF($A145="Grand Total",SUM($N$15:$N144),""),SUMPRODUCT((Table1[County]=SummaryPage!$A145)*(Table1[Status]&lt;&gt;"Complete")))</f>
        <v/>
      </c>
      <c r="O145" s="6" t="str">
        <f ca="1">IF($A145="Grand Total",SUM(INDIRECT(ADDRESS(1,COLUMN())&amp;":"&amp;ADDRESS(ROW()-1,COLUMN()))),IF(OR($A145="State Agencies",IFERROR(AND($L145&gt;='Input Sheet'!$J$2,$A145&lt;&gt;""),0)),$J145,""))</f>
        <v/>
      </c>
      <c r="P145" s="3" t="str">
        <f>IF(OR($A145="",$A145="Grand Total"),"",IF(IFERROR(ROUND($J145/$K145,2),1000)&gt;='Input Sheet'!$J$2,1,""))</f>
        <v/>
      </c>
      <c r="Q145" s="3" t="str">
        <f t="shared" si="14"/>
        <v/>
      </c>
      <c r="R145" s="3" t="str">
        <f>IF(OR($A145="",$A145="Grand Total"),"",AND($J145=0,(SUMPRODUCT((Table1[County]=SummaryPage!$A145)*(Table1[Status]="Not Started"))+SUMPRODUCT((Table1[County]=SummaryPage!$A145)*(Table1[Status]="")))=SUMPRODUCT((Table1[County]=SummaryPage!$A145)*(Table1[Status]&lt;&gt;"Q"))))</f>
        <v/>
      </c>
    </row>
    <row r="146" spans="1:18" x14ac:dyDescent="0.3">
      <c r="A146"/>
      <c r="B146"/>
      <c r="C146"/>
      <c r="D146"/>
      <c r="E146"/>
      <c r="F146"/>
      <c r="G146"/>
      <c r="H146"/>
      <c r="I146"/>
      <c r="J146"/>
      <c r="K146" s="211" t="str">
        <f>IF($A146="","",VLOOKUP('Input Sheet'!$D$2 &amp; " " &amp; $A146,Pop[#All],4,FALSE))</f>
        <v/>
      </c>
      <c r="L146" s="212" t="str">
        <f t="shared" si="13"/>
        <v/>
      </c>
      <c r="M146" s="213" t="str">
        <f t="shared" ca="1" si="12"/>
        <v/>
      </c>
      <c r="N146" s="214" t="str">
        <f>IF(OR($A146="",$A146="Grand Total"),IF($A146="Grand Total",SUM($N$15:$N145),""),SUMPRODUCT((Table1[County]=SummaryPage!$A146)*(Table1[Status]&lt;&gt;"Complete")))</f>
        <v/>
      </c>
      <c r="O146" s="6" t="str">
        <f ca="1">IF($A146="Grand Total",SUM(INDIRECT(ADDRESS(1,COLUMN())&amp;":"&amp;ADDRESS(ROW()-1,COLUMN()))),IF(OR($A146="State Agencies",IFERROR(AND($L146&gt;='Input Sheet'!$J$2,$A146&lt;&gt;""),0)),$J146,""))</f>
        <v/>
      </c>
      <c r="P146" s="3" t="str">
        <f>IF(OR($A146="",$A146="Grand Total"),"",IF(IFERROR(ROUND($J146/$K146,2),1000)&gt;='Input Sheet'!$J$2,1,""))</f>
        <v/>
      </c>
      <c r="Q146" s="3" t="str">
        <f t="shared" si="14"/>
        <v/>
      </c>
      <c r="R146" s="3" t="str">
        <f>IF(OR($A146="",$A146="Grand Total"),"",AND($J146=0,(SUMPRODUCT((Table1[County]=SummaryPage!$A146)*(Table1[Status]="Not Started"))+SUMPRODUCT((Table1[County]=SummaryPage!$A146)*(Table1[Status]="")))=SUMPRODUCT((Table1[County]=SummaryPage!$A146)*(Table1[Status]&lt;&gt;"Q"))))</f>
        <v/>
      </c>
    </row>
    <row r="147" spans="1:18" x14ac:dyDescent="0.3">
      <c r="A147"/>
      <c r="B147"/>
      <c r="C147"/>
      <c r="D147"/>
      <c r="E147"/>
      <c r="F147"/>
      <c r="G147"/>
      <c r="H147"/>
      <c r="I147"/>
      <c r="J147"/>
      <c r="K147" s="211" t="str">
        <f>IF($A147="","",VLOOKUP('Input Sheet'!$D$2 &amp; " " &amp; $A147,Pop[#All],4,FALSE))</f>
        <v/>
      </c>
      <c r="L147" s="212" t="str">
        <f t="shared" si="13"/>
        <v/>
      </c>
      <c r="M147" s="213" t="str">
        <f t="shared" ca="1" si="12"/>
        <v/>
      </c>
      <c r="N147" s="214" t="str">
        <f>IF(OR($A147="",$A147="Grand Total"),IF($A147="Grand Total",SUM($N$15:$N146),""),SUMPRODUCT((Table1[County]=SummaryPage!$A147)*(Table1[Status]&lt;&gt;"Complete")))</f>
        <v/>
      </c>
      <c r="O147" s="6" t="str">
        <f ca="1">IF($A147="Grand Total",SUM(INDIRECT(ADDRESS(1,COLUMN())&amp;":"&amp;ADDRESS(ROW()-1,COLUMN()))),IF(OR($A147="State Agencies",IFERROR(AND($L147&gt;='Input Sheet'!$J$2,$A147&lt;&gt;""),0)),$J147,""))</f>
        <v/>
      </c>
      <c r="P147" s="3" t="str">
        <f>IF(OR($A147="",$A147="Grand Total"),"",IF(IFERROR(ROUND($J147/$K147,2),1000)&gt;='Input Sheet'!$J$2,1,""))</f>
        <v/>
      </c>
      <c r="Q147" s="3" t="str">
        <f t="shared" si="14"/>
        <v/>
      </c>
      <c r="R147" s="3" t="str">
        <f>IF(OR($A147="",$A147="Grand Total"),"",AND($J147=0,(SUMPRODUCT((Table1[County]=SummaryPage!$A147)*(Table1[Status]="Not Started"))+SUMPRODUCT((Table1[County]=SummaryPage!$A147)*(Table1[Status]="")))=SUMPRODUCT((Table1[County]=SummaryPage!$A147)*(Table1[Status]&lt;&gt;"Q"))))</f>
        <v/>
      </c>
    </row>
    <row r="148" spans="1:18" x14ac:dyDescent="0.3">
      <c r="A148"/>
      <c r="B148"/>
      <c r="C148"/>
      <c r="D148"/>
      <c r="E148"/>
      <c r="F148"/>
      <c r="G148"/>
      <c r="H148"/>
      <c r="I148"/>
      <c r="J148"/>
      <c r="K148" s="211" t="str">
        <f>IF($A148="","",VLOOKUP('Input Sheet'!$D$2 &amp; " " &amp; $A148,Pop[#All],4,FALSE))</f>
        <v/>
      </c>
      <c r="L148" s="212" t="str">
        <f t="shared" si="13"/>
        <v/>
      </c>
      <c r="M148" s="213" t="str">
        <f t="shared" ca="1" si="12"/>
        <v/>
      </c>
      <c r="N148" s="214" t="str">
        <f>IF(OR($A148="",$A148="Grand Total"),IF($A148="Grand Total",SUM($N$15:$N147),""),SUMPRODUCT((Table1[County]=SummaryPage!$A148)*(Table1[Status]&lt;&gt;"Complete")))</f>
        <v/>
      </c>
      <c r="O148" s="6" t="str">
        <f ca="1">IF($A148="Grand Total",SUM(INDIRECT(ADDRESS(1,COLUMN())&amp;":"&amp;ADDRESS(ROW()-1,COLUMN()))),IF(OR($A148="State Agencies",IFERROR(AND($L148&gt;='Input Sheet'!$J$2,$A148&lt;&gt;""),0)),$J148,""))</f>
        <v/>
      </c>
      <c r="P148" s="3" t="str">
        <f>IF(OR($A148="",$A148="Grand Total"),"",IF(IFERROR(ROUND($J148/$K148,2),1000)&gt;='Input Sheet'!$J$2,1,""))</f>
        <v/>
      </c>
      <c r="Q148" s="3" t="str">
        <f t="shared" si="14"/>
        <v/>
      </c>
      <c r="R148" s="3" t="str">
        <f>IF(OR($A148="",$A148="Grand Total"),"",AND($J148=0,(SUMPRODUCT((Table1[County]=SummaryPage!$A148)*(Table1[Status]="Not Started"))+SUMPRODUCT((Table1[County]=SummaryPage!$A148)*(Table1[Status]="")))=SUMPRODUCT((Table1[County]=SummaryPage!$A148)*(Table1[Status]&lt;&gt;"Q"))))</f>
        <v/>
      </c>
    </row>
    <row r="149" spans="1:18" x14ac:dyDescent="0.3">
      <c r="A149"/>
      <c r="B149"/>
      <c r="C149"/>
      <c r="D149"/>
      <c r="E149"/>
      <c r="F149"/>
      <c r="G149"/>
      <c r="H149"/>
      <c r="I149"/>
      <c r="J149"/>
      <c r="K149" s="211" t="str">
        <f>IF($A149="","",VLOOKUP('Input Sheet'!$D$2 &amp; " " &amp; $A149,Pop[#All],4,FALSE))</f>
        <v/>
      </c>
      <c r="L149" s="212" t="str">
        <f t="shared" si="13"/>
        <v/>
      </c>
      <c r="M149" s="213" t="str">
        <f t="shared" ca="1" si="12"/>
        <v/>
      </c>
      <c r="N149" s="214" t="str">
        <f>IF(OR($A149="",$A149="Grand Total"),IF($A149="Grand Total",SUM($N$15:$N148),""),SUMPRODUCT((Table1[County]=SummaryPage!$A149)*(Table1[Status]&lt;&gt;"Complete")))</f>
        <v/>
      </c>
      <c r="O149" s="6" t="str">
        <f ca="1">IF($A149="Grand Total",SUM(INDIRECT(ADDRESS(1,COLUMN())&amp;":"&amp;ADDRESS(ROW()-1,COLUMN()))),IF(OR($A149="State Agencies",IFERROR(AND($L149&gt;='Input Sheet'!$J$2,$A149&lt;&gt;""),0)),$J149,""))</f>
        <v/>
      </c>
      <c r="P149" s="3" t="str">
        <f>IF(OR($A149="",$A149="Grand Total"),"",IF(IFERROR(ROUND($J149/$K149,2),1000)&gt;='Input Sheet'!$J$2,1,""))</f>
        <v/>
      </c>
      <c r="Q149" s="3" t="str">
        <f t="shared" si="14"/>
        <v/>
      </c>
      <c r="R149" s="3" t="str">
        <f>IF(OR($A149="",$A149="Grand Total"),"",AND($J149=0,(SUMPRODUCT((Table1[County]=SummaryPage!$A149)*(Table1[Status]="Not Started"))+SUMPRODUCT((Table1[County]=SummaryPage!$A149)*(Table1[Status]="")))=SUMPRODUCT((Table1[County]=SummaryPage!$A149)*(Table1[Status]&lt;&gt;"Q"))))</f>
        <v/>
      </c>
    </row>
    <row r="150" spans="1:18" x14ac:dyDescent="0.3">
      <c r="A150"/>
      <c r="B150"/>
      <c r="C150"/>
      <c r="D150"/>
      <c r="E150"/>
      <c r="F150"/>
      <c r="G150"/>
      <c r="H150"/>
      <c r="I150"/>
      <c r="J150"/>
      <c r="K150" s="211" t="str">
        <f>IF($A150="","",VLOOKUP('Input Sheet'!$D$2 &amp; " " &amp; $A150,Pop[#All],4,FALSE))</f>
        <v/>
      </c>
      <c r="L150" s="212" t="str">
        <f t="shared" si="13"/>
        <v/>
      </c>
      <c r="M150" s="213" t="str">
        <f t="shared" ca="1" si="12"/>
        <v/>
      </c>
      <c r="N150" s="214" t="str">
        <f>IF(OR($A150="",$A150="Grand Total"),IF($A150="Grand Total",SUM($N$15:$N149),""),SUMPRODUCT((Table1[County]=SummaryPage!$A150)*(Table1[Status]&lt;&gt;"Complete")))</f>
        <v/>
      </c>
      <c r="O150" s="6" t="str">
        <f ca="1">IF($A150="Grand Total",SUM(INDIRECT(ADDRESS(1,COLUMN())&amp;":"&amp;ADDRESS(ROW()-1,COLUMN()))),IF(OR($A150="State Agencies",IFERROR(AND($L150&gt;='Input Sheet'!$J$2,$A150&lt;&gt;""),0)),$J150,""))</f>
        <v/>
      </c>
      <c r="P150" s="3" t="str">
        <f>IF(OR($A150="",$A150="Grand Total"),"",IF(IFERROR(ROUND($J150/$K150,2),1000)&gt;='Input Sheet'!$J$2,1,""))</f>
        <v/>
      </c>
      <c r="Q150" s="3" t="str">
        <f t="shared" si="14"/>
        <v/>
      </c>
      <c r="R150" s="3" t="str">
        <f>IF(OR($A150="",$A150="Grand Total"),"",AND($J150=0,(SUMPRODUCT((Table1[County]=SummaryPage!$A150)*(Table1[Status]="Not Started"))+SUMPRODUCT((Table1[County]=SummaryPage!$A150)*(Table1[Status]="")))=SUMPRODUCT((Table1[County]=SummaryPage!$A150)*(Table1[Status]&lt;&gt;"Q"))))</f>
        <v/>
      </c>
    </row>
    <row r="151" spans="1:18" x14ac:dyDescent="0.3">
      <c r="A151"/>
      <c r="B151"/>
      <c r="C151"/>
      <c r="D151"/>
      <c r="E151"/>
      <c r="F151"/>
      <c r="G151"/>
      <c r="H151"/>
      <c r="I151"/>
      <c r="J151"/>
      <c r="K151" s="211" t="str">
        <f>IF($A151="","",VLOOKUP('Input Sheet'!$D$2 &amp; " " &amp; $A151,Pop[#All],4,FALSE))</f>
        <v/>
      </c>
      <c r="L151" s="212" t="str">
        <f t="shared" si="13"/>
        <v/>
      </c>
      <c r="M151" s="213" t="str">
        <f t="shared" ca="1" si="12"/>
        <v/>
      </c>
      <c r="N151" s="214" t="str">
        <f>IF(OR($A151="",$A151="Grand Total"),IF($A151="Grand Total",SUM($N$15:$N150),""),SUMPRODUCT((Table1[County]=SummaryPage!$A151)*(Table1[Status]&lt;&gt;"Complete")))</f>
        <v/>
      </c>
      <c r="O151" s="6" t="str">
        <f ca="1">IF($A151="Grand Total",SUM(INDIRECT(ADDRESS(1,COLUMN())&amp;":"&amp;ADDRESS(ROW()-1,COLUMN()))),IF(OR($A151="State Agencies",IFERROR(AND($L151&gt;='Input Sheet'!$J$2,$A151&lt;&gt;""),0)),$J151,""))</f>
        <v/>
      </c>
      <c r="P151" s="3" t="str">
        <f>IF(OR($A151="",$A151="Grand Total"),"",IF(IFERROR(ROUND($J151/$K151,2),1000)&gt;='Input Sheet'!$J$2,1,""))</f>
        <v/>
      </c>
      <c r="Q151" s="3" t="str">
        <f t="shared" si="14"/>
        <v/>
      </c>
      <c r="R151" s="3" t="str">
        <f>IF(OR($A151="",$A151="Grand Total"),"",AND($J151=0,(SUMPRODUCT((Table1[County]=SummaryPage!$A151)*(Table1[Status]="Not Started"))+SUMPRODUCT((Table1[County]=SummaryPage!$A151)*(Table1[Status]="")))=SUMPRODUCT((Table1[County]=SummaryPage!$A151)*(Table1[Status]&lt;&gt;"Q"))))</f>
        <v/>
      </c>
    </row>
    <row r="152" spans="1:18" x14ac:dyDescent="0.3">
      <c r="A152"/>
      <c r="B152"/>
      <c r="C152"/>
      <c r="D152"/>
      <c r="E152"/>
      <c r="F152"/>
      <c r="G152"/>
      <c r="H152"/>
      <c r="I152"/>
      <c r="J152"/>
      <c r="K152" s="211" t="str">
        <f>IF($A152="","",VLOOKUP('Input Sheet'!$D$2 &amp; " " &amp; $A152,Pop[#All],4,FALSE))</f>
        <v/>
      </c>
      <c r="L152" s="212" t="str">
        <f t="shared" si="13"/>
        <v/>
      </c>
      <c r="M152" s="213" t="str">
        <f t="shared" ca="1" si="12"/>
        <v/>
      </c>
      <c r="N152" s="214" t="str">
        <f>IF(OR($A152="",$A152="Grand Total"),IF($A152="Grand Total",SUM($N$15:$N151),""),SUMPRODUCT((Table1[County]=SummaryPage!$A152)*(Table1[Status]&lt;&gt;"Complete")))</f>
        <v/>
      </c>
      <c r="O152" s="6" t="str">
        <f ca="1">IF($A152="Grand Total",SUM(INDIRECT(ADDRESS(1,COLUMN())&amp;":"&amp;ADDRESS(ROW()-1,COLUMN()))),IF(OR($A152="State Agencies",IFERROR(AND($L152&gt;='Input Sheet'!$J$2,$A152&lt;&gt;""),0)),$J152,""))</f>
        <v/>
      </c>
      <c r="P152" s="3" t="str">
        <f>IF(OR($A152="",$A152="Grand Total"),"",IF(IFERROR(ROUND($J152/$K152,2),1000)&gt;='Input Sheet'!$J$2,1,""))</f>
        <v/>
      </c>
      <c r="Q152" s="3" t="str">
        <f t="shared" si="14"/>
        <v/>
      </c>
      <c r="R152" s="3" t="str">
        <f>IF(OR($A152="",$A152="Grand Total"),"",AND($J152=0,(SUMPRODUCT((Table1[County]=SummaryPage!$A152)*(Table1[Status]="Not Started"))+SUMPRODUCT((Table1[County]=SummaryPage!$A152)*(Table1[Status]="")))=SUMPRODUCT((Table1[County]=SummaryPage!$A152)*(Table1[Status]&lt;&gt;"Q"))))</f>
        <v/>
      </c>
    </row>
    <row r="153" spans="1:18" x14ac:dyDescent="0.3">
      <c r="A153"/>
      <c r="B153"/>
      <c r="C153"/>
      <c r="D153"/>
      <c r="E153"/>
      <c r="F153"/>
      <c r="G153"/>
      <c r="H153"/>
      <c r="I153"/>
      <c r="J153"/>
      <c r="K153" s="211" t="str">
        <f>IF($A153="","",VLOOKUP('Input Sheet'!$D$2 &amp; " " &amp; $A153,Pop[#All],4,FALSE))</f>
        <v/>
      </c>
      <c r="L153" s="212" t="str">
        <f t="shared" si="13"/>
        <v/>
      </c>
      <c r="M153" s="213" t="str">
        <f t="shared" ca="1" si="12"/>
        <v/>
      </c>
      <c r="N153" s="214" t="str">
        <f>IF(OR($A153="",$A153="Grand Total"),IF($A153="Grand Total",SUM($N$15:$N152),""),SUMPRODUCT((Table1[County]=SummaryPage!$A153)*(Table1[Status]&lt;&gt;"Complete")))</f>
        <v/>
      </c>
      <c r="O153" s="6" t="str">
        <f ca="1">IF($A153="Grand Total",SUM(INDIRECT(ADDRESS(1,COLUMN())&amp;":"&amp;ADDRESS(ROW()-1,COLUMN()))),IF(OR($A153="State Agencies",IFERROR(AND($L153&gt;='Input Sheet'!$J$2,$A153&lt;&gt;""),0)),$J153,""))</f>
        <v/>
      </c>
      <c r="P153" s="3" t="str">
        <f>IF(OR($A153="",$A153="Grand Total"),"",IF(IFERROR(ROUND($J153/$K153,2),1000)&gt;='Input Sheet'!$J$2,1,""))</f>
        <v/>
      </c>
      <c r="Q153" s="3" t="str">
        <f t="shared" si="14"/>
        <v/>
      </c>
      <c r="R153" s="3" t="str">
        <f>IF(OR($A153="",$A153="Grand Total"),"",AND($J153=0,(SUMPRODUCT((Table1[County]=SummaryPage!$A153)*(Table1[Status]="Not Started"))+SUMPRODUCT((Table1[County]=SummaryPage!$A153)*(Table1[Status]="")))=SUMPRODUCT((Table1[County]=SummaryPage!$A153)*(Table1[Status]&lt;&gt;"Q"))))</f>
        <v/>
      </c>
    </row>
    <row r="154" spans="1:18" x14ac:dyDescent="0.3">
      <c r="A154"/>
      <c r="B154"/>
      <c r="C154"/>
      <c r="D154"/>
      <c r="E154"/>
      <c r="F154"/>
      <c r="G154"/>
      <c r="H154"/>
      <c r="I154"/>
      <c r="J154"/>
      <c r="K154" s="211" t="str">
        <f>IF($A154="","",VLOOKUP('Input Sheet'!$D$2 &amp; " " &amp; $A154,Pop[#All],4,FALSE))</f>
        <v/>
      </c>
      <c r="L154" s="212" t="str">
        <f t="shared" si="13"/>
        <v/>
      </c>
      <c r="M154" s="213" t="str">
        <f t="shared" ca="1" si="12"/>
        <v/>
      </c>
      <c r="N154" s="214" t="str">
        <f>IF(OR($A154="",$A154="Grand Total"),IF($A154="Grand Total",SUM($N$15:$N153),""),SUMPRODUCT((Table1[County]=SummaryPage!$A154)*(Table1[Status]&lt;&gt;"Complete")))</f>
        <v/>
      </c>
      <c r="O154" s="6" t="str">
        <f ca="1">IF($A154="Grand Total",SUM(INDIRECT(ADDRESS(1,COLUMN())&amp;":"&amp;ADDRESS(ROW()-1,COLUMN()))),IF(OR($A154="State Agencies",IFERROR(AND($L154&gt;='Input Sheet'!$J$2,$A154&lt;&gt;""),0)),$J154,""))</f>
        <v/>
      </c>
      <c r="P154" s="3" t="str">
        <f>IF(OR($A154="",$A154="Grand Total"),"",IF(IFERROR(ROUND($J154/$K154,2),1000)&gt;='Input Sheet'!$J$2,1,""))</f>
        <v/>
      </c>
      <c r="Q154" s="3" t="str">
        <f t="shared" si="14"/>
        <v/>
      </c>
      <c r="R154" s="3" t="str">
        <f>IF(OR($A154="",$A154="Grand Total"),"",AND($J154=0,(SUMPRODUCT((Table1[County]=SummaryPage!$A154)*(Table1[Status]="Not Started"))+SUMPRODUCT((Table1[County]=SummaryPage!$A154)*(Table1[Status]="")))=SUMPRODUCT((Table1[County]=SummaryPage!$A154)*(Table1[Status]&lt;&gt;"Q"))))</f>
        <v/>
      </c>
    </row>
    <row r="155" spans="1:18" x14ac:dyDescent="0.3">
      <c r="A155"/>
      <c r="B155"/>
      <c r="C155"/>
      <c r="D155"/>
      <c r="E155"/>
      <c r="F155"/>
      <c r="G155"/>
      <c r="H155"/>
      <c r="I155"/>
      <c r="J155"/>
      <c r="K155" s="211" t="str">
        <f>IF($A155="","",VLOOKUP('Input Sheet'!$D$2 &amp; " " &amp; $A155,Pop[#All],4,FALSE))</f>
        <v/>
      </c>
      <c r="L155" s="212" t="str">
        <f t="shared" si="13"/>
        <v/>
      </c>
      <c r="M155" s="213" t="str">
        <f t="shared" ca="1" si="12"/>
        <v/>
      </c>
      <c r="N155" s="214" t="str">
        <f>IF(OR($A155="",$A155="Grand Total"),IF($A155="Grand Total",SUM($N$15:$N154),""),SUMPRODUCT((Table1[County]=SummaryPage!$A155)*(Table1[Status]&lt;&gt;"Complete")))</f>
        <v/>
      </c>
      <c r="O155" s="6" t="str">
        <f ca="1">IF($A155="Grand Total",SUM(INDIRECT(ADDRESS(1,COLUMN())&amp;":"&amp;ADDRESS(ROW()-1,COLUMN()))),IF(OR($A155="State Agencies",IFERROR(AND($L155&gt;='Input Sheet'!$J$2,$A155&lt;&gt;""),0)),$J155,""))</f>
        <v/>
      </c>
      <c r="P155" s="3" t="str">
        <f>IF(OR($A155="",$A155="Grand Total"),"",IF(IFERROR(ROUND($J155/$K155,2),1000)&gt;='Input Sheet'!$J$2,1,""))</f>
        <v/>
      </c>
      <c r="Q155" s="3" t="str">
        <f t="shared" si="14"/>
        <v/>
      </c>
      <c r="R155" s="3" t="str">
        <f>IF(OR($A155="",$A155="Grand Total"),"",AND($J155=0,(SUMPRODUCT((Table1[County]=SummaryPage!$A155)*(Table1[Status]="Not Started"))+SUMPRODUCT((Table1[County]=SummaryPage!$A155)*(Table1[Status]="")))=SUMPRODUCT((Table1[County]=SummaryPage!$A155)*(Table1[Status]&lt;&gt;"Q"))))</f>
        <v/>
      </c>
    </row>
    <row r="156" spans="1:18" x14ac:dyDescent="0.3">
      <c r="A156"/>
      <c r="B156"/>
      <c r="C156"/>
      <c r="D156"/>
      <c r="E156"/>
      <c r="F156"/>
      <c r="G156"/>
      <c r="H156"/>
      <c r="I156"/>
      <c r="J156"/>
      <c r="K156" s="211" t="str">
        <f>IF($A156="","",VLOOKUP('Input Sheet'!$D$2 &amp; " " &amp; $A156,Pop[#All],4,FALSE))</f>
        <v/>
      </c>
      <c r="L156" s="212" t="str">
        <f t="shared" si="13"/>
        <v/>
      </c>
      <c r="M156" s="213" t="str">
        <f t="shared" ca="1" si="12"/>
        <v/>
      </c>
      <c r="N156" s="214" t="str">
        <f>IF(OR($A156="",$A156="Grand Total"),IF($A156="Grand Total",SUM($N$15:$N155),""),SUMPRODUCT((Table1[County]=SummaryPage!$A156)*(Table1[Status]&lt;&gt;"Complete")))</f>
        <v/>
      </c>
      <c r="O156" s="6" t="str">
        <f ca="1">IF($A156="Grand Total",SUM(INDIRECT(ADDRESS(1,COLUMN())&amp;":"&amp;ADDRESS(ROW()-1,COLUMN()))),IF(OR($A156="State Agencies",IFERROR(AND($L156&gt;='Input Sheet'!$J$2,$A156&lt;&gt;""),0)),$J156,""))</f>
        <v/>
      </c>
      <c r="P156" s="3" t="str">
        <f>IF(OR($A156="",$A156="Grand Total"),"",IF(IFERROR(ROUND($J156/$K156,2),1000)&gt;='Input Sheet'!$J$2,1,""))</f>
        <v/>
      </c>
      <c r="Q156" s="3" t="str">
        <f t="shared" si="14"/>
        <v/>
      </c>
      <c r="R156" s="3" t="str">
        <f>IF(OR($A156="",$A156="Grand Total"),"",AND($J156=0,(SUMPRODUCT((Table1[County]=SummaryPage!$A156)*(Table1[Status]="Not Started"))+SUMPRODUCT((Table1[County]=SummaryPage!$A156)*(Table1[Status]="")))=SUMPRODUCT((Table1[County]=SummaryPage!$A156)*(Table1[Status]&lt;&gt;"Q"))))</f>
        <v/>
      </c>
    </row>
    <row r="157" spans="1:18" x14ac:dyDescent="0.3">
      <c r="A157"/>
      <c r="B157"/>
      <c r="C157"/>
      <c r="D157"/>
      <c r="E157"/>
      <c r="F157"/>
      <c r="G157"/>
      <c r="H157"/>
      <c r="I157"/>
      <c r="J157"/>
      <c r="K157" s="211" t="str">
        <f>IF($A157="","",VLOOKUP('Input Sheet'!$D$2 &amp; " " &amp; $A157,Pop[#All],4,FALSE))</f>
        <v/>
      </c>
      <c r="L157" s="212" t="str">
        <f t="shared" si="13"/>
        <v/>
      </c>
      <c r="M157" s="213" t="str">
        <f t="shared" ca="1" si="12"/>
        <v/>
      </c>
      <c r="N157" s="214" t="str">
        <f>IF(OR($A157="",$A157="Grand Total"),IF($A157="Grand Total",SUM($N$15:$N156),""),SUMPRODUCT((Table1[County]=SummaryPage!$A157)*(Table1[Status]&lt;&gt;"Complete")))</f>
        <v/>
      </c>
      <c r="O157" s="6" t="str">
        <f ca="1">IF($A157="Grand Total",SUM(INDIRECT(ADDRESS(1,COLUMN())&amp;":"&amp;ADDRESS(ROW()-1,COLUMN()))),IF(OR($A157="State Agencies",IFERROR(AND($L157&gt;='Input Sheet'!$J$2,$A157&lt;&gt;""),0)),$J157,""))</f>
        <v/>
      </c>
      <c r="P157" s="3" t="str">
        <f>IF(OR($A157="",$A157="Grand Total"),"",IF(IFERROR(ROUND($J157/$K157,2),1000)&gt;='Input Sheet'!$J$2,1,""))</f>
        <v/>
      </c>
      <c r="Q157" s="3" t="str">
        <f t="shared" si="14"/>
        <v/>
      </c>
      <c r="R157" s="3" t="str">
        <f>IF(OR($A157="",$A157="Grand Total"),"",AND($J157=0,(SUMPRODUCT((Table1[County]=SummaryPage!$A157)*(Table1[Status]="Not Started"))+SUMPRODUCT((Table1[County]=SummaryPage!$A157)*(Table1[Status]="")))=SUMPRODUCT((Table1[County]=SummaryPage!$A157)*(Table1[Status]&lt;&gt;"Q"))))</f>
        <v/>
      </c>
    </row>
    <row r="158" spans="1:18" x14ac:dyDescent="0.3">
      <c r="A158"/>
      <c r="B158"/>
      <c r="C158"/>
      <c r="D158"/>
      <c r="E158"/>
      <c r="F158"/>
      <c r="G158"/>
      <c r="H158"/>
      <c r="I158"/>
      <c r="J158"/>
      <c r="K158" s="211" t="str">
        <f>IF($A158="","",VLOOKUP('Input Sheet'!$D$2 &amp; " " &amp; $A158,Pop[#All],4,FALSE))</f>
        <v/>
      </c>
      <c r="L158" s="212" t="str">
        <f t="shared" si="13"/>
        <v/>
      </c>
      <c r="M158" s="213" t="str">
        <f t="shared" ca="1" si="12"/>
        <v/>
      </c>
      <c r="N158" s="214" t="str">
        <f>IF(OR($A158="",$A158="Grand Total"),IF($A158="Grand Total",SUM($N$15:$N157),""),SUMPRODUCT((Table1[County]=SummaryPage!$A158)*(Table1[Status]&lt;&gt;"Complete")))</f>
        <v/>
      </c>
      <c r="O158" s="6" t="str">
        <f ca="1">IF($A158="Grand Total",SUM(INDIRECT(ADDRESS(1,COLUMN())&amp;":"&amp;ADDRESS(ROW()-1,COLUMN()))),IF(OR($A158="State Agencies",IFERROR(AND($L158&gt;='Input Sheet'!$J$2,$A158&lt;&gt;""),0)),$J158,""))</f>
        <v/>
      </c>
      <c r="P158" s="3" t="str">
        <f>IF(OR($A158="",$A158="Grand Total"),"",IF(IFERROR(ROUND($J158/$K158,2),1000)&gt;='Input Sheet'!$J$2,1,""))</f>
        <v/>
      </c>
      <c r="Q158" s="3" t="str">
        <f t="shared" si="14"/>
        <v/>
      </c>
      <c r="R158" s="3" t="str">
        <f>IF(OR($A158="",$A158="Grand Total"),"",AND($J158=0,(SUMPRODUCT((Table1[County]=SummaryPage!$A158)*(Table1[Status]="Not Started"))+SUMPRODUCT((Table1[County]=SummaryPage!$A158)*(Table1[Status]="")))=SUMPRODUCT((Table1[County]=SummaryPage!$A158)*(Table1[Status]&lt;&gt;"Q"))))</f>
        <v/>
      </c>
    </row>
    <row r="159" spans="1:18" x14ac:dyDescent="0.3">
      <c r="A159"/>
      <c r="B159"/>
      <c r="C159"/>
      <c r="D159"/>
      <c r="E159"/>
      <c r="F159"/>
      <c r="G159"/>
      <c r="H159"/>
      <c r="I159"/>
      <c r="J159"/>
      <c r="K159" s="211" t="str">
        <f>IF($A159="","",VLOOKUP('Input Sheet'!$D$2 &amp; " " &amp; $A159,Pop[#All],4,FALSE))</f>
        <v/>
      </c>
      <c r="L159" s="212" t="str">
        <f t="shared" si="13"/>
        <v/>
      </c>
      <c r="M159" s="213" t="str">
        <f t="shared" ca="1" si="12"/>
        <v/>
      </c>
      <c r="N159" s="214" t="str">
        <f>IF(OR($A159="",$A159="Grand Total"),IF($A159="Grand Total",SUM($N$15:$N158),""),SUMPRODUCT((Table1[County]=SummaryPage!$A159)*(Table1[Status]&lt;&gt;"Complete")))</f>
        <v/>
      </c>
      <c r="O159" s="6" t="str">
        <f ca="1">IF($A159="Grand Total",SUM(INDIRECT(ADDRESS(1,COLUMN())&amp;":"&amp;ADDRESS(ROW()-1,COLUMN()))),IF(OR($A159="State Agencies",IFERROR(AND($L159&gt;='Input Sheet'!$J$2,$A159&lt;&gt;""),0)),$J159,""))</f>
        <v/>
      </c>
      <c r="P159" s="3" t="str">
        <f>IF(OR($A159="",$A159="Grand Total"),"",IF(IFERROR(ROUND($J159/$K159,2),1000)&gt;='Input Sheet'!$J$2,1,""))</f>
        <v/>
      </c>
      <c r="Q159" s="3" t="str">
        <f t="shared" si="14"/>
        <v/>
      </c>
      <c r="R159" s="3" t="str">
        <f>IF(OR($A159="",$A159="Grand Total"),"",AND($J159=0,(SUMPRODUCT((Table1[County]=SummaryPage!$A159)*(Table1[Status]="Not Started"))+SUMPRODUCT((Table1[County]=SummaryPage!$A159)*(Table1[Status]="")))=SUMPRODUCT((Table1[County]=SummaryPage!$A159)*(Table1[Status]&lt;&gt;"Q"))))</f>
        <v/>
      </c>
    </row>
    <row r="160" spans="1:18" x14ac:dyDescent="0.3">
      <c r="A160"/>
      <c r="B160"/>
      <c r="C160"/>
      <c r="D160"/>
      <c r="E160"/>
      <c r="F160"/>
      <c r="G160"/>
      <c r="H160"/>
      <c r="I160"/>
      <c r="J160"/>
      <c r="K160" s="211" t="str">
        <f>IF($A160="","",VLOOKUP('Input Sheet'!$D$2 &amp; " " &amp; $A160,Pop[#All],4,FALSE))</f>
        <v/>
      </c>
      <c r="L160" s="212" t="str">
        <f t="shared" si="13"/>
        <v/>
      </c>
      <c r="M160" s="213" t="str">
        <f t="shared" ca="1" si="12"/>
        <v/>
      </c>
      <c r="N160" s="214" t="str">
        <f>IF(OR($A160="",$A160="Grand Total"),IF($A160="Grand Total",SUM($N$15:$N159),""),SUMPRODUCT((Table1[County]=SummaryPage!$A160)*(Table1[Status]&lt;&gt;"Complete")))</f>
        <v/>
      </c>
      <c r="O160" s="6" t="str">
        <f ca="1">IF($A160="Grand Total",SUM(INDIRECT(ADDRESS(1,COLUMN())&amp;":"&amp;ADDRESS(ROW()-1,COLUMN()))),IF(OR($A160="State Agencies",IFERROR(AND($L160&gt;='Input Sheet'!$J$2,$A160&lt;&gt;""),0)),$J160,""))</f>
        <v/>
      </c>
      <c r="P160" s="3" t="str">
        <f>IF(OR($A160="",$A160="Grand Total"),"",IF(IFERROR(ROUND($J160/$K160,2),1000)&gt;='Input Sheet'!$J$2,1,""))</f>
        <v/>
      </c>
      <c r="Q160" s="3" t="str">
        <f t="shared" si="14"/>
        <v/>
      </c>
      <c r="R160" s="3" t="str">
        <f>IF(OR($A160="",$A160="Grand Total"),"",AND($J160=0,(SUMPRODUCT((Table1[County]=SummaryPage!$A160)*(Table1[Status]="Not Started"))+SUMPRODUCT((Table1[County]=SummaryPage!$A160)*(Table1[Status]="")))=SUMPRODUCT((Table1[County]=SummaryPage!$A160)*(Table1[Status]&lt;&gt;"Q"))))</f>
        <v/>
      </c>
    </row>
    <row r="161" spans="1:18" x14ac:dyDescent="0.3">
      <c r="A161"/>
      <c r="B161"/>
      <c r="C161"/>
      <c r="D161"/>
      <c r="E161"/>
      <c r="F161"/>
      <c r="G161"/>
      <c r="H161"/>
      <c r="I161"/>
      <c r="J161"/>
      <c r="K161" s="211" t="str">
        <f>IF($A161="","",VLOOKUP('Input Sheet'!$D$2 &amp; " " &amp; $A161,Pop[#All],4,FALSE))</f>
        <v/>
      </c>
      <c r="L161" s="212" t="str">
        <f t="shared" si="13"/>
        <v/>
      </c>
      <c r="M161" s="213" t="str">
        <f t="shared" ca="1" si="12"/>
        <v/>
      </c>
      <c r="N161" s="214" t="str">
        <f>IF(OR($A161="",$A161="Grand Total"),IF($A161="Grand Total",SUM($N$15:$N160),""),SUMPRODUCT((Table1[County]=SummaryPage!$A161)*(Table1[Status]&lt;&gt;"Complete")))</f>
        <v/>
      </c>
      <c r="O161" s="6" t="str">
        <f ca="1">IF($A161="Grand Total",SUM(INDIRECT(ADDRESS(1,COLUMN())&amp;":"&amp;ADDRESS(ROW()-1,COLUMN()))),IF(OR($A161="State Agencies",IFERROR(AND($L161&gt;='Input Sheet'!$J$2,$A161&lt;&gt;""),0)),$J161,""))</f>
        <v/>
      </c>
      <c r="P161" s="3" t="str">
        <f>IF(OR($A161="",$A161="Grand Total"),"",IF(IFERROR(ROUND($J161/$K161,2),1000)&gt;='Input Sheet'!$J$2,1,""))</f>
        <v/>
      </c>
      <c r="Q161" s="3" t="str">
        <f t="shared" si="14"/>
        <v/>
      </c>
      <c r="R161" s="3" t="str">
        <f>IF(OR($A161="",$A161="Grand Total"),"",AND($J161=0,(SUMPRODUCT((Table1[County]=SummaryPage!$A161)*(Table1[Status]="Not Started"))+SUMPRODUCT((Table1[County]=SummaryPage!$A161)*(Table1[Status]="")))=SUMPRODUCT((Table1[County]=SummaryPage!$A161)*(Table1[Status]&lt;&gt;"Q"))))</f>
        <v/>
      </c>
    </row>
    <row r="162" spans="1:18" x14ac:dyDescent="0.3">
      <c r="A162"/>
      <c r="B162"/>
      <c r="C162"/>
      <c r="D162"/>
      <c r="E162"/>
      <c r="F162"/>
      <c r="G162"/>
      <c r="H162"/>
      <c r="I162"/>
      <c r="J162"/>
      <c r="K162" s="211" t="str">
        <f>IF($A162="","",VLOOKUP('Input Sheet'!$D$2 &amp; " " &amp; $A162,Pop[#All],4,FALSE))</f>
        <v/>
      </c>
      <c r="L162" s="212" t="str">
        <f t="shared" si="13"/>
        <v/>
      </c>
      <c r="M162" s="213" t="str">
        <f t="shared" ca="1" si="12"/>
        <v/>
      </c>
      <c r="N162" s="214" t="str">
        <f>IF(OR($A162="",$A162="Grand Total"),IF($A162="Grand Total",SUM($N$15:$N161),""),SUMPRODUCT((Table1[County]=SummaryPage!$A162)*(Table1[Status]&lt;&gt;"Complete")))</f>
        <v/>
      </c>
      <c r="O162" s="6" t="str">
        <f ca="1">IF($A162="Grand Total",SUM(INDIRECT(ADDRESS(1,COLUMN())&amp;":"&amp;ADDRESS(ROW()-1,COLUMN()))),IF(OR($A162="State Agencies",IFERROR(AND($L162&gt;='Input Sheet'!$J$2,$A162&lt;&gt;""),0)),$J162,""))</f>
        <v/>
      </c>
      <c r="P162" s="3" t="str">
        <f>IF(OR($A162="",$A162="Grand Total"),"",IF(IFERROR(ROUND($J162/$K162,2),1000)&gt;='Input Sheet'!$J$2,1,""))</f>
        <v/>
      </c>
      <c r="Q162" s="3" t="str">
        <f t="shared" si="14"/>
        <v/>
      </c>
      <c r="R162" s="3" t="str">
        <f>IF(OR($A162="",$A162="Grand Total"),"",AND($J162=0,(SUMPRODUCT((Table1[County]=SummaryPage!$A162)*(Table1[Status]="Not Started"))+SUMPRODUCT((Table1[County]=SummaryPage!$A162)*(Table1[Status]="")))=SUMPRODUCT((Table1[County]=SummaryPage!$A162)*(Table1[Status]&lt;&gt;"Q"))))</f>
        <v/>
      </c>
    </row>
    <row r="163" spans="1:18" x14ac:dyDescent="0.3">
      <c r="A163"/>
      <c r="B163"/>
      <c r="C163"/>
      <c r="D163"/>
      <c r="E163"/>
      <c r="F163"/>
      <c r="G163"/>
      <c r="H163"/>
      <c r="I163"/>
      <c r="J163"/>
      <c r="K163" s="211" t="str">
        <f>IF($A163="","",VLOOKUP('Input Sheet'!$D$2 &amp; " " &amp; $A163,Pop[#All],4,FALSE))</f>
        <v/>
      </c>
      <c r="L163" s="212" t="str">
        <f t="shared" si="13"/>
        <v/>
      </c>
      <c r="M163" s="213" t="str">
        <f t="shared" ca="1" si="12"/>
        <v/>
      </c>
      <c r="N163" s="214" t="str">
        <f>IF(OR($A163="",$A163="Grand Total"),IF($A163="Grand Total",SUM($N$15:$N162),""),SUMPRODUCT((Table1[County]=SummaryPage!$A163)*(Table1[Status]&lt;&gt;"Complete")))</f>
        <v/>
      </c>
      <c r="O163" s="6" t="str">
        <f ca="1">IF($A163="Grand Total",SUM(INDIRECT(ADDRESS(1,COLUMN())&amp;":"&amp;ADDRESS(ROW()-1,COLUMN()))),IF(OR($A163="State Agencies",IFERROR(AND($L163&gt;='Input Sheet'!$J$2,$A163&lt;&gt;""),0)),$J163,""))</f>
        <v/>
      </c>
      <c r="P163" s="3" t="str">
        <f>IF(OR($A163="",$A163="Grand Total"),"",IF(IFERROR(ROUND($J163/$K163,2),1000)&gt;='Input Sheet'!$J$2,1,""))</f>
        <v/>
      </c>
      <c r="Q163" s="3" t="str">
        <f t="shared" si="14"/>
        <v/>
      </c>
      <c r="R163" s="3" t="str">
        <f>IF(OR($A163="",$A163="Grand Total"),"",AND($J163=0,(SUMPRODUCT((Table1[County]=SummaryPage!$A163)*(Table1[Status]="Not Started"))+SUMPRODUCT((Table1[County]=SummaryPage!$A163)*(Table1[Status]="")))=SUMPRODUCT((Table1[County]=SummaryPage!$A163)*(Table1[Status]&lt;&gt;"Q"))))</f>
        <v/>
      </c>
    </row>
    <row r="164" spans="1:18" x14ac:dyDescent="0.3">
      <c r="A164"/>
      <c r="B164"/>
      <c r="C164"/>
      <c r="D164"/>
      <c r="E164"/>
      <c r="F164"/>
      <c r="G164"/>
      <c r="H164"/>
      <c r="I164"/>
      <c r="J164"/>
      <c r="K164" s="211" t="str">
        <f>IF($A164="","",VLOOKUP('Input Sheet'!$D$2 &amp; " " &amp; $A164,Pop[#All],4,FALSE))</f>
        <v/>
      </c>
      <c r="L164" s="212" t="str">
        <f t="shared" si="13"/>
        <v/>
      </c>
      <c r="M164" s="213" t="str">
        <f t="shared" ca="1" si="12"/>
        <v/>
      </c>
      <c r="N164" s="214" t="str">
        <f>IF(OR($A164="",$A164="Grand Total"),IF($A164="Grand Total",SUM($N$15:$N163),""),SUMPRODUCT((Table1[County]=SummaryPage!$A164)*(Table1[Status]&lt;&gt;"Complete")))</f>
        <v/>
      </c>
      <c r="O164" s="6" t="str">
        <f ca="1">IF($A164="Grand Total",SUM(INDIRECT(ADDRESS(1,COLUMN())&amp;":"&amp;ADDRESS(ROW()-1,COLUMN()))),IF(OR($A164="State Agencies",IFERROR(AND($L164&gt;='Input Sheet'!$J$2,$A164&lt;&gt;""),0)),$J164,""))</f>
        <v/>
      </c>
      <c r="P164" s="3" t="str">
        <f>IF(OR($A164="",$A164="Grand Total"),"",IF(IFERROR(ROUND($J164/$K164,2),1000)&gt;='Input Sheet'!$J$2,1,""))</f>
        <v/>
      </c>
      <c r="Q164" s="3" t="str">
        <f t="shared" si="14"/>
        <v/>
      </c>
      <c r="R164" s="3" t="str">
        <f>IF(OR($A164="",$A164="Grand Total"),"",AND($J164=0,(SUMPRODUCT((Table1[County]=SummaryPage!$A164)*(Table1[Status]="Not Started"))+SUMPRODUCT((Table1[County]=SummaryPage!$A164)*(Table1[Status]="")))=SUMPRODUCT((Table1[County]=SummaryPage!$A164)*(Table1[Status]&lt;&gt;"Q"))))</f>
        <v/>
      </c>
    </row>
    <row r="165" spans="1:18" x14ac:dyDescent="0.3">
      <c r="A165"/>
      <c r="B165"/>
      <c r="C165"/>
      <c r="D165"/>
      <c r="E165"/>
      <c r="F165"/>
      <c r="G165"/>
      <c r="H165"/>
      <c r="I165"/>
      <c r="J165"/>
      <c r="K165" s="211" t="str">
        <f>IF($A165="","",VLOOKUP('Input Sheet'!$D$2 &amp; " " &amp; $A165,Pop[#All],4,FALSE))</f>
        <v/>
      </c>
      <c r="L165" s="212" t="str">
        <f t="shared" si="13"/>
        <v/>
      </c>
      <c r="M165" s="213" t="str">
        <f t="shared" ca="1" si="12"/>
        <v/>
      </c>
      <c r="N165" s="214" t="str">
        <f>IF(OR($A165="",$A165="Grand Total"),IF($A165="Grand Total",SUM($N$15:$N164),""),SUMPRODUCT((Table1[County]=SummaryPage!$A165)*(Table1[Status]&lt;&gt;"Complete")))</f>
        <v/>
      </c>
      <c r="O165" s="6" t="str">
        <f ca="1">IF($A165="Grand Total",SUM(INDIRECT(ADDRESS(1,COLUMN())&amp;":"&amp;ADDRESS(ROW()-1,COLUMN()))),IF(OR($A165="State Agencies",IFERROR(AND($L165&gt;='Input Sheet'!$J$2,$A165&lt;&gt;""),0)),$J165,""))</f>
        <v/>
      </c>
      <c r="P165" s="3" t="str">
        <f>IF(OR($A165="",$A165="Grand Total"),"",IF(IFERROR(ROUND($J165/$K165,2),1000)&gt;='Input Sheet'!$J$2,1,""))</f>
        <v/>
      </c>
      <c r="Q165" s="3" t="str">
        <f t="shared" si="14"/>
        <v/>
      </c>
      <c r="R165" s="3" t="str">
        <f>IF(OR($A165="",$A165="Grand Total"),"",AND($J165=0,(SUMPRODUCT((Table1[County]=SummaryPage!$A165)*(Table1[Status]="Not Started"))+SUMPRODUCT((Table1[County]=SummaryPage!$A165)*(Table1[Status]="")))=SUMPRODUCT((Table1[County]=SummaryPage!$A165)*(Table1[Status]&lt;&gt;"Q"))))</f>
        <v/>
      </c>
    </row>
    <row r="166" spans="1:18" x14ac:dyDescent="0.3">
      <c r="A166"/>
      <c r="B166"/>
      <c r="C166"/>
      <c r="D166"/>
      <c r="E166"/>
      <c r="F166"/>
      <c r="G166"/>
      <c r="H166"/>
      <c r="I166"/>
      <c r="J166"/>
      <c r="K166" s="211" t="str">
        <f>IF($A166="","",VLOOKUP('Input Sheet'!$D$2 &amp; " " &amp; $A166,Pop[#All],4,FALSE))</f>
        <v/>
      </c>
      <c r="L166" s="212" t="str">
        <f t="shared" si="13"/>
        <v/>
      </c>
      <c r="M166" s="213" t="str">
        <f t="shared" ca="1" si="12"/>
        <v/>
      </c>
      <c r="N166" s="214" t="str">
        <f>IF(OR($A166="",$A166="Grand Total"),IF($A166="Grand Total",SUM($N$15:$N165),""),SUMPRODUCT((Table1[County]=SummaryPage!$A166)*(Table1[Status]&lt;&gt;"Complete")))</f>
        <v/>
      </c>
      <c r="O166" s="6" t="str">
        <f ca="1">IF($A166="Grand Total",SUM(INDIRECT(ADDRESS(1,COLUMN())&amp;":"&amp;ADDRESS(ROW()-1,COLUMN()))),IF(OR($A166="State Agencies",IFERROR(AND($L166&gt;='Input Sheet'!$J$2,$A166&lt;&gt;""),0)),$J166,""))</f>
        <v/>
      </c>
      <c r="P166" s="3" t="str">
        <f>IF(OR($A166="",$A166="Grand Total"),"",IF(IFERROR(ROUND($J166/$K166,2),1000)&gt;='Input Sheet'!$J$2,1,""))</f>
        <v/>
      </c>
      <c r="Q166" s="3" t="str">
        <f t="shared" si="14"/>
        <v/>
      </c>
      <c r="R166" s="3" t="str">
        <f>IF(OR($A166="",$A166="Grand Total"),"",AND($J166=0,(SUMPRODUCT((Table1[County]=SummaryPage!$A166)*(Table1[Status]="Not Started"))+SUMPRODUCT((Table1[County]=SummaryPage!$A166)*(Table1[Status]="")))=SUMPRODUCT((Table1[County]=SummaryPage!$A166)*(Table1[Status]&lt;&gt;"Q"))))</f>
        <v/>
      </c>
    </row>
    <row r="167" spans="1:18" x14ac:dyDescent="0.3">
      <c r="A167"/>
      <c r="B167"/>
      <c r="C167"/>
      <c r="D167"/>
      <c r="E167"/>
      <c r="F167"/>
      <c r="G167"/>
      <c r="H167"/>
      <c r="I167"/>
      <c r="J167"/>
      <c r="K167" s="211" t="str">
        <f>IF($A167="","",VLOOKUP('Input Sheet'!$D$2 &amp; " " &amp; $A167,Pop[#All],4,FALSE))</f>
        <v/>
      </c>
      <c r="L167" s="212" t="str">
        <f t="shared" si="13"/>
        <v/>
      </c>
      <c r="M167" s="213" t="str">
        <f t="shared" ca="1" si="12"/>
        <v/>
      </c>
      <c r="N167" s="214" t="str">
        <f>IF(OR($A167="",$A167="Grand Total"),IF($A167="Grand Total",SUM($N$15:$N166),""),SUMPRODUCT((Table1[County]=SummaryPage!$A167)*(Table1[Status]&lt;&gt;"Complete")))</f>
        <v/>
      </c>
      <c r="O167" s="6" t="str">
        <f ca="1">IF($A167="Grand Total",SUM(INDIRECT(ADDRESS(1,COLUMN())&amp;":"&amp;ADDRESS(ROW()-1,COLUMN()))),IF(OR($A167="State Agencies",IFERROR(AND($L167&gt;='Input Sheet'!$J$2,$A167&lt;&gt;""),0)),$J167,""))</f>
        <v/>
      </c>
      <c r="P167" s="3" t="str">
        <f>IF(OR($A167="",$A167="Grand Total"),"",IF(IFERROR(ROUND($J167/$K167,2),1000)&gt;='Input Sheet'!$J$2,1,""))</f>
        <v/>
      </c>
      <c r="Q167" s="3" t="str">
        <f t="shared" si="14"/>
        <v/>
      </c>
      <c r="R167" s="3" t="str">
        <f>IF(OR($A167="",$A167="Grand Total"),"",AND($J167=0,(SUMPRODUCT((Table1[County]=SummaryPage!$A167)*(Table1[Status]="Not Started"))+SUMPRODUCT((Table1[County]=SummaryPage!$A167)*(Table1[Status]="")))=SUMPRODUCT((Table1[County]=SummaryPage!$A167)*(Table1[Status]&lt;&gt;"Q"))))</f>
        <v/>
      </c>
    </row>
    <row r="168" spans="1:18" x14ac:dyDescent="0.3">
      <c r="A168"/>
      <c r="B168"/>
      <c r="C168"/>
      <c r="D168"/>
      <c r="E168"/>
      <c r="F168"/>
      <c r="G168"/>
      <c r="H168"/>
      <c r="I168"/>
      <c r="J168"/>
      <c r="K168" s="211" t="str">
        <f>IF($A168="","",VLOOKUP('Input Sheet'!$D$2 &amp; " " &amp; $A168,Pop[#All],4,FALSE))</f>
        <v/>
      </c>
      <c r="L168" s="212" t="str">
        <f t="shared" si="13"/>
        <v/>
      </c>
      <c r="M168" s="213" t="str">
        <f t="shared" ca="1" si="12"/>
        <v/>
      </c>
      <c r="N168" s="214" t="str">
        <f>IF(OR($A168="",$A168="Grand Total"),IF($A168="Grand Total",SUM($N$15:$N167),""),SUMPRODUCT((Table1[County]=SummaryPage!$A168)*(Table1[Status]&lt;&gt;"Complete")))</f>
        <v/>
      </c>
      <c r="O168" s="6" t="str">
        <f ca="1">IF($A168="Grand Total",SUM(INDIRECT(ADDRESS(1,COLUMN())&amp;":"&amp;ADDRESS(ROW()-1,COLUMN()))),IF(OR($A168="State Agencies",IFERROR(AND($L168&gt;='Input Sheet'!$J$2,$A168&lt;&gt;""),0)),$J168,""))</f>
        <v/>
      </c>
      <c r="P168" s="3" t="str">
        <f>IF(OR($A168="",$A168="Grand Total"),"",IF(IFERROR(ROUND($J168/$K168,2),1000)&gt;='Input Sheet'!$J$2,1,""))</f>
        <v/>
      </c>
      <c r="Q168" s="3" t="str">
        <f t="shared" si="14"/>
        <v/>
      </c>
      <c r="R168" s="3" t="str">
        <f>IF(OR($A168="",$A168="Grand Total"),"",AND($J168=0,(SUMPRODUCT((Table1[County]=SummaryPage!$A168)*(Table1[Status]="Not Started"))+SUMPRODUCT((Table1[County]=SummaryPage!$A168)*(Table1[Status]="")))=SUMPRODUCT((Table1[County]=SummaryPage!$A168)*(Table1[Status]&lt;&gt;"Q"))))</f>
        <v/>
      </c>
    </row>
    <row r="169" spans="1:18" x14ac:dyDescent="0.3">
      <c r="A169"/>
      <c r="B169"/>
      <c r="C169"/>
      <c r="D169"/>
      <c r="E169"/>
      <c r="F169"/>
      <c r="G169"/>
      <c r="H169"/>
      <c r="I169"/>
      <c r="J169"/>
      <c r="K169" s="211" t="str">
        <f>IF($A169="","",VLOOKUP('Input Sheet'!$D$2 &amp; " " &amp; $A169,Pop[#All],4,FALSE))</f>
        <v/>
      </c>
      <c r="L169" s="212" t="str">
        <f t="shared" si="13"/>
        <v/>
      </c>
      <c r="M169" s="213" t="str">
        <f t="shared" ca="1" si="12"/>
        <v/>
      </c>
      <c r="N169" s="214" t="str">
        <f>IF(OR($A169="",$A169="Grand Total"),IF($A169="Grand Total",SUM($N$15:$N168),""),SUMPRODUCT((Table1[County]=SummaryPage!$A169)*(Table1[Status]&lt;&gt;"Complete")))</f>
        <v/>
      </c>
      <c r="O169" s="6" t="str">
        <f ca="1">IF($A169="Grand Total",SUM(INDIRECT(ADDRESS(1,COLUMN())&amp;":"&amp;ADDRESS(ROW()-1,COLUMN()))),IF(OR($A169="State Agencies",IFERROR(AND($L169&gt;='Input Sheet'!$J$2,$A169&lt;&gt;""),0)),$J169,""))</f>
        <v/>
      </c>
      <c r="P169" s="3" t="str">
        <f>IF(OR($A169="",$A169="Grand Total"),"",IF(IFERROR(ROUND($J169/$K169,2),1000)&gt;='Input Sheet'!$J$2,1,""))</f>
        <v/>
      </c>
      <c r="Q169" s="3" t="str">
        <f t="shared" si="14"/>
        <v/>
      </c>
      <c r="R169" s="3" t="str">
        <f>IF(OR($A169="",$A169="Grand Total"),"",AND($J169=0,(SUMPRODUCT((Table1[County]=SummaryPage!$A169)*(Table1[Status]="Not Started"))+SUMPRODUCT((Table1[County]=SummaryPage!$A169)*(Table1[Status]="")))=SUMPRODUCT((Table1[County]=SummaryPage!$A169)*(Table1[Status]&lt;&gt;"Q"))))</f>
        <v/>
      </c>
    </row>
    <row r="170" spans="1:18" x14ac:dyDescent="0.3">
      <c r="A170"/>
      <c r="B170"/>
      <c r="C170"/>
      <c r="D170"/>
      <c r="E170"/>
      <c r="F170"/>
      <c r="G170"/>
      <c r="H170"/>
      <c r="I170"/>
      <c r="J170"/>
      <c r="K170" s="211" t="str">
        <f>IF($A170="","",VLOOKUP('Input Sheet'!$D$2 &amp; " " &amp; $A170,Pop[#All],4,FALSE))</f>
        <v/>
      </c>
      <c r="L170" s="212" t="str">
        <f t="shared" si="13"/>
        <v/>
      </c>
      <c r="M170" s="213" t="str">
        <f t="shared" ca="1" si="12"/>
        <v/>
      </c>
      <c r="N170" s="214" t="str">
        <f>IF(OR($A170="",$A170="Grand Total"),IF($A170="Grand Total",SUM($N$15:$N169),""),SUMPRODUCT((Table1[County]=SummaryPage!$A170)*(Table1[Status]&lt;&gt;"Complete")))</f>
        <v/>
      </c>
      <c r="O170" s="6" t="str">
        <f ca="1">IF($A170="Grand Total",SUM(INDIRECT(ADDRESS(1,COLUMN())&amp;":"&amp;ADDRESS(ROW()-1,COLUMN()))),IF(OR($A170="State Agencies",IFERROR(AND($L170&gt;='Input Sheet'!$J$2,$A170&lt;&gt;""),0)),$J170,""))</f>
        <v/>
      </c>
      <c r="P170" s="3" t="str">
        <f>IF(OR($A170="",$A170="Grand Total"),"",IF(IFERROR(ROUND($J170/$K170,2),1000)&gt;='Input Sheet'!$J$2,1,""))</f>
        <v/>
      </c>
      <c r="Q170" s="3" t="str">
        <f t="shared" si="14"/>
        <v/>
      </c>
      <c r="R170" s="3" t="str">
        <f>IF(OR($A170="",$A170="Grand Total"),"",AND($J170=0,(SUMPRODUCT((Table1[County]=SummaryPage!$A170)*(Table1[Status]="Not Started"))+SUMPRODUCT((Table1[County]=SummaryPage!$A170)*(Table1[Status]="")))=SUMPRODUCT((Table1[County]=SummaryPage!$A170)*(Table1[Status]&lt;&gt;"Q"))))</f>
        <v/>
      </c>
    </row>
    <row r="171" spans="1:18" x14ac:dyDescent="0.3">
      <c r="A171"/>
      <c r="B171"/>
      <c r="C171"/>
      <c r="D171"/>
      <c r="E171"/>
      <c r="F171"/>
      <c r="G171"/>
      <c r="H171"/>
      <c r="I171"/>
      <c r="J171"/>
      <c r="K171" s="211" t="str">
        <f>IF($A171="","",VLOOKUP('Input Sheet'!$D$2 &amp; " " &amp; $A171,Pop[#All],4,FALSE))</f>
        <v/>
      </c>
      <c r="L171" s="212" t="str">
        <f t="shared" si="13"/>
        <v/>
      </c>
      <c r="M171" s="213" t="str">
        <f t="shared" ca="1" si="12"/>
        <v/>
      </c>
      <c r="N171" s="214" t="str">
        <f>IF(OR($A171="",$A171="Grand Total"),IF($A171="Grand Total",SUM($N$15:$N170),""),SUMPRODUCT((Table1[County]=SummaryPage!$A171)*(Table1[Status]&lt;&gt;"Complete")))</f>
        <v/>
      </c>
      <c r="O171" s="6" t="str">
        <f ca="1">IF($A171="Grand Total",SUM(INDIRECT(ADDRESS(1,COLUMN())&amp;":"&amp;ADDRESS(ROW()-1,COLUMN()))),IF(OR($A171="State Agencies",IFERROR(AND($L171&gt;='Input Sheet'!$J$2,$A171&lt;&gt;""),0)),$J171,""))</f>
        <v/>
      </c>
      <c r="P171" s="3" t="str">
        <f>IF(OR($A171="",$A171="Grand Total"),"",IF(IFERROR(ROUND($J171/$K171,2),1000)&gt;='Input Sheet'!$J$2,1,""))</f>
        <v/>
      </c>
      <c r="Q171" s="3" t="str">
        <f t="shared" si="14"/>
        <v/>
      </c>
      <c r="R171" s="3" t="str">
        <f>IF(OR($A171="",$A171="Grand Total"),"",AND($J171=0,(SUMPRODUCT((Table1[County]=SummaryPage!$A171)*(Table1[Status]="Not Started"))+SUMPRODUCT((Table1[County]=SummaryPage!$A171)*(Table1[Status]="")))=SUMPRODUCT((Table1[County]=SummaryPage!$A171)*(Table1[Status]&lt;&gt;"Q"))))</f>
        <v/>
      </c>
    </row>
    <row r="172" spans="1:18" x14ac:dyDescent="0.3">
      <c r="A172"/>
      <c r="B172"/>
      <c r="C172"/>
      <c r="D172"/>
      <c r="E172"/>
      <c r="F172"/>
      <c r="G172"/>
      <c r="H172"/>
      <c r="I172"/>
      <c r="J172"/>
      <c r="K172" s="211" t="str">
        <f>IF($A172="","",VLOOKUP('Input Sheet'!$D$2 &amp; " " &amp; $A172,Pop[#All],4,FALSE))</f>
        <v/>
      </c>
      <c r="L172" s="212" t="str">
        <f t="shared" si="13"/>
        <v/>
      </c>
      <c r="M172" s="213" t="str">
        <f t="shared" ca="1" si="12"/>
        <v/>
      </c>
      <c r="N172" s="214" t="str">
        <f>IF(OR($A172="",$A172="Grand Total"),IF($A172="Grand Total",SUM($N$15:$N171),""),SUMPRODUCT((Table1[County]=SummaryPage!$A172)*(Table1[Status]&lt;&gt;"Complete")))</f>
        <v/>
      </c>
      <c r="O172" s="6" t="str">
        <f ca="1">IF($A172="Grand Total",SUM(INDIRECT(ADDRESS(1,COLUMN())&amp;":"&amp;ADDRESS(ROW()-1,COLUMN()))),IF(OR($A172="State Agencies",IFERROR(AND($L172&gt;='Input Sheet'!$J$2,$A172&lt;&gt;""),0)),$J172,""))</f>
        <v/>
      </c>
      <c r="P172" s="3" t="str">
        <f>IF(OR($A172="",$A172="Grand Total"),"",IF(IFERROR(ROUND($J172/$K172,2),1000)&gt;='Input Sheet'!$J$2,1,""))</f>
        <v/>
      </c>
      <c r="Q172" s="3" t="str">
        <f t="shared" si="14"/>
        <v/>
      </c>
      <c r="R172" s="3" t="str">
        <f>IF(OR($A172="",$A172="Grand Total"),"",AND($J172=0,(SUMPRODUCT((Table1[County]=SummaryPage!$A172)*(Table1[Status]="Not Started"))+SUMPRODUCT((Table1[County]=SummaryPage!$A172)*(Table1[Status]="")))=SUMPRODUCT((Table1[County]=SummaryPage!$A172)*(Table1[Status]&lt;&gt;"Q"))))</f>
        <v/>
      </c>
    </row>
    <row r="173" spans="1:18" x14ac:dyDescent="0.3">
      <c r="A173"/>
      <c r="B173"/>
      <c r="C173"/>
      <c r="D173"/>
      <c r="E173"/>
      <c r="F173"/>
      <c r="G173"/>
      <c r="H173"/>
      <c r="I173"/>
      <c r="J173"/>
      <c r="K173" s="211" t="str">
        <f>IF($A173="","",VLOOKUP('Input Sheet'!$D$2 &amp; " " &amp; $A173,Pop[#All],4,FALSE))</f>
        <v/>
      </c>
      <c r="L173" s="212" t="str">
        <f t="shared" si="13"/>
        <v/>
      </c>
      <c r="M173" s="213" t="str">
        <f t="shared" ca="1" si="12"/>
        <v/>
      </c>
      <c r="N173" s="214" t="str">
        <f>IF(OR($A173="",$A173="Grand Total"),IF($A173="Grand Total",SUM($N$15:$N172),""),SUMPRODUCT((Table1[County]=SummaryPage!$A173)*(Table1[Status]&lt;&gt;"Complete")))</f>
        <v/>
      </c>
      <c r="O173" s="6" t="str">
        <f ca="1">IF($A173="Grand Total",SUM(INDIRECT(ADDRESS(1,COLUMN())&amp;":"&amp;ADDRESS(ROW()-1,COLUMN()))),IF(OR($A173="State Agencies",IFERROR(AND($L173&gt;='Input Sheet'!$J$2,$A173&lt;&gt;""),0)),$J173,""))</f>
        <v/>
      </c>
      <c r="P173" s="3" t="str">
        <f>IF(OR($A173="",$A173="Grand Total"),"",IF(IFERROR(ROUND($J173/$K173,2),1000)&gt;='Input Sheet'!$J$2,1,""))</f>
        <v/>
      </c>
      <c r="Q173" s="3" t="str">
        <f t="shared" si="14"/>
        <v/>
      </c>
      <c r="R173" s="3" t="str">
        <f>IF(OR($A173="",$A173="Grand Total"),"",AND($J173=0,(SUMPRODUCT((Table1[County]=SummaryPage!$A173)*(Table1[Status]="Not Started"))+SUMPRODUCT((Table1[County]=SummaryPage!$A173)*(Table1[Status]="")))=SUMPRODUCT((Table1[County]=SummaryPage!$A173)*(Table1[Status]&lt;&gt;"Q"))))</f>
        <v/>
      </c>
    </row>
    <row r="174" spans="1:18" x14ac:dyDescent="0.3">
      <c r="A174"/>
      <c r="B174"/>
      <c r="C174"/>
      <c r="D174"/>
      <c r="E174"/>
      <c r="F174"/>
      <c r="G174"/>
      <c r="H174"/>
      <c r="I174"/>
      <c r="J174"/>
      <c r="K174" s="211" t="str">
        <f>IF($A174="","",VLOOKUP('Input Sheet'!$D$2 &amp; " " &amp; $A174,Pop[#All],4,FALSE))</f>
        <v/>
      </c>
      <c r="L174" s="212" t="str">
        <f t="shared" si="13"/>
        <v/>
      </c>
      <c r="M174" s="213" t="str">
        <f t="shared" ca="1" si="12"/>
        <v/>
      </c>
      <c r="N174" s="214" t="str">
        <f>IF(OR($A174="",$A174="Grand Total"),IF($A174="Grand Total",SUM($N$15:$N173),""),SUMPRODUCT((Table1[County]=SummaryPage!$A174)*(Table1[Status]&lt;&gt;"Complete")))</f>
        <v/>
      </c>
      <c r="O174" s="6" t="str">
        <f ca="1">IF($A174="Grand Total",SUM(INDIRECT(ADDRESS(1,COLUMN())&amp;":"&amp;ADDRESS(ROW()-1,COLUMN()))),IF(OR($A174="State Agencies",IFERROR(AND($L174&gt;='Input Sheet'!$J$2,$A174&lt;&gt;""),0)),$J174,""))</f>
        <v/>
      </c>
      <c r="P174" s="3" t="str">
        <f>IF(OR($A174="",$A174="Grand Total"),"",IF(IFERROR(ROUND($J174/$K174,2),1000)&gt;='Input Sheet'!$J$2,1,""))</f>
        <v/>
      </c>
      <c r="Q174" s="3" t="str">
        <f t="shared" si="14"/>
        <v/>
      </c>
      <c r="R174" s="3" t="str">
        <f>IF(OR($A174="",$A174="Grand Total"),"",AND($J174=0,(SUMPRODUCT((Table1[County]=SummaryPage!$A174)*(Table1[Status]="Not Started"))+SUMPRODUCT((Table1[County]=SummaryPage!$A174)*(Table1[Status]="")))=SUMPRODUCT((Table1[County]=SummaryPage!$A174)*(Table1[Status]&lt;&gt;"Q"))))</f>
        <v/>
      </c>
    </row>
    <row r="175" spans="1:18" x14ac:dyDescent="0.3">
      <c r="A175"/>
      <c r="B175"/>
      <c r="C175"/>
      <c r="D175"/>
      <c r="E175"/>
      <c r="F175"/>
      <c r="G175"/>
      <c r="H175"/>
      <c r="I175"/>
      <c r="J175"/>
      <c r="K175" s="211" t="str">
        <f>IF($A175="","",VLOOKUP('Input Sheet'!$D$2 &amp; " " &amp; $A175,Pop[#All],4,FALSE))</f>
        <v/>
      </c>
      <c r="L175" s="212" t="str">
        <f t="shared" si="13"/>
        <v/>
      </c>
      <c r="M175" s="213" t="str">
        <f t="shared" ca="1" si="12"/>
        <v/>
      </c>
      <c r="N175" s="214" t="str">
        <f>IF(OR($A175="",$A175="Grand Total"),IF($A175="Grand Total",SUM($N$15:$N174),""),SUMPRODUCT((Table1[County]=SummaryPage!$A175)*(Table1[Status]&lt;&gt;"Complete")))</f>
        <v/>
      </c>
      <c r="O175" s="6" t="str">
        <f ca="1">IF($A175="Grand Total",SUM(INDIRECT(ADDRESS(1,COLUMN())&amp;":"&amp;ADDRESS(ROW()-1,COLUMN()))),IF(OR($A175="State Agencies",IFERROR(AND($L175&gt;='Input Sheet'!$J$2,$A175&lt;&gt;""),0)),$J175,""))</f>
        <v/>
      </c>
      <c r="P175" s="3" t="str">
        <f>IF(OR($A175="",$A175="Grand Total"),"",IF(IFERROR(ROUND($J175/$K175,2),1000)&gt;='Input Sheet'!$J$2,1,""))</f>
        <v/>
      </c>
      <c r="Q175" s="3" t="str">
        <f t="shared" si="14"/>
        <v/>
      </c>
      <c r="R175" s="3" t="str">
        <f>IF(OR($A175="",$A175="Grand Total"),"",AND($J175=0,(SUMPRODUCT((Table1[County]=SummaryPage!$A175)*(Table1[Status]="Not Started"))+SUMPRODUCT((Table1[County]=SummaryPage!$A175)*(Table1[Status]="")))=SUMPRODUCT((Table1[County]=SummaryPage!$A175)*(Table1[Status]&lt;&gt;"Q"))))</f>
        <v/>
      </c>
    </row>
    <row r="176" spans="1:18" x14ac:dyDescent="0.3">
      <c r="A176"/>
      <c r="B176"/>
      <c r="C176"/>
      <c r="D176"/>
      <c r="E176"/>
      <c r="F176"/>
      <c r="G176"/>
      <c r="H176"/>
      <c r="I176"/>
      <c r="J176"/>
      <c r="K176" s="211" t="str">
        <f>IF($A176="","",VLOOKUP('Input Sheet'!$D$2 &amp; " " &amp; $A176,Pop[#All],4,FALSE))</f>
        <v/>
      </c>
      <c r="L176" s="212" t="str">
        <f t="shared" si="13"/>
        <v/>
      </c>
      <c r="M176" s="213" t="str">
        <f t="shared" ca="1" si="12"/>
        <v/>
      </c>
      <c r="N176" s="214" t="str">
        <f>IF(OR($A176="",$A176="Grand Total"),IF($A176="Grand Total",SUM($N$15:$N175),""),SUMPRODUCT((Table1[County]=SummaryPage!$A176)*(Table1[Status]&lt;&gt;"Complete")))</f>
        <v/>
      </c>
      <c r="O176" s="6" t="str">
        <f ca="1">IF($A176="Grand Total",SUM(INDIRECT(ADDRESS(1,COLUMN())&amp;":"&amp;ADDRESS(ROW()-1,COLUMN()))),IF(OR($A176="State Agencies",IFERROR(AND($L176&gt;='Input Sheet'!$J$2,$A176&lt;&gt;""),0)),$J176,""))</f>
        <v/>
      </c>
      <c r="P176" s="3" t="str">
        <f>IF(OR($A176="",$A176="Grand Total"),"",IF(IFERROR(ROUND($J176/$K176,2),1000)&gt;='Input Sheet'!$J$2,1,""))</f>
        <v/>
      </c>
      <c r="Q176" s="3" t="str">
        <f t="shared" si="14"/>
        <v/>
      </c>
      <c r="R176" s="3" t="str">
        <f>IF(OR($A176="",$A176="Grand Total"),"",AND($J176=0,(SUMPRODUCT((Table1[County]=SummaryPage!$A176)*(Table1[Status]="Not Started"))+SUMPRODUCT((Table1[County]=SummaryPage!$A176)*(Table1[Status]="")))=SUMPRODUCT((Table1[County]=SummaryPage!$A176)*(Table1[Status]&lt;&gt;"Q"))))</f>
        <v/>
      </c>
    </row>
    <row r="177" spans="1:18" x14ac:dyDescent="0.3">
      <c r="A177"/>
      <c r="B177"/>
      <c r="C177"/>
      <c r="D177"/>
      <c r="E177"/>
      <c r="F177"/>
      <c r="G177"/>
      <c r="H177"/>
      <c r="I177"/>
      <c r="J177"/>
      <c r="K177" s="211" t="str">
        <f>IF($A177="","",VLOOKUP('Input Sheet'!$D$2 &amp; " " &amp; $A177,Pop[#All],4,FALSE))</f>
        <v/>
      </c>
      <c r="L177" s="212" t="str">
        <f t="shared" si="13"/>
        <v/>
      </c>
      <c r="M177" s="213" t="str">
        <f t="shared" ca="1" si="12"/>
        <v/>
      </c>
      <c r="N177" s="214" t="str">
        <f>IF(OR($A177="",$A177="Grand Total"),IF($A177="Grand Total",SUM($N$15:$N176),""),SUMPRODUCT((Table1[County]=SummaryPage!$A177)*(Table1[Status]&lt;&gt;"Complete")))</f>
        <v/>
      </c>
      <c r="O177" s="6" t="str">
        <f ca="1">IF($A177="Grand Total",SUM(INDIRECT(ADDRESS(1,COLUMN())&amp;":"&amp;ADDRESS(ROW()-1,COLUMN()))),IF(OR($A177="State Agencies",IFERROR(AND($L177&gt;='Input Sheet'!$J$2,$A177&lt;&gt;""),0)),$J177,""))</f>
        <v/>
      </c>
      <c r="P177" s="3" t="str">
        <f>IF(OR($A177="",$A177="Grand Total"),"",IF(IFERROR(ROUND($J177/$K177,2),1000)&gt;='Input Sheet'!$J$2,1,""))</f>
        <v/>
      </c>
      <c r="Q177" s="3" t="str">
        <f t="shared" si="14"/>
        <v/>
      </c>
      <c r="R177" s="3" t="str">
        <f>IF(OR($A177="",$A177="Grand Total"),"",AND($J177=0,(SUMPRODUCT((Table1[County]=SummaryPage!$A177)*(Table1[Status]="Not Started"))+SUMPRODUCT((Table1[County]=SummaryPage!$A177)*(Table1[Status]="")))=SUMPRODUCT((Table1[County]=SummaryPage!$A177)*(Table1[Status]&lt;&gt;"Q"))))</f>
        <v/>
      </c>
    </row>
    <row r="178" spans="1:18" x14ac:dyDescent="0.3">
      <c r="A178"/>
      <c r="B178"/>
      <c r="C178"/>
      <c r="D178"/>
      <c r="E178"/>
      <c r="F178"/>
      <c r="G178"/>
      <c r="H178"/>
      <c r="I178"/>
      <c r="J178"/>
      <c r="K178" s="211" t="str">
        <f>IF($A178="","",VLOOKUP('Input Sheet'!$D$2 &amp; " " &amp; $A178,Pop[#All],4,FALSE))</f>
        <v/>
      </c>
      <c r="L178" s="212" t="str">
        <f t="shared" si="13"/>
        <v/>
      </c>
      <c r="M178" s="213" t="str">
        <f t="shared" ca="1" si="12"/>
        <v/>
      </c>
      <c r="N178" s="214" t="str">
        <f>IF(OR($A178="",$A178="Grand Total"),IF($A178="Grand Total",SUM($N$15:$N177),""),SUMPRODUCT((Table1[County]=SummaryPage!$A178)*(Table1[Status]&lt;&gt;"Complete")))</f>
        <v/>
      </c>
      <c r="O178" s="6" t="str">
        <f ca="1">IF($A178="Grand Total",SUM(INDIRECT(ADDRESS(1,COLUMN())&amp;":"&amp;ADDRESS(ROW()-1,COLUMN()))),IF(OR($A178="State Agencies",IFERROR(AND($L178&gt;='Input Sheet'!$J$2,$A178&lt;&gt;""),0)),$J178,""))</f>
        <v/>
      </c>
      <c r="P178" s="3" t="str">
        <f>IF(OR($A178="",$A178="Grand Total"),"",IF(IFERROR(ROUND($J178/$K178,2),1000)&gt;='Input Sheet'!$J$2,1,""))</f>
        <v/>
      </c>
      <c r="Q178" s="3" t="str">
        <f t="shared" si="14"/>
        <v/>
      </c>
      <c r="R178" s="3" t="str">
        <f>IF(OR($A178="",$A178="Grand Total"),"",AND($J178=0,(SUMPRODUCT((Table1[County]=SummaryPage!$A178)*(Table1[Status]="Not Started"))+SUMPRODUCT((Table1[County]=SummaryPage!$A178)*(Table1[Status]="")))=SUMPRODUCT((Table1[County]=SummaryPage!$A178)*(Table1[Status]&lt;&gt;"Q"))))</f>
        <v/>
      </c>
    </row>
    <row r="179" spans="1:18" x14ac:dyDescent="0.3">
      <c r="A179"/>
      <c r="B179"/>
      <c r="C179"/>
      <c r="D179"/>
      <c r="E179"/>
      <c r="F179"/>
      <c r="G179"/>
      <c r="H179"/>
      <c r="I179"/>
      <c r="J179"/>
      <c r="K179" s="211" t="str">
        <f>IF($A179="","",VLOOKUP('Input Sheet'!$D$2 &amp; " " &amp; $A179,Pop[#All],4,FALSE))</f>
        <v/>
      </c>
      <c r="L179" s="212" t="str">
        <f t="shared" si="13"/>
        <v/>
      </c>
      <c r="M179" s="213" t="str">
        <f t="shared" ca="1" si="12"/>
        <v/>
      </c>
      <c r="N179" s="214" t="str">
        <f>IF(OR($A179="",$A179="Grand Total"),IF($A179="Grand Total",SUM($N$15:$N178),""),SUMPRODUCT((Table1[County]=SummaryPage!$A179)*(Table1[Status]&lt;&gt;"Complete")))</f>
        <v/>
      </c>
      <c r="O179" s="6" t="str">
        <f ca="1">IF($A179="Grand Total",SUM(INDIRECT(ADDRESS(1,COLUMN())&amp;":"&amp;ADDRESS(ROW()-1,COLUMN()))),IF(OR($A179="State Agencies",IFERROR(AND($L179&gt;='Input Sheet'!$J$2,$A179&lt;&gt;""),0)),$J179,""))</f>
        <v/>
      </c>
      <c r="P179" s="3" t="str">
        <f>IF(OR($A179="",$A179="Grand Total"),"",IF(IFERROR(ROUND($J179/$K179,2),1000)&gt;='Input Sheet'!$J$2,1,""))</f>
        <v/>
      </c>
      <c r="Q179" s="3" t="str">
        <f t="shared" si="14"/>
        <v/>
      </c>
      <c r="R179" s="3" t="str">
        <f>IF(OR($A179="",$A179="Grand Total"),"",AND($J179=0,(SUMPRODUCT((Table1[County]=SummaryPage!$A179)*(Table1[Status]="Not Started"))+SUMPRODUCT((Table1[County]=SummaryPage!$A179)*(Table1[Status]="")))=SUMPRODUCT((Table1[County]=SummaryPage!$A179)*(Table1[Status]&lt;&gt;"Q"))))</f>
        <v/>
      </c>
    </row>
    <row r="180" spans="1:18" x14ac:dyDescent="0.3">
      <c r="A180"/>
      <c r="B180"/>
      <c r="C180"/>
      <c r="D180"/>
      <c r="E180"/>
      <c r="F180"/>
      <c r="G180"/>
      <c r="H180"/>
      <c r="I180"/>
      <c r="J180"/>
      <c r="K180" s="211" t="str">
        <f>IF($A180="","",VLOOKUP('Input Sheet'!$D$2 &amp; " " &amp; $A180,Pop[#All],4,FALSE))</f>
        <v/>
      </c>
      <c r="L180" s="212" t="str">
        <f t="shared" si="13"/>
        <v/>
      </c>
      <c r="M180" s="213" t="str">
        <f t="shared" ca="1" si="12"/>
        <v/>
      </c>
      <c r="N180" s="214" t="str">
        <f>IF(OR($A180="",$A180="Grand Total"),IF($A180="Grand Total",SUM($N$15:$N179),""),SUMPRODUCT((Table1[County]=SummaryPage!$A180)*(Table1[Status]&lt;&gt;"Complete")))</f>
        <v/>
      </c>
      <c r="O180" s="6" t="str">
        <f ca="1">IF($A180="Grand Total",SUM(INDIRECT(ADDRESS(1,COLUMN())&amp;":"&amp;ADDRESS(ROW()-1,COLUMN()))),IF(OR($A180="State Agencies",IFERROR(AND($L180&gt;='Input Sheet'!$J$2,$A180&lt;&gt;""),0)),$J180,""))</f>
        <v/>
      </c>
      <c r="P180" s="3" t="str">
        <f>IF(OR($A180="",$A180="Grand Total"),"",IF(IFERROR(ROUND($J180/$K180,2),1000)&gt;='Input Sheet'!$J$2,1,""))</f>
        <v/>
      </c>
      <c r="Q180" s="3" t="str">
        <f t="shared" si="14"/>
        <v/>
      </c>
      <c r="R180" s="3" t="str">
        <f>IF(OR($A180="",$A180="Grand Total"),"",AND($J180=0,(SUMPRODUCT((Table1[County]=SummaryPage!$A180)*(Table1[Status]="Not Started"))+SUMPRODUCT((Table1[County]=SummaryPage!$A180)*(Table1[Status]="")))=SUMPRODUCT((Table1[County]=SummaryPage!$A180)*(Table1[Status]&lt;&gt;"Q"))))</f>
        <v/>
      </c>
    </row>
    <row r="181" spans="1:18" x14ac:dyDescent="0.3">
      <c r="A181"/>
      <c r="B181"/>
      <c r="C181"/>
      <c r="D181"/>
      <c r="E181"/>
      <c r="F181"/>
      <c r="G181"/>
      <c r="H181"/>
      <c r="I181"/>
      <c r="J181"/>
      <c r="K181" s="211" t="str">
        <f>IF($A181="","",VLOOKUP('Input Sheet'!$D$2 &amp; " " &amp; $A181,Pop[#All],4,FALSE))</f>
        <v/>
      </c>
      <c r="L181" s="212" t="str">
        <f t="shared" si="13"/>
        <v/>
      </c>
      <c r="M181" s="213" t="str">
        <f t="shared" ca="1" si="12"/>
        <v/>
      </c>
      <c r="N181" s="214" t="str">
        <f>IF(OR($A181="",$A181="Grand Total"),IF($A181="Grand Total",SUM($N$15:$N180),""),SUMPRODUCT((Table1[County]=SummaryPage!$A181)*(Table1[Status]&lt;&gt;"Complete")))</f>
        <v/>
      </c>
      <c r="O181" s="6" t="str">
        <f ca="1">IF($A181="Grand Total",SUM(INDIRECT(ADDRESS(1,COLUMN())&amp;":"&amp;ADDRESS(ROW()-1,COLUMN()))),IF(OR($A181="State Agencies",IFERROR(AND($L181&gt;='Input Sheet'!$J$2,$A181&lt;&gt;""),0)),$J181,""))</f>
        <v/>
      </c>
      <c r="P181" s="3" t="str">
        <f>IF(OR($A181="",$A181="Grand Total"),"",IF(IFERROR(ROUND($J181/$K181,2),1000)&gt;='Input Sheet'!$J$2,1,""))</f>
        <v/>
      </c>
      <c r="Q181" s="3" t="str">
        <f t="shared" si="14"/>
        <v/>
      </c>
      <c r="R181" s="3" t="str">
        <f>IF(OR($A181="",$A181="Grand Total"),"",AND($J181=0,(SUMPRODUCT((Table1[County]=SummaryPage!$A181)*(Table1[Status]="Not Started"))+SUMPRODUCT((Table1[County]=SummaryPage!$A181)*(Table1[Status]="")))=SUMPRODUCT((Table1[County]=SummaryPage!$A181)*(Table1[Status]&lt;&gt;"Q"))))</f>
        <v/>
      </c>
    </row>
    <row r="182" spans="1:18" x14ac:dyDescent="0.3">
      <c r="A182"/>
      <c r="B182"/>
      <c r="C182"/>
      <c r="D182"/>
      <c r="E182"/>
      <c r="F182"/>
      <c r="G182"/>
      <c r="H182"/>
      <c r="I182"/>
      <c r="J182"/>
      <c r="K182" s="211" t="str">
        <f>IF($A182="","",VLOOKUP('Input Sheet'!$D$2 &amp; " " &amp; $A182,Pop[#All],4,FALSE))</f>
        <v/>
      </c>
      <c r="L182" s="212" t="str">
        <f t="shared" si="13"/>
        <v/>
      </c>
      <c r="M182" s="213" t="str">
        <f t="shared" ca="1" si="12"/>
        <v/>
      </c>
      <c r="N182" s="214" t="str">
        <f>IF(OR($A182="",$A182="Grand Total"),IF($A182="Grand Total",SUM($N$15:$N181),""),SUMPRODUCT((Table1[County]=SummaryPage!$A182)*(Table1[Status]&lt;&gt;"Complete")))</f>
        <v/>
      </c>
      <c r="O182" s="6" t="str">
        <f ca="1">IF($A182="Grand Total",SUM(INDIRECT(ADDRESS(1,COLUMN())&amp;":"&amp;ADDRESS(ROW()-1,COLUMN()))),IF(OR($A182="State Agencies",IFERROR(AND($L182&gt;='Input Sheet'!$J$2,$A182&lt;&gt;""),0)),$J182,""))</f>
        <v/>
      </c>
      <c r="P182" s="3" t="str">
        <f>IF(OR($A182="",$A182="Grand Total"),"",IF(IFERROR(ROUND($J182/$K182,2),1000)&gt;='Input Sheet'!$J$2,1,""))</f>
        <v/>
      </c>
      <c r="Q182" s="3" t="str">
        <f t="shared" si="14"/>
        <v/>
      </c>
      <c r="R182" s="3" t="str">
        <f>IF(OR($A182="",$A182="Grand Total"),"",AND($J182=0,(SUMPRODUCT((Table1[County]=SummaryPage!$A182)*(Table1[Status]="Not Started"))+SUMPRODUCT((Table1[County]=SummaryPage!$A182)*(Table1[Status]="")))=SUMPRODUCT((Table1[County]=SummaryPage!$A182)*(Table1[Status]&lt;&gt;"Q"))))</f>
        <v/>
      </c>
    </row>
    <row r="183" spans="1:18" x14ac:dyDescent="0.3">
      <c r="A183"/>
      <c r="B183"/>
      <c r="C183"/>
      <c r="D183"/>
      <c r="E183"/>
      <c r="F183"/>
      <c r="G183"/>
      <c r="H183"/>
      <c r="I183"/>
      <c r="J183"/>
      <c r="K183" s="211" t="str">
        <f>IF($A183="","",VLOOKUP('Input Sheet'!$D$2 &amp; " " &amp; $A183,Pop[#All],4,FALSE))</f>
        <v/>
      </c>
      <c r="L183" s="212" t="str">
        <f t="shared" si="13"/>
        <v/>
      </c>
      <c r="M183" s="213" t="str">
        <f t="shared" ca="1" si="12"/>
        <v/>
      </c>
      <c r="N183" s="214" t="str">
        <f>IF(OR($A183="",$A183="Grand Total"),IF($A183="Grand Total",SUM($N$15:$N182),""),SUMPRODUCT((Table1[County]=SummaryPage!$A183)*(Table1[Status]&lt;&gt;"Complete")))</f>
        <v/>
      </c>
      <c r="O183" s="6" t="str">
        <f ca="1">IF($A183="Grand Total",SUM(INDIRECT(ADDRESS(1,COLUMN())&amp;":"&amp;ADDRESS(ROW()-1,COLUMN()))),IF(OR($A183="State Agencies",IFERROR(AND($L183&gt;='Input Sheet'!$J$2,$A183&lt;&gt;""),0)),$J183,""))</f>
        <v/>
      </c>
      <c r="P183" s="3" t="str">
        <f>IF(OR($A183="",$A183="Grand Total"),"",IF(IFERROR(ROUND($J183/$K183,2),1000)&gt;='Input Sheet'!$J$2,1,""))</f>
        <v/>
      </c>
      <c r="Q183" s="3" t="str">
        <f t="shared" si="14"/>
        <v/>
      </c>
      <c r="R183" s="3" t="str">
        <f>IF(OR($A183="",$A183="Grand Total"),"",AND($J183=0,(SUMPRODUCT((Table1[County]=SummaryPage!$A183)*(Table1[Status]="Not Started"))+SUMPRODUCT((Table1[County]=SummaryPage!$A183)*(Table1[Status]="")))=SUMPRODUCT((Table1[County]=SummaryPage!$A183)*(Table1[Status]&lt;&gt;"Q"))))</f>
        <v/>
      </c>
    </row>
    <row r="184" spans="1:18" x14ac:dyDescent="0.3">
      <c r="A184"/>
      <c r="B184"/>
      <c r="C184"/>
      <c r="D184"/>
      <c r="E184"/>
      <c r="F184"/>
      <c r="G184"/>
      <c r="H184"/>
      <c r="I184"/>
      <c r="J184"/>
      <c r="K184" s="211" t="str">
        <f>IF($A184="","",VLOOKUP('Input Sheet'!$D$2 &amp; " " &amp; $A184,Pop[#All],4,FALSE))</f>
        <v/>
      </c>
      <c r="L184" s="212" t="str">
        <f t="shared" si="13"/>
        <v/>
      </c>
      <c r="M184" s="213" t="str">
        <f t="shared" ca="1" si="12"/>
        <v/>
      </c>
      <c r="N184" s="214" t="str">
        <f>IF(OR($A184="",$A184="Grand Total"),IF($A184="Grand Total",SUM($N$15:$N183),""),SUMPRODUCT((Table1[County]=SummaryPage!$A184)*(Table1[Status]&lt;&gt;"Complete")))</f>
        <v/>
      </c>
      <c r="O184" s="6" t="str">
        <f ca="1">IF($A184="Grand Total",SUM(INDIRECT(ADDRESS(1,COLUMN())&amp;":"&amp;ADDRESS(ROW()-1,COLUMN()))),IF(OR($A184="State Agencies",IFERROR(AND($L184&gt;='Input Sheet'!$J$2,$A184&lt;&gt;""),0)),$J184,""))</f>
        <v/>
      </c>
      <c r="P184" s="3" t="str">
        <f>IF(OR($A184="",$A184="Grand Total"),"",IF(IFERROR(ROUND($J184/$K184,2),1000)&gt;='Input Sheet'!$J$2,1,""))</f>
        <v/>
      </c>
      <c r="Q184" s="3" t="str">
        <f t="shared" si="14"/>
        <v/>
      </c>
      <c r="R184" s="3" t="str">
        <f>IF(OR($A184="",$A184="Grand Total"),"",AND($J184=0,(SUMPRODUCT((Table1[County]=SummaryPage!$A184)*(Table1[Status]="Not Started"))+SUMPRODUCT((Table1[County]=SummaryPage!$A184)*(Table1[Status]="")))=SUMPRODUCT((Table1[County]=SummaryPage!$A184)*(Table1[Status]&lt;&gt;"Q"))))</f>
        <v/>
      </c>
    </row>
    <row r="185" spans="1:18" x14ac:dyDescent="0.3">
      <c r="A185"/>
      <c r="B185"/>
      <c r="C185"/>
      <c r="D185"/>
      <c r="E185"/>
      <c r="F185"/>
      <c r="G185"/>
      <c r="H185"/>
      <c r="I185"/>
      <c r="J185"/>
      <c r="K185" s="211" t="str">
        <f>IF($A185="","",VLOOKUP('Input Sheet'!$D$2 &amp; " " &amp; $A185,Pop[#All],4,FALSE))</f>
        <v/>
      </c>
      <c r="L185" s="212" t="str">
        <f t="shared" si="13"/>
        <v/>
      </c>
      <c r="M185" s="213" t="str">
        <f t="shared" ca="1" si="12"/>
        <v/>
      </c>
      <c r="N185" s="214" t="str">
        <f>IF(OR($A185="",$A185="Grand Total"),IF($A185="Grand Total",SUM($N$15:$N184),""),SUMPRODUCT((Table1[County]=SummaryPage!$A185)*(Table1[Status]&lt;&gt;"Complete")))</f>
        <v/>
      </c>
      <c r="O185" s="6" t="str">
        <f ca="1">IF($A185="Grand Total",SUM(INDIRECT(ADDRESS(1,COLUMN())&amp;":"&amp;ADDRESS(ROW()-1,COLUMN()))),IF(OR($A185="State Agencies",IFERROR(AND($L185&gt;='Input Sheet'!$J$2,$A185&lt;&gt;""),0)),$J185,""))</f>
        <v/>
      </c>
      <c r="P185" s="3" t="str">
        <f>IF(OR($A185="",$A185="Grand Total"),"",IF(IFERROR(ROUND($J185/$K185,2),1000)&gt;='Input Sheet'!$J$2,1,""))</f>
        <v/>
      </c>
      <c r="Q185" s="3" t="str">
        <f t="shared" si="14"/>
        <v/>
      </c>
      <c r="R185" s="3" t="str">
        <f>IF(OR($A185="",$A185="Grand Total"),"",AND($J185=0,(SUMPRODUCT((Table1[County]=SummaryPage!$A185)*(Table1[Status]="Not Started"))+SUMPRODUCT((Table1[County]=SummaryPage!$A185)*(Table1[Status]="")))=SUMPRODUCT((Table1[County]=SummaryPage!$A185)*(Table1[Status]&lt;&gt;"Q"))))</f>
        <v/>
      </c>
    </row>
    <row r="186" spans="1:18" x14ac:dyDescent="0.3">
      <c r="A186"/>
      <c r="B186"/>
      <c r="C186"/>
      <c r="D186"/>
      <c r="E186"/>
      <c r="F186"/>
      <c r="G186"/>
      <c r="H186"/>
      <c r="I186"/>
      <c r="J186"/>
      <c r="K186" s="211" t="str">
        <f>IF($A186="","",VLOOKUP('Input Sheet'!$D$2 &amp; " " &amp; $A186,Pop[#All],4,FALSE))</f>
        <v/>
      </c>
      <c r="L186" s="212" t="str">
        <f t="shared" si="13"/>
        <v/>
      </c>
      <c r="M186" s="213" t="str">
        <f t="shared" ca="1" si="12"/>
        <v/>
      </c>
      <c r="N186" s="214" t="str">
        <f>IF(OR($A186="",$A186="Grand Total"),IF($A186="Grand Total",SUM($N$15:$N185),""),SUMPRODUCT((Table1[County]=SummaryPage!$A186)*(Table1[Status]&lt;&gt;"Complete")))</f>
        <v/>
      </c>
      <c r="O186" s="6" t="str">
        <f ca="1">IF($A186="Grand Total",SUM(INDIRECT(ADDRESS(1,COLUMN())&amp;":"&amp;ADDRESS(ROW()-1,COLUMN()))),IF(OR($A186="State Agencies",IFERROR(AND($L186&gt;='Input Sheet'!$J$2,$A186&lt;&gt;""),0)),$J186,""))</f>
        <v/>
      </c>
      <c r="P186" s="3" t="str">
        <f>IF(OR($A186="",$A186="Grand Total"),"",IF(IFERROR(ROUND($J186/$K186,2),1000)&gt;='Input Sheet'!$J$2,1,""))</f>
        <v/>
      </c>
      <c r="Q186" s="3" t="str">
        <f t="shared" si="14"/>
        <v/>
      </c>
      <c r="R186" s="3" t="str">
        <f>IF(OR($A186="",$A186="Grand Total"),"",AND($J186=0,(SUMPRODUCT((Table1[County]=SummaryPage!$A186)*(Table1[Status]="Not Started"))+SUMPRODUCT((Table1[County]=SummaryPage!$A186)*(Table1[Status]="")))=SUMPRODUCT((Table1[County]=SummaryPage!$A186)*(Table1[Status]&lt;&gt;"Q"))))</f>
        <v/>
      </c>
    </row>
    <row r="187" spans="1:18" x14ac:dyDescent="0.3">
      <c r="A187"/>
      <c r="B187"/>
      <c r="C187"/>
      <c r="D187"/>
      <c r="E187"/>
      <c r="F187"/>
      <c r="G187"/>
      <c r="H187"/>
      <c r="I187"/>
      <c r="J187"/>
      <c r="K187" s="211" t="str">
        <f>IF($A187="","",VLOOKUP('Input Sheet'!$D$2 &amp; " " &amp; $A187,Pop[#All],4,FALSE))</f>
        <v/>
      </c>
      <c r="L187" s="212" t="str">
        <f t="shared" si="13"/>
        <v/>
      </c>
      <c r="M187" s="213" t="str">
        <f t="shared" ca="1" si="12"/>
        <v/>
      </c>
      <c r="N187" s="214" t="str">
        <f>IF(OR($A187="",$A187="Grand Total"),IF($A187="Grand Total",SUM($N$15:$N186),""),SUMPRODUCT((Table1[County]=SummaryPage!$A187)*(Table1[Status]&lt;&gt;"Complete")))</f>
        <v/>
      </c>
      <c r="O187" s="6" t="str">
        <f ca="1">IF($A187="Grand Total",SUM(INDIRECT(ADDRESS(1,COLUMN())&amp;":"&amp;ADDRESS(ROW()-1,COLUMN()))),IF(OR($A187="State Agencies",IFERROR(AND($L187&gt;='Input Sheet'!$J$2,$A187&lt;&gt;""),0)),$J187,""))</f>
        <v/>
      </c>
      <c r="P187" s="3" t="str">
        <f>IF(OR($A187="",$A187="Grand Total"),"",IF(IFERROR(ROUND($J187/$K187,2),1000)&gt;='Input Sheet'!$J$2,1,""))</f>
        <v/>
      </c>
      <c r="Q187" s="3" t="str">
        <f t="shared" si="14"/>
        <v/>
      </c>
      <c r="R187" s="3" t="str">
        <f>IF(OR($A187="",$A187="Grand Total"),"",AND($J187=0,(SUMPRODUCT((Table1[County]=SummaryPage!$A187)*(Table1[Status]="Not Started"))+SUMPRODUCT((Table1[County]=SummaryPage!$A187)*(Table1[Status]="")))=SUMPRODUCT((Table1[County]=SummaryPage!$A187)*(Table1[Status]&lt;&gt;"Q"))))</f>
        <v/>
      </c>
    </row>
    <row r="188" spans="1:18" x14ac:dyDescent="0.3">
      <c r="A188"/>
      <c r="B188"/>
      <c r="C188"/>
      <c r="D188"/>
      <c r="E188"/>
      <c r="F188"/>
      <c r="G188"/>
      <c r="H188"/>
      <c r="I188"/>
      <c r="J188"/>
      <c r="K188" s="211" t="str">
        <f>IF($A188="","",VLOOKUP('Input Sheet'!$D$2 &amp; " " &amp; $A188,Pop[#All],4,FALSE))</f>
        <v/>
      </c>
      <c r="L188" s="212" t="str">
        <f t="shared" si="13"/>
        <v/>
      </c>
      <c r="M188" s="213" t="str">
        <f t="shared" ca="1" si="12"/>
        <v/>
      </c>
      <c r="N188" s="214" t="str">
        <f>IF(OR($A188="",$A188="Grand Total"),IF($A188="Grand Total",SUM($N$15:$N187),""),SUMPRODUCT((Table1[County]=SummaryPage!$A188)*(Table1[Status]&lt;&gt;"Complete")))</f>
        <v/>
      </c>
      <c r="O188" s="6" t="str">
        <f ca="1">IF($A188="Grand Total",SUM(INDIRECT(ADDRESS(1,COLUMN())&amp;":"&amp;ADDRESS(ROW()-1,COLUMN()))),IF(OR($A188="State Agencies",IFERROR(AND($L188&gt;='Input Sheet'!$J$2,$A188&lt;&gt;""),0)),$J188,""))</f>
        <v/>
      </c>
      <c r="P188" s="3" t="str">
        <f>IF(OR($A188="",$A188="Grand Total"),"",IF(IFERROR(ROUND($J188/$K188,2),1000)&gt;='Input Sheet'!$J$2,1,""))</f>
        <v/>
      </c>
      <c r="Q188" s="3" t="str">
        <f t="shared" si="14"/>
        <v/>
      </c>
      <c r="R188" s="3" t="str">
        <f>IF(OR($A188="",$A188="Grand Total"),"",AND($J188=0,(SUMPRODUCT((Table1[County]=SummaryPage!$A188)*(Table1[Status]="Not Started"))+SUMPRODUCT((Table1[County]=SummaryPage!$A188)*(Table1[Status]="")))=SUMPRODUCT((Table1[County]=SummaryPage!$A188)*(Table1[Status]&lt;&gt;"Q"))))</f>
        <v/>
      </c>
    </row>
    <row r="189" spans="1:18" x14ac:dyDescent="0.3">
      <c r="A189"/>
      <c r="B189"/>
      <c r="C189"/>
      <c r="D189"/>
      <c r="E189"/>
      <c r="F189"/>
      <c r="G189"/>
      <c r="H189"/>
      <c r="I189"/>
      <c r="J189"/>
      <c r="K189" s="211" t="str">
        <f>IF($A189="","",VLOOKUP('Input Sheet'!$D$2 &amp; " " &amp; $A189,Pop[#All],4,FALSE))</f>
        <v/>
      </c>
      <c r="L189" s="212" t="str">
        <f t="shared" si="13"/>
        <v/>
      </c>
      <c r="M189" s="213" t="str">
        <f t="shared" ca="1" si="12"/>
        <v/>
      </c>
      <c r="N189" s="214" t="str">
        <f>IF(OR($A189="",$A189="Grand Total"),IF($A189="Grand Total",SUM($N$15:$N188),""),SUMPRODUCT((Table1[County]=SummaryPage!$A189)*(Table1[Status]&lt;&gt;"Complete")))</f>
        <v/>
      </c>
      <c r="O189" s="6" t="str">
        <f ca="1">IF($A189="Grand Total",SUM(INDIRECT(ADDRESS(1,COLUMN())&amp;":"&amp;ADDRESS(ROW()-1,COLUMN()))),IF(OR($A189="State Agencies",IFERROR(AND($L189&gt;='Input Sheet'!$J$2,$A189&lt;&gt;""),0)),$J189,""))</f>
        <v/>
      </c>
      <c r="P189" s="3" t="str">
        <f>IF(OR($A189="",$A189="Grand Total"),"",IF(IFERROR(ROUND($J189/$K189,2),1000)&gt;='Input Sheet'!$J$2,1,""))</f>
        <v/>
      </c>
      <c r="Q189" s="3" t="str">
        <f t="shared" si="14"/>
        <v/>
      </c>
      <c r="R189" s="3" t="str">
        <f>IF(OR($A189="",$A189="Grand Total"),"",AND($J189=0,(SUMPRODUCT((Table1[County]=SummaryPage!$A189)*(Table1[Status]="Not Started"))+SUMPRODUCT((Table1[County]=SummaryPage!$A189)*(Table1[Status]="")))=SUMPRODUCT((Table1[County]=SummaryPage!$A189)*(Table1[Status]&lt;&gt;"Q"))))</f>
        <v/>
      </c>
    </row>
    <row r="190" spans="1:18" x14ac:dyDescent="0.3">
      <c r="A190"/>
      <c r="B190"/>
      <c r="C190"/>
      <c r="D190"/>
      <c r="E190"/>
      <c r="F190"/>
      <c r="G190"/>
      <c r="H190"/>
      <c r="I190"/>
      <c r="J190"/>
      <c r="K190" s="211" t="str">
        <f>IF($A190="","",VLOOKUP('Input Sheet'!$D$2 &amp; " " &amp; $A190,Pop[#All],4,FALSE))</f>
        <v/>
      </c>
      <c r="L190" s="212" t="str">
        <f t="shared" si="13"/>
        <v/>
      </c>
      <c r="M190" s="213" t="str">
        <f t="shared" ca="1" si="12"/>
        <v/>
      </c>
      <c r="N190" s="214" t="str">
        <f>IF(OR($A190="",$A190="Grand Total"),IF($A190="Grand Total",SUM($N$15:$N189),""),SUMPRODUCT((Table1[County]=SummaryPage!$A190)*(Table1[Status]&lt;&gt;"Complete")))</f>
        <v/>
      </c>
      <c r="O190" s="6" t="str">
        <f ca="1">IF($A190="Grand Total",SUM(INDIRECT(ADDRESS(1,COLUMN())&amp;":"&amp;ADDRESS(ROW()-1,COLUMN()))),IF(OR($A190="State Agencies",IFERROR(AND($L190&gt;='Input Sheet'!$J$2,$A190&lt;&gt;""),0)),$J190,""))</f>
        <v/>
      </c>
      <c r="P190" s="3" t="str">
        <f>IF(OR($A190="",$A190="Grand Total"),"",IF(IFERROR(ROUND($J190/$K190,2),1000)&gt;='Input Sheet'!$J$2,1,""))</f>
        <v/>
      </c>
      <c r="Q190" s="3" t="str">
        <f t="shared" si="14"/>
        <v/>
      </c>
      <c r="R190" s="3" t="str">
        <f>IF(OR($A190="",$A190="Grand Total"),"",AND($J190=0,(SUMPRODUCT((Table1[County]=SummaryPage!$A190)*(Table1[Status]="Not Started"))+SUMPRODUCT((Table1[County]=SummaryPage!$A190)*(Table1[Status]="")))=SUMPRODUCT((Table1[County]=SummaryPage!$A190)*(Table1[Status]&lt;&gt;"Q"))))</f>
        <v/>
      </c>
    </row>
    <row r="191" spans="1:18" x14ac:dyDescent="0.3">
      <c r="A191"/>
      <c r="B191"/>
      <c r="C191"/>
      <c r="D191"/>
      <c r="E191"/>
      <c r="F191"/>
      <c r="G191"/>
      <c r="H191"/>
      <c r="I191"/>
      <c r="J191"/>
      <c r="K191" s="211" t="str">
        <f>IF($A191="","",VLOOKUP('Input Sheet'!$D$2 &amp; " " &amp; $A191,Pop[#All],4,FALSE))</f>
        <v/>
      </c>
      <c r="L191" s="212" t="str">
        <f t="shared" si="13"/>
        <v/>
      </c>
      <c r="M191" s="213" t="str">
        <f t="shared" ca="1" si="12"/>
        <v/>
      </c>
      <c r="N191" s="214" t="str">
        <f>IF(OR($A191="",$A191="Grand Total"),IF($A191="Grand Total",SUM($N$15:$N190),""),SUMPRODUCT((Table1[County]=SummaryPage!$A191)*(Table1[Status]&lt;&gt;"Complete")))</f>
        <v/>
      </c>
      <c r="O191" s="6" t="str">
        <f ca="1">IF($A191="Grand Total",SUM(INDIRECT(ADDRESS(1,COLUMN())&amp;":"&amp;ADDRESS(ROW()-1,COLUMN()))),IF(OR($A191="State Agencies",IFERROR(AND($L191&gt;='Input Sheet'!$J$2,$A191&lt;&gt;""),0)),$J191,""))</f>
        <v/>
      </c>
      <c r="P191" s="3" t="str">
        <f>IF(OR($A191="",$A191="Grand Total"),"",IF(IFERROR(ROUND($J191/$K191,2),1000)&gt;='Input Sheet'!$J$2,1,""))</f>
        <v/>
      </c>
      <c r="Q191" s="3" t="str">
        <f t="shared" si="14"/>
        <v/>
      </c>
      <c r="R191" s="3" t="str">
        <f>IF(OR($A191="",$A191="Grand Total"),"",AND($J191=0,(SUMPRODUCT((Table1[County]=SummaryPage!$A191)*(Table1[Status]="Not Started"))+SUMPRODUCT((Table1[County]=SummaryPage!$A191)*(Table1[Status]="")))=SUMPRODUCT((Table1[County]=SummaryPage!$A191)*(Table1[Status]&lt;&gt;"Q"))))</f>
        <v/>
      </c>
    </row>
    <row r="192" spans="1:18" x14ac:dyDescent="0.3">
      <c r="A192"/>
      <c r="B192"/>
      <c r="C192"/>
      <c r="D192"/>
      <c r="E192"/>
      <c r="F192"/>
      <c r="G192"/>
      <c r="H192"/>
      <c r="I192"/>
      <c r="J192"/>
      <c r="K192" s="211" t="str">
        <f>IF($A192="","",VLOOKUP('Input Sheet'!$D$2 &amp; " " &amp; $A192,Pop[#All],4,FALSE))</f>
        <v/>
      </c>
      <c r="L192" s="212" t="str">
        <f t="shared" si="13"/>
        <v/>
      </c>
      <c r="M192" s="213" t="str">
        <f t="shared" ca="1" si="12"/>
        <v/>
      </c>
      <c r="N192" s="214" t="str">
        <f>IF(OR($A192="",$A192="Grand Total"),IF($A192="Grand Total",SUM($N$15:$N191),""),SUMPRODUCT((Table1[County]=SummaryPage!$A192)*(Table1[Status]&lt;&gt;"Complete")))</f>
        <v/>
      </c>
      <c r="O192" s="6" t="str">
        <f ca="1">IF($A192="Grand Total",SUM(INDIRECT(ADDRESS(1,COLUMN())&amp;":"&amp;ADDRESS(ROW()-1,COLUMN()))),IF(OR($A192="State Agencies",IFERROR(AND($L192&gt;='Input Sheet'!$J$2,$A192&lt;&gt;""),0)),$J192,""))</f>
        <v/>
      </c>
      <c r="P192" s="3" t="str">
        <f>IF(OR($A192="",$A192="Grand Total"),"",IF(IFERROR(ROUND($J192/$K192,2),1000)&gt;='Input Sheet'!$J$2,1,""))</f>
        <v/>
      </c>
      <c r="Q192" s="3" t="str">
        <f t="shared" si="14"/>
        <v/>
      </c>
      <c r="R192" s="3" t="str">
        <f>IF(OR($A192="",$A192="Grand Total"),"",AND($J192=0,(SUMPRODUCT((Table1[County]=SummaryPage!$A192)*(Table1[Status]="Not Started"))+SUMPRODUCT((Table1[County]=SummaryPage!$A192)*(Table1[Status]="")))=SUMPRODUCT((Table1[County]=SummaryPage!$A192)*(Table1[Status]&lt;&gt;"Q"))))</f>
        <v/>
      </c>
    </row>
    <row r="193" spans="1:18" x14ac:dyDescent="0.3">
      <c r="A193"/>
      <c r="B193"/>
      <c r="C193"/>
      <c r="D193"/>
      <c r="E193"/>
      <c r="F193"/>
      <c r="G193"/>
      <c r="H193"/>
      <c r="I193"/>
      <c r="J193"/>
      <c r="K193" s="211" t="str">
        <f>IF($A193="","",VLOOKUP('Input Sheet'!$D$2 &amp; " " &amp; $A193,Pop[#All],4,FALSE))</f>
        <v/>
      </c>
      <c r="L193" s="212" t="str">
        <f t="shared" si="13"/>
        <v/>
      </c>
      <c r="M193" s="213" t="str">
        <f t="shared" ca="1" si="12"/>
        <v/>
      </c>
      <c r="N193" s="214" t="str">
        <f>IF(OR($A193="",$A193="Grand Total"),IF($A193="Grand Total",SUM($N$15:$N192),""),SUMPRODUCT((Table1[County]=SummaryPage!$A193)*(Table1[Status]&lt;&gt;"Complete")))</f>
        <v/>
      </c>
      <c r="O193" s="6" t="str">
        <f ca="1">IF($A193="Grand Total",SUM(INDIRECT(ADDRESS(1,COLUMN())&amp;":"&amp;ADDRESS(ROW()-1,COLUMN()))),IF(OR($A193="State Agencies",IFERROR(AND($L193&gt;='Input Sheet'!$J$2,$A193&lt;&gt;""),0)),$J193,""))</f>
        <v/>
      </c>
      <c r="P193" s="3" t="str">
        <f>IF(OR($A193="",$A193="Grand Total"),"",IF(IFERROR(ROUND($J193/$K193,2),1000)&gt;='Input Sheet'!$J$2,1,""))</f>
        <v/>
      </c>
      <c r="Q193" s="3" t="str">
        <f t="shared" si="14"/>
        <v/>
      </c>
      <c r="R193" s="3" t="str">
        <f>IF(OR($A193="",$A193="Grand Total"),"",AND($J193=0,(SUMPRODUCT((Table1[County]=SummaryPage!$A193)*(Table1[Status]="Not Started"))+SUMPRODUCT((Table1[County]=SummaryPage!$A193)*(Table1[Status]="")))=SUMPRODUCT((Table1[County]=SummaryPage!$A193)*(Table1[Status]&lt;&gt;"Q"))))</f>
        <v/>
      </c>
    </row>
    <row r="194" spans="1:18" x14ac:dyDescent="0.3">
      <c r="A194"/>
      <c r="B194"/>
      <c r="C194"/>
      <c r="D194"/>
      <c r="E194"/>
      <c r="F194"/>
      <c r="G194"/>
      <c r="H194"/>
      <c r="I194"/>
      <c r="J194"/>
      <c r="K194" s="211" t="str">
        <f>IF($A194="","",VLOOKUP('Input Sheet'!$D$2 &amp; " " &amp; $A194,Pop[#All],4,FALSE))</f>
        <v/>
      </c>
      <c r="L194" s="212" t="str">
        <f t="shared" si="13"/>
        <v/>
      </c>
      <c r="M194" s="213" t="str">
        <f t="shared" ca="1" si="12"/>
        <v/>
      </c>
      <c r="N194" s="214" t="str">
        <f>IF(OR($A194="",$A194="Grand Total"),IF($A194="Grand Total",SUM($N$15:$N193),""),SUMPRODUCT((Table1[County]=SummaryPage!$A194)*(Table1[Status]&lt;&gt;"Complete")))</f>
        <v/>
      </c>
      <c r="O194" s="6" t="str">
        <f ca="1">IF($A194="Grand Total",SUM(INDIRECT(ADDRESS(1,COLUMN())&amp;":"&amp;ADDRESS(ROW()-1,COLUMN()))),IF(OR($A194="State Agencies",IFERROR(AND($L194&gt;='Input Sheet'!$J$2,$A194&lt;&gt;""),0)),$J194,""))</f>
        <v/>
      </c>
      <c r="P194" s="3" t="str">
        <f>IF(OR($A194="",$A194="Grand Total"),"",IF(IFERROR(ROUND($J194/$K194,2),1000)&gt;='Input Sheet'!$J$2,1,""))</f>
        <v/>
      </c>
      <c r="Q194" s="3" t="str">
        <f t="shared" si="14"/>
        <v/>
      </c>
      <c r="R194" s="3" t="str">
        <f>IF(OR($A194="",$A194="Grand Total"),"",AND($J194=0,(SUMPRODUCT((Table1[County]=SummaryPage!$A194)*(Table1[Status]="Not Started"))+SUMPRODUCT((Table1[County]=SummaryPage!$A194)*(Table1[Status]="")))=SUMPRODUCT((Table1[County]=SummaryPage!$A194)*(Table1[Status]&lt;&gt;"Q"))))</f>
        <v/>
      </c>
    </row>
    <row r="195" spans="1:18" x14ac:dyDescent="0.3">
      <c r="A195"/>
      <c r="B195"/>
      <c r="C195"/>
      <c r="D195"/>
      <c r="E195"/>
      <c r="F195"/>
      <c r="G195"/>
      <c r="H195"/>
      <c r="I195"/>
      <c r="J195"/>
      <c r="K195" s="211" t="str">
        <f>IF($A195="","",VLOOKUP('Input Sheet'!$D$2 &amp; " " &amp; $A195,Pop[#All],4,FALSE))</f>
        <v/>
      </c>
      <c r="L195" s="212" t="str">
        <f t="shared" si="13"/>
        <v/>
      </c>
      <c r="M195" s="213" t="str">
        <f t="shared" ca="1" si="12"/>
        <v/>
      </c>
      <c r="N195" s="214" t="str">
        <f>IF(OR($A195="",$A195="Grand Total"),IF($A195="Grand Total",SUM($N$15:$N194),""),SUMPRODUCT((Table1[County]=SummaryPage!$A195)*(Table1[Status]&lt;&gt;"Complete")))</f>
        <v/>
      </c>
      <c r="O195" s="6" t="str">
        <f ca="1">IF($A195="Grand Total",SUM(INDIRECT(ADDRESS(1,COLUMN())&amp;":"&amp;ADDRESS(ROW()-1,COLUMN()))),IF(OR($A195="State Agencies",IFERROR(AND($L195&gt;='Input Sheet'!$J$2,$A195&lt;&gt;""),0)),$J195,""))</f>
        <v/>
      </c>
      <c r="P195" s="3" t="str">
        <f>IF(OR($A195="",$A195="Grand Total"),"",IF(IFERROR(ROUND($J195/$K195,2),1000)&gt;='Input Sheet'!$J$2,1,""))</f>
        <v/>
      </c>
      <c r="Q195" s="3" t="str">
        <f t="shared" si="14"/>
        <v/>
      </c>
      <c r="R195" s="3" t="str">
        <f>IF(OR($A195="",$A195="Grand Total"),"",AND($J195=0,(SUMPRODUCT((Table1[County]=SummaryPage!$A195)*(Table1[Status]="Not Started"))+SUMPRODUCT((Table1[County]=SummaryPage!$A195)*(Table1[Status]="")))=SUMPRODUCT((Table1[County]=SummaryPage!$A195)*(Table1[Status]&lt;&gt;"Q"))))</f>
        <v/>
      </c>
    </row>
    <row r="196" spans="1:18" x14ac:dyDescent="0.3">
      <c r="A196"/>
      <c r="B196"/>
      <c r="C196"/>
      <c r="D196"/>
      <c r="E196"/>
      <c r="F196"/>
      <c r="G196"/>
      <c r="H196"/>
      <c r="I196"/>
      <c r="J196"/>
      <c r="K196" s="211" t="str">
        <f>IF($A196="","",VLOOKUP('Input Sheet'!$D$2 &amp; " " &amp; $A196,Pop[#All],4,FALSE))</f>
        <v/>
      </c>
      <c r="L196" s="212" t="str">
        <f t="shared" si="13"/>
        <v/>
      </c>
      <c r="M196" s="213" t="str">
        <f t="shared" ca="1" si="12"/>
        <v/>
      </c>
      <c r="N196" s="214" t="str">
        <f>IF(OR($A196="",$A196="Grand Total"),IF($A196="Grand Total",SUM($N$15:$N195),""),SUMPRODUCT((Table1[County]=SummaryPage!$A196)*(Table1[Status]&lt;&gt;"Complete")))</f>
        <v/>
      </c>
      <c r="O196" s="6" t="str">
        <f ca="1">IF($A196="Grand Total",SUM(INDIRECT(ADDRESS(1,COLUMN())&amp;":"&amp;ADDRESS(ROW()-1,COLUMN()))),IF(OR($A196="State Agencies",IFERROR(AND($L196&gt;='Input Sheet'!$J$2,$A196&lt;&gt;""),0)),$J196,""))</f>
        <v/>
      </c>
      <c r="P196" s="3" t="str">
        <f>IF(OR($A196="",$A196="Grand Total"),"",IF(IFERROR(ROUND($J196/$K196,2),1000)&gt;='Input Sheet'!$J$2,1,""))</f>
        <v/>
      </c>
      <c r="Q196" s="3" t="str">
        <f t="shared" si="14"/>
        <v/>
      </c>
      <c r="R196" s="3" t="str">
        <f>IF(OR($A196="",$A196="Grand Total"),"",AND($J196=0,(SUMPRODUCT((Table1[County]=SummaryPage!$A196)*(Table1[Status]="Not Started"))+SUMPRODUCT((Table1[County]=SummaryPage!$A196)*(Table1[Status]="")))=SUMPRODUCT((Table1[County]=SummaryPage!$A196)*(Table1[Status]&lt;&gt;"Q"))))</f>
        <v/>
      </c>
    </row>
    <row r="197" spans="1:18" x14ac:dyDescent="0.3">
      <c r="A197"/>
      <c r="B197"/>
      <c r="C197"/>
      <c r="D197"/>
      <c r="E197"/>
      <c r="F197"/>
      <c r="G197"/>
      <c r="H197"/>
      <c r="I197"/>
      <c r="J197"/>
      <c r="K197" s="211" t="str">
        <f>IF($A197="","",VLOOKUP('Input Sheet'!$D$2 &amp; " " &amp; $A197,Pop[#All],4,FALSE))</f>
        <v/>
      </c>
      <c r="L197" s="212" t="str">
        <f t="shared" si="13"/>
        <v/>
      </c>
      <c r="M197" s="213" t="str">
        <f t="shared" ca="1" si="12"/>
        <v/>
      </c>
      <c r="N197" s="214" t="str">
        <f>IF(OR($A197="",$A197="Grand Total"),IF($A197="Grand Total",SUM($N$15:$N196),""),SUMPRODUCT((Table1[County]=SummaryPage!$A197)*(Table1[Status]&lt;&gt;"Complete")))</f>
        <v/>
      </c>
      <c r="O197" s="6" t="str">
        <f ca="1">IF($A197="Grand Total",SUM(INDIRECT(ADDRESS(1,COLUMN())&amp;":"&amp;ADDRESS(ROW()-1,COLUMN()))),IF(OR($A197="State Agencies",IFERROR(AND($L197&gt;='Input Sheet'!$J$2,$A197&lt;&gt;""),0)),$J197,""))</f>
        <v/>
      </c>
      <c r="P197" s="3" t="str">
        <f>IF(OR($A197="",$A197="Grand Total"),"",IF(IFERROR(ROUND($J197/$K197,2),1000)&gt;='Input Sheet'!$J$2,1,""))</f>
        <v/>
      </c>
      <c r="Q197" s="3" t="str">
        <f t="shared" si="14"/>
        <v/>
      </c>
      <c r="R197" s="3" t="str">
        <f>IF(OR($A197="",$A197="Grand Total"),"",AND($J197=0,(SUMPRODUCT((Table1[County]=SummaryPage!$A197)*(Table1[Status]="Not Started"))+SUMPRODUCT((Table1[County]=SummaryPage!$A197)*(Table1[Status]="")))=SUMPRODUCT((Table1[County]=SummaryPage!$A197)*(Table1[Status]&lt;&gt;"Q"))))</f>
        <v/>
      </c>
    </row>
    <row r="198" spans="1:18" x14ac:dyDescent="0.3">
      <c r="A198"/>
      <c r="B198"/>
      <c r="C198"/>
      <c r="D198"/>
      <c r="E198"/>
      <c r="F198"/>
      <c r="G198"/>
      <c r="H198"/>
      <c r="I198"/>
      <c r="J198"/>
      <c r="K198" s="211" t="str">
        <f>IF($A198="","",VLOOKUP('Input Sheet'!$D$2 &amp; " " &amp; $A198,Pop[#All],4,FALSE))</f>
        <v/>
      </c>
      <c r="L198" s="212" t="str">
        <f t="shared" si="13"/>
        <v/>
      </c>
      <c r="M198" s="213" t="str">
        <f t="shared" ca="1" si="12"/>
        <v/>
      </c>
      <c r="N198" s="214" t="str">
        <f>IF(OR($A198="",$A198="Grand Total"),IF($A198="Grand Total",SUM($N$15:$N197),""),SUMPRODUCT((Table1[County]=SummaryPage!$A198)*(Table1[Status]&lt;&gt;"Complete")))</f>
        <v/>
      </c>
      <c r="O198" s="6" t="str">
        <f ca="1">IF($A198="Grand Total",SUM(INDIRECT(ADDRESS(1,COLUMN())&amp;":"&amp;ADDRESS(ROW()-1,COLUMN()))),IF(OR($A198="State Agencies",IFERROR(AND($L198&gt;='Input Sheet'!$J$2,$A198&lt;&gt;""),0)),$J198,""))</f>
        <v/>
      </c>
      <c r="P198" s="3" t="str">
        <f>IF(OR($A198="",$A198="Grand Total"),"",IF(IFERROR(ROUND($J198/$K198,2),1000)&gt;='Input Sheet'!$J$2,1,""))</f>
        <v/>
      </c>
      <c r="Q198" s="3" t="str">
        <f t="shared" si="14"/>
        <v/>
      </c>
      <c r="R198" s="3" t="str">
        <f>IF(OR($A198="",$A198="Grand Total"),"",AND($J198=0,(SUMPRODUCT((Table1[County]=SummaryPage!$A198)*(Table1[Status]="Not Started"))+SUMPRODUCT((Table1[County]=SummaryPage!$A198)*(Table1[Status]="")))=SUMPRODUCT((Table1[County]=SummaryPage!$A198)*(Table1[Status]&lt;&gt;"Q"))))</f>
        <v/>
      </c>
    </row>
    <row r="199" spans="1:18" x14ac:dyDescent="0.3">
      <c r="A199"/>
      <c r="B199"/>
      <c r="C199"/>
      <c r="D199"/>
      <c r="E199"/>
      <c r="F199"/>
      <c r="G199"/>
      <c r="H199"/>
      <c r="I199"/>
      <c r="J199"/>
      <c r="K199" s="211" t="str">
        <f>IF($A199="","",VLOOKUP('Input Sheet'!$D$2 &amp; " " &amp; $A199,Pop[#All],4,FALSE))</f>
        <v/>
      </c>
      <c r="L199" s="212" t="str">
        <f t="shared" si="13"/>
        <v/>
      </c>
      <c r="M199" s="213" t="str">
        <f t="shared" ca="1" si="12"/>
        <v/>
      </c>
      <c r="N199" s="214" t="str">
        <f>IF(OR($A199="",$A199="Grand Total"),IF($A199="Grand Total",SUM($N$15:$N198),""),SUMPRODUCT((Table1[County]=SummaryPage!$A199)*(Table1[Status]&lt;&gt;"Complete")))</f>
        <v/>
      </c>
      <c r="O199" s="6" t="str">
        <f ca="1">IF($A199="Grand Total",SUM(INDIRECT(ADDRESS(1,COLUMN())&amp;":"&amp;ADDRESS(ROW()-1,COLUMN()))),IF(OR($A199="State Agencies",IFERROR(AND($L199&gt;='Input Sheet'!$J$2,$A199&lt;&gt;""),0)),$J199,""))</f>
        <v/>
      </c>
      <c r="P199" s="3" t="str">
        <f>IF(OR($A199="",$A199="Grand Total"),"",IF(IFERROR(ROUND($J199/$K199,2),1000)&gt;='Input Sheet'!$J$2,1,""))</f>
        <v/>
      </c>
      <c r="Q199" s="3" t="str">
        <f t="shared" si="14"/>
        <v/>
      </c>
      <c r="R199" s="3" t="str">
        <f>IF(OR($A199="",$A199="Grand Total"),"",AND($J199=0,(SUMPRODUCT((Table1[County]=SummaryPage!$A199)*(Table1[Status]="Not Started"))+SUMPRODUCT((Table1[County]=SummaryPage!$A199)*(Table1[Status]="")))=SUMPRODUCT((Table1[County]=SummaryPage!$A199)*(Table1[Status]&lt;&gt;"Q"))))</f>
        <v/>
      </c>
    </row>
    <row r="200" spans="1:18" x14ac:dyDescent="0.3">
      <c r="A200"/>
      <c r="B200"/>
      <c r="C200"/>
      <c r="D200"/>
      <c r="E200"/>
      <c r="F200"/>
      <c r="G200"/>
      <c r="H200"/>
      <c r="I200"/>
      <c r="J200"/>
      <c r="K200" s="211" t="str">
        <f>IF($A200="","",VLOOKUP('Input Sheet'!$D$2 &amp; " " &amp; $A200,Pop[#All],4,FALSE))</f>
        <v/>
      </c>
      <c r="L200" s="212" t="str">
        <f t="shared" si="13"/>
        <v/>
      </c>
      <c r="M200" s="213" t="str">
        <f t="shared" ca="1" si="12"/>
        <v/>
      </c>
      <c r="N200" s="214" t="str">
        <f>IF(OR($A200="",$A200="Grand Total"),IF($A200="Grand Total",SUM($N$15:$N199),""),SUMPRODUCT((Table1[County]=SummaryPage!$A200)*(Table1[Status]&lt;&gt;"Complete")))</f>
        <v/>
      </c>
      <c r="O200" s="6" t="str">
        <f ca="1">IF($A200="Grand Total",SUM(INDIRECT(ADDRESS(1,COLUMN())&amp;":"&amp;ADDRESS(ROW()-1,COLUMN()))),IF(OR($A200="State Agencies",IFERROR(AND($L200&gt;='Input Sheet'!$J$2,$A200&lt;&gt;""),0)),$J200,""))</f>
        <v/>
      </c>
      <c r="P200" s="3" t="str">
        <f>IF(OR($A200="",$A200="Grand Total"),"",IF(IFERROR(ROUND($J200/$K200,2),1000)&gt;='Input Sheet'!$J$2,1,""))</f>
        <v/>
      </c>
      <c r="Q200" s="3" t="str">
        <f t="shared" si="14"/>
        <v/>
      </c>
      <c r="R200" s="3" t="str">
        <f>IF(OR($A200="",$A200="Grand Total"),"",AND($J200=0,(SUMPRODUCT((Table1[County]=SummaryPage!$A200)*(Table1[Status]="Not Started"))+SUMPRODUCT((Table1[County]=SummaryPage!$A200)*(Table1[Status]="")))=SUMPRODUCT((Table1[County]=SummaryPage!$A200)*(Table1[Status]&lt;&gt;"Q"))))</f>
        <v/>
      </c>
    </row>
    <row r="201" spans="1:18" x14ac:dyDescent="0.3">
      <c r="A201"/>
      <c r="B201"/>
      <c r="C201"/>
      <c r="D201"/>
      <c r="E201"/>
      <c r="F201"/>
      <c r="G201"/>
      <c r="H201"/>
      <c r="I201"/>
      <c r="J201"/>
      <c r="K201" s="211" t="str">
        <f>IF($A201="","",VLOOKUP('Input Sheet'!$D$2 &amp; " " &amp; $A201,Pop[#All],4,FALSE))</f>
        <v/>
      </c>
      <c r="L201" s="212" t="str">
        <f t="shared" si="13"/>
        <v/>
      </c>
      <c r="M201" s="213" t="str">
        <f t="shared" ca="1" si="12"/>
        <v/>
      </c>
      <c r="N201" s="214" t="str">
        <f>IF(OR($A201="",$A201="Grand Total"),IF($A201="Grand Total",SUM($N$15:$N200),""),SUMPRODUCT((Table1[County]=SummaryPage!$A201)*(Table1[Status]&lt;&gt;"Complete")))</f>
        <v/>
      </c>
      <c r="O201" s="6" t="str">
        <f ca="1">IF($A201="Grand Total",SUM(INDIRECT(ADDRESS(1,COLUMN())&amp;":"&amp;ADDRESS(ROW()-1,COLUMN()))),IF(OR($A201="State Agencies",IFERROR(AND($L201&gt;='Input Sheet'!$J$2,$A201&lt;&gt;""),0)),$J201,""))</f>
        <v/>
      </c>
      <c r="P201" s="3" t="str">
        <f>IF(OR($A201="",$A201="Grand Total"),"",IF(IFERROR(ROUND($J201/$K201,2),1000)&gt;='Input Sheet'!$J$2,1,""))</f>
        <v/>
      </c>
      <c r="Q201" s="3" t="str">
        <f t="shared" si="14"/>
        <v/>
      </c>
      <c r="R201" s="3" t="str">
        <f>IF(OR($A201="",$A201="Grand Total"),"",AND($J201=0,(SUMPRODUCT((Table1[County]=SummaryPage!$A201)*(Table1[Status]="Not Started"))+SUMPRODUCT((Table1[County]=SummaryPage!$A201)*(Table1[Status]="")))=SUMPRODUCT((Table1[County]=SummaryPage!$A201)*(Table1[Status]&lt;&gt;"Q"))))</f>
        <v/>
      </c>
    </row>
    <row r="202" spans="1:18" x14ac:dyDescent="0.3">
      <c r="A202"/>
      <c r="B202"/>
      <c r="C202"/>
      <c r="D202"/>
      <c r="E202"/>
      <c r="F202"/>
      <c r="G202"/>
      <c r="H202"/>
      <c r="I202"/>
      <c r="J202"/>
      <c r="K202" s="211" t="str">
        <f>IF($A202="","",VLOOKUP('Input Sheet'!$D$2 &amp; " " &amp; $A202,Pop[#All],4,FALSE))</f>
        <v/>
      </c>
      <c r="L202" s="212" t="str">
        <f t="shared" si="13"/>
        <v/>
      </c>
      <c r="M202" s="213" t="str">
        <f t="shared" ca="1" si="12"/>
        <v/>
      </c>
      <c r="N202" s="214" t="str">
        <f>IF(OR($A202="",$A202="Grand Total"),IF($A202="Grand Total",SUM($N$15:$N201),""),SUMPRODUCT((Table1[County]=SummaryPage!$A202)*(Table1[Status]&lt;&gt;"Complete")))</f>
        <v/>
      </c>
      <c r="O202" s="6" t="str">
        <f ca="1">IF($A202="Grand Total",SUM(INDIRECT(ADDRESS(1,COLUMN())&amp;":"&amp;ADDRESS(ROW()-1,COLUMN()))),IF(OR($A202="State Agencies",IFERROR(AND($L202&gt;='Input Sheet'!$J$2,$A202&lt;&gt;""),0)),$J202,""))</f>
        <v/>
      </c>
      <c r="P202" s="3" t="str">
        <f>IF(OR($A202="",$A202="Grand Total"),"",IF(IFERROR(ROUND($J202/$K202,2),1000)&gt;='Input Sheet'!$J$2,1,""))</f>
        <v/>
      </c>
      <c r="Q202" s="3" t="str">
        <f t="shared" si="14"/>
        <v/>
      </c>
      <c r="R202" s="3" t="str">
        <f>IF(OR($A202="",$A202="Grand Total"),"",AND($J202=0,(SUMPRODUCT((Table1[County]=SummaryPage!$A202)*(Table1[Status]="Not Started"))+SUMPRODUCT((Table1[County]=SummaryPage!$A202)*(Table1[Status]="")))=SUMPRODUCT((Table1[County]=SummaryPage!$A202)*(Table1[Status]&lt;&gt;"Q"))))</f>
        <v/>
      </c>
    </row>
    <row r="203" spans="1:18" x14ac:dyDescent="0.3">
      <c r="A203"/>
      <c r="B203"/>
      <c r="C203"/>
      <c r="D203"/>
      <c r="E203"/>
      <c r="F203"/>
      <c r="G203"/>
      <c r="H203"/>
      <c r="I203"/>
      <c r="J203"/>
      <c r="K203" s="211" t="str">
        <f>IF($A203="","",VLOOKUP('Input Sheet'!$D$2 &amp; " " &amp; $A203,Pop[#All],4,FALSE))</f>
        <v/>
      </c>
      <c r="L203" s="212" t="str">
        <f t="shared" si="13"/>
        <v/>
      </c>
      <c r="M203" s="213" t="str">
        <f t="shared" ca="1" si="12"/>
        <v/>
      </c>
      <c r="N203" s="214" t="str">
        <f>IF(OR($A203="",$A203="Grand Total"),IF($A203="Grand Total",SUM($N$15:$N202),""),SUMPRODUCT((Table1[County]=SummaryPage!$A203)*(Table1[Status]&lt;&gt;"Complete")))</f>
        <v/>
      </c>
      <c r="O203" s="6" t="str">
        <f ca="1">IF($A203="Grand Total",SUM(INDIRECT(ADDRESS(1,COLUMN())&amp;":"&amp;ADDRESS(ROW()-1,COLUMN()))),IF(OR($A203="State Agencies",IFERROR(AND($L203&gt;='Input Sheet'!$J$2,$A203&lt;&gt;""),0)),$J203,""))</f>
        <v/>
      </c>
      <c r="P203" s="3" t="str">
        <f>IF(OR($A203="",$A203="Grand Total"),"",IF(IFERROR(ROUND($J203/$K203,2),1000)&gt;='Input Sheet'!$J$2,1,""))</f>
        <v/>
      </c>
      <c r="Q203" s="3" t="str">
        <f t="shared" si="14"/>
        <v/>
      </c>
      <c r="R203" s="3" t="str">
        <f>IF(OR($A203="",$A203="Grand Total"),"",AND($J203=0,(SUMPRODUCT((Table1[County]=SummaryPage!$A203)*(Table1[Status]="Not Started"))+SUMPRODUCT((Table1[County]=SummaryPage!$A203)*(Table1[Status]="")))=SUMPRODUCT((Table1[County]=SummaryPage!$A203)*(Table1[Status]&lt;&gt;"Q"))))</f>
        <v/>
      </c>
    </row>
    <row r="204" spans="1:18" x14ac:dyDescent="0.3">
      <c r="A204"/>
      <c r="B204"/>
      <c r="C204"/>
      <c r="D204"/>
      <c r="E204"/>
      <c r="F204"/>
      <c r="G204"/>
      <c r="H204"/>
      <c r="I204"/>
      <c r="J204"/>
      <c r="K204" s="211" t="str">
        <f>IF($A204="","",VLOOKUP('Input Sheet'!$D$2 &amp; " " &amp; $A204,Pop[#All],4,FALSE))</f>
        <v/>
      </c>
      <c r="L204" s="212" t="str">
        <f t="shared" si="13"/>
        <v/>
      </c>
      <c r="M204" s="213" t="str">
        <f t="shared" ca="1" si="12"/>
        <v/>
      </c>
      <c r="N204" s="214" t="str">
        <f>IF(OR($A204="",$A204="Grand Total"),IF($A204="Grand Total",SUM($N$15:$N203),""),SUMPRODUCT((Table1[County]=SummaryPage!$A204)*(Table1[Status]&lt;&gt;"Complete")))</f>
        <v/>
      </c>
      <c r="O204" s="6" t="str">
        <f ca="1">IF($A204="Grand Total",SUM(INDIRECT(ADDRESS(1,COLUMN())&amp;":"&amp;ADDRESS(ROW()-1,COLUMN()))),IF(OR($A204="State Agencies",IFERROR(AND($L204&gt;='Input Sheet'!$J$2,$A204&lt;&gt;""),0)),$J204,""))</f>
        <v/>
      </c>
      <c r="P204" s="3" t="str">
        <f>IF(OR($A204="",$A204="Grand Total"),"",IF(IFERROR(ROUND($J204/$K204,2),1000)&gt;='Input Sheet'!$J$2,1,""))</f>
        <v/>
      </c>
      <c r="Q204" s="3" t="str">
        <f t="shared" si="14"/>
        <v/>
      </c>
      <c r="R204" s="3" t="str">
        <f>IF(OR($A204="",$A204="Grand Total"),"",AND($J204=0,(SUMPRODUCT((Table1[County]=SummaryPage!$A204)*(Table1[Status]="Not Started"))+SUMPRODUCT((Table1[County]=SummaryPage!$A204)*(Table1[Status]="")))=SUMPRODUCT((Table1[County]=SummaryPage!$A204)*(Table1[Status]&lt;&gt;"Q"))))</f>
        <v/>
      </c>
    </row>
    <row r="205" spans="1:18" x14ac:dyDescent="0.3">
      <c r="A205"/>
      <c r="B205"/>
      <c r="C205"/>
      <c r="D205"/>
      <c r="E205"/>
      <c r="F205"/>
      <c r="G205"/>
      <c r="H205"/>
      <c r="I205"/>
      <c r="J205"/>
      <c r="K205" s="211" t="str">
        <f>IF($A205="","",VLOOKUP('Input Sheet'!$D$2 &amp; " " &amp; $A205,Pop[#All],4,FALSE))</f>
        <v/>
      </c>
      <c r="L205" s="212" t="str">
        <f t="shared" si="13"/>
        <v/>
      </c>
      <c r="M205" s="213" t="str">
        <f t="shared" ca="1" si="12"/>
        <v/>
      </c>
      <c r="N205" s="214" t="str">
        <f>IF(OR($A205="",$A205="Grand Total"),IF($A205="Grand Total",SUM($N$15:$N204),""),SUMPRODUCT((Table1[County]=SummaryPage!$A205)*(Table1[Status]&lt;&gt;"Complete")))</f>
        <v/>
      </c>
      <c r="O205" s="6" t="str">
        <f ca="1">IF($A205="Grand Total",SUM(INDIRECT(ADDRESS(1,COLUMN())&amp;":"&amp;ADDRESS(ROW()-1,COLUMN()))),IF(OR($A205="State Agencies",IFERROR(AND($L205&gt;='Input Sheet'!$J$2,$A205&lt;&gt;""),0)),$J205,""))</f>
        <v/>
      </c>
      <c r="P205" s="3" t="str">
        <f>IF(OR($A205="",$A205="Grand Total"),"",IF(IFERROR(ROUND($J205/$K205,2),1000)&gt;='Input Sheet'!$J$2,1,""))</f>
        <v/>
      </c>
      <c r="Q205" s="3" t="str">
        <f t="shared" si="14"/>
        <v/>
      </c>
      <c r="R205" s="3" t="str">
        <f>IF(OR($A205="",$A205="Grand Total"),"",AND($J205=0,(SUMPRODUCT((Table1[County]=SummaryPage!$A205)*(Table1[Status]="Not Started"))+SUMPRODUCT((Table1[County]=SummaryPage!$A205)*(Table1[Status]="")))=SUMPRODUCT((Table1[County]=SummaryPage!$A205)*(Table1[Status]&lt;&gt;"Q"))))</f>
        <v/>
      </c>
    </row>
    <row r="206" spans="1:18" x14ac:dyDescent="0.3">
      <c r="A206"/>
      <c r="B206"/>
      <c r="C206"/>
      <c r="D206"/>
      <c r="E206"/>
      <c r="F206"/>
      <c r="G206"/>
      <c r="H206"/>
      <c r="I206"/>
      <c r="J206"/>
      <c r="K206" s="211" t="str">
        <f>IF($A206="","",VLOOKUP('Input Sheet'!$D$2 &amp; " " &amp; $A206,Pop[#All],4,FALSE))</f>
        <v/>
      </c>
      <c r="L206" s="212" t="str">
        <f t="shared" si="13"/>
        <v/>
      </c>
      <c r="M206" s="213" t="str">
        <f t="shared" ca="1" si="12"/>
        <v/>
      </c>
      <c r="N206" s="214" t="str">
        <f>IF(OR($A206="",$A206="Grand Total"),IF($A206="Grand Total",SUM($N$15:$N205),""),SUMPRODUCT((Table1[County]=SummaryPage!$A206)*(Table1[Status]&lt;&gt;"Complete")))</f>
        <v/>
      </c>
      <c r="O206" s="6" t="str">
        <f ca="1">IF($A206="Grand Total",SUM(INDIRECT(ADDRESS(1,COLUMN())&amp;":"&amp;ADDRESS(ROW()-1,COLUMN()))),IF(OR($A206="State Agencies",IFERROR(AND($L206&gt;='Input Sheet'!$J$2,$A206&lt;&gt;""),0)),$J206,""))</f>
        <v/>
      </c>
      <c r="P206" s="3" t="str">
        <f>IF(OR($A206="",$A206="Grand Total"),"",IF(IFERROR(ROUND($J206/$K206,2),1000)&gt;='Input Sheet'!$J$2,1,""))</f>
        <v/>
      </c>
      <c r="Q206" s="3" t="str">
        <f t="shared" si="14"/>
        <v/>
      </c>
      <c r="R206" s="3" t="str">
        <f>IF(OR($A206="",$A206="Grand Total"),"",AND($J206=0,(SUMPRODUCT((Table1[County]=SummaryPage!$A206)*(Table1[Status]="Not Started"))+SUMPRODUCT((Table1[County]=SummaryPage!$A206)*(Table1[Status]="")))=SUMPRODUCT((Table1[County]=SummaryPage!$A206)*(Table1[Status]&lt;&gt;"Q"))))</f>
        <v/>
      </c>
    </row>
    <row r="207" spans="1:18" x14ac:dyDescent="0.3">
      <c r="A207"/>
      <c r="B207"/>
      <c r="C207"/>
      <c r="D207"/>
      <c r="E207"/>
      <c r="F207"/>
      <c r="G207"/>
      <c r="H207"/>
      <c r="I207"/>
      <c r="J207"/>
      <c r="K207" s="211" t="str">
        <f>IF($A207="","",VLOOKUP('Input Sheet'!$D$2 &amp; " " &amp; $A207,Pop[#All],4,FALSE))</f>
        <v/>
      </c>
      <c r="L207" s="212" t="str">
        <f t="shared" si="13"/>
        <v/>
      </c>
      <c r="M207" s="213" t="str">
        <f t="shared" ref="M207:M270" ca="1" si="15">IF(A207="Grand Total","",IF(ISNUMBER($O207),$O207*2/SUM($O:$O),""))</f>
        <v/>
      </c>
      <c r="N207" s="214" t="str">
        <f>IF(OR($A207="",$A207="Grand Total"),IF($A207="Grand Total",SUM($N$15:$N206),""),SUMPRODUCT((Table1[County]=SummaryPage!$A207)*(Table1[Status]&lt;&gt;"Complete")))</f>
        <v/>
      </c>
      <c r="O207" s="6" t="str">
        <f ca="1">IF($A207="Grand Total",SUM(INDIRECT(ADDRESS(1,COLUMN())&amp;":"&amp;ADDRESS(ROW()-1,COLUMN()))),IF(OR($A207="State Agencies",IFERROR(AND($L207&gt;='Input Sheet'!$J$2,$A207&lt;&gt;""),0)),$J207,""))</f>
        <v/>
      </c>
      <c r="P207" s="3" t="str">
        <f>IF(OR($A207="",$A207="Grand Total"),"",IF(IFERROR(ROUND($J207/$K207,2),1000)&gt;='Input Sheet'!$J$2,1,""))</f>
        <v/>
      </c>
      <c r="Q207" s="3" t="str">
        <f t="shared" si="14"/>
        <v/>
      </c>
      <c r="R207" s="3" t="str">
        <f>IF(OR($A207="",$A207="Grand Total"),"",AND($J207=0,(SUMPRODUCT((Table1[County]=SummaryPage!$A207)*(Table1[Status]="Not Started"))+SUMPRODUCT((Table1[County]=SummaryPage!$A207)*(Table1[Status]="")))=SUMPRODUCT((Table1[County]=SummaryPage!$A207)*(Table1[Status]&lt;&gt;"Q"))))</f>
        <v/>
      </c>
    </row>
    <row r="208" spans="1:18" x14ac:dyDescent="0.3">
      <c r="A208"/>
      <c r="B208"/>
      <c r="C208"/>
      <c r="D208"/>
      <c r="E208"/>
      <c r="F208"/>
      <c r="G208"/>
      <c r="H208"/>
      <c r="I208"/>
      <c r="J208"/>
      <c r="K208" s="211" t="str">
        <f>IF($A208="","",VLOOKUP('Input Sheet'!$D$2 &amp; " " &amp; $A208,Pop[#All],4,FALSE))</f>
        <v/>
      </c>
      <c r="L208" s="212" t="str">
        <f t="shared" ref="L208:L271" si="16">IFERROR(IF($A208="","",ROUND($J208/$K208,2)),"")</f>
        <v/>
      </c>
      <c r="M208" s="213" t="str">
        <f t="shared" ca="1" si="15"/>
        <v/>
      </c>
      <c r="N208" s="214" t="str">
        <f>IF(OR($A208="",$A208="Grand Total"),IF($A208="Grand Total",SUM($N$15:$N207),""),SUMPRODUCT((Table1[County]=SummaryPage!$A208)*(Table1[Status]&lt;&gt;"Complete")))</f>
        <v/>
      </c>
      <c r="O208" s="6" t="str">
        <f ca="1">IF($A208="Grand Total",SUM(INDIRECT(ADDRESS(1,COLUMN())&amp;":"&amp;ADDRESS(ROW()-1,COLUMN()))),IF(OR($A208="State Agencies",IFERROR(AND($L208&gt;='Input Sheet'!$J$2,$A208&lt;&gt;""),0)),$J208,""))</f>
        <v/>
      </c>
      <c r="P208" s="3" t="str">
        <f>IF(OR($A208="",$A208="Grand Total"),"",IF(IFERROR(ROUND($J208/$K208,2),1000)&gt;='Input Sheet'!$J$2,1,""))</f>
        <v/>
      </c>
      <c r="Q208" s="3" t="str">
        <f t="shared" ref="Q208:Q271" si="17">IFERROR($L208*$P208,"")</f>
        <v/>
      </c>
      <c r="R208" s="3" t="str">
        <f>IF(OR($A208="",$A208="Grand Total"),"",AND($J208=0,(SUMPRODUCT((Table1[County]=SummaryPage!$A208)*(Table1[Status]="Not Started"))+SUMPRODUCT((Table1[County]=SummaryPage!$A208)*(Table1[Status]="")))=SUMPRODUCT((Table1[County]=SummaryPage!$A208)*(Table1[Status]&lt;&gt;"Q"))))</f>
        <v/>
      </c>
    </row>
    <row r="209" spans="1:18" x14ac:dyDescent="0.3">
      <c r="A209"/>
      <c r="B209"/>
      <c r="C209"/>
      <c r="D209"/>
      <c r="E209"/>
      <c r="F209"/>
      <c r="G209"/>
      <c r="H209"/>
      <c r="I209"/>
      <c r="J209"/>
      <c r="K209" s="211" t="str">
        <f>IF($A209="","",VLOOKUP('Input Sheet'!$D$2 &amp; " " &amp; $A209,Pop[#All],4,FALSE))</f>
        <v/>
      </c>
      <c r="L209" s="212" t="str">
        <f t="shared" si="16"/>
        <v/>
      </c>
      <c r="M209" s="213" t="str">
        <f t="shared" ca="1" si="15"/>
        <v/>
      </c>
      <c r="N209" s="214" t="str">
        <f>IF(OR($A209="",$A209="Grand Total"),IF($A209="Grand Total",SUM($N$15:$N208),""),SUMPRODUCT((Table1[County]=SummaryPage!$A209)*(Table1[Status]&lt;&gt;"Complete")))</f>
        <v/>
      </c>
      <c r="O209" s="6" t="str">
        <f ca="1">IF($A209="Grand Total",SUM(INDIRECT(ADDRESS(1,COLUMN())&amp;":"&amp;ADDRESS(ROW()-1,COLUMN()))),IF(OR($A209="State Agencies",IFERROR(AND($L209&gt;='Input Sheet'!$J$2,$A209&lt;&gt;""),0)),$J209,""))</f>
        <v/>
      </c>
      <c r="P209" s="3" t="str">
        <f>IF(OR($A209="",$A209="Grand Total"),"",IF(IFERROR(ROUND($J209/$K209,2),1000)&gt;='Input Sheet'!$J$2,1,""))</f>
        <v/>
      </c>
      <c r="Q209" s="3" t="str">
        <f t="shared" si="17"/>
        <v/>
      </c>
      <c r="R209" s="3" t="str">
        <f>IF(OR($A209="",$A209="Grand Total"),"",AND($J209=0,(SUMPRODUCT((Table1[County]=SummaryPage!$A209)*(Table1[Status]="Not Started"))+SUMPRODUCT((Table1[County]=SummaryPage!$A209)*(Table1[Status]="")))=SUMPRODUCT((Table1[County]=SummaryPage!$A209)*(Table1[Status]&lt;&gt;"Q"))))</f>
        <v/>
      </c>
    </row>
    <row r="210" spans="1:18" x14ac:dyDescent="0.3">
      <c r="A210"/>
      <c r="B210"/>
      <c r="C210"/>
      <c r="D210"/>
      <c r="E210"/>
      <c r="F210"/>
      <c r="G210"/>
      <c r="H210"/>
      <c r="I210"/>
      <c r="J210"/>
      <c r="K210" s="211" t="str">
        <f>IF($A210="","",VLOOKUP('Input Sheet'!$D$2 &amp; " " &amp; $A210,Pop[#All],4,FALSE))</f>
        <v/>
      </c>
      <c r="L210" s="212" t="str">
        <f t="shared" si="16"/>
        <v/>
      </c>
      <c r="M210" s="213" t="str">
        <f t="shared" ca="1" si="15"/>
        <v/>
      </c>
      <c r="N210" s="214" t="str">
        <f>IF(OR($A210="",$A210="Grand Total"),IF($A210="Grand Total",SUM($N$15:$N209),""),SUMPRODUCT((Table1[County]=SummaryPage!$A210)*(Table1[Status]&lt;&gt;"Complete")))</f>
        <v/>
      </c>
      <c r="O210" s="6" t="str">
        <f ca="1">IF($A210="Grand Total",SUM(INDIRECT(ADDRESS(1,COLUMN())&amp;":"&amp;ADDRESS(ROW()-1,COLUMN()))),IF(OR($A210="State Agencies",IFERROR(AND($L210&gt;='Input Sheet'!$J$2,$A210&lt;&gt;""),0)),$J210,""))</f>
        <v/>
      </c>
      <c r="P210" s="3" t="str">
        <f>IF(OR($A210="",$A210="Grand Total"),"",IF(IFERROR(ROUND($J210/$K210,2),1000)&gt;='Input Sheet'!$J$2,1,""))</f>
        <v/>
      </c>
      <c r="Q210" s="3" t="str">
        <f t="shared" si="17"/>
        <v/>
      </c>
      <c r="R210" s="3" t="str">
        <f>IF(OR($A210="",$A210="Grand Total"),"",AND($J210=0,(SUMPRODUCT((Table1[County]=SummaryPage!$A210)*(Table1[Status]="Not Started"))+SUMPRODUCT((Table1[County]=SummaryPage!$A210)*(Table1[Status]="")))=SUMPRODUCT((Table1[County]=SummaryPage!$A210)*(Table1[Status]&lt;&gt;"Q"))))</f>
        <v/>
      </c>
    </row>
    <row r="211" spans="1:18" x14ac:dyDescent="0.3">
      <c r="A211"/>
      <c r="B211"/>
      <c r="C211"/>
      <c r="D211"/>
      <c r="E211"/>
      <c r="F211"/>
      <c r="G211"/>
      <c r="H211"/>
      <c r="I211"/>
      <c r="J211"/>
      <c r="K211" s="211" t="str">
        <f>IF($A211="","",VLOOKUP('Input Sheet'!$D$2 &amp; " " &amp; $A211,Pop[#All],4,FALSE))</f>
        <v/>
      </c>
      <c r="L211" s="212" t="str">
        <f t="shared" si="16"/>
        <v/>
      </c>
      <c r="M211" s="213" t="str">
        <f t="shared" ca="1" si="15"/>
        <v/>
      </c>
      <c r="N211" s="214" t="str">
        <f>IF(OR($A211="",$A211="Grand Total"),IF($A211="Grand Total",SUM($N$15:$N210),""),SUMPRODUCT((Table1[County]=SummaryPage!$A211)*(Table1[Status]&lt;&gt;"Complete")))</f>
        <v/>
      </c>
      <c r="O211" s="6" t="str">
        <f ca="1">IF($A211="Grand Total",SUM(INDIRECT(ADDRESS(1,COLUMN())&amp;":"&amp;ADDRESS(ROW()-1,COLUMN()))),IF(OR($A211="State Agencies",IFERROR(AND($L211&gt;='Input Sheet'!$J$2,$A211&lt;&gt;""),0)),$J211,""))</f>
        <v/>
      </c>
      <c r="P211" s="3" t="str">
        <f>IF(OR($A211="",$A211="Grand Total"),"",IF(IFERROR(ROUND($J211/$K211,2),1000)&gt;='Input Sheet'!$J$2,1,""))</f>
        <v/>
      </c>
      <c r="Q211" s="3" t="str">
        <f t="shared" si="17"/>
        <v/>
      </c>
      <c r="R211" s="3" t="str">
        <f>IF(OR($A211="",$A211="Grand Total"),"",AND($J211=0,(SUMPRODUCT((Table1[County]=SummaryPage!$A211)*(Table1[Status]="Not Started"))+SUMPRODUCT((Table1[County]=SummaryPage!$A211)*(Table1[Status]="")))=SUMPRODUCT((Table1[County]=SummaryPage!$A211)*(Table1[Status]&lt;&gt;"Q"))))</f>
        <v/>
      </c>
    </row>
    <row r="212" spans="1:18" x14ac:dyDescent="0.3">
      <c r="A212"/>
      <c r="B212"/>
      <c r="C212"/>
      <c r="D212"/>
      <c r="E212"/>
      <c r="F212"/>
      <c r="G212"/>
      <c r="H212"/>
      <c r="I212"/>
      <c r="J212"/>
      <c r="K212" s="211" t="str">
        <f>IF($A212="","",VLOOKUP('Input Sheet'!$D$2 &amp; " " &amp; $A212,Pop[#All],4,FALSE))</f>
        <v/>
      </c>
      <c r="L212" s="212" t="str">
        <f t="shared" si="16"/>
        <v/>
      </c>
      <c r="M212" s="213" t="str">
        <f t="shared" ca="1" si="15"/>
        <v/>
      </c>
      <c r="N212" s="214" t="str">
        <f>IF(OR($A212="",$A212="Grand Total"),IF($A212="Grand Total",SUM($N$15:$N211),""),SUMPRODUCT((Table1[County]=SummaryPage!$A212)*(Table1[Status]&lt;&gt;"Complete")))</f>
        <v/>
      </c>
      <c r="O212" s="6" t="str">
        <f ca="1">IF($A212="Grand Total",SUM(INDIRECT(ADDRESS(1,COLUMN())&amp;":"&amp;ADDRESS(ROW()-1,COLUMN()))),IF(OR($A212="State Agencies",IFERROR(AND($L212&gt;='Input Sheet'!$J$2,$A212&lt;&gt;""),0)),$J212,""))</f>
        <v/>
      </c>
      <c r="P212" s="3" t="str">
        <f>IF(OR($A212="",$A212="Grand Total"),"",IF(IFERROR(ROUND($J212/$K212,2),1000)&gt;='Input Sheet'!$J$2,1,""))</f>
        <v/>
      </c>
      <c r="Q212" s="3" t="str">
        <f t="shared" si="17"/>
        <v/>
      </c>
      <c r="R212" s="3" t="str">
        <f>IF(OR($A212="",$A212="Grand Total"),"",AND($J212=0,(SUMPRODUCT((Table1[County]=SummaryPage!$A212)*(Table1[Status]="Not Started"))+SUMPRODUCT((Table1[County]=SummaryPage!$A212)*(Table1[Status]="")))=SUMPRODUCT((Table1[County]=SummaryPage!$A212)*(Table1[Status]&lt;&gt;"Q"))))</f>
        <v/>
      </c>
    </row>
    <row r="213" spans="1:18" x14ac:dyDescent="0.3">
      <c r="A213"/>
      <c r="B213"/>
      <c r="C213"/>
      <c r="D213"/>
      <c r="E213"/>
      <c r="F213"/>
      <c r="G213"/>
      <c r="H213"/>
      <c r="I213"/>
      <c r="J213"/>
      <c r="K213" s="211" t="str">
        <f>IF($A213="","",VLOOKUP('Input Sheet'!$D$2 &amp; " " &amp; $A213,Pop[#All],4,FALSE))</f>
        <v/>
      </c>
      <c r="L213" s="212" t="str">
        <f t="shared" si="16"/>
        <v/>
      </c>
      <c r="M213" s="213" t="str">
        <f t="shared" ca="1" si="15"/>
        <v/>
      </c>
      <c r="N213" s="214" t="str">
        <f>IF(OR($A213="",$A213="Grand Total"),IF($A213="Grand Total",SUM($N$15:$N212),""),SUMPRODUCT((Table1[County]=SummaryPage!$A213)*(Table1[Status]&lt;&gt;"Complete")))</f>
        <v/>
      </c>
      <c r="O213" s="6" t="str">
        <f ca="1">IF($A213="Grand Total",SUM(INDIRECT(ADDRESS(1,COLUMN())&amp;":"&amp;ADDRESS(ROW()-1,COLUMN()))),IF(OR($A213="State Agencies",IFERROR(AND($L213&gt;='Input Sheet'!$J$2,$A213&lt;&gt;""),0)),$J213,""))</f>
        <v/>
      </c>
      <c r="P213" s="3" t="str">
        <f>IF(OR($A213="",$A213="Grand Total"),"",IF(IFERROR(ROUND($J213/$K213,2),1000)&gt;='Input Sheet'!$J$2,1,""))</f>
        <v/>
      </c>
      <c r="Q213" s="3" t="str">
        <f t="shared" si="17"/>
        <v/>
      </c>
      <c r="R213" s="3" t="str">
        <f>IF(OR($A213="",$A213="Grand Total"),"",AND($J213=0,(SUMPRODUCT((Table1[County]=SummaryPage!$A213)*(Table1[Status]="Not Started"))+SUMPRODUCT((Table1[County]=SummaryPage!$A213)*(Table1[Status]="")))=SUMPRODUCT((Table1[County]=SummaryPage!$A213)*(Table1[Status]&lt;&gt;"Q"))))</f>
        <v/>
      </c>
    </row>
    <row r="214" spans="1:18" x14ac:dyDescent="0.3">
      <c r="A214"/>
      <c r="B214"/>
      <c r="C214"/>
      <c r="D214"/>
      <c r="E214"/>
      <c r="F214"/>
      <c r="G214"/>
      <c r="H214"/>
      <c r="I214"/>
      <c r="J214"/>
      <c r="K214" s="211" t="str">
        <f>IF($A214="","",VLOOKUP('Input Sheet'!$D$2 &amp; " " &amp; $A214,Pop[#All],4,FALSE))</f>
        <v/>
      </c>
      <c r="L214" s="212" t="str">
        <f t="shared" si="16"/>
        <v/>
      </c>
      <c r="M214" s="213" t="str">
        <f t="shared" ca="1" si="15"/>
        <v/>
      </c>
      <c r="N214" s="214" t="str">
        <f>IF(OR($A214="",$A214="Grand Total"),IF($A214="Grand Total",SUM($N$15:$N213),""),SUMPRODUCT((Table1[County]=SummaryPage!$A214)*(Table1[Status]&lt;&gt;"Complete")))</f>
        <v/>
      </c>
      <c r="O214" s="6" t="str">
        <f ca="1">IF($A214="Grand Total",SUM(INDIRECT(ADDRESS(1,COLUMN())&amp;":"&amp;ADDRESS(ROW()-1,COLUMN()))),IF(OR($A214="State Agencies",IFERROR(AND($L214&gt;='Input Sheet'!$J$2,$A214&lt;&gt;""),0)),$J214,""))</f>
        <v/>
      </c>
      <c r="P214" s="3" t="str">
        <f>IF(OR($A214="",$A214="Grand Total"),"",IF(IFERROR(ROUND($J214/$K214,2),1000)&gt;='Input Sheet'!$J$2,1,""))</f>
        <v/>
      </c>
      <c r="Q214" s="3" t="str">
        <f t="shared" si="17"/>
        <v/>
      </c>
      <c r="R214" s="3" t="str">
        <f>IF(OR($A214="",$A214="Grand Total"),"",AND($J214=0,(SUMPRODUCT((Table1[County]=SummaryPage!$A214)*(Table1[Status]="Not Started"))+SUMPRODUCT((Table1[County]=SummaryPage!$A214)*(Table1[Status]="")))=SUMPRODUCT((Table1[County]=SummaryPage!$A214)*(Table1[Status]&lt;&gt;"Q"))))</f>
        <v/>
      </c>
    </row>
    <row r="215" spans="1:18" x14ac:dyDescent="0.3">
      <c r="A215"/>
      <c r="B215"/>
      <c r="C215"/>
      <c r="D215"/>
      <c r="E215"/>
      <c r="F215"/>
      <c r="G215"/>
      <c r="H215"/>
      <c r="I215"/>
      <c r="J215"/>
      <c r="K215" s="211" t="str">
        <f>IF($A215="","",VLOOKUP('Input Sheet'!$D$2 &amp; " " &amp; $A215,Pop[#All],4,FALSE))</f>
        <v/>
      </c>
      <c r="L215" s="212" t="str">
        <f t="shared" si="16"/>
        <v/>
      </c>
      <c r="M215" s="213" t="str">
        <f t="shared" ca="1" si="15"/>
        <v/>
      </c>
      <c r="N215" s="214" t="str">
        <f>IF(OR($A215="",$A215="Grand Total"),IF($A215="Grand Total",SUM($N$15:$N214),""),SUMPRODUCT((Table1[County]=SummaryPage!$A215)*(Table1[Status]&lt;&gt;"Complete")))</f>
        <v/>
      </c>
      <c r="O215" s="6" t="str">
        <f ca="1">IF($A215="Grand Total",SUM(INDIRECT(ADDRESS(1,COLUMN())&amp;":"&amp;ADDRESS(ROW()-1,COLUMN()))),IF(OR($A215="State Agencies",IFERROR(AND($L215&gt;='Input Sheet'!$J$2,$A215&lt;&gt;""),0)),$J215,""))</f>
        <v/>
      </c>
      <c r="P215" s="3" t="str">
        <f>IF(OR($A215="",$A215="Grand Total"),"",IF(IFERROR(ROUND($J215/$K215,2),1000)&gt;='Input Sheet'!$J$2,1,""))</f>
        <v/>
      </c>
      <c r="Q215" s="3" t="str">
        <f t="shared" si="17"/>
        <v/>
      </c>
      <c r="R215" s="3" t="str">
        <f>IF(OR($A215="",$A215="Grand Total"),"",AND($J215=0,(SUMPRODUCT((Table1[County]=SummaryPage!$A215)*(Table1[Status]="Not Started"))+SUMPRODUCT((Table1[County]=SummaryPage!$A215)*(Table1[Status]="")))=SUMPRODUCT((Table1[County]=SummaryPage!$A215)*(Table1[Status]&lt;&gt;"Q"))))</f>
        <v/>
      </c>
    </row>
    <row r="216" spans="1:18" x14ac:dyDescent="0.3">
      <c r="A216"/>
      <c r="B216"/>
      <c r="C216"/>
      <c r="D216"/>
      <c r="E216"/>
      <c r="F216"/>
      <c r="G216"/>
      <c r="H216"/>
      <c r="I216"/>
      <c r="J216"/>
      <c r="K216" s="211" t="str">
        <f>IF($A216="","",VLOOKUP('Input Sheet'!$D$2 &amp; " " &amp; $A216,Pop[#All],4,FALSE))</f>
        <v/>
      </c>
      <c r="L216" s="212" t="str">
        <f t="shared" si="16"/>
        <v/>
      </c>
      <c r="M216" s="213" t="str">
        <f t="shared" ca="1" si="15"/>
        <v/>
      </c>
      <c r="N216" s="214" t="str">
        <f>IF(OR($A216="",$A216="Grand Total"),IF($A216="Grand Total",SUM($N$15:$N215),""),SUMPRODUCT((Table1[County]=SummaryPage!$A216)*(Table1[Status]&lt;&gt;"Complete")))</f>
        <v/>
      </c>
      <c r="O216" s="6" t="str">
        <f ca="1">IF($A216="Grand Total",SUM(INDIRECT(ADDRESS(1,COLUMN())&amp;":"&amp;ADDRESS(ROW()-1,COLUMN()))),IF(OR($A216="State Agencies",IFERROR(AND($L216&gt;='Input Sheet'!$J$2,$A216&lt;&gt;""),0)),$J216,""))</f>
        <v/>
      </c>
      <c r="P216" s="3" t="str">
        <f>IF(OR($A216="",$A216="Grand Total"),"",IF(IFERROR(ROUND($J216/$K216,2),1000)&gt;='Input Sheet'!$J$2,1,""))</f>
        <v/>
      </c>
      <c r="Q216" s="3" t="str">
        <f t="shared" si="17"/>
        <v/>
      </c>
      <c r="R216" s="3" t="str">
        <f>IF(OR($A216="",$A216="Grand Total"),"",AND($J216=0,(SUMPRODUCT((Table1[County]=SummaryPage!$A216)*(Table1[Status]="Not Started"))+SUMPRODUCT((Table1[County]=SummaryPage!$A216)*(Table1[Status]="")))=SUMPRODUCT((Table1[County]=SummaryPage!$A216)*(Table1[Status]&lt;&gt;"Q"))))</f>
        <v/>
      </c>
    </row>
    <row r="217" spans="1:18" x14ac:dyDescent="0.3">
      <c r="A217"/>
      <c r="B217"/>
      <c r="C217"/>
      <c r="D217"/>
      <c r="E217"/>
      <c r="F217"/>
      <c r="G217"/>
      <c r="H217"/>
      <c r="I217"/>
      <c r="J217"/>
      <c r="K217" s="211" t="str">
        <f>IF($A217="","",VLOOKUP('Input Sheet'!$D$2 &amp; " " &amp; $A217,Pop[#All],4,FALSE))</f>
        <v/>
      </c>
      <c r="L217" s="212" t="str">
        <f t="shared" si="16"/>
        <v/>
      </c>
      <c r="M217" s="213" t="str">
        <f t="shared" ca="1" si="15"/>
        <v/>
      </c>
      <c r="N217" s="214" t="str">
        <f>IF(OR($A217="",$A217="Grand Total"),IF($A217="Grand Total",SUM($N$15:$N216),""),SUMPRODUCT((Table1[County]=SummaryPage!$A217)*(Table1[Status]&lt;&gt;"Complete")))</f>
        <v/>
      </c>
      <c r="O217" s="6" t="str">
        <f ca="1">IF($A217="Grand Total",SUM(INDIRECT(ADDRESS(1,COLUMN())&amp;":"&amp;ADDRESS(ROW()-1,COLUMN()))),IF(OR($A217="State Agencies",IFERROR(AND($L217&gt;='Input Sheet'!$J$2,$A217&lt;&gt;""),0)),$J217,""))</f>
        <v/>
      </c>
      <c r="P217" s="3" t="str">
        <f>IF(OR($A217="",$A217="Grand Total"),"",IF(IFERROR(ROUND($J217/$K217,2),1000)&gt;='Input Sheet'!$J$2,1,""))</f>
        <v/>
      </c>
      <c r="Q217" s="3" t="str">
        <f t="shared" si="17"/>
        <v/>
      </c>
      <c r="R217" s="3" t="str">
        <f>IF(OR($A217="",$A217="Grand Total"),"",AND($J217=0,(SUMPRODUCT((Table1[County]=SummaryPage!$A217)*(Table1[Status]="Not Started"))+SUMPRODUCT((Table1[County]=SummaryPage!$A217)*(Table1[Status]="")))=SUMPRODUCT((Table1[County]=SummaryPage!$A217)*(Table1[Status]&lt;&gt;"Q"))))</f>
        <v/>
      </c>
    </row>
    <row r="218" spans="1:18" x14ac:dyDescent="0.3">
      <c r="A218"/>
      <c r="B218"/>
      <c r="C218"/>
      <c r="D218"/>
      <c r="E218"/>
      <c r="F218"/>
      <c r="G218"/>
      <c r="H218"/>
      <c r="I218"/>
      <c r="J218"/>
      <c r="K218" s="29" t="str">
        <f>IF($A218="","",VLOOKUP('Input Sheet'!$D$2 &amp; " " &amp; $A218,Pop[#All],4,FALSE))</f>
        <v/>
      </c>
      <c r="L218" s="5" t="str">
        <f t="shared" si="16"/>
        <v/>
      </c>
      <c r="M218" s="7" t="str">
        <f t="shared" ca="1" si="15"/>
        <v/>
      </c>
      <c r="N218" s="17" t="str">
        <f>IF(OR($A218="",$A218="Grand Total"),IF($A218="Grand Total",SUM($N$15:$N217),""),SUMPRODUCT((Table1[County]=SummaryPage!$A218)*(Table1[Status]&lt;&gt;"Complete")))</f>
        <v/>
      </c>
      <c r="O218" s="6" t="str">
        <f ca="1">IF($A218="Grand Total",SUM(INDIRECT(ADDRESS(1,COLUMN())&amp;":"&amp;ADDRESS(ROW()-1,COLUMN()))),IF(OR($A218="State Agencies",IFERROR(AND($L218&gt;='Input Sheet'!$J$2,$A218&lt;&gt;""),0)),$J218,""))</f>
        <v/>
      </c>
      <c r="P218" s="3" t="str">
        <f>IF(OR($A218="",$A218="Grand Total"),"",IF(IFERROR(ROUND($J218/$K218,2),1000)&gt;='Input Sheet'!$J$2,1,""))</f>
        <v/>
      </c>
      <c r="Q218" s="3" t="str">
        <f t="shared" si="17"/>
        <v/>
      </c>
      <c r="R218" s="3" t="str">
        <f>IF(OR($A218="",$A218="Grand Total"),"",AND($J218=0,(SUMPRODUCT((Table1[County]=SummaryPage!$A218)*(Table1[Status]="Not Started"))+SUMPRODUCT((Table1[County]=SummaryPage!$A218)*(Table1[Status]="")))=SUMPRODUCT((Table1[County]=SummaryPage!$A218)*(Table1[Status]&lt;&gt;"Q"))))</f>
        <v/>
      </c>
    </row>
    <row r="219" spans="1:18" x14ac:dyDescent="0.3">
      <c r="A219"/>
      <c r="B219"/>
      <c r="C219"/>
      <c r="D219"/>
      <c r="E219"/>
      <c r="F219"/>
      <c r="G219"/>
      <c r="H219"/>
      <c r="I219"/>
      <c r="J219"/>
      <c r="K219" s="29" t="str">
        <f>IF($A219="","",VLOOKUP('Input Sheet'!$D$2 &amp; " " &amp; $A219,Pop[#All],4,FALSE))</f>
        <v/>
      </c>
      <c r="L219" s="5" t="str">
        <f t="shared" si="16"/>
        <v/>
      </c>
      <c r="M219" s="7" t="str">
        <f t="shared" ca="1" si="15"/>
        <v/>
      </c>
      <c r="N219" s="17" t="str">
        <f>IF(OR($A219="",$A219="Grand Total"),IF($A219="Grand Total",SUM($N$15:$N218),""),SUMPRODUCT((Table1[County]=SummaryPage!$A219)*(Table1[Status]&lt;&gt;"Complete")))</f>
        <v/>
      </c>
      <c r="O219" s="6" t="str">
        <f ca="1">IF($A219="Grand Total",SUM(INDIRECT(ADDRESS(1,COLUMN())&amp;":"&amp;ADDRESS(ROW()-1,COLUMN()))),IF(OR($A219="State Agencies",IFERROR(AND($L219&gt;='Input Sheet'!$J$2,$A219&lt;&gt;""),0)),$J219,""))</f>
        <v/>
      </c>
      <c r="P219" s="3" t="str">
        <f>IF(OR($A219="",$A219="Grand Total"),"",IF(IFERROR(ROUND($J219/$K219,2),1000)&gt;='Input Sheet'!$J$2,1,""))</f>
        <v/>
      </c>
      <c r="Q219" s="3" t="str">
        <f t="shared" si="17"/>
        <v/>
      </c>
      <c r="R219" s="3" t="str">
        <f>IF(OR($A219="",$A219="Grand Total"),"",AND($J219=0,(SUMPRODUCT((Table1[County]=SummaryPage!$A219)*(Table1[Status]="Not Started"))+SUMPRODUCT((Table1[County]=SummaryPage!$A219)*(Table1[Status]="")))=SUMPRODUCT((Table1[County]=SummaryPage!$A219)*(Table1[Status]&lt;&gt;"Q"))))</f>
        <v/>
      </c>
    </row>
    <row r="220" spans="1:18" x14ac:dyDescent="0.3">
      <c r="A220"/>
      <c r="B220"/>
      <c r="C220"/>
      <c r="D220"/>
      <c r="E220"/>
      <c r="F220"/>
      <c r="G220"/>
      <c r="H220"/>
      <c r="I220"/>
      <c r="J220"/>
      <c r="K220" s="29" t="str">
        <f>IF($A220="","",VLOOKUP('Input Sheet'!$D$2 &amp; " " &amp; $A220,Pop[#All],4,FALSE))</f>
        <v/>
      </c>
      <c r="L220" s="5" t="str">
        <f t="shared" si="16"/>
        <v/>
      </c>
      <c r="M220" s="7" t="str">
        <f t="shared" ca="1" si="15"/>
        <v/>
      </c>
      <c r="N220" s="17" t="str">
        <f>IF(OR($A220="",$A220="Grand Total"),IF($A220="Grand Total",SUM($N$15:$N219),""),SUMPRODUCT((Table1[County]=SummaryPage!$A220)*(Table1[Status]&lt;&gt;"Complete")))</f>
        <v/>
      </c>
      <c r="O220" s="6" t="str">
        <f ca="1">IF($A220="Grand Total",SUM(INDIRECT(ADDRESS(1,COLUMN())&amp;":"&amp;ADDRESS(ROW()-1,COLUMN()))),IF(OR($A220="State Agencies",IFERROR(AND($L220&gt;='Input Sheet'!$J$2,$A220&lt;&gt;""),0)),$J220,""))</f>
        <v/>
      </c>
      <c r="P220" s="3" t="str">
        <f>IF(OR($A220="",$A220="Grand Total"),"",IF(IFERROR(ROUND($J220/$K220,2),1000)&gt;='Input Sheet'!$J$2,1,""))</f>
        <v/>
      </c>
      <c r="Q220" s="3" t="str">
        <f t="shared" si="17"/>
        <v/>
      </c>
      <c r="R220" s="3" t="str">
        <f>IF(OR($A220="",$A220="Grand Total"),"",AND($J220=0,(SUMPRODUCT((Table1[County]=SummaryPage!$A220)*(Table1[Status]="Not Started"))+SUMPRODUCT((Table1[County]=SummaryPage!$A220)*(Table1[Status]="")))=SUMPRODUCT((Table1[County]=SummaryPage!$A220)*(Table1[Status]&lt;&gt;"Q"))))</f>
        <v/>
      </c>
    </row>
    <row r="221" spans="1:18" x14ac:dyDescent="0.3">
      <c r="A221"/>
      <c r="B221"/>
      <c r="C221"/>
      <c r="D221"/>
      <c r="E221"/>
      <c r="F221"/>
      <c r="G221"/>
      <c r="H221"/>
      <c r="I221"/>
      <c r="J221"/>
      <c r="K221" s="29" t="str">
        <f>IF($A221="","",VLOOKUP('Input Sheet'!$D$2 &amp; " " &amp; $A221,Pop[#All],4,FALSE))</f>
        <v/>
      </c>
      <c r="L221" s="5" t="str">
        <f t="shared" si="16"/>
        <v/>
      </c>
      <c r="M221" s="7" t="str">
        <f t="shared" ca="1" si="15"/>
        <v/>
      </c>
      <c r="N221" s="17" t="str">
        <f>IF(OR($A221="",$A221="Grand Total"),IF($A221="Grand Total",SUM($N$15:$N220),""),SUMPRODUCT((Table1[County]=SummaryPage!$A221)*(Table1[Status]&lt;&gt;"Complete")))</f>
        <v/>
      </c>
      <c r="O221" s="6" t="str">
        <f ca="1">IF($A221="Grand Total",SUM(INDIRECT(ADDRESS(1,COLUMN())&amp;":"&amp;ADDRESS(ROW()-1,COLUMN()))),IF(OR($A221="State Agencies",IFERROR(AND($L221&gt;='Input Sheet'!$J$2,$A221&lt;&gt;""),0)),$J221,""))</f>
        <v/>
      </c>
      <c r="P221" s="3" t="str">
        <f>IF(OR($A221="",$A221="Grand Total"),"",IF(IFERROR(ROUND($J221/$K221,2),1000)&gt;='Input Sheet'!$J$2,1,""))</f>
        <v/>
      </c>
      <c r="Q221" s="3" t="str">
        <f t="shared" si="17"/>
        <v/>
      </c>
      <c r="R221" s="3" t="str">
        <f>IF(OR($A221="",$A221="Grand Total"),"",AND($J221=0,(SUMPRODUCT((Table1[County]=SummaryPage!$A221)*(Table1[Status]="Not Started"))+SUMPRODUCT((Table1[County]=SummaryPage!$A221)*(Table1[Status]="")))=SUMPRODUCT((Table1[County]=SummaryPage!$A221)*(Table1[Status]&lt;&gt;"Q"))))</f>
        <v/>
      </c>
    </row>
    <row r="222" spans="1:18" x14ac:dyDescent="0.3">
      <c r="A222"/>
      <c r="B222"/>
      <c r="C222"/>
      <c r="D222"/>
      <c r="E222"/>
      <c r="F222"/>
      <c r="G222"/>
      <c r="H222"/>
      <c r="I222"/>
      <c r="J222"/>
      <c r="K222" s="29" t="str">
        <f>IF($A222="","",VLOOKUP('Input Sheet'!$D$2 &amp; " " &amp; $A222,Pop[#All],4,FALSE))</f>
        <v/>
      </c>
      <c r="L222" s="5" t="str">
        <f t="shared" si="16"/>
        <v/>
      </c>
      <c r="M222" s="7" t="str">
        <f t="shared" ca="1" si="15"/>
        <v/>
      </c>
      <c r="N222" s="17" t="str">
        <f>IF(OR($A222="",$A222="Grand Total"),IF($A222="Grand Total",SUM($N$15:$N221),""),SUMPRODUCT((Table1[County]=SummaryPage!$A222)*(Table1[Status]&lt;&gt;"Complete")))</f>
        <v/>
      </c>
      <c r="O222" s="6" t="str">
        <f ca="1">IF($A222="Grand Total",SUM(INDIRECT(ADDRESS(1,COLUMN())&amp;":"&amp;ADDRESS(ROW()-1,COLUMN()))),IF(OR($A222="State Agencies",IFERROR(AND($L222&gt;='Input Sheet'!$J$2,$A222&lt;&gt;""),0)),$J222,""))</f>
        <v/>
      </c>
      <c r="P222" s="3" t="str">
        <f>IF(OR($A222="",$A222="Grand Total"),"",IF(IFERROR(ROUND($J222/$K222,2),1000)&gt;='Input Sheet'!$J$2,1,""))</f>
        <v/>
      </c>
      <c r="Q222" s="3" t="str">
        <f t="shared" si="17"/>
        <v/>
      </c>
      <c r="R222" s="3" t="str">
        <f>IF(OR($A222="",$A222="Grand Total"),"",AND($J222=0,(SUMPRODUCT((Table1[County]=SummaryPage!$A222)*(Table1[Status]="Not Started"))+SUMPRODUCT((Table1[County]=SummaryPage!$A222)*(Table1[Status]="")))=SUMPRODUCT((Table1[County]=SummaryPage!$A222)*(Table1[Status]&lt;&gt;"Q"))))</f>
        <v/>
      </c>
    </row>
    <row r="223" spans="1:18" x14ac:dyDescent="0.3">
      <c r="A223"/>
      <c r="B223"/>
      <c r="C223"/>
      <c r="D223"/>
      <c r="E223"/>
      <c r="F223"/>
      <c r="G223"/>
      <c r="H223"/>
      <c r="I223"/>
      <c r="J223"/>
      <c r="K223" s="29" t="str">
        <f>IF($A223="","",VLOOKUP('Input Sheet'!$D$2 &amp; " " &amp; $A223,Pop[#All],4,FALSE))</f>
        <v/>
      </c>
      <c r="L223" s="5" t="str">
        <f t="shared" si="16"/>
        <v/>
      </c>
      <c r="M223" s="7" t="str">
        <f t="shared" ca="1" si="15"/>
        <v/>
      </c>
      <c r="N223" s="17" t="str">
        <f>IF(OR($A223="",$A223="Grand Total"),IF($A223="Grand Total",SUM($N$15:$N222),""),SUMPRODUCT((Table1[County]=SummaryPage!$A223)*(Table1[Status]&lt;&gt;"Complete")))</f>
        <v/>
      </c>
      <c r="O223" s="6" t="str">
        <f ca="1">IF($A223="Grand Total",SUM(INDIRECT(ADDRESS(1,COLUMN())&amp;":"&amp;ADDRESS(ROW()-1,COLUMN()))),IF(OR($A223="State Agencies",IFERROR(AND($L223&gt;='Input Sheet'!$J$2,$A223&lt;&gt;""),0)),$J223,""))</f>
        <v/>
      </c>
      <c r="P223" s="3" t="str">
        <f>IF(OR($A223="",$A223="Grand Total"),"",IF(IFERROR(ROUND($J223/$K223,2),1000)&gt;='Input Sheet'!$J$2,1,""))</f>
        <v/>
      </c>
      <c r="Q223" s="3" t="str">
        <f t="shared" si="17"/>
        <v/>
      </c>
      <c r="R223" s="3" t="str">
        <f>IF(OR($A223="",$A223="Grand Total"),"",AND($J223=0,(SUMPRODUCT((Table1[County]=SummaryPage!$A223)*(Table1[Status]="Not Started"))+SUMPRODUCT((Table1[County]=SummaryPage!$A223)*(Table1[Status]="")))=SUMPRODUCT((Table1[County]=SummaryPage!$A223)*(Table1[Status]&lt;&gt;"Q"))))</f>
        <v/>
      </c>
    </row>
    <row r="224" spans="1:18" x14ac:dyDescent="0.3">
      <c r="A224"/>
      <c r="B224"/>
      <c r="C224"/>
      <c r="D224"/>
      <c r="E224"/>
      <c r="F224"/>
      <c r="G224"/>
      <c r="H224"/>
      <c r="I224"/>
      <c r="J224"/>
      <c r="K224" s="29" t="str">
        <f>IF($A224="","",VLOOKUP('Input Sheet'!$D$2 &amp; " " &amp; $A224,Pop[#All],4,FALSE))</f>
        <v/>
      </c>
      <c r="L224" s="5" t="str">
        <f t="shared" si="16"/>
        <v/>
      </c>
      <c r="M224" s="7" t="str">
        <f t="shared" ca="1" si="15"/>
        <v/>
      </c>
      <c r="N224" s="17" t="str">
        <f>IF(OR($A224="",$A224="Grand Total"),IF($A224="Grand Total",SUM($N$15:$N223),""),SUMPRODUCT((Table1[County]=SummaryPage!$A224)*(Table1[Status]&lt;&gt;"Complete")))</f>
        <v/>
      </c>
      <c r="O224" s="6" t="str">
        <f ca="1">IF($A224="Grand Total",SUM(INDIRECT(ADDRESS(1,COLUMN())&amp;":"&amp;ADDRESS(ROW()-1,COLUMN()))),IF(OR($A224="State Agencies",IFERROR(AND($L224&gt;='Input Sheet'!$J$2,$A224&lt;&gt;""),0)),$J224,""))</f>
        <v/>
      </c>
      <c r="P224" s="3" t="str">
        <f>IF(OR($A224="",$A224="Grand Total"),"",IF(IFERROR(ROUND($J224/$K224,2),1000)&gt;='Input Sheet'!$J$2,1,""))</f>
        <v/>
      </c>
      <c r="Q224" s="3" t="str">
        <f t="shared" si="17"/>
        <v/>
      </c>
      <c r="R224" s="3" t="str">
        <f>IF(OR($A224="",$A224="Grand Total"),"",AND($J224=0,(SUMPRODUCT((Table1[County]=SummaryPage!$A224)*(Table1[Status]="Not Started"))+SUMPRODUCT((Table1[County]=SummaryPage!$A224)*(Table1[Status]="")))=SUMPRODUCT((Table1[County]=SummaryPage!$A224)*(Table1[Status]&lt;&gt;"Q"))))</f>
        <v/>
      </c>
    </row>
    <row r="225" spans="1:18" x14ac:dyDescent="0.3">
      <c r="A225"/>
      <c r="B225"/>
      <c r="C225"/>
      <c r="D225"/>
      <c r="E225"/>
      <c r="F225"/>
      <c r="G225"/>
      <c r="H225"/>
      <c r="I225"/>
      <c r="J225"/>
      <c r="K225" s="29" t="str">
        <f>IF($A225="","",VLOOKUP('Input Sheet'!$D$2 &amp; " " &amp; $A225,Pop[#All],4,FALSE))</f>
        <v/>
      </c>
      <c r="L225" s="5" t="str">
        <f t="shared" si="16"/>
        <v/>
      </c>
      <c r="M225" s="7" t="str">
        <f t="shared" ca="1" si="15"/>
        <v/>
      </c>
      <c r="N225" s="17" t="str">
        <f>IF(OR($A225="",$A225="Grand Total"),IF($A225="Grand Total",SUM($N$15:$N224),""),SUMPRODUCT((Table1[County]=SummaryPage!$A225)*(Table1[Status]&lt;&gt;"Complete")))</f>
        <v/>
      </c>
      <c r="O225" s="6" t="str">
        <f ca="1">IF($A225="Grand Total",SUM(INDIRECT(ADDRESS(1,COLUMN())&amp;":"&amp;ADDRESS(ROW()-1,COLUMN()))),IF(OR($A225="State Agencies",IFERROR(AND($L225&gt;='Input Sheet'!$J$2,$A225&lt;&gt;""),0)),$J225,""))</f>
        <v/>
      </c>
      <c r="P225" s="3" t="str">
        <f>IF(OR($A225="",$A225="Grand Total"),"",IF(IFERROR(ROUND($J225/$K225,2),1000)&gt;='Input Sheet'!$J$2,1,""))</f>
        <v/>
      </c>
      <c r="Q225" s="3" t="str">
        <f t="shared" si="17"/>
        <v/>
      </c>
      <c r="R225" s="3" t="str">
        <f>IF(OR($A225="",$A225="Grand Total"),"",AND($J225=0,(SUMPRODUCT((Table1[County]=SummaryPage!$A225)*(Table1[Status]="Not Started"))+SUMPRODUCT((Table1[County]=SummaryPage!$A225)*(Table1[Status]="")))=SUMPRODUCT((Table1[County]=SummaryPage!$A225)*(Table1[Status]&lt;&gt;"Q"))))</f>
        <v/>
      </c>
    </row>
    <row r="226" spans="1:18" x14ac:dyDescent="0.3">
      <c r="A226"/>
      <c r="B226"/>
      <c r="C226"/>
      <c r="D226"/>
      <c r="E226"/>
      <c r="F226"/>
      <c r="G226"/>
      <c r="H226"/>
      <c r="I226"/>
      <c r="J226"/>
      <c r="K226" s="29" t="str">
        <f>IF($A226="","",VLOOKUP('Input Sheet'!$D$2 &amp; " " &amp; $A226,Pop[#All],4,FALSE))</f>
        <v/>
      </c>
      <c r="L226" s="5" t="str">
        <f t="shared" si="16"/>
        <v/>
      </c>
      <c r="M226" s="7" t="str">
        <f t="shared" ca="1" si="15"/>
        <v/>
      </c>
      <c r="N226" s="17" t="str">
        <f>IF(OR($A226="",$A226="Grand Total"),IF($A226="Grand Total",SUM($N$15:$N225),""),SUMPRODUCT((Table1[County]=SummaryPage!$A226)*(Table1[Status]&lt;&gt;"Complete")))</f>
        <v/>
      </c>
      <c r="O226" s="6" t="str">
        <f ca="1">IF($A226="Grand Total",SUM(INDIRECT(ADDRESS(1,COLUMN())&amp;":"&amp;ADDRESS(ROW()-1,COLUMN()))),IF(OR($A226="State Agencies",IFERROR(AND($L226&gt;='Input Sheet'!$J$2,$A226&lt;&gt;""),0)),$J226,""))</f>
        <v/>
      </c>
      <c r="P226" s="3" t="str">
        <f>IF(OR($A226="",$A226="Grand Total"),"",IF(IFERROR(ROUND($J226/$K226,2),1000)&gt;='Input Sheet'!$J$2,1,""))</f>
        <v/>
      </c>
      <c r="Q226" s="3" t="str">
        <f t="shared" si="17"/>
        <v/>
      </c>
      <c r="R226" s="3" t="str">
        <f>IF(OR($A226="",$A226="Grand Total"),"",AND($J226=0,(SUMPRODUCT((Table1[County]=SummaryPage!$A226)*(Table1[Status]="Not Started"))+SUMPRODUCT((Table1[County]=SummaryPage!$A226)*(Table1[Status]="")))=SUMPRODUCT((Table1[County]=SummaryPage!$A226)*(Table1[Status]&lt;&gt;"Q"))))</f>
        <v/>
      </c>
    </row>
    <row r="227" spans="1:18" x14ac:dyDescent="0.3">
      <c r="A227"/>
      <c r="B227"/>
      <c r="C227"/>
      <c r="D227"/>
      <c r="E227"/>
      <c r="F227"/>
      <c r="G227"/>
      <c r="H227"/>
      <c r="I227"/>
      <c r="J227"/>
      <c r="K227" s="29" t="str">
        <f>IF($A227="","",VLOOKUP('Input Sheet'!$D$2 &amp; " " &amp; $A227,Pop[#All],4,FALSE))</f>
        <v/>
      </c>
      <c r="L227" s="5" t="str">
        <f t="shared" si="16"/>
        <v/>
      </c>
      <c r="M227" s="7" t="str">
        <f t="shared" ca="1" si="15"/>
        <v/>
      </c>
      <c r="N227" s="17" t="str">
        <f>IF(OR($A227="",$A227="Grand Total"),IF($A227="Grand Total",SUM($N$15:$N226),""),SUMPRODUCT((Table1[County]=SummaryPage!$A227)*(Table1[Status]&lt;&gt;"Complete")))</f>
        <v/>
      </c>
      <c r="O227" s="6" t="str">
        <f ca="1">IF($A227="Grand Total",SUM(INDIRECT(ADDRESS(1,COLUMN())&amp;":"&amp;ADDRESS(ROW()-1,COLUMN()))),IF(OR($A227="State Agencies",IFERROR(AND($L227&gt;='Input Sheet'!$J$2,$A227&lt;&gt;""),0)),$J227,""))</f>
        <v/>
      </c>
      <c r="P227" s="3" t="str">
        <f>IF(OR($A227="",$A227="Grand Total"),"",IF(IFERROR(ROUND($J227/$K227,2),1000)&gt;='Input Sheet'!$J$2,1,""))</f>
        <v/>
      </c>
      <c r="Q227" s="3" t="str">
        <f t="shared" si="17"/>
        <v/>
      </c>
      <c r="R227" s="3" t="str">
        <f>IF(OR($A227="",$A227="Grand Total"),"",AND($J227=0,(SUMPRODUCT((Table1[County]=SummaryPage!$A227)*(Table1[Status]="Not Started"))+SUMPRODUCT((Table1[County]=SummaryPage!$A227)*(Table1[Status]="")))=SUMPRODUCT((Table1[County]=SummaryPage!$A227)*(Table1[Status]&lt;&gt;"Q"))))</f>
        <v/>
      </c>
    </row>
    <row r="228" spans="1:18" x14ac:dyDescent="0.3">
      <c r="A228"/>
      <c r="B228"/>
      <c r="C228"/>
      <c r="D228"/>
      <c r="E228"/>
      <c r="F228"/>
      <c r="G228"/>
      <c r="H228"/>
      <c r="I228"/>
      <c r="J228"/>
      <c r="K228" s="29" t="str">
        <f>IF($A228="","",VLOOKUP('Input Sheet'!$D$2 &amp; " " &amp; $A228,Pop[#All],4,FALSE))</f>
        <v/>
      </c>
      <c r="L228" s="5" t="str">
        <f t="shared" si="16"/>
        <v/>
      </c>
      <c r="M228" s="7" t="str">
        <f t="shared" ca="1" si="15"/>
        <v/>
      </c>
      <c r="N228" s="17" t="str">
        <f>IF(OR($A228="",$A228="Grand Total"),IF($A228="Grand Total",SUM($N$15:$N227),""),SUMPRODUCT((Table1[County]=SummaryPage!$A228)*(Table1[Status]&lt;&gt;"Complete")))</f>
        <v/>
      </c>
      <c r="O228" s="6" t="str">
        <f ca="1">IF($A228="Grand Total",SUM(INDIRECT(ADDRESS(1,COLUMN())&amp;":"&amp;ADDRESS(ROW()-1,COLUMN()))),IF(OR($A228="State Agencies",IFERROR(AND($L228&gt;='Input Sheet'!$J$2,$A228&lt;&gt;""),0)),$J228,""))</f>
        <v/>
      </c>
      <c r="P228" s="3" t="str">
        <f>IF(OR($A228="",$A228="Grand Total"),"",IF(IFERROR(ROUND($J228/$K228,2),1000)&gt;='Input Sheet'!$J$2,1,""))</f>
        <v/>
      </c>
      <c r="Q228" s="3" t="str">
        <f t="shared" si="17"/>
        <v/>
      </c>
      <c r="R228" s="3" t="str">
        <f>IF(OR($A228="",$A228="Grand Total"),"",AND($J228=0,(SUMPRODUCT((Table1[County]=SummaryPage!$A228)*(Table1[Status]="Not Started"))+SUMPRODUCT((Table1[County]=SummaryPage!$A228)*(Table1[Status]="")))=SUMPRODUCT((Table1[County]=SummaryPage!$A228)*(Table1[Status]&lt;&gt;"Q"))))</f>
        <v/>
      </c>
    </row>
    <row r="229" spans="1:18" x14ac:dyDescent="0.3">
      <c r="A229"/>
      <c r="B229"/>
      <c r="C229"/>
      <c r="D229"/>
      <c r="E229"/>
      <c r="F229"/>
      <c r="G229"/>
      <c r="H229"/>
      <c r="I229"/>
      <c r="J229"/>
      <c r="K229" s="29" t="str">
        <f>IF($A229="","",VLOOKUP('Input Sheet'!$D$2 &amp; " " &amp; $A229,Pop[#All],4,FALSE))</f>
        <v/>
      </c>
      <c r="L229" s="5" t="str">
        <f t="shared" si="16"/>
        <v/>
      </c>
      <c r="M229" s="7" t="str">
        <f t="shared" ca="1" si="15"/>
        <v/>
      </c>
      <c r="N229" s="17" t="str">
        <f>IF(OR($A229="",$A229="Grand Total"),IF($A229="Grand Total",SUM($N$15:$N228),""),SUMPRODUCT((Table1[County]=SummaryPage!$A229)*(Table1[Status]&lt;&gt;"Complete")))</f>
        <v/>
      </c>
      <c r="O229" s="6" t="str">
        <f ca="1">IF($A229="Grand Total",SUM(INDIRECT(ADDRESS(1,COLUMN())&amp;":"&amp;ADDRESS(ROW()-1,COLUMN()))),IF(OR($A229="State Agencies",IFERROR(AND($L229&gt;='Input Sheet'!$J$2,$A229&lt;&gt;""),0)),$J229,""))</f>
        <v/>
      </c>
      <c r="P229" s="3" t="str">
        <f>IF(OR($A229="",$A229="Grand Total"),"",IF(IFERROR(ROUND($J229/$K229,2),1000)&gt;='Input Sheet'!$J$2,1,""))</f>
        <v/>
      </c>
      <c r="Q229" s="3" t="str">
        <f t="shared" si="17"/>
        <v/>
      </c>
      <c r="R229" s="3" t="str">
        <f>IF(OR($A229="",$A229="Grand Total"),"",AND($J229=0,(SUMPRODUCT((Table1[County]=SummaryPage!$A229)*(Table1[Status]="Not Started"))+SUMPRODUCT((Table1[County]=SummaryPage!$A229)*(Table1[Status]="")))=SUMPRODUCT((Table1[County]=SummaryPage!$A229)*(Table1[Status]&lt;&gt;"Q"))))</f>
        <v/>
      </c>
    </row>
    <row r="230" spans="1:18" x14ac:dyDescent="0.3">
      <c r="A230"/>
      <c r="B230"/>
      <c r="C230"/>
      <c r="D230"/>
      <c r="E230"/>
      <c r="F230"/>
      <c r="G230"/>
      <c r="H230"/>
      <c r="I230"/>
      <c r="J230"/>
      <c r="K230" s="29" t="str">
        <f>IF($A230="","",VLOOKUP('Input Sheet'!$D$2 &amp; " " &amp; $A230,Pop[#All],4,FALSE))</f>
        <v/>
      </c>
      <c r="L230" s="5" t="str">
        <f t="shared" si="16"/>
        <v/>
      </c>
      <c r="M230" s="7" t="str">
        <f t="shared" ca="1" si="15"/>
        <v/>
      </c>
      <c r="N230" s="17" t="str">
        <f>IF(OR($A230="",$A230="Grand Total"),IF($A230="Grand Total",SUM($N$15:$N229),""),SUMPRODUCT((Table1[County]=SummaryPage!$A230)*(Table1[Status]&lt;&gt;"Complete")))</f>
        <v/>
      </c>
      <c r="O230" s="6" t="str">
        <f ca="1">IF($A230="Grand Total",SUM(INDIRECT(ADDRESS(1,COLUMN())&amp;":"&amp;ADDRESS(ROW()-1,COLUMN()))),IF(OR($A230="State Agencies",IFERROR(AND($L230&gt;='Input Sheet'!$J$2,$A230&lt;&gt;""),0)),$J230,""))</f>
        <v/>
      </c>
      <c r="P230" s="3" t="str">
        <f>IF(OR($A230="",$A230="Grand Total"),"",IF(IFERROR(ROUND($J230/$K230,2),1000)&gt;='Input Sheet'!$J$2,1,""))</f>
        <v/>
      </c>
      <c r="Q230" s="3" t="str">
        <f t="shared" si="17"/>
        <v/>
      </c>
      <c r="R230" s="3" t="str">
        <f>IF(OR($A230="",$A230="Grand Total"),"",AND($J230=0,(SUMPRODUCT((Table1[County]=SummaryPage!$A230)*(Table1[Status]="Not Started"))+SUMPRODUCT((Table1[County]=SummaryPage!$A230)*(Table1[Status]="")))=SUMPRODUCT((Table1[County]=SummaryPage!$A230)*(Table1[Status]&lt;&gt;"Q"))))</f>
        <v/>
      </c>
    </row>
    <row r="231" spans="1:18" x14ac:dyDescent="0.3">
      <c r="A231"/>
      <c r="B231"/>
      <c r="C231"/>
      <c r="D231"/>
      <c r="E231"/>
      <c r="F231"/>
      <c r="G231"/>
      <c r="H231"/>
      <c r="I231"/>
      <c r="J231"/>
      <c r="K231" s="29" t="str">
        <f>IF($A231="","",VLOOKUP('Input Sheet'!$D$2 &amp; " " &amp; $A231,Pop[#All],4,FALSE))</f>
        <v/>
      </c>
      <c r="L231" s="5" t="str">
        <f t="shared" si="16"/>
        <v/>
      </c>
      <c r="M231" s="7" t="str">
        <f t="shared" ca="1" si="15"/>
        <v/>
      </c>
      <c r="N231" s="17" t="str">
        <f>IF(OR($A231="",$A231="Grand Total"),IF($A231="Grand Total",SUM($N$15:$N230),""),SUMPRODUCT((Table1[County]=SummaryPage!$A231)*(Table1[Status]&lt;&gt;"Complete")))</f>
        <v/>
      </c>
      <c r="O231" s="6" t="str">
        <f ca="1">IF($A231="Grand Total",SUM(INDIRECT(ADDRESS(1,COLUMN())&amp;":"&amp;ADDRESS(ROW()-1,COLUMN()))),IF(OR($A231="State Agencies",IFERROR(AND($L231&gt;='Input Sheet'!$J$2,$A231&lt;&gt;""),0)),$J231,""))</f>
        <v/>
      </c>
      <c r="P231" s="3" t="str">
        <f>IF(OR($A231="",$A231="Grand Total"),"",IF(IFERROR(ROUND($J231/$K231,2),1000)&gt;='Input Sheet'!$J$2,1,""))</f>
        <v/>
      </c>
      <c r="Q231" s="3" t="str">
        <f t="shared" si="17"/>
        <v/>
      </c>
      <c r="R231" s="3" t="str">
        <f>IF(OR($A231="",$A231="Grand Total"),"",AND($J231=0,(SUMPRODUCT((Table1[County]=SummaryPage!$A231)*(Table1[Status]="Not Started"))+SUMPRODUCT((Table1[County]=SummaryPage!$A231)*(Table1[Status]="")))=SUMPRODUCT((Table1[County]=SummaryPage!$A231)*(Table1[Status]&lt;&gt;"Q"))))</f>
        <v/>
      </c>
    </row>
    <row r="232" spans="1:18" x14ac:dyDescent="0.3">
      <c r="A232"/>
      <c r="B232"/>
      <c r="C232"/>
      <c r="D232"/>
      <c r="E232"/>
      <c r="F232"/>
      <c r="G232"/>
      <c r="H232"/>
      <c r="I232"/>
      <c r="J232"/>
      <c r="K232" s="29" t="str">
        <f>IF($A232="","",VLOOKUP('Input Sheet'!$D$2 &amp; " " &amp; $A232,Pop[#All],4,FALSE))</f>
        <v/>
      </c>
      <c r="L232" s="5" t="str">
        <f t="shared" si="16"/>
        <v/>
      </c>
      <c r="M232" s="7" t="str">
        <f t="shared" ca="1" si="15"/>
        <v/>
      </c>
      <c r="N232" s="17" t="str">
        <f>IF(OR($A232="",$A232="Grand Total"),IF($A232="Grand Total",SUM($N$15:$N231),""),SUMPRODUCT((Table1[County]=SummaryPage!$A232)*(Table1[Status]&lt;&gt;"Complete")))</f>
        <v/>
      </c>
      <c r="O232" s="6" t="str">
        <f ca="1">IF($A232="Grand Total",SUM(INDIRECT(ADDRESS(1,COLUMN())&amp;":"&amp;ADDRESS(ROW()-1,COLUMN()))),IF(OR($A232="State Agencies",IFERROR(AND($L232&gt;='Input Sheet'!$J$2,$A232&lt;&gt;""),0)),$J232,""))</f>
        <v/>
      </c>
      <c r="P232" s="3" t="str">
        <f>IF(OR($A232="",$A232="Grand Total"),"",IF(IFERROR(ROUND($J232/$K232,2),1000)&gt;='Input Sheet'!$J$2,1,""))</f>
        <v/>
      </c>
      <c r="Q232" s="3" t="str">
        <f t="shared" si="17"/>
        <v/>
      </c>
      <c r="R232" s="3" t="str">
        <f>IF(OR($A232="",$A232="Grand Total"),"",AND($J232=0,(SUMPRODUCT((Table1[County]=SummaryPage!$A232)*(Table1[Status]="Not Started"))+SUMPRODUCT((Table1[County]=SummaryPage!$A232)*(Table1[Status]="")))=SUMPRODUCT((Table1[County]=SummaryPage!$A232)*(Table1[Status]&lt;&gt;"Q"))))</f>
        <v/>
      </c>
    </row>
    <row r="233" spans="1:18" x14ac:dyDescent="0.3">
      <c r="A233"/>
      <c r="B233"/>
      <c r="C233"/>
      <c r="D233"/>
      <c r="E233"/>
      <c r="F233"/>
      <c r="G233"/>
      <c r="H233"/>
      <c r="I233"/>
      <c r="J233"/>
      <c r="K233" s="29" t="str">
        <f>IF($A233="","",VLOOKUP('Input Sheet'!$D$2 &amp; " " &amp; $A233,Pop[#All],4,FALSE))</f>
        <v/>
      </c>
      <c r="L233" s="5" t="str">
        <f t="shared" si="16"/>
        <v/>
      </c>
      <c r="M233" s="7" t="str">
        <f t="shared" ca="1" si="15"/>
        <v/>
      </c>
      <c r="N233" s="17" t="str">
        <f>IF(OR($A233="",$A233="Grand Total"),IF($A233="Grand Total",SUM($N$15:$N232),""),SUMPRODUCT((Table1[County]=SummaryPage!$A233)*(Table1[Status]&lt;&gt;"Complete")))</f>
        <v/>
      </c>
      <c r="O233" s="6" t="str">
        <f ca="1">IF($A233="Grand Total",SUM(INDIRECT(ADDRESS(1,COLUMN())&amp;":"&amp;ADDRESS(ROW()-1,COLUMN()))),IF(OR($A233="State Agencies",IFERROR(AND($L233&gt;='Input Sheet'!$J$2,$A233&lt;&gt;""),0)),$J233,""))</f>
        <v/>
      </c>
      <c r="P233" s="3" t="str">
        <f>IF(OR($A233="",$A233="Grand Total"),"",IF(IFERROR(ROUND($J233/$K233,2),1000)&gt;='Input Sheet'!$J$2,1,""))</f>
        <v/>
      </c>
      <c r="Q233" s="3" t="str">
        <f t="shared" si="17"/>
        <v/>
      </c>
      <c r="R233" s="3" t="str">
        <f>IF(OR($A233="",$A233="Grand Total"),"",AND($J233=0,(SUMPRODUCT((Table1[County]=SummaryPage!$A233)*(Table1[Status]="Not Started"))+SUMPRODUCT((Table1[County]=SummaryPage!$A233)*(Table1[Status]="")))=SUMPRODUCT((Table1[County]=SummaryPage!$A233)*(Table1[Status]&lt;&gt;"Q"))))</f>
        <v/>
      </c>
    </row>
    <row r="234" spans="1:18" x14ac:dyDescent="0.3">
      <c r="A234"/>
      <c r="B234"/>
      <c r="C234"/>
      <c r="D234"/>
      <c r="E234"/>
      <c r="F234"/>
      <c r="G234"/>
      <c r="H234"/>
      <c r="I234"/>
      <c r="J234"/>
      <c r="K234" s="29" t="str">
        <f>IF($A234="","",VLOOKUP('Input Sheet'!$D$2 &amp; " " &amp; $A234,Pop[#All],4,FALSE))</f>
        <v/>
      </c>
      <c r="L234" s="5" t="str">
        <f t="shared" si="16"/>
        <v/>
      </c>
      <c r="M234" s="7" t="str">
        <f t="shared" ca="1" si="15"/>
        <v/>
      </c>
      <c r="N234" s="17" t="str">
        <f>IF(OR($A234="",$A234="Grand Total"),IF($A234="Grand Total",SUM($N$15:$N233),""),SUMPRODUCT((Table1[County]=SummaryPage!$A234)*(Table1[Status]&lt;&gt;"Complete")))</f>
        <v/>
      </c>
      <c r="O234" s="6" t="str">
        <f ca="1">IF($A234="Grand Total",SUM(INDIRECT(ADDRESS(1,COLUMN())&amp;":"&amp;ADDRESS(ROW()-1,COLUMN()))),IF(OR($A234="State Agencies",IFERROR(AND($L234&gt;='Input Sheet'!$J$2,$A234&lt;&gt;""),0)),$J234,""))</f>
        <v/>
      </c>
      <c r="P234" s="3" t="str">
        <f>IF(OR($A234="",$A234="Grand Total"),"",IF(IFERROR(ROUND($J234/$K234,2),1000)&gt;='Input Sheet'!$J$2,1,""))</f>
        <v/>
      </c>
      <c r="Q234" s="3" t="str">
        <f t="shared" si="17"/>
        <v/>
      </c>
      <c r="R234" s="3" t="str">
        <f>IF(OR($A234="",$A234="Grand Total"),"",AND($J234=0,(SUMPRODUCT((Table1[County]=SummaryPage!$A234)*(Table1[Status]="Not Started"))+SUMPRODUCT((Table1[County]=SummaryPage!$A234)*(Table1[Status]="")))=SUMPRODUCT((Table1[County]=SummaryPage!$A234)*(Table1[Status]&lt;&gt;"Q"))))</f>
        <v/>
      </c>
    </row>
    <row r="235" spans="1:18" x14ac:dyDescent="0.3">
      <c r="A235"/>
      <c r="B235"/>
      <c r="C235"/>
      <c r="D235"/>
      <c r="E235"/>
      <c r="F235"/>
      <c r="G235"/>
      <c r="H235"/>
      <c r="I235"/>
      <c r="J235"/>
      <c r="K235" s="29" t="str">
        <f>IF($A235="","",VLOOKUP('Input Sheet'!$D$2 &amp; " " &amp; $A235,Pop[#All],4,FALSE))</f>
        <v/>
      </c>
      <c r="L235" s="5" t="str">
        <f t="shared" si="16"/>
        <v/>
      </c>
      <c r="M235" s="7" t="str">
        <f t="shared" ca="1" si="15"/>
        <v/>
      </c>
      <c r="N235" s="17" t="str">
        <f>IF(OR($A235="",$A235="Grand Total"),IF($A235="Grand Total",SUM($N$15:$N234),""),SUMPRODUCT((Table1[County]=SummaryPage!$A235)*(Table1[Status]&lt;&gt;"Complete")))</f>
        <v/>
      </c>
      <c r="O235" s="6" t="str">
        <f ca="1">IF($A235="Grand Total",SUM(INDIRECT(ADDRESS(1,COLUMN())&amp;":"&amp;ADDRESS(ROW()-1,COLUMN()))),IF(OR($A235="State Agencies",IFERROR(AND($L235&gt;='Input Sheet'!$J$2,$A235&lt;&gt;""),0)),$J235,""))</f>
        <v/>
      </c>
      <c r="P235" s="3" t="str">
        <f>IF(OR($A235="",$A235="Grand Total"),"",IF(IFERROR(ROUND($J235/$K235,2),1000)&gt;='Input Sheet'!$J$2,1,""))</f>
        <v/>
      </c>
      <c r="Q235" s="3" t="str">
        <f t="shared" si="17"/>
        <v/>
      </c>
      <c r="R235" s="3" t="str">
        <f>IF(OR($A235="",$A235="Grand Total"),"",AND($J235=0,(SUMPRODUCT((Table1[County]=SummaryPage!$A235)*(Table1[Status]="Not Started"))+SUMPRODUCT((Table1[County]=SummaryPage!$A235)*(Table1[Status]="")))=SUMPRODUCT((Table1[County]=SummaryPage!$A235)*(Table1[Status]&lt;&gt;"Q"))))</f>
        <v/>
      </c>
    </row>
    <row r="236" spans="1:18" x14ac:dyDescent="0.3">
      <c r="A236"/>
      <c r="B236"/>
      <c r="C236"/>
      <c r="D236"/>
      <c r="E236"/>
      <c r="F236"/>
      <c r="G236"/>
      <c r="H236"/>
      <c r="I236"/>
      <c r="J236"/>
      <c r="K236" s="29" t="str">
        <f>IF($A236="","",VLOOKUP('Input Sheet'!$D$2 &amp; " " &amp; $A236,Pop[#All],4,FALSE))</f>
        <v/>
      </c>
      <c r="L236" s="5" t="str">
        <f t="shared" si="16"/>
        <v/>
      </c>
      <c r="M236" s="7" t="str">
        <f t="shared" ca="1" si="15"/>
        <v/>
      </c>
      <c r="N236" s="17" t="str">
        <f>IF(OR($A236="",$A236="Grand Total"),IF($A236="Grand Total",SUM($N$15:$N235),""),SUMPRODUCT((Table1[County]=SummaryPage!$A236)*(Table1[Status]&lt;&gt;"Complete")))</f>
        <v/>
      </c>
      <c r="O236" s="6" t="str">
        <f ca="1">IF($A236="Grand Total",SUM(INDIRECT(ADDRESS(1,COLUMN())&amp;":"&amp;ADDRESS(ROW()-1,COLUMN()))),IF(OR($A236="State Agencies",IFERROR(AND($L236&gt;='Input Sheet'!$J$2,$A236&lt;&gt;""),0)),$J236,""))</f>
        <v/>
      </c>
      <c r="P236" s="3" t="str">
        <f>IF(OR($A236="",$A236="Grand Total"),"",IF(IFERROR(ROUND($J236/$K236,2),1000)&gt;='Input Sheet'!$J$2,1,""))</f>
        <v/>
      </c>
      <c r="Q236" s="3" t="str">
        <f t="shared" si="17"/>
        <v/>
      </c>
      <c r="R236" s="3" t="str">
        <f>IF(OR($A236="",$A236="Grand Total"),"",AND($J236=0,(SUMPRODUCT((Table1[County]=SummaryPage!$A236)*(Table1[Status]="Not Started"))+SUMPRODUCT((Table1[County]=SummaryPage!$A236)*(Table1[Status]="")))=SUMPRODUCT((Table1[County]=SummaryPage!$A236)*(Table1[Status]&lt;&gt;"Q"))))</f>
        <v/>
      </c>
    </row>
    <row r="237" spans="1:18" x14ac:dyDescent="0.3">
      <c r="A237"/>
      <c r="B237"/>
      <c r="C237"/>
      <c r="D237"/>
      <c r="E237"/>
      <c r="F237"/>
      <c r="G237"/>
      <c r="H237"/>
      <c r="I237"/>
      <c r="J237"/>
      <c r="K237" s="29" t="str">
        <f>IF($A237="","",VLOOKUP('Input Sheet'!$D$2 &amp; " " &amp; $A237,Pop[#All],4,FALSE))</f>
        <v/>
      </c>
      <c r="L237" s="5" t="str">
        <f t="shared" si="16"/>
        <v/>
      </c>
      <c r="M237" s="7" t="str">
        <f t="shared" ca="1" si="15"/>
        <v/>
      </c>
      <c r="N237" s="17" t="str">
        <f>IF(OR($A237="",$A237="Grand Total"),IF($A237="Grand Total",SUM($N$15:$N236),""),SUMPRODUCT((Table1[County]=SummaryPage!$A237)*(Table1[Status]&lt;&gt;"Complete")))</f>
        <v/>
      </c>
      <c r="O237" s="6" t="str">
        <f ca="1">IF($A237="Grand Total",SUM(INDIRECT(ADDRESS(1,COLUMN())&amp;":"&amp;ADDRESS(ROW()-1,COLUMN()))),IF(OR($A237="State Agencies",IFERROR(AND($L237&gt;='Input Sheet'!$J$2,$A237&lt;&gt;""),0)),$J237,""))</f>
        <v/>
      </c>
      <c r="P237" s="3" t="str">
        <f>IF(OR($A237="",$A237="Grand Total"),"",IF(IFERROR(ROUND($J237/$K237,2),1000)&gt;='Input Sheet'!$J$2,1,""))</f>
        <v/>
      </c>
      <c r="Q237" s="3" t="str">
        <f t="shared" si="17"/>
        <v/>
      </c>
      <c r="R237" s="3" t="str">
        <f>IF(OR($A237="",$A237="Grand Total"),"",AND($J237=0,(SUMPRODUCT((Table1[County]=SummaryPage!$A237)*(Table1[Status]="Not Started"))+SUMPRODUCT((Table1[County]=SummaryPage!$A237)*(Table1[Status]="")))=SUMPRODUCT((Table1[County]=SummaryPage!$A237)*(Table1[Status]&lt;&gt;"Q"))))</f>
        <v/>
      </c>
    </row>
    <row r="238" spans="1:18" x14ac:dyDescent="0.3">
      <c r="A238"/>
      <c r="B238"/>
      <c r="C238"/>
      <c r="D238"/>
      <c r="E238"/>
      <c r="F238"/>
      <c r="G238"/>
      <c r="H238"/>
      <c r="I238"/>
      <c r="J238"/>
      <c r="K238" s="29" t="str">
        <f>IF($A238="","",VLOOKUP('Input Sheet'!$D$2 &amp; " " &amp; $A238,Pop[#All],4,FALSE))</f>
        <v/>
      </c>
      <c r="L238" s="5" t="str">
        <f t="shared" si="16"/>
        <v/>
      </c>
      <c r="M238" s="7" t="str">
        <f t="shared" ca="1" si="15"/>
        <v/>
      </c>
      <c r="N238" s="17" t="str">
        <f>IF(OR($A238="",$A238="Grand Total"),IF($A238="Grand Total",SUM($N$15:$N237),""),SUMPRODUCT((Table1[County]=SummaryPage!$A238)*(Table1[Status]&lt;&gt;"Complete")))</f>
        <v/>
      </c>
      <c r="O238" s="6" t="str">
        <f ca="1">IF($A238="Grand Total",SUM(INDIRECT(ADDRESS(1,COLUMN())&amp;":"&amp;ADDRESS(ROW()-1,COLUMN()))),IF(OR($A238="State Agencies",IFERROR(AND($L238&gt;='Input Sheet'!$J$2,$A238&lt;&gt;""),0)),$J238,""))</f>
        <v/>
      </c>
      <c r="P238" s="3" t="str">
        <f>IF(OR($A238="",$A238="Grand Total"),"",IF(IFERROR(ROUND($J238/$K238,2),1000)&gt;='Input Sheet'!$J$2,1,""))</f>
        <v/>
      </c>
      <c r="Q238" s="3" t="str">
        <f t="shared" si="17"/>
        <v/>
      </c>
      <c r="R238" s="3" t="str">
        <f>IF(OR($A238="",$A238="Grand Total"),"",AND($J238=0,(SUMPRODUCT((Table1[County]=SummaryPage!$A238)*(Table1[Status]="Not Started"))+SUMPRODUCT((Table1[County]=SummaryPage!$A238)*(Table1[Status]="")))=SUMPRODUCT((Table1[County]=SummaryPage!$A238)*(Table1[Status]&lt;&gt;"Q"))))</f>
        <v/>
      </c>
    </row>
    <row r="239" spans="1:18" x14ac:dyDescent="0.3">
      <c r="A239"/>
      <c r="B239"/>
      <c r="C239"/>
      <c r="D239"/>
      <c r="E239"/>
      <c r="F239"/>
      <c r="G239"/>
      <c r="H239"/>
      <c r="I239"/>
      <c r="J239"/>
      <c r="K239" s="29" t="str">
        <f>IF($A239="","",VLOOKUP('Input Sheet'!$D$2 &amp; " " &amp; $A239,Pop[#All],4,FALSE))</f>
        <v/>
      </c>
      <c r="L239" s="5" t="str">
        <f t="shared" si="16"/>
        <v/>
      </c>
      <c r="M239" s="7" t="str">
        <f t="shared" ca="1" si="15"/>
        <v/>
      </c>
      <c r="N239" s="17" t="str">
        <f>IF(OR($A239="",$A239="Grand Total"),IF($A239="Grand Total",SUM($N$15:$N238),""),SUMPRODUCT((Table1[County]=SummaryPage!$A239)*(Table1[Status]&lt;&gt;"Complete")))</f>
        <v/>
      </c>
      <c r="O239" s="6" t="str">
        <f ca="1">IF($A239="Grand Total",SUM(INDIRECT(ADDRESS(1,COLUMN())&amp;":"&amp;ADDRESS(ROW()-1,COLUMN()))),IF(OR($A239="State Agencies",IFERROR(AND($L239&gt;='Input Sheet'!$J$2,$A239&lt;&gt;""),0)),$J239,""))</f>
        <v/>
      </c>
      <c r="P239" s="3" t="str">
        <f>IF(OR($A239="",$A239="Grand Total"),"",IF(IFERROR(ROUND($J239/$K239,2),1000)&gt;='Input Sheet'!$J$2,1,""))</f>
        <v/>
      </c>
      <c r="Q239" s="3" t="str">
        <f t="shared" si="17"/>
        <v/>
      </c>
      <c r="R239" s="3" t="str">
        <f>IF(OR($A239="",$A239="Grand Total"),"",AND($J239=0,(SUMPRODUCT((Table1[County]=SummaryPage!$A239)*(Table1[Status]="Not Started"))+SUMPRODUCT((Table1[County]=SummaryPage!$A239)*(Table1[Status]="")))=SUMPRODUCT((Table1[County]=SummaryPage!$A239)*(Table1[Status]&lt;&gt;"Q"))))</f>
        <v/>
      </c>
    </row>
    <row r="240" spans="1:18" x14ac:dyDescent="0.3">
      <c r="A240"/>
      <c r="B240"/>
      <c r="C240"/>
      <c r="D240"/>
      <c r="E240"/>
      <c r="F240"/>
      <c r="G240"/>
      <c r="H240"/>
      <c r="I240"/>
      <c r="J240"/>
      <c r="K240" s="29" t="str">
        <f>IF($A240="","",VLOOKUP('Input Sheet'!$D$2 &amp; " " &amp; $A240,Pop[#All],4,FALSE))</f>
        <v/>
      </c>
      <c r="L240" s="5" t="str">
        <f t="shared" si="16"/>
        <v/>
      </c>
      <c r="M240" s="7" t="str">
        <f t="shared" ca="1" si="15"/>
        <v/>
      </c>
      <c r="N240" s="17" t="str">
        <f>IF(OR($A240="",$A240="Grand Total"),IF($A240="Grand Total",SUM($N$15:$N239),""),SUMPRODUCT((Table1[County]=SummaryPage!$A240)*(Table1[Status]&lt;&gt;"Complete")))</f>
        <v/>
      </c>
      <c r="O240" s="6" t="str">
        <f ca="1">IF($A240="Grand Total",SUM(INDIRECT(ADDRESS(1,COLUMN())&amp;":"&amp;ADDRESS(ROW()-1,COLUMN()))),IF(OR($A240="State Agencies",IFERROR(AND($L240&gt;='Input Sheet'!$J$2,$A240&lt;&gt;""),0)),$J240,""))</f>
        <v/>
      </c>
      <c r="P240" s="3" t="str">
        <f>IF(OR($A240="",$A240="Grand Total"),"",IF(IFERROR(ROUND($J240/$K240,2),1000)&gt;='Input Sheet'!$J$2,1,""))</f>
        <v/>
      </c>
      <c r="Q240" s="3" t="str">
        <f t="shared" si="17"/>
        <v/>
      </c>
      <c r="R240" s="3" t="str">
        <f>IF(OR($A240="",$A240="Grand Total"),"",AND($J240=0,(SUMPRODUCT((Table1[County]=SummaryPage!$A240)*(Table1[Status]="Not Started"))+SUMPRODUCT((Table1[County]=SummaryPage!$A240)*(Table1[Status]="")))=SUMPRODUCT((Table1[County]=SummaryPage!$A240)*(Table1[Status]&lt;&gt;"Q"))))</f>
        <v/>
      </c>
    </row>
    <row r="241" spans="1:18" x14ac:dyDescent="0.3">
      <c r="A241"/>
      <c r="B241"/>
      <c r="C241"/>
      <c r="D241"/>
      <c r="E241"/>
      <c r="F241"/>
      <c r="G241"/>
      <c r="H241"/>
      <c r="I241"/>
      <c r="J241"/>
      <c r="K241" s="29" t="str">
        <f>IF($A241="","",VLOOKUP('Input Sheet'!$D$2 &amp; " " &amp; $A241,Pop[#All],4,FALSE))</f>
        <v/>
      </c>
      <c r="L241" s="5" t="str">
        <f t="shared" si="16"/>
        <v/>
      </c>
      <c r="M241" s="7" t="str">
        <f t="shared" ca="1" si="15"/>
        <v/>
      </c>
      <c r="N241" s="17" t="str">
        <f>IF(OR($A241="",$A241="Grand Total"),IF($A241="Grand Total",SUM($N$15:$N240),""),SUMPRODUCT((Table1[County]=SummaryPage!$A241)*(Table1[Status]&lt;&gt;"Complete")))</f>
        <v/>
      </c>
      <c r="O241" s="6" t="str">
        <f ca="1">IF($A241="Grand Total",SUM(INDIRECT(ADDRESS(1,COLUMN())&amp;":"&amp;ADDRESS(ROW()-1,COLUMN()))),IF(OR($A241="State Agencies",IFERROR(AND($L241&gt;='Input Sheet'!$J$2,$A241&lt;&gt;""),0)),$J241,""))</f>
        <v/>
      </c>
      <c r="P241" s="3" t="str">
        <f>IF(OR($A241="",$A241="Grand Total"),"",IF(IFERROR(ROUND($J241/$K241,2),1000)&gt;='Input Sheet'!$J$2,1,""))</f>
        <v/>
      </c>
      <c r="Q241" s="3" t="str">
        <f t="shared" si="17"/>
        <v/>
      </c>
      <c r="R241" s="3" t="str">
        <f>IF(OR($A241="",$A241="Grand Total"),"",AND($J241=0,(SUMPRODUCT((Table1[County]=SummaryPage!$A241)*(Table1[Status]="Not Started"))+SUMPRODUCT((Table1[County]=SummaryPage!$A241)*(Table1[Status]="")))=SUMPRODUCT((Table1[County]=SummaryPage!$A241)*(Table1[Status]&lt;&gt;"Q"))))</f>
        <v/>
      </c>
    </row>
    <row r="242" spans="1:18" x14ac:dyDescent="0.3">
      <c r="A242"/>
      <c r="B242"/>
      <c r="C242"/>
      <c r="D242"/>
      <c r="E242"/>
      <c r="F242"/>
      <c r="G242"/>
      <c r="H242"/>
      <c r="I242"/>
      <c r="J242"/>
      <c r="K242" s="29" t="str">
        <f>IF($A242="","",VLOOKUP('Input Sheet'!$D$2 &amp; " " &amp; $A242,Pop[#All],4,FALSE))</f>
        <v/>
      </c>
      <c r="L242" s="5" t="str">
        <f t="shared" si="16"/>
        <v/>
      </c>
      <c r="M242" s="7" t="str">
        <f t="shared" ca="1" si="15"/>
        <v/>
      </c>
      <c r="N242" s="17" t="str">
        <f>IF(OR($A242="",$A242="Grand Total"),IF($A242="Grand Total",SUM($N$15:$N241),""),SUMPRODUCT((Table1[County]=SummaryPage!$A242)*(Table1[Status]&lt;&gt;"Complete")))</f>
        <v/>
      </c>
      <c r="O242" s="6" t="str">
        <f ca="1">IF($A242="Grand Total",SUM(INDIRECT(ADDRESS(1,COLUMN())&amp;":"&amp;ADDRESS(ROW()-1,COLUMN()))),IF(OR($A242="State Agencies",IFERROR(AND($L242&gt;='Input Sheet'!$J$2,$A242&lt;&gt;""),0)),$J242,""))</f>
        <v/>
      </c>
      <c r="P242" s="3" t="str">
        <f>IF(OR($A242="",$A242="Grand Total"),"",IF(IFERROR(ROUND($J242/$K242,2),1000)&gt;='Input Sheet'!$J$2,1,""))</f>
        <v/>
      </c>
      <c r="Q242" s="3" t="str">
        <f t="shared" si="17"/>
        <v/>
      </c>
      <c r="R242" s="3" t="str">
        <f>IF(OR($A242="",$A242="Grand Total"),"",AND($J242=0,(SUMPRODUCT((Table1[County]=SummaryPage!$A242)*(Table1[Status]="Not Started"))+SUMPRODUCT((Table1[County]=SummaryPage!$A242)*(Table1[Status]="")))=SUMPRODUCT((Table1[County]=SummaryPage!$A242)*(Table1[Status]&lt;&gt;"Q"))))</f>
        <v/>
      </c>
    </row>
    <row r="243" spans="1:18" x14ac:dyDescent="0.3">
      <c r="A243"/>
      <c r="B243"/>
      <c r="C243"/>
      <c r="D243"/>
      <c r="E243"/>
      <c r="F243"/>
      <c r="G243"/>
      <c r="H243"/>
      <c r="I243"/>
      <c r="J243"/>
      <c r="K243" s="29" t="str">
        <f>IF($A243="","",VLOOKUP('Input Sheet'!$D$2 &amp; " " &amp; $A243,Pop[#All],4,FALSE))</f>
        <v/>
      </c>
      <c r="L243" s="5" t="str">
        <f t="shared" si="16"/>
        <v/>
      </c>
      <c r="M243" s="7" t="str">
        <f t="shared" ca="1" si="15"/>
        <v/>
      </c>
      <c r="N243" s="17" t="str">
        <f>IF(OR($A243="",$A243="Grand Total"),IF($A243="Grand Total",SUM($N$15:$N242),""),SUMPRODUCT((Table1[County]=SummaryPage!$A243)*(Table1[Status]&lt;&gt;"Complete")))</f>
        <v/>
      </c>
      <c r="O243" s="6" t="str">
        <f ca="1">IF($A243="Grand Total",SUM(INDIRECT(ADDRESS(1,COLUMN())&amp;":"&amp;ADDRESS(ROW()-1,COLUMN()))),IF(OR($A243="State Agencies",IFERROR(AND($L243&gt;='Input Sheet'!$J$2,$A243&lt;&gt;""),0)),$J243,""))</f>
        <v/>
      </c>
      <c r="P243" s="3" t="str">
        <f>IF(OR($A243="",$A243="Grand Total"),"",IF(IFERROR(ROUND($J243/$K243,2),1000)&gt;='Input Sheet'!$J$2,1,""))</f>
        <v/>
      </c>
      <c r="Q243" s="3" t="str">
        <f t="shared" si="17"/>
        <v/>
      </c>
      <c r="R243" s="3" t="str">
        <f>IF(OR($A243="",$A243="Grand Total"),"",AND($J243=0,(SUMPRODUCT((Table1[County]=SummaryPage!$A243)*(Table1[Status]="Not Started"))+SUMPRODUCT((Table1[County]=SummaryPage!$A243)*(Table1[Status]="")))=SUMPRODUCT((Table1[County]=SummaryPage!$A243)*(Table1[Status]&lt;&gt;"Q"))))</f>
        <v/>
      </c>
    </row>
    <row r="244" spans="1:18" x14ac:dyDescent="0.3">
      <c r="A244"/>
      <c r="B244"/>
      <c r="C244"/>
      <c r="D244"/>
      <c r="E244"/>
      <c r="F244"/>
      <c r="G244"/>
      <c r="H244"/>
      <c r="I244"/>
      <c r="J244"/>
      <c r="K244" s="29" t="str">
        <f>IF($A244="","",VLOOKUP('Input Sheet'!$D$2 &amp; " " &amp; $A244,Pop[#All],4,FALSE))</f>
        <v/>
      </c>
      <c r="L244" s="5" t="str">
        <f t="shared" si="16"/>
        <v/>
      </c>
      <c r="M244" s="7" t="str">
        <f t="shared" ca="1" si="15"/>
        <v/>
      </c>
      <c r="N244" s="17" t="str">
        <f>IF(OR($A244="",$A244="Grand Total"),IF($A244="Grand Total",SUM($N$15:$N243),""),SUMPRODUCT((Table1[County]=SummaryPage!$A244)*(Table1[Status]&lt;&gt;"Complete")))</f>
        <v/>
      </c>
      <c r="O244" s="6" t="str">
        <f ca="1">IF($A244="Grand Total",SUM(INDIRECT(ADDRESS(1,COLUMN())&amp;":"&amp;ADDRESS(ROW()-1,COLUMN()))),IF(OR($A244="State Agencies",IFERROR(AND($L244&gt;='Input Sheet'!$J$2,$A244&lt;&gt;""),0)),$J244,""))</f>
        <v/>
      </c>
      <c r="P244" s="3" t="str">
        <f>IF(OR($A244="",$A244="Grand Total"),"",IF(IFERROR(ROUND($J244/$K244,2),1000)&gt;='Input Sheet'!$J$2,1,""))</f>
        <v/>
      </c>
      <c r="Q244" s="3" t="str">
        <f t="shared" si="17"/>
        <v/>
      </c>
      <c r="R244" s="3" t="str">
        <f>IF(OR($A244="",$A244="Grand Total"),"",AND($J244=0,(SUMPRODUCT((Table1[County]=SummaryPage!$A244)*(Table1[Status]="Not Started"))+SUMPRODUCT((Table1[County]=SummaryPage!$A244)*(Table1[Status]="")))=SUMPRODUCT((Table1[County]=SummaryPage!$A244)*(Table1[Status]&lt;&gt;"Q"))))</f>
        <v/>
      </c>
    </row>
    <row r="245" spans="1:18" x14ac:dyDescent="0.3">
      <c r="A245"/>
      <c r="B245"/>
      <c r="C245"/>
      <c r="D245"/>
      <c r="E245"/>
      <c r="F245"/>
      <c r="G245"/>
      <c r="H245"/>
      <c r="I245"/>
      <c r="J245"/>
      <c r="K245" s="29" t="str">
        <f>IF($A245="","",VLOOKUP('Input Sheet'!$D$2 &amp; " " &amp; $A245,Pop[#All],4,FALSE))</f>
        <v/>
      </c>
      <c r="L245" s="5" t="str">
        <f t="shared" si="16"/>
        <v/>
      </c>
      <c r="M245" s="7" t="str">
        <f t="shared" ca="1" si="15"/>
        <v/>
      </c>
      <c r="N245" s="17" t="str">
        <f>IF(OR($A245="",$A245="Grand Total"),IF($A245="Grand Total",SUM($N$15:$N244),""),SUMPRODUCT((Table1[County]=SummaryPage!$A245)*(Table1[Status]&lt;&gt;"Complete")))</f>
        <v/>
      </c>
      <c r="O245" s="6" t="str">
        <f ca="1">IF($A245="Grand Total",SUM(INDIRECT(ADDRESS(1,COLUMN())&amp;":"&amp;ADDRESS(ROW()-1,COLUMN()))),IF(OR($A245="State Agencies",IFERROR(AND($L245&gt;='Input Sheet'!$J$2,$A245&lt;&gt;""),0)),$J245,""))</f>
        <v/>
      </c>
      <c r="P245" s="3" t="str">
        <f>IF(OR($A245="",$A245="Grand Total"),"",IF(IFERROR(ROUND($J245/$K245,2),1000)&gt;='Input Sheet'!$J$2,1,""))</f>
        <v/>
      </c>
      <c r="Q245" s="3" t="str">
        <f t="shared" si="17"/>
        <v/>
      </c>
      <c r="R245" s="3" t="str">
        <f>IF(OR($A245="",$A245="Grand Total"),"",AND($J245=0,(SUMPRODUCT((Table1[County]=SummaryPage!$A245)*(Table1[Status]="Not Started"))+SUMPRODUCT((Table1[County]=SummaryPage!$A245)*(Table1[Status]="")))=SUMPRODUCT((Table1[County]=SummaryPage!$A245)*(Table1[Status]&lt;&gt;"Q"))))</f>
        <v/>
      </c>
    </row>
    <row r="246" spans="1:18" x14ac:dyDescent="0.3">
      <c r="A246"/>
      <c r="B246"/>
      <c r="C246"/>
      <c r="D246"/>
      <c r="E246"/>
      <c r="F246"/>
      <c r="G246"/>
      <c r="H246"/>
      <c r="I246"/>
      <c r="J246"/>
      <c r="K246" s="29" t="str">
        <f>IF($A246="","",VLOOKUP('Input Sheet'!$D$2 &amp; " " &amp; $A246,Pop[#All],4,FALSE))</f>
        <v/>
      </c>
      <c r="L246" s="5" t="str">
        <f t="shared" si="16"/>
        <v/>
      </c>
      <c r="M246" s="7" t="str">
        <f t="shared" ca="1" si="15"/>
        <v/>
      </c>
      <c r="N246" s="17" t="str">
        <f>IF(OR($A246="",$A246="Grand Total"),IF($A246="Grand Total",SUM($N$15:$N245),""),SUMPRODUCT((Table1[County]=SummaryPage!$A246)*(Table1[Status]&lt;&gt;"Complete")))</f>
        <v/>
      </c>
      <c r="O246" s="6" t="str">
        <f ca="1">IF($A246="Grand Total",SUM(INDIRECT(ADDRESS(1,COLUMN())&amp;":"&amp;ADDRESS(ROW()-1,COLUMN()))),IF(OR($A246="State Agencies",IFERROR(AND($L246&gt;='Input Sheet'!$J$2,$A246&lt;&gt;""),0)),$J246,""))</f>
        <v/>
      </c>
      <c r="P246" s="3" t="str">
        <f>IF(OR($A246="",$A246="Grand Total"),"",IF(IFERROR(ROUND($J246/$K246,2),1000)&gt;='Input Sheet'!$J$2,1,""))</f>
        <v/>
      </c>
      <c r="Q246" s="3" t="str">
        <f t="shared" si="17"/>
        <v/>
      </c>
      <c r="R246" s="3" t="str">
        <f>IF(OR($A246="",$A246="Grand Total"),"",AND($J246=0,(SUMPRODUCT((Table1[County]=SummaryPage!$A246)*(Table1[Status]="Not Started"))+SUMPRODUCT((Table1[County]=SummaryPage!$A246)*(Table1[Status]="")))=SUMPRODUCT((Table1[County]=SummaryPage!$A246)*(Table1[Status]&lt;&gt;"Q"))))</f>
        <v/>
      </c>
    </row>
    <row r="247" spans="1:18" x14ac:dyDescent="0.3">
      <c r="A247"/>
      <c r="B247"/>
      <c r="C247"/>
      <c r="D247"/>
      <c r="E247"/>
      <c r="F247"/>
      <c r="G247"/>
      <c r="H247"/>
      <c r="I247"/>
      <c r="J247"/>
      <c r="K247" s="29" t="str">
        <f>IF($A247="","",VLOOKUP('Input Sheet'!$D$2 &amp; " " &amp; $A247,Pop[#All],4,FALSE))</f>
        <v/>
      </c>
      <c r="L247" s="5" t="str">
        <f t="shared" si="16"/>
        <v/>
      </c>
      <c r="M247" s="7" t="str">
        <f t="shared" ca="1" si="15"/>
        <v/>
      </c>
      <c r="N247" s="17" t="str">
        <f>IF(OR($A247="",$A247="Grand Total"),IF($A247="Grand Total",SUM($N$15:$N246),""),SUMPRODUCT((Table1[County]=SummaryPage!$A247)*(Table1[Status]&lt;&gt;"Complete")))</f>
        <v/>
      </c>
      <c r="O247" s="6" t="str">
        <f ca="1">IF($A247="Grand Total",SUM(INDIRECT(ADDRESS(1,COLUMN())&amp;":"&amp;ADDRESS(ROW()-1,COLUMN()))),IF(OR($A247="State Agencies",IFERROR(AND($L247&gt;='Input Sheet'!$J$2,$A247&lt;&gt;""),0)),$J247,""))</f>
        <v/>
      </c>
      <c r="P247" s="3" t="str">
        <f>IF(OR($A247="",$A247="Grand Total"),"",IF(IFERROR(ROUND($J247/$K247,2),1000)&gt;='Input Sheet'!$J$2,1,""))</f>
        <v/>
      </c>
      <c r="Q247" s="3" t="str">
        <f t="shared" si="17"/>
        <v/>
      </c>
      <c r="R247" s="3" t="str">
        <f>IF(OR($A247="",$A247="Grand Total"),"",AND($J247=0,(SUMPRODUCT((Table1[County]=SummaryPage!$A247)*(Table1[Status]="Not Started"))+SUMPRODUCT((Table1[County]=SummaryPage!$A247)*(Table1[Status]="")))=SUMPRODUCT((Table1[County]=SummaryPage!$A247)*(Table1[Status]&lt;&gt;"Q"))))</f>
        <v/>
      </c>
    </row>
    <row r="248" spans="1:18" x14ac:dyDescent="0.3">
      <c r="A248"/>
      <c r="B248"/>
      <c r="C248"/>
      <c r="D248"/>
      <c r="E248"/>
      <c r="F248"/>
      <c r="G248"/>
      <c r="H248"/>
      <c r="I248"/>
      <c r="J248"/>
      <c r="K248" s="29" t="str">
        <f>IF($A248="","",VLOOKUP('Input Sheet'!$D$2 &amp; " " &amp; $A248,Pop[#All],4,FALSE))</f>
        <v/>
      </c>
      <c r="L248" s="5" t="str">
        <f t="shared" si="16"/>
        <v/>
      </c>
      <c r="M248" s="7" t="str">
        <f t="shared" ca="1" si="15"/>
        <v/>
      </c>
      <c r="N248" s="17" t="str">
        <f>IF(OR($A248="",$A248="Grand Total"),IF($A248="Grand Total",SUM($N$15:$N247),""),SUMPRODUCT((Table1[County]=SummaryPage!$A248)*(Table1[Status]&lt;&gt;"Complete")))</f>
        <v/>
      </c>
      <c r="O248" s="6" t="str">
        <f ca="1">IF($A248="Grand Total",SUM(INDIRECT(ADDRESS(1,COLUMN())&amp;":"&amp;ADDRESS(ROW()-1,COLUMN()))),IF(OR($A248="State Agencies",IFERROR(AND($L248&gt;='Input Sheet'!$J$2,$A248&lt;&gt;""),0)),$J248,""))</f>
        <v/>
      </c>
      <c r="P248" s="3" t="str">
        <f>IF(OR($A248="",$A248="Grand Total"),"",IF(IFERROR(ROUND($J248/$K248,2),1000)&gt;='Input Sheet'!$J$2,1,""))</f>
        <v/>
      </c>
      <c r="Q248" s="3" t="str">
        <f t="shared" si="17"/>
        <v/>
      </c>
      <c r="R248" s="3" t="str">
        <f>IF(OR($A248="",$A248="Grand Total"),"",AND($J248=0,(SUMPRODUCT((Table1[County]=SummaryPage!$A248)*(Table1[Status]="Not Started"))+SUMPRODUCT((Table1[County]=SummaryPage!$A248)*(Table1[Status]="")))=SUMPRODUCT((Table1[County]=SummaryPage!$A248)*(Table1[Status]&lt;&gt;"Q"))))</f>
        <v/>
      </c>
    </row>
    <row r="249" spans="1:18" x14ac:dyDescent="0.3">
      <c r="A249"/>
      <c r="B249"/>
      <c r="C249"/>
      <c r="D249"/>
      <c r="E249"/>
      <c r="F249"/>
      <c r="G249"/>
      <c r="H249"/>
      <c r="I249"/>
      <c r="J249"/>
      <c r="K249" s="29" t="str">
        <f>IF($A249="","",VLOOKUP('Input Sheet'!$D$2 &amp; " " &amp; $A249,Pop[#All],4,FALSE))</f>
        <v/>
      </c>
      <c r="L249" s="5" t="str">
        <f t="shared" si="16"/>
        <v/>
      </c>
      <c r="M249" s="7" t="str">
        <f t="shared" ca="1" si="15"/>
        <v/>
      </c>
      <c r="N249" s="17" t="str">
        <f>IF(OR($A249="",$A249="Grand Total"),IF($A249="Grand Total",SUM($N$15:$N248),""),SUMPRODUCT((Table1[County]=SummaryPage!$A249)*(Table1[Status]&lt;&gt;"Complete")))</f>
        <v/>
      </c>
      <c r="O249" s="6" t="str">
        <f ca="1">IF($A249="Grand Total",SUM(INDIRECT(ADDRESS(1,COLUMN())&amp;":"&amp;ADDRESS(ROW()-1,COLUMN()))),IF(OR($A249="State Agencies",IFERROR(AND($L249&gt;='Input Sheet'!$J$2,$A249&lt;&gt;""),0)),$J249,""))</f>
        <v/>
      </c>
      <c r="P249" s="3" t="str">
        <f>IF(OR($A249="",$A249="Grand Total"),"",IF(IFERROR(ROUND($J249/$K249,2),1000)&gt;='Input Sheet'!$J$2,1,""))</f>
        <v/>
      </c>
      <c r="Q249" s="3" t="str">
        <f t="shared" si="17"/>
        <v/>
      </c>
      <c r="R249" s="3" t="str">
        <f>IF(OR($A249="",$A249="Grand Total"),"",AND($J249=0,(SUMPRODUCT((Table1[County]=SummaryPage!$A249)*(Table1[Status]="Not Started"))+SUMPRODUCT((Table1[County]=SummaryPage!$A249)*(Table1[Status]="")))=SUMPRODUCT((Table1[County]=SummaryPage!$A249)*(Table1[Status]&lt;&gt;"Q"))))</f>
        <v/>
      </c>
    </row>
    <row r="250" spans="1:18" x14ac:dyDescent="0.3">
      <c r="A250"/>
      <c r="B250"/>
      <c r="C250"/>
      <c r="D250"/>
      <c r="E250"/>
      <c r="F250"/>
      <c r="G250"/>
      <c r="H250"/>
      <c r="I250"/>
      <c r="J250"/>
      <c r="K250" s="29" t="str">
        <f>IF($A250="","",VLOOKUP('Input Sheet'!$D$2 &amp; " " &amp; $A250,Pop[#All],4,FALSE))</f>
        <v/>
      </c>
      <c r="L250" s="5" t="str">
        <f t="shared" si="16"/>
        <v/>
      </c>
      <c r="M250" s="7" t="str">
        <f t="shared" ca="1" si="15"/>
        <v/>
      </c>
      <c r="N250" s="17" t="str">
        <f>IF(OR($A250="",$A250="Grand Total"),IF($A250="Grand Total",SUM($N$15:$N249),""),SUMPRODUCT((Table1[County]=SummaryPage!$A250)*(Table1[Status]&lt;&gt;"Complete")))</f>
        <v/>
      </c>
      <c r="O250" s="6" t="str">
        <f ca="1">IF($A250="Grand Total",SUM(INDIRECT(ADDRESS(1,COLUMN())&amp;":"&amp;ADDRESS(ROW()-1,COLUMN()))),IF(OR($A250="State Agencies",IFERROR(AND($L250&gt;='Input Sheet'!$J$2,$A250&lt;&gt;""),0)),$J250,""))</f>
        <v/>
      </c>
      <c r="P250" s="3" t="str">
        <f>IF(OR($A250="",$A250="Grand Total"),"",IF(IFERROR(ROUND($J250/$K250,2),1000)&gt;='Input Sheet'!$J$2,1,""))</f>
        <v/>
      </c>
      <c r="Q250" s="3" t="str">
        <f t="shared" si="17"/>
        <v/>
      </c>
      <c r="R250" s="3" t="str">
        <f>IF(OR($A250="",$A250="Grand Total"),"",AND($J250=0,(SUMPRODUCT((Table1[County]=SummaryPage!$A250)*(Table1[Status]="Not Started"))+SUMPRODUCT((Table1[County]=SummaryPage!$A250)*(Table1[Status]="")))=SUMPRODUCT((Table1[County]=SummaryPage!$A250)*(Table1[Status]&lt;&gt;"Q"))))</f>
        <v/>
      </c>
    </row>
    <row r="251" spans="1:18" x14ac:dyDescent="0.3">
      <c r="A251"/>
      <c r="B251"/>
      <c r="C251"/>
      <c r="D251"/>
      <c r="E251"/>
      <c r="F251"/>
      <c r="G251"/>
      <c r="H251"/>
      <c r="I251"/>
      <c r="J251"/>
      <c r="K251" s="29" t="str">
        <f>IF($A251="","",VLOOKUP('Input Sheet'!$D$2 &amp; " " &amp; $A251,Pop[#All],4,FALSE))</f>
        <v/>
      </c>
      <c r="L251" s="5" t="str">
        <f t="shared" si="16"/>
        <v/>
      </c>
      <c r="M251" s="7" t="str">
        <f t="shared" ca="1" si="15"/>
        <v/>
      </c>
      <c r="N251" s="17" t="str">
        <f>IF(OR($A251="",$A251="Grand Total"),IF($A251="Grand Total",SUM($N$15:$N250),""),SUMPRODUCT((Table1[County]=SummaryPage!$A251)*(Table1[Status]&lt;&gt;"Complete")))</f>
        <v/>
      </c>
      <c r="O251" s="6" t="str">
        <f ca="1">IF($A251="Grand Total",SUM(INDIRECT(ADDRESS(1,COLUMN())&amp;":"&amp;ADDRESS(ROW()-1,COLUMN()))),IF(OR($A251="State Agencies",IFERROR(AND($L251&gt;='Input Sheet'!$J$2,$A251&lt;&gt;""),0)),$J251,""))</f>
        <v/>
      </c>
      <c r="P251" s="3" t="str">
        <f>IF(OR($A251="",$A251="Grand Total"),"",IF(IFERROR(ROUND($J251/$K251,2),1000)&gt;='Input Sheet'!$J$2,1,""))</f>
        <v/>
      </c>
      <c r="Q251" s="3" t="str">
        <f t="shared" si="17"/>
        <v/>
      </c>
      <c r="R251" s="3" t="str">
        <f>IF(OR($A251="",$A251="Grand Total"),"",AND($J251=0,(SUMPRODUCT((Table1[County]=SummaryPage!$A251)*(Table1[Status]="Not Started"))+SUMPRODUCT((Table1[County]=SummaryPage!$A251)*(Table1[Status]="")))=SUMPRODUCT((Table1[County]=SummaryPage!$A251)*(Table1[Status]&lt;&gt;"Q"))))</f>
        <v/>
      </c>
    </row>
    <row r="252" spans="1:18" x14ac:dyDescent="0.3">
      <c r="A252"/>
      <c r="B252"/>
      <c r="C252"/>
      <c r="D252"/>
      <c r="E252"/>
      <c r="F252"/>
      <c r="G252"/>
      <c r="H252"/>
      <c r="I252"/>
      <c r="J252"/>
      <c r="K252" s="29" t="str">
        <f>IF($A252="","",VLOOKUP('Input Sheet'!$D$2 &amp; " " &amp; $A252,Pop[#All],4,FALSE))</f>
        <v/>
      </c>
      <c r="L252" s="5" t="str">
        <f t="shared" si="16"/>
        <v/>
      </c>
      <c r="M252" s="7" t="str">
        <f t="shared" ca="1" si="15"/>
        <v/>
      </c>
      <c r="N252" s="17" t="str">
        <f>IF(OR($A252="",$A252="Grand Total"),IF($A252="Grand Total",SUM($N$15:$N251),""),SUMPRODUCT((Table1[County]=SummaryPage!$A252)*(Table1[Status]&lt;&gt;"Complete")))</f>
        <v/>
      </c>
      <c r="O252" s="6" t="str">
        <f ca="1">IF($A252="Grand Total",SUM(INDIRECT(ADDRESS(1,COLUMN())&amp;":"&amp;ADDRESS(ROW()-1,COLUMN()))),IF(OR($A252="State Agencies",IFERROR(AND($L252&gt;='Input Sheet'!$J$2,$A252&lt;&gt;""),0)),$J252,""))</f>
        <v/>
      </c>
      <c r="P252" s="3" t="str">
        <f>IF(OR($A252="",$A252="Grand Total"),"",IF(IFERROR(ROUND($J252/$K252,2),1000)&gt;='Input Sheet'!$J$2,1,""))</f>
        <v/>
      </c>
      <c r="Q252" s="3" t="str">
        <f t="shared" si="17"/>
        <v/>
      </c>
      <c r="R252" s="3" t="str">
        <f>IF(OR($A252="",$A252="Grand Total"),"",AND($J252=0,(SUMPRODUCT((Table1[County]=SummaryPage!$A252)*(Table1[Status]="Not Started"))+SUMPRODUCT((Table1[County]=SummaryPage!$A252)*(Table1[Status]="")))=SUMPRODUCT((Table1[County]=SummaryPage!$A252)*(Table1[Status]&lt;&gt;"Q"))))</f>
        <v/>
      </c>
    </row>
    <row r="253" spans="1:18" x14ac:dyDescent="0.3">
      <c r="A253"/>
      <c r="B253"/>
      <c r="C253"/>
      <c r="D253"/>
      <c r="E253"/>
      <c r="F253"/>
      <c r="G253"/>
      <c r="H253"/>
      <c r="I253"/>
      <c r="J253"/>
      <c r="K253" s="29" t="str">
        <f>IF($A253="","",VLOOKUP('Input Sheet'!$D$2 &amp; " " &amp; $A253,Pop[#All],4,FALSE))</f>
        <v/>
      </c>
      <c r="L253" s="5" t="str">
        <f t="shared" si="16"/>
        <v/>
      </c>
      <c r="M253" s="7" t="str">
        <f t="shared" ca="1" si="15"/>
        <v/>
      </c>
      <c r="N253" s="17" t="str">
        <f>IF(OR($A253="",$A253="Grand Total"),IF($A253="Grand Total",SUM($N$15:$N252),""),SUMPRODUCT((Table1[County]=SummaryPage!$A253)*(Table1[Status]&lt;&gt;"Complete")))</f>
        <v/>
      </c>
      <c r="O253" s="6" t="str">
        <f ca="1">IF($A253="Grand Total",SUM(INDIRECT(ADDRESS(1,COLUMN())&amp;":"&amp;ADDRESS(ROW()-1,COLUMN()))),IF(OR($A253="State Agencies",IFERROR(AND($L253&gt;='Input Sheet'!$J$2,$A253&lt;&gt;""),0)),$J253,""))</f>
        <v/>
      </c>
      <c r="P253" s="3" t="str">
        <f>IF(OR($A253="",$A253="Grand Total"),"",IF(IFERROR(ROUND($J253/$K253,2),1000)&gt;='Input Sheet'!$J$2,1,""))</f>
        <v/>
      </c>
      <c r="Q253" s="3" t="str">
        <f t="shared" si="17"/>
        <v/>
      </c>
      <c r="R253" s="3" t="str">
        <f>IF(OR($A253="",$A253="Grand Total"),"",AND($J253=0,(SUMPRODUCT((Table1[County]=SummaryPage!$A253)*(Table1[Status]="Not Started"))+SUMPRODUCT((Table1[County]=SummaryPage!$A253)*(Table1[Status]="")))=SUMPRODUCT((Table1[County]=SummaryPage!$A253)*(Table1[Status]&lt;&gt;"Q"))))</f>
        <v/>
      </c>
    </row>
    <row r="254" spans="1:18" x14ac:dyDescent="0.3">
      <c r="A254"/>
      <c r="B254"/>
      <c r="C254"/>
      <c r="D254"/>
      <c r="E254"/>
      <c r="F254"/>
      <c r="G254"/>
      <c r="H254"/>
      <c r="I254"/>
      <c r="J254"/>
      <c r="K254" s="29" t="str">
        <f>IF($A254="","",VLOOKUP('Input Sheet'!$D$2 &amp; " " &amp; $A254,Pop[#All],4,FALSE))</f>
        <v/>
      </c>
      <c r="L254" s="5" t="str">
        <f t="shared" si="16"/>
        <v/>
      </c>
      <c r="M254" s="7" t="str">
        <f t="shared" ca="1" si="15"/>
        <v/>
      </c>
      <c r="N254" s="17" t="str">
        <f>IF(OR($A254="",$A254="Grand Total"),IF($A254="Grand Total",SUM($N$15:$N253),""),SUMPRODUCT((Table1[County]=SummaryPage!$A254)*(Table1[Status]&lt;&gt;"Complete")))</f>
        <v/>
      </c>
      <c r="O254" s="6" t="str">
        <f ca="1">IF($A254="Grand Total",SUM(INDIRECT(ADDRESS(1,COLUMN())&amp;":"&amp;ADDRESS(ROW()-1,COLUMN()))),IF(OR($A254="State Agencies",IFERROR(AND($L254&gt;='Input Sheet'!$J$2,$A254&lt;&gt;""),0)),$J254,""))</f>
        <v/>
      </c>
      <c r="P254" s="3" t="str">
        <f>IF(OR($A254="",$A254="Grand Total"),"",IF(IFERROR(ROUND($J254/$K254,2),1000)&gt;='Input Sheet'!$J$2,1,""))</f>
        <v/>
      </c>
      <c r="Q254" s="3" t="str">
        <f t="shared" si="17"/>
        <v/>
      </c>
      <c r="R254" s="3" t="str">
        <f>IF(OR($A254="",$A254="Grand Total"),"",AND($J254=0,(SUMPRODUCT((Table1[County]=SummaryPage!$A254)*(Table1[Status]="Not Started"))+SUMPRODUCT((Table1[County]=SummaryPage!$A254)*(Table1[Status]="")))=SUMPRODUCT((Table1[County]=SummaryPage!$A254)*(Table1[Status]&lt;&gt;"Q"))))</f>
        <v/>
      </c>
    </row>
    <row r="255" spans="1:18" x14ac:dyDescent="0.3">
      <c r="A255"/>
      <c r="B255"/>
      <c r="C255"/>
      <c r="D255"/>
      <c r="E255"/>
      <c r="F255"/>
      <c r="G255"/>
      <c r="H255"/>
      <c r="I255"/>
      <c r="J255"/>
      <c r="K255" s="29" t="str">
        <f>IF($A255="","",VLOOKUP('Input Sheet'!$D$2 &amp; " " &amp; $A255,Pop[#All],4,FALSE))</f>
        <v/>
      </c>
      <c r="L255" s="5" t="str">
        <f t="shared" si="16"/>
        <v/>
      </c>
      <c r="M255" s="7" t="str">
        <f t="shared" ca="1" si="15"/>
        <v/>
      </c>
      <c r="N255" s="17" t="str">
        <f>IF(OR($A255="",$A255="Grand Total"),IF($A255="Grand Total",SUM($N$15:$N254),""),SUMPRODUCT((Table1[County]=SummaryPage!$A255)*(Table1[Status]&lt;&gt;"Complete")))</f>
        <v/>
      </c>
      <c r="O255" s="6" t="str">
        <f ca="1">IF($A255="Grand Total",SUM(INDIRECT(ADDRESS(1,COLUMN())&amp;":"&amp;ADDRESS(ROW()-1,COLUMN()))),IF(OR($A255="State Agencies",IFERROR(AND($L255&gt;='Input Sheet'!$J$2,$A255&lt;&gt;""),0)),$J255,""))</f>
        <v/>
      </c>
      <c r="P255" s="3" t="str">
        <f>IF(OR($A255="",$A255="Grand Total"),"",IF(IFERROR(ROUND($J255/$K255,2),1000)&gt;='Input Sheet'!$J$2,1,""))</f>
        <v/>
      </c>
      <c r="Q255" s="3" t="str">
        <f t="shared" si="17"/>
        <v/>
      </c>
      <c r="R255" s="3" t="str">
        <f>IF(OR($A255="",$A255="Grand Total"),"",AND($J255=0,(SUMPRODUCT((Table1[County]=SummaryPage!$A255)*(Table1[Status]="Not Started"))+SUMPRODUCT((Table1[County]=SummaryPage!$A255)*(Table1[Status]="")))=SUMPRODUCT((Table1[County]=SummaryPage!$A255)*(Table1[Status]&lt;&gt;"Q"))))</f>
        <v/>
      </c>
    </row>
    <row r="256" spans="1:18" x14ac:dyDescent="0.3">
      <c r="A256"/>
      <c r="B256"/>
      <c r="C256"/>
      <c r="D256"/>
      <c r="E256"/>
      <c r="F256"/>
      <c r="G256"/>
      <c r="H256"/>
      <c r="I256"/>
      <c r="J256"/>
      <c r="K256" s="29" t="str">
        <f>IF($A256="","",VLOOKUP('Input Sheet'!$D$2 &amp; " " &amp; $A256,Pop[#All],4,FALSE))</f>
        <v/>
      </c>
      <c r="L256" s="5" t="str">
        <f t="shared" si="16"/>
        <v/>
      </c>
      <c r="M256" s="7" t="str">
        <f t="shared" ca="1" si="15"/>
        <v/>
      </c>
      <c r="N256" s="17" t="str">
        <f>IF(OR($A256="",$A256="Grand Total"),IF($A256="Grand Total",SUM($N$15:$N255),""),SUMPRODUCT((Table1[County]=SummaryPage!$A256)*(Table1[Status]&lt;&gt;"Complete")))</f>
        <v/>
      </c>
      <c r="O256" s="6" t="str">
        <f ca="1">IF($A256="Grand Total",SUM(INDIRECT(ADDRESS(1,COLUMN())&amp;":"&amp;ADDRESS(ROW()-1,COLUMN()))),IF(OR($A256="State Agencies",IFERROR(AND($L256&gt;='Input Sheet'!$J$2,$A256&lt;&gt;""),0)),$J256,""))</f>
        <v/>
      </c>
      <c r="P256" s="3" t="str">
        <f>IF(OR($A256="",$A256="Grand Total"),"",IF(IFERROR(ROUND($J256/$K256,2),1000)&gt;='Input Sheet'!$J$2,1,""))</f>
        <v/>
      </c>
      <c r="Q256" s="3" t="str">
        <f t="shared" si="17"/>
        <v/>
      </c>
      <c r="R256" s="3" t="str">
        <f>IF(OR($A256="",$A256="Grand Total"),"",AND($J256=0,(SUMPRODUCT((Table1[County]=SummaryPage!$A256)*(Table1[Status]="Not Started"))+SUMPRODUCT((Table1[County]=SummaryPage!$A256)*(Table1[Status]="")))=SUMPRODUCT((Table1[County]=SummaryPage!$A256)*(Table1[Status]&lt;&gt;"Q"))))</f>
        <v/>
      </c>
    </row>
    <row r="257" spans="1:18" x14ac:dyDescent="0.3">
      <c r="A257"/>
      <c r="B257"/>
      <c r="C257"/>
      <c r="D257"/>
      <c r="E257"/>
      <c r="F257"/>
      <c r="G257"/>
      <c r="H257"/>
      <c r="I257"/>
      <c r="J257"/>
      <c r="K257" s="29" t="str">
        <f>IF($A257="","",VLOOKUP('Input Sheet'!$D$2 &amp; " " &amp; $A257,Pop[#All],4,FALSE))</f>
        <v/>
      </c>
      <c r="L257" s="5" t="str">
        <f t="shared" si="16"/>
        <v/>
      </c>
      <c r="M257" s="7" t="str">
        <f t="shared" ca="1" si="15"/>
        <v/>
      </c>
      <c r="N257" s="17" t="str">
        <f>IF(OR($A257="",$A257="Grand Total"),IF($A257="Grand Total",SUM($N$15:$N256),""),SUMPRODUCT((Table1[County]=SummaryPage!$A257)*(Table1[Status]&lt;&gt;"Complete")))</f>
        <v/>
      </c>
      <c r="O257" s="6" t="str">
        <f ca="1">IF($A257="Grand Total",SUM(INDIRECT(ADDRESS(1,COLUMN())&amp;":"&amp;ADDRESS(ROW()-1,COLUMN()))),IF(OR($A257="State Agencies",IFERROR(AND($L257&gt;='Input Sheet'!$J$2,$A257&lt;&gt;""),0)),$J257,""))</f>
        <v/>
      </c>
      <c r="P257" s="3" t="str">
        <f>IF(OR($A257="",$A257="Grand Total"),"",IF(IFERROR(ROUND($J257/$K257,2),1000)&gt;='Input Sheet'!$J$2,1,""))</f>
        <v/>
      </c>
      <c r="Q257" s="3" t="str">
        <f t="shared" si="17"/>
        <v/>
      </c>
      <c r="R257" s="3" t="str">
        <f>IF(OR($A257="",$A257="Grand Total"),"",AND($J257=0,(SUMPRODUCT((Table1[County]=SummaryPage!$A257)*(Table1[Status]="Not Started"))+SUMPRODUCT((Table1[County]=SummaryPage!$A257)*(Table1[Status]="")))=SUMPRODUCT((Table1[County]=SummaryPage!$A257)*(Table1[Status]&lt;&gt;"Q"))))</f>
        <v/>
      </c>
    </row>
    <row r="258" spans="1:18" x14ac:dyDescent="0.3">
      <c r="A258"/>
      <c r="B258"/>
      <c r="C258"/>
      <c r="D258"/>
      <c r="E258"/>
      <c r="F258"/>
      <c r="G258"/>
      <c r="H258"/>
      <c r="I258"/>
      <c r="J258"/>
      <c r="K258" s="29" t="str">
        <f>IF($A258="","",VLOOKUP('Input Sheet'!$D$2 &amp; " " &amp; $A258,Pop[#All],4,FALSE))</f>
        <v/>
      </c>
      <c r="L258" s="5" t="str">
        <f t="shared" si="16"/>
        <v/>
      </c>
      <c r="M258" s="7" t="str">
        <f t="shared" ca="1" si="15"/>
        <v/>
      </c>
      <c r="N258" s="17" t="str">
        <f>IF(OR($A258="",$A258="Grand Total"),IF($A258="Grand Total",SUM($N$15:$N257),""),SUMPRODUCT((Table1[County]=SummaryPage!$A258)*(Table1[Status]&lt;&gt;"Complete")))</f>
        <v/>
      </c>
      <c r="O258" s="6" t="str">
        <f ca="1">IF($A258="Grand Total",SUM(INDIRECT(ADDRESS(1,COLUMN())&amp;":"&amp;ADDRESS(ROW()-1,COLUMN()))),IF(OR($A258="State Agencies",IFERROR(AND($L258&gt;='Input Sheet'!$J$2,$A258&lt;&gt;""),0)),$J258,""))</f>
        <v/>
      </c>
      <c r="P258" s="3" t="str">
        <f>IF(OR($A258="",$A258="Grand Total"),"",IF(IFERROR(ROUND($J258/$K258,2),1000)&gt;='Input Sheet'!$J$2,1,""))</f>
        <v/>
      </c>
      <c r="Q258" s="3" t="str">
        <f t="shared" si="17"/>
        <v/>
      </c>
      <c r="R258" s="3" t="str">
        <f>IF(OR($A258="",$A258="Grand Total"),"",AND($J258=0,(SUMPRODUCT((Table1[County]=SummaryPage!$A258)*(Table1[Status]="Not Started"))+SUMPRODUCT((Table1[County]=SummaryPage!$A258)*(Table1[Status]="")))=SUMPRODUCT((Table1[County]=SummaryPage!$A258)*(Table1[Status]&lt;&gt;"Q"))))</f>
        <v/>
      </c>
    </row>
    <row r="259" spans="1:18" x14ac:dyDescent="0.3">
      <c r="A259"/>
      <c r="B259"/>
      <c r="C259"/>
      <c r="D259"/>
      <c r="E259"/>
      <c r="F259"/>
      <c r="G259"/>
      <c r="H259"/>
      <c r="I259"/>
      <c r="J259"/>
      <c r="K259" s="29" t="str">
        <f>IF($A259="","",VLOOKUP('Input Sheet'!$D$2 &amp; " " &amp; $A259,Pop[#All],4,FALSE))</f>
        <v/>
      </c>
      <c r="L259" s="5" t="str">
        <f t="shared" si="16"/>
        <v/>
      </c>
      <c r="M259" s="7" t="str">
        <f t="shared" ca="1" si="15"/>
        <v/>
      </c>
      <c r="N259" s="17" t="str">
        <f>IF(OR($A259="",$A259="Grand Total"),IF($A259="Grand Total",SUM($N$15:$N258),""),SUMPRODUCT((Table1[County]=SummaryPage!$A259)*(Table1[Status]&lt;&gt;"Complete")))</f>
        <v/>
      </c>
      <c r="O259" s="6" t="str">
        <f ca="1">IF($A259="Grand Total",SUM(INDIRECT(ADDRESS(1,COLUMN())&amp;":"&amp;ADDRESS(ROW()-1,COLUMN()))),IF(OR($A259="State Agencies",IFERROR(AND($L259&gt;='Input Sheet'!$J$2,$A259&lt;&gt;""),0)),$J259,""))</f>
        <v/>
      </c>
      <c r="P259" s="3" t="str">
        <f>IF(OR($A259="",$A259="Grand Total"),"",IF(IFERROR(ROUND($J259/$K259,2),1000)&gt;='Input Sheet'!$J$2,1,""))</f>
        <v/>
      </c>
      <c r="Q259" s="3" t="str">
        <f t="shared" si="17"/>
        <v/>
      </c>
      <c r="R259" s="3" t="str">
        <f>IF(OR($A259="",$A259="Grand Total"),"",AND($J259=0,(SUMPRODUCT((Table1[County]=SummaryPage!$A259)*(Table1[Status]="Not Started"))+SUMPRODUCT((Table1[County]=SummaryPage!$A259)*(Table1[Status]="")))=SUMPRODUCT((Table1[County]=SummaryPage!$A259)*(Table1[Status]&lt;&gt;"Q"))))</f>
        <v/>
      </c>
    </row>
    <row r="260" spans="1:18" x14ac:dyDescent="0.3">
      <c r="A260"/>
      <c r="B260"/>
      <c r="C260"/>
      <c r="D260"/>
      <c r="E260"/>
      <c r="F260"/>
      <c r="G260"/>
      <c r="H260"/>
      <c r="I260"/>
      <c r="J260"/>
      <c r="K260" s="29" t="str">
        <f>IF($A260="","",VLOOKUP('Input Sheet'!$D$2 &amp; " " &amp; $A260,Pop[#All],4,FALSE))</f>
        <v/>
      </c>
      <c r="L260" s="5" t="str">
        <f t="shared" si="16"/>
        <v/>
      </c>
      <c r="M260" s="7" t="str">
        <f t="shared" ca="1" si="15"/>
        <v/>
      </c>
      <c r="N260" s="17" t="str">
        <f>IF(OR($A260="",$A260="Grand Total"),IF($A260="Grand Total",SUM($N$15:$N259),""),SUMPRODUCT((Table1[County]=SummaryPage!$A260)*(Table1[Status]&lt;&gt;"Complete")))</f>
        <v/>
      </c>
      <c r="O260" s="6" t="str">
        <f ca="1">IF($A260="Grand Total",SUM(INDIRECT(ADDRESS(1,COLUMN())&amp;":"&amp;ADDRESS(ROW()-1,COLUMN()))),IF(OR($A260="State Agencies",IFERROR(AND($L260&gt;='Input Sheet'!$J$2,$A260&lt;&gt;""),0)),$J260,""))</f>
        <v/>
      </c>
      <c r="P260" s="3" t="str">
        <f>IF(OR($A260="",$A260="Grand Total"),"",IF(IFERROR(ROUND($J260/$K260,2),1000)&gt;='Input Sheet'!$J$2,1,""))</f>
        <v/>
      </c>
      <c r="Q260" s="3" t="str">
        <f t="shared" si="17"/>
        <v/>
      </c>
      <c r="R260" s="3" t="str">
        <f>IF(OR($A260="",$A260="Grand Total"),"",AND($J260=0,(SUMPRODUCT((Table1[County]=SummaryPage!$A260)*(Table1[Status]="Not Started"))+SUMPRODUCT((Table1[County]=SummaryPage!$A260)*(Table1[Status]="")))=SUMPRODUCT((Table1[County]=SummaryPage!$A260)*(Table1[Status]&lt;&gt;"Q"))))</f>
        <v/>
      </c>
    </row>
    <row r="261" spans="1:18" x14ac:dyDescent="0.3">
      <c r="A261"/>
      <c r="B261"/>
      <c r="C261"/>
      <c r="D261"/>
      <c r="E261"/>
      <c r="F261"/>
      <c r="G261"/>
      <c r="H261"/>
      <c r="I261"/>
      <c r="J261"/>
      <c r="K261" s="29" t="str">
        <f>IF($A261="","",VLOOKUP('Input Sheet'!$D$2 &amp; " " &amp; $A261,Pop[#All],4,FALSE))</f>
        <v/>
      </c>
      <c r="L261" s="5" t="str">
        <f t="shared" si="16"/>
        <v/>
      </c>
      <c r="M261" s="7" t="str">
        <f t="shared" ca="1" si="15"/>
        <v/>
      </c>
      <c r="N261" s="17" t="str">
        <f>IF(OR($A261="",$A261="Grand Total"),IF($A261="Grand Total",SUM($N$15:$N260),""),SUMPRODUCT((Table1[County]=SummaryPage!$A261)*(Table1[Status]&lt;&gt;"Complete")))</f>
        <v/>
      </c>
      <c r="O261" s="6" t="str">
        <f ca="1">IF($A261="Grand Total",SUM(INDIRECT(ADDRESS(1,COLUMN())&amp;":"&amp;ADDRESS(ROW()-1,COLUMN()))),IF(OR($A261="State Agencies",IFERROR(AND($L261&gt;='Input Sheet'!$J$2,$A261&lt;&gt;""),0)),$J261,""))</f>
        <v/>
      </c>
      <c r="P261" s="3" t="str">
        <f>IF(OR($A261="",$A261="Grand Total"),"",IF(IFERROR(ROUND($J261/$K261,2),1000)&gt;='Input Sheet'!$J$2,1,""))</f>
        <v/>
      </c>
      <c r="Q261" s="3" t="str">
        <f t="shared" si="17"/>
        <v/>
      </c>
      <c r="R261" s="3" t="str">
        <f>IF(OR($A261="",$A261="Grand Total"),"",AND($J261=0,(SUMPRODUCT((Table1[County]=SummaryPage!$A261)*(Table1[Status]="Not Started"))+SUMPRODUCT((Table1[County]=SummaryPage!$A261)*(Table1[Status]="")))=SUMPRODUCT((Table1[County]=SummaryPage!$A261)*(Table1[Status]&lt;&gt;"Q"))))</f>
        <v/>
      </c>
    </row>
    <row r="262" spans="1:18" x14ac:dyDescent="0.3">
      <c r="A262"/>
      <c r="B262"/>
      <c r="C262"/>
      <c r="D262"/>
      <c r="E262"/>
      <c r="F262"/>
      <c r="G262"/>
      <c r="H262"/>
      <c r="I262"/>
      <c r="J262"/>
      <c r="K262" s="29" t="str">
        <f>IF($A262="","",VLOOKUP('Input Sheet'!$D$2 &amp; " " &amp; $A262,Pop[#All],4,FALSE))</f>
        <v/>
      </c>
      <c r="L262" s="5" t="str">
        <f t="shared" si="16"/>
        <v/>
      </c>
      <c r="M262" s="7" t="str">
        <f t="shared" ca="1" si="15"/>
        <v/>
      </c>
      <c r="N262" s="17" t="str">
        <f>IF(OR($A262="",$A262="Grand Total"),IF($A262="Grand Total",SUM($N$15:$N261),""),SUMPRODUCT((Table1[County]=SummaryPage!$A262)*(Table1[Status]&lt;&gt;"Complete")))</f>
        <v/>
      </c>
      <c r="O262" s="6" t="str">
        <f ca="1">IF($A262="Grand Total",SUM(INDIRECT(ADDRESS(1,COLUMN())&amp;":"&amp;ADDRESS(ROW()-1,COLUMN()))),IF(OR($A262="State Agencies",IFERROR(AND($L262&gt;='Input Sheet'!$J$2,$A262&lt;&gt;""),0)),$J262,""))</f>
        <v/>
      </c>
      <c r="P262" s="3" t="str">
        <f>IF(OR($A262="",$A262="Grand Total"),"",IF(IFERROR(ROUND($J262/$K262,2),1000)&gt;='Input Sheet'!$J$2,1,""))</f>
        <v/>
      </c>
      <c r="Q262" s="3" t="str">
        <f t="shared" si="17"/>
        <v/>
      </c>
      <c r="R262" s="3" t="str">
        <f>IF(OR($A262="",$A262="Grand Total"),"",AND($J262=0,(SUMPRODUCT((Table1[County]=SummaryPage!$A262)*(Table1[Status]="Not Started"))+SUMPRODUCT((Table1[County]=SummaryPage!$A262)*(Table1[Status]="")))=SUMPRODUCT((Table1[County]=SummaryPage!$A262)*(Table1[Status]&lt;&gt;"Q"))))</f>
        <v/>
      </c>
    </row>
    <row r="263" spans="1:18" x14ac:dyDescent="0.3">
      <c r="A263"/>
      <c r="B263"/>
      <c r="C263"/>
      <c r="D263"/>
      <c r="E263"/>
      <c r="F263"/>
      <c r="G263"/>
      <c r="H263"/>
      <c r="I263"/>
      <c r="J263"/>
      <c r="K263" s="29" t="str">
        <f>IF($A263="","",VLOOKUP('Input Sheet'!$D$2 &amp; " " &amp; $A263,Pop[#All],4,FALSE))</f>
        <v/>
      </c>
      <c r="L263" s="5" t="str">
        <f t="shared" si="16"/>
        <v/>
      </c>
      <c r="M263" s="7" t="str">
        <f t="shared" ca="1" si="15"/>
        <v/>
      </c>
      <c r="N263" s="17" t="str">
        <f>IF(OR($A263="",$A263="Grand Total"),IF($A263="Grand Total",SUM($N$15:$N262),""),SUMPRODUCT((Table1[County]=SummaryPage!$A263)*(Table1[Status]&lt;&gt;"Complete")))</f>
        <v/>
      </c>
      <c r="O263" s="6" t="str">
        <f ca="1">IF($A263="Grand Total",SUM(INDIRECT(ADDRESS(1,COLUMN())&amp;":"&amp;ADDRESS(ROW()-1,COLUMN()))),IF(OR($A263="State Agencies",IFERROR(AND($L263&gt;='Input Sheet'!$J$2,$A263&lt;&gt;""),0)),$J263,""))</f>
        <v/>
      </c>
      <c r="P263" s="3" t="str">
        <f>IF(OR($A263="",$A263="Grand Total"),"",IF(IFERROR(ROUND($J263/$K263,2),1000)&gt;='Input Sheet'!$J$2,1,""))</f>
        <v/>
      </c>
      <c r="Q263" s="3" t="str">
        <f t="shared" si="17"/>
        <v/>
      </c>
      <c r="R263" s="3" t="str">
        <f>IF(OR($A263="",$A263="Grand Total"),"",AND($J263=0,(SUMPRODUCT((Table1[County]=SummaryPage!$A263)*(Table1[Status]="Not Started"))+SUMPRODUCT((Table1[County]=SummaryPage!$A263)*(Table1[Status]="")))=SUMPRODUCT((Table1[County]=SummaryPage!$A263)*(Table1[Status]&lt;&gt;"Q"))))</f>
        <v/>
      </c>
    </row>
    <row r="264" spans="1:18" x14ac:dyDescent="0.3">
      <c r="A264"/>
      <c r="B264"/>
      <c r="C264"/>
      <c r="D264"/>
      <c r="E264"/>
      <c r="F264"/>
      <c r="G264"/>
      <c r="H264"/>
      <c r="I264"/>
      <c r="J264"/>
      <c r="K264" s="29" t="str">
        <f>IF($A264="","",VLOOKUP('Input Sheet'!$D$2 &amp; " " &amp; $A264,Pop[#All],4,FALSE))</f>
        <v/>
      </c>
      <c r="L264" s="5" t="str">
        <f t="shared" si="16"/>
        <v/>
      </c>
      <c r="M264" s="7" t="str">
        <f t="shared" ca="1" si="15"/>
        <v/>
      </c>
      <c r="N264" s="17" t="str">
        <f>IF(OR($A264="",$A264="Grand Total"),IF($A264="Grand Total",SUM($N$15:$N263),""),SUMPRODUCT((Table1[County]=SummaryPage!$A264)*(Table1[Status]&lt;&gt;"Complete")))</f>
        <v/>
      </c>
      <c r="O264" s="6" t="str">
        <f ca="1">IF($A264="Grand Total",SUM(INDIRECT(ADDRESS(1,COLUMN())&amp;":"&amp;ADDRESS(ROW()-1,COLUMN()))),IF(OR($A264="State Agencies",IFERROR(AND($L264&gt;='Input Sheet'!$J$2,$A264&lt;&gt;""),0)),$J264,""))</f>
        <v/>
      </c>
      <c r="P264" s="3" t="str">
        <f>IF(OR($A264="",$A264="Grand Total"),"",IF(IFERROR(ROUND($J264/$K264,2),1000)&gt;='Input Sheet'!$J$2,1,""))</f>
        <v/>
      </c>
      <c r="Q264" s="3" t="str">
        <f t="shared" si="17"/>
        <v/>
      </c>
      <c r="R264" s="3" t="str">
        <f>IF(OR($A264="",$A264="Grand Total"),"",AND($J264=0,(SUMPRODUCT((Table1[County]=SummaryPage!$A264)*(Table1[Status]="Not Started"))+SUMPRODUCT((Table1[County]=SummaryPage!$A264)*(Table1[Status]="")))=SUMPRODUCT((Table1[County]=SummaryPage!$A264)*(Table1[Status]&lt;&gt;"Q"))))</f>
        <v/>
      </c>
    </row>
    <row r="265" spans="1:18" x14ac:dyDescent="0.3">
      <c r="A265"/>
      <c r="B265"/>
      <c r="C265"/>
      <c r="D265"/>
      <c r="E265"/>
      <c r="F265"/>
      <c r="G265"/>
      <c r="H265"/>
      <c r="I265"/>
      <c r="J265"/>
      <c r="K265" s="29" t="str">
        <f>IF($A265="","",VLOOKUP('Input Sheet'!$D$2 &amp; " " &amp; $A265,Pop[#All],4,FALSE))</f>
        <v/>
      </c>
      <c r="L265" s="5" t="str">
        <f t="shared" si="16"/>
        <v/>
      </c>
      <c r="M265" s="7" t="str">
        <f t="shared" ca="1" si="15"/>
        <v/>
      </c>
      <c r="N265" s="17" t="str">
        <f>IF(OR($A265="",$A265="Grand Total"),IF($A265="Grand Total",SUM($N$15:$N264),""),SUMPRODUCT((Table1[County]=SummaryPage!$A265)*(Table1[Status]&lt;&gt;"Complete")))</f>
        <v/>
      </c>
      <c r="O265" s="6" t="str">
        <f ca="1">IF($A265="Grand Total",SUM(INDIRECT(ADDRESS(1,COLUMN())&amp;":"&amp;ADDRESS(ROW()-1,COLUMN()))),IF(OR($A265="State Agencies",IFERROR(AND($L265&gt;='Input Sheet'!$J$2,$A265&lt;&gt;""),0)),$J265,""))</f>
        <v/>
      </c>
      <c r="P265" s="3" t="str">
        <f>IF(OR($A265="",$A265="Grand Total"),"",IF(IFERROR(ROUND($J265/$K265,2),1000)&gt;='Input Sheet'!$J$2,1,""))</f>
        <v/>
      </c>
      <c r="Q265" s="3" t="str">
        <f t="shared" si="17"/>
        <v/>
      </c>
      <c r="R265" s="3" t="str">
        <f>IF(OR($A265="",$A265="Grand Total"),"",AND($J265=0,(SUMPRODUCT((Table1[County]=SummaryPage!$A265)*(Table1[Status]="Not Started"))+SUMPRODUCT((Table1[County]=SummaryPage!$A265)*(Table1[Status]="")))=SUMPRODUCT((Table1[County]=SummaryPage!$A265)*(Table1[Status]&lt;&gt;"Q"))))</f>
        <v/>
      </c>
    </row>
    <row r="266" spans="1:18" x14ac:dyDescent="0.3">
      <c r="A266"/>
      <c r="B266"/>
      <c r="C266"/>
      <c r="D266"/>
      <c r="E266"/>
      <c r="F266"/>
      <c r="G266"/>
      <c r="H266"/>
      <c r="I266"/>
      <c r="J266"/>
      <c r="K266" s="29" t="str">
        <f>IF($A266="","",VLOOKUP('Input Sheet'!$D$2 &amp; " " &amp; $A266,Pop[#All],4,FALSE))</f>
        <v/>
      </c>
      <c r="L266" s="5" t="str">
        <f t="shared" si="16"/>
        <v/>
      </c>
      <c r="M266" s="7" t="str">
        <f t="shared" ca="1" si="15"/>
        <v/>
      </c>
      <c r="N266" s="17" t="str">
        <f>IF(OR($A266="",$A266="Grand Total"),IF($A266="Grand Total",SUM($N$15:$N265),""),SUMPRODUCT((Table1[County]=SummaryPage!$A266)*(Table1[Status]&lt;&gt;"Complete")))</f>
        <v/>
      </c>
      <c r="O266" s="6" t="str">
        <f ca="1">IF($A266="Grand Total",SUM(INDIRECT(ADDRESS(1,COLUMN())&amp;":"&amp;ADDRESS(ROW()-1,COLUMN()))),IF(OR($A266="State Agencies",IFERROR(AND($L266&gt;='Input Sheet'!$J$2,$A266&lt;&gt;""),0)),$J266,""))</f>
        <v/>
      </c>
      <c r="P266" s="3" t="str">
        <f>IF(OR($A266="",$A266="Grand Total"),"",IF(IFERROR(ROUND($J266/$K266,2),1000)&gt;='Input Sheet'!$J$2,1,""))</f>
        <v/>
      </c>
      <c r="Q266" s="3" t="str">
        <f t="shared" si="17"/>
        <v/>
      </c>
      <c r="R266" s="3" t="str">
        <f>IF(OR($A266="",$A266="Grand Total"),"",AND($J266=0,(SUMPRODUCT((Table1[County]=SummaryPage!$A266)*(Table1[Status]="Not Started"))+SUMPRODUCT((Table1[County]=SummaryPage!$A266)*(Table1[Status]="")))=SUMPRODUCT((Table1[County]=SummaryPage!$A266)*(Table1[Status]&lt;&gt;"Q"))))</f>
        <v/>
      </c>
    </row>
    <row r="267" spans="1:18" x14ac:dyDescent="0.3">
      <c r="A267"/>
      <c r="B267"/>
      <c r="C267"/>
      <c r="D267"/>
      <c r="E267"/>
      <c r="F267"/>
      <c r="G267"/>
      <c r="H267"/>
      <c r="I267"/>
      <c r="J267"/>
      <c r="K267" s="29" t="str">
        <f>IF($A267="","",VLOOKUP('Input Sheet'!$D$2 &amp; " " &amp; $A267,Pop[#All],4,FALSE))</f>
        <v/>
      </c>
      <c r="L267" s="5" t="str">
        <f t="shared" si="16"/>
        <v/>
      </c>
      <c r="M267" s="7" t="str">
        <f t="shared" ca="1" si="15"/>
        <v/>
      </c>
      <c r="N267" s="17" t="str">
        <f>IF(OR($A267="",$A267="Grand Total"),IF($A267="Grand Total",SUM($N$15:$N266),""),SUMPRODUCT((Table1[County]=SummaryPage!$A267)*(Table1[Status]&lt;&gt;"Complete")))</f>
        <v/>
      </c>
      <c r="O267" s="6" t="str">
        <f ca="1">IF($A267="Grand Total",SUM(INDIRECT(ADDRESS(1,COLUMN())&amp;":"&amp;ADDRESS(ROW()-1,COLUMN()))),IF(OR($A267="State Agencies",IFERROR(AND($L267&gt;='Input Sheet'!$J$2,$A267&lt;&gt;""),0)),$J267,""))</f>
        <v/>
      </c>
      <c r="P267" s="3" t="str">
        <f>IF(OR($A267="",$A267="Grand Total"),"",IF(IFERROR(ROUND($J267/$K267,2),1000)&gt;='Input Sheet'!$J$2,1,""))</f>
        <v/>
      </c>
      <c r="Q267" s="3" t="str">
        <f t="shared" si="17"/>
        <v/>
      </c>
      <c r="R267" s="3" t="str">
        <f>IF(OR($A267="",$A267="Grand Total"),"",AND($J267=0,(SUMPRODUCT((Table1[County]=SummaryPage!$A267)*(Table1[Status]="Not Started"))+SUMPRODUCT((Table1[County]=SummaryPage!$A267)*(Table1[Status]="")))=SUMPRODUCT((Table1[County]=SummaryPage!$A267)*(Table1[Status]&lt;&gt;"Q"))))</f>
        <v/>
      </c>
    </row>
    <row r="268" spans="1:18" x14ac:dyDescent="0.3">
      <c r="A268"/>
      <c r="B268"/>
      <c r="C268"/>
      <c r="D268"/>
      <c r="E268"/>
      <c r="F268"/>
      <c r="G268"/>
      <c r="H268"/>
      <c r="I268"/>
      <c r="J268"/>
      <c r="K268" s="29" t="str">
        <f>IF($A268="","",VLOOKUP('Input Sheet'!$D$2 &amp; " " &amp; $A268,Pop[#All],4,FALSE))</f>
        <v/>
      </c>
      <c r="L268" s="5" t="str">
        <f t="shared" si="16"/>
        <v/>
      </c>
      <c r="M268" s="7" t="str">
        <f t="shared" ca="1" si="15"/>
        <v/>
      </c>
      <c r="N268" s="17" t="str">
        <f>IF(OR($A268="",$A268="Grand Total"),IF($A268="Grand Total",SUM($N$15:$N267),""),SUMPRODUCT((Table1[County]=SummaryPage!$A268)*(Table1[Status]&lt;&gt;"Complete")))</f>
        <v/>
      </c>
      <c r="O268" s="6" t="str">
        <f ca="1">IF($A268="Grand Total",SUM(INDIRECT(ADDRESS(1,COLUMN())&amp;":"&amp;ADDRESS(ROW()-1,COLUMN()))),IF(OR($A268="State Agencies",IFERROR(AND($L268&gt;='Input Sheet'!$J$2,$A268&lt;&gt;""),0)),$J268,""))</f>
        <v/>
      </c>
      <c r="P268" s="3" t="str">
        <f>IF(OR($A268="",$A268="Grand Total"),"",IF(IFERROR(ROUND($J268/$K268,2),1000)&gt;='Input Sheet'!$J$2,1,""))</f>
        <v/>
      </c>
      <c r="Q268" s="3" t="str">
        <f t="shared" si="17"/>
        <v/>
      </c>
      <c r="R268" s="3" t="str">
        <f>IF(OR($A268="",$A268="Grand Total"),"",AND($J268=0,(SUMPRODUCT((Table1[County]=SummaryPage!$A268)*(Table1[Status]="Not Started"))+SUMPRODUCT((Table1[County]=SummaryPage!$A268)*(Table1[Status]="")))=SUMPRODUCT((Table1[County]=SummaryPage!$A268)*(Table1[Status]&lt;&gt;"Q"))))</f>
        <v/>
      </c>
    </row>
    <row r="269" spans="1:18" x14ac:dyDescent="0.3">
      <c r="A269"/>
      <c r="B269"/>
      <c r="C269"/>
      <c r="D269"/>
      <c r="E269"/>
      <c r="F269"/>
      <c r="G269"/>
      <c r="H269"/>
      <c r="I269"/>
      <c r="J269"/>
      <c r="K269" s="29" t="str">
        <f>IF($A269="","",VLOOKUP('Input Sheet'!$D$2 &amp; " " &amp; $A269,Pop[#All],4,FALSE))</f>
        <v/>
      </c>
      <c r="L269" s="5" t="str">
        <f t="shared" si="16"/>
        <v/>
      </c>
      <c r="M269" s="7" t="str">
        <f t="shared" ca="1" si="15"/>
        <v/>
      </c>
      <c r="N269" s="17" t="str">
        <f>IF(OR($A269="",$A269="Grand Total"),IF($A269="Grand Total",SUM($N$15:$N268),""),SUMPRODUCT((Table1[County]=SummaryPage!$A269)*(Table1[Status]&lt;&gt;"Complete")))</f>
        <v/>
      </c>
      <c r="O269" s="6" t="str">
        <f ca="1">IF($A269="Grand Total",SUM(INDIRECT(ADDRESS(1,COLUMN())&amp;":"&amp;ADDRESS(ROW()-1,COLUMN()))),IF(OR($A269="State Agencies",IFERROR(AND($L269&gt;='Input Sheet'!$J$2,$A269&lt;&gt;""),0)),$J269,""))</f>
        <v/>
      </c>
      <c r="P269" s="3" t="str">
        <f>IF(OR($A269="",$A269="Grand Total"),"",IF(IFERROR(ROUND($J269/$K269,2),1000)&gt;='Input Sheet'!$J$2,1,""))</f>
        <v/>
      </c>
      <c r="Q269" s="3" t="str">
        <f t="shared" si="17"/>
        <v/>
      </c>
      <c r="R269" s="3" t="str">
        <f>IF(OR($A269="",$A269="Grand Total"),"",AND($J269=0,(SUMPRODUCT((Table1[County]=SummaryPage!$A269)*(Table1[Status]="Not Started"))+SUMPRODUCT((Table1[County]=SummaryPage!$A269)*(Table1[Status]="")))=SUMPRODUCT((Table1[County]=SummaryPage!$A269)*(Table1[Status]&lt;&gt;"Q"))))</f>
        <v/>
      </c>
    </row>
    <row r="270" spans="1:18" x14ac:dyDescent="0.3">
      <c r="A270"/>
      <c r="B270"/>
      <c r="C270"/>
      <c r="D270"/>
      <c r="E270"/>
      <c r="F270"/>
      <c r="G270"/>
      <c r="H270"/>
      <c r="I270"/>
      <c r="J270"/>
      <c r="K270" s="29" t="str">
        <f>IF($A270="","",VLOOKUP('Input Sheet'!$D$2 &amp; " " &amp; $A270,Pop[#All],4,FALSE))</f>
        <v/>
      </c>
      <c r="L270" s="5" t="str">
        <f t="shared" si="16"/>
        <v/>
      </c>
      <c r="M270" s="7" t="str">
        <f t="shared" ca="1" si="15"/>
        <v/>
      </c>
      <c r="N270" s="17" t="str">
        <f>IF(OR($A270="",$A270="Grand Total"),IF($A270="Grand Total",SUM($N$15:$N269),""),SUMPRODUCT((Table1[County]=SummaryPage!$A270)*(Table1[Status]&lt;&gt;"Complete")))</f>
        <v/>
      </c>
      <c r="O270" s="6" t="str">
        <f ca="1">IF($A270="Grand Total",SUM(INDIRECT(ADDRESS(1,COLUMN())&amp;":"&amp;ADDRESS(ROW()-1,COLUMN()))),IF(OR($A270="State Agencies",IFERROR(AND($L270&gt;='Input Sheet'!$J$2,$A270&lt;&gt;""),0)),$J270,""))</f>
        <v/>
      </c>
      <c r="P270" s="3" t="str">
        <f>IF(OR($A270="",$A270="Grand Total"),"",IF(IFERROR(ROUND($J270/$K270,2),1000)&gt;='Input Sheet'!$J$2,1,""))</f>
        <v/>
      </c>
      <c r="Q270" s="3" t="str">
        <f t="shared" si="17"/>
        <v/>
      </c>
      <c r="R270" s="3" t="str">
        <f>IF(OR($A270="",$A270="Grand Total"),"",AND($J270=0,(SUMPRODUCT((Table1[County]=SummaryPage!$A270)*(Table1[Status]="Not Started"))+SUMPRODUCT((Table1[County]=SummaryPage!$A270)*(Table1[Status]="")))=SUMPRODUCT((Table1[County]=SummaryPage!$A270)*(Table1[Status]&lt;&gt;"Q"))))</f>
        <v/>
      </c>
    </row>
    <row r="271" spans="1:18" x14ac:dyDescent="0.3">
      <c r="A271"/>
      <c r="B271"/>
      <c r="C271"/>
      <c r="D271"/>
      <c r="E271"/>
      <c r="F271"/>
      <c r="G271"/>
      <c r="H271"/>
      <c r="I271"/>
      <c r="J271"/>
      <c r="K271" s="29" t="str">
        <f>IF($A271="","",VLOOKUP('Input Sheet'!$D$2 &amp; " " &amp; $A271,Pop[#All],4,FALSE))</f>
        <v/>
      </c>
      <c r="L271" s="5" t="str">
        <f t="shared" si="16"/>
        <v/>
      </c>
      <c r="M271" s="7" t="str">
        <f t="shared" ref="M271:M334" ca="1" si="18">IF(A271="Grand Total","",IF(ISNUMBER($O271),$O271*2/SUM($O:$O),""))</f>
        <v/>
      </c>
      <c r="N271" s="17" t="str">
        <f>IF(OR($A271="",$A271="Grand Total"),IF($A271="Grand Total",SUM($N$15:$N270),""),SUMPRODUCT((Table1[County]=SummaryPage!$A271)*(Table1[Status]&lt;&gt;"Complete")))</f>
        <v/>
      </c>
      <c r="O271" s="6" t="str">
        <f ca="1">IF($A271="Grand Total",SUM(INDIRECT(ADDRESS(1,COLUMN())&amp;":"&amp;ADDRESS(ROW()-1,COLUMN()))),IF(OR($A271="State Agencies",IFERROR(AND($L271&gt;='Input Sheet'!$J$2,$A271&lt;&gt;""),0)),$J271,""))</f>
        <v/>
      </c>
      <c r="P271" s="3" t="str">
        <f>IF(OR($A271="",$A271="Grand Total"),"",IF(IFERROR(ROUND($J271/$K271,2),1000)&gt;='Input Sheet'!$J$2,1,""))</f>
        <v/>
      </c>
      <c r="Q271" s="3" t="str">
        <f t="shared" si="17"/>
        <v/>
      </c>
      <c r="R271" s="3" t="str">
        <f>IF(OR($A271="",$A271="Grand Total"),"",AND($J271=0,(SUMPRODUCT((Table1[County]=SummaryPage!$A271)*(Table1[Status]="Not Started"))+SUMPRODUCT((Table1[County]=SummaryPage!$A271)*(Table1[Status]="")))=SUMPRODUCT((Table1[County]=SummaryPage!$A271)*(Table1[Status]&lt;&gt;"Q"))))</f>
        <v/>
      </c>
    </row>
    <row r="272" spans="1:18" x14ac:dyDescent="0.3">
      <c r="A272"/>
      <c r="B272"/>
      <c r="C272"/>
      <c r="D272"/>
      <c r="E272"/>
      <c r="F272"/>
      <c r="G272"/>
      <c r="H272"/>
      <c r="I272"/>
      <c r="J272"/>
      <c r="K272" s="29" t="str">
        <f>IF($A272="","",VLOOKUP('Input Sheet'!$D$2 &amp; " " &amp; $A272,Pop[#All],4,FALSE))</f>
        <v/>
      </c>
      <c r="L272" s="5" t="str">
        <f t="shared" ref="L272:L335" si="19">IFERROR(IF($A272="","",ROUND($J272/$K272,2)),"")</f>
        <v/>
      </c>
      <c r="M272" s="7" t="str">
        <f t="shared" ca="1" si="18"/>
        <v/>
      </c>
      <c r="N272" s="17" t="str">
        <f>IF(OR($A272="",$A272="Grand Total"),IF($A272="Grand Total",SUM($N$15:$N271),""),SUMPRODUCT((Table1[County]=SummaryPage!$A272)*(Table1[Status]&lt;&gt;"Complete")))</f>
        <v/>
      </c>
      <c r="O272" s="6" t="str">
        <f ca="1">IF($A272="Grand Total",SUM(INDIRECT(ADDRESS(1,COLUMN())&amp;":"&amp;ADDRESS(ROW()-1,COLUMN()))),IF(OR($A272="State Agencies",IFERROR(AND($L272&gt;='Input Sheet'!$J$2,$A272&lt;&gt;""),0)),$J272,""))</f>
        <v/>
      </c>
      <c r="P272" s="3" t="str">
        <f>IF(OR($A272="",$A272="Grand Total"),"",IF(IFERROR(ROUND($J272/$K272,2),1000)&gt;='Input Sheet'!$J$2,1,""))</f>
        <v/>
      </c>
      <c r="Q272" s="3" t="str">
        <f t="shared" ref="Q272:Q335" si="20">IFERROR($L272*$P272,"")</f>
        <v/>
      </c>
      <c r="R272" s="3" t="str">
        <f>IF(OR($A272="",$A272="Grand Total"),"",AND($J272=0,(SUMPRODUCT((Table1[County]=SummaryPage!$A272)*(Table1[Status]="Not Started"))+SUMPRODUCT((Table1[County]=SummaryPage!$A272)*(Table1[Status]="")))=SUMPRODUCT((Table1[County]=SummaryPage!$A272)*(Table1[Status]&lt;&gt;"Q"))))</f>
        <v/>
      </c>
    </row>
    <row r="273" spans="1:18" x14ac:dyDescent="0.3">
      <c r="A273"/>
      <c r="B273"/>
      <c r="C273"/>
      <c r="D273"/>
      <c r="E273"/>
      <c r="F273"/>
      <c r="G273"/>
      <c r="H273"/>
      <c r="I273"/>
      <c r="J273"/>
      <c r="K273" s="29" t="str">
        <f>IF($A273="","",VLOOKUP('Input Sheet'!$D$2 &amp; " " &amp; $A273,Pop[#All],4,FALSE))</f>
        <v/>
      </c>
      <c r="L273" s="5" t="str">
        <f t="shared" si="19"/>
        <v/>
      </c>
      <c r="M273" s="7" t="str">
        <f t="shared" ca="1" si="18"/>
        <v/>
      </c>
      <c r="N273" s="17" t="str">
        <f>IF(OR($A273="",$A273="Grand Total"),IF($A273="Grand Total",SUM($N$15:$N272),""),SUMPRODUCT((Table1[County]=SummaryPage!$A273)*(Table1[Status]&lt;&gt;"Complete")))</f>
        <v/>
      </c>
      <c r="O273" s="6" t="str">
        <f ca="1">IF($A273="Grand Total",SUM(INDIRECT(ADDRESS(1,COLUMN())&amp;":"&amp;ADDRESS(ROW()-1,COLUMN()))),IF(OR($A273="State Agencies",IFERROR(AND($L273&gt;='Input Sheet'!$J$2,$A273&lt;&gt;""),0)),$J273,""))</f>
        <v/>
      </c>
      <c r="P273" s="3" t="str">
        <f>IF(OR($A273="",$A273="Grand Total"),"",IF(IFERROR(ROUND($J273/$K273,2),1000)&gt;='Input Sheet'!$J$2,1,""))</f>
        <v/>
      </c>
      <c r="Q273" s="3" t="str">
        <f t="shared" si="20"/>
        <v/>
      </c>
      <c r="R273" s="3" t="str">
        <f>IF(OR($A273="",$A273="Grand Total"),"",AND($J273=0,(SUMPRODUCT((Table1[County]=SummaryPage!$A273)*(Table1[Status]="Not Started"))+SUMPRODUCT((Table1[County]=SummaryPage!$A273)*(Table1[Status]="")))=SUMPRODUCT((Table1[County]=SummaryPage!$A273)*(Table1[Status]&lt;&gt;"Q"))))</f>
        <v/>
      </c>
    </row>
    <row r="274" spans="1:18" x14ac:dyDescent="0.3">
      <c r="A274"/>
      <c r="B274"/>
      <c r="C274"/>
      <c r="D274"/>
      <c r="E274"/>
      <c r="F274"/>
      <c r="G274"/>
      <c r="H274"/>
      <c r="I274"/>
      <c r="J274"/>
      <c r="K274" s="29" t="str">
        <f>IF($A274="","",VLOOKUP('Input Sheet'!$D$2 &amp; " " &amp; $A274,Pop[#All],4,FALSE))</f>
        <v/>
      </c>
      <c r="L274" s="5" t="str">
        <f t="shared" si="19"/>
        <v/>
      </c>
      <c r="M274" s="7" t="str">
        <f t="shared" ca="1" si="18"/>
        <v/>
      </c>
      <c r="N274" s="17" t="str">
        <f>IF(OR($A274="",$A274="Grand Total"),IF($A274="Grand Total",SUM($N$15:$N273),""),SUMPRODUCT((Table1[County]=SummaryPage!$A274)*(Table1[Status]&lt;&gt;"Complete")))</f>
        <v/>
      </c>
      <c r="O274" s="6" t="str">
        <f ca="1">IF($A274="Grand Total",SUM(INDIRECT(ADDRESS(1,COLUMN())&amp;":"&amp;ADDRESS(ROW()-1,COLUMN()))),IF(OR($A274="State Agencies",IFERROR(AND($L274&gt;='Input Sheet'!$J$2,$A274&lt;&gt;""),0)),$J274,""))</f>
        <v/>
      </c>
      <c r="P274" s="3" t="str">
        <f>IF(OR($A274="",$A274="Grand Total"),"",IF(IFERROR(ROUND($J274/$K274,2),1000)&gt;='Input Sheet'!$J$2,1,""))</f>
        <v/>
      </c>
      <c r="Q274" s="3" t="str">
        <f t="shared" si="20"/>
        <v/>
      </c>
      <c r="R274" s="3" t="str">
        <f>IF(OR($A274="",$A274="Grand Total"),"",AND($J274=0,(SUMPRODUCT((Table1[County]=SummaryPage!$A274)*(Table1[Status]="Not Started"))+SUMPRODUCT((Table1[County]=SummaryPage!$A274)*(Table1[Status]="")))=SUMPRODUCT((Table1[County]=SummaryPage!$A274)*(Table1[Status]&lt;&gt;"Q"))))</f>
        <v/>
      </c>
    </row>
    <row r="275" spans="1:18" x14ac:dyDescent="0.3">
      <c r="A275"/>
      <c r="B275"/>
      <c r="C275"/>
      <c r="D275"/>
      <c r="E275"/>
      <c r="F275"/>
      <c r="G275"/>
      <c r="H275"/>
      <c r="I275"/>
      <c r="J275"/>
      <c r="K275" s="29" t="str">
        <f>IF($A275="","",VLOOKUP('Input Sheet'!$D$2 &amp; " " &amp; $A275,Pop[#All],4,FALSE))</f>
        <v/>
      </c>
      <c r="L275" s="5" t="str">
        <f t="shared" si="19"/>
        <v/>
      </c>
      <c r="M275" s="7" t="str">
        <f t="shared" ca="1" si="18"/>
        <v/>
      </c>
      <c r="N275" s="17" t="str">
        <f>IF(OR($A275="",$A275="Grand Total"),IF($A275="Grand Total",SUM($N$15:$N274),""),SUMPRODUCT((Table1[County]=SummaryPage!$A275)*(Table1[Status]&lt;&gt;"Complete")))</f>
        <v/>
      </c>
      <c r="O275" s="6" t="str">
        <f ca="1">IF($A275="Grand Total",SUM(INDIRECT(ADDRESS(1,COLUMN())&amp;":"&amp;ADDRESS(ROW()-1,COLUMN()))),IF(OR($A275="State Agencies",IFERROR(AND($L275&gt;='Input Sheet'!$J$2,$A275&lt;&gt;""),0)),$J275,""))</f>
        <v/>
      </c>
      <c r="P275" s="3" t="str">
        <f>IF(OR($A275="",$A275="Grand Total"),"",IF(IFERROR(ROUND($J275/$K275,2),1000)&gt;='Input Sheet'!$J$2,1,""))</f>
        <v/>
      </c>
      <c r="Q275" s="3" t="str">
        <f t="shared" si="20"/>
        <v/>
      </c>
      <c r="R275" s="3" t="str">
        <f>IF(OR($A275="",$A275="Grand Total"),"",AND($J275=0,(SUMPRODUCT((Table1[County]=SummaryPage!$A275)*(Table1[Status]="Not Started"))+SUMPRODUCT((Table1[County]=SummaryPage!$A275)*(Table1[Status]="")))=SUMPRODUCT((Table1[County]=SummaryPage!$A275)*(Table1[Status]&lt;&gt;"Q"))))</f>
        <v/>
      </c>
    </row>
    <row r="276" spans="1:18" x14ac:dyDescent="0.3">
      <c r="A276"/>
      <c r="B276"/>
      <c r="C276"/>
      <c r="D276"/>
      <c r="E276"/>
      <c r="F276"/>
      <c r="G276"/>
      <c r="H276"/>
      <c r="I276"/>
      <c r="J276"/>
      <c r="K276" s="29" t="str">
        <f>IF($A276="","",VLOOKUP('Input Sheet'!$D$2 &amp; " " &amp; $A276,Pop[#All],4,FALSE))</f>
        <v/>
      </c>
      <c r="L276" s="5" t="str">
        <f t="shared" si="19"/>
        <v/>
      </c>
      <c r="M276" s="7" t="str">
        <f t="shared" ca="1" si="18"/>
        <v/>
      </c>
      <c r="N276" s="17" t="str">
        <f>IF(OR($A276="",$A276="Grand Total"),IF($A276="Grand Total",SUM($N$15:$N275),""),SUMPRODUCT((Table1[County]=SummaryPage!$A276)*(Table1[Status]&lt;&gt;"Complete")))</f>
        <v/>
      </c>
      <c r="O276" s="6" t="str">
        <f ca="1">IF($A276="Grand Total",SUM(INDIRECT(ADDRESS(1,COLUMN())&amp;":"&amp;ADDRESS(ROW()-1,COLUMN()))),IF(OR($A276="State Agencies",IFERROR(AND($L276&gt;='Input Sheet'!$J$2,$A276&lt;&gt;""),0)),$J276,""))</f>
        <v/>
      </c>
      <c r="P276" s="3" t="str">
        <f>IF(OR($A276="",$A276="Grand Total"),"",IF(IFERROR(ROUND($J276/$K276,2),1000)&gt;='Input Sheet'!$J$2,1,""))</f>
        <v/>
      </c>
      <c r="Q276" s="3" t="str">
        <f t="shared" si="20"/>
        <v/>
      </c>
      <c r="R276" s="3" t="str">
        <f>IF(OR($A276="",$A276="Grand Total"),"",AND($J276=0,(SUMPRODUCT((Table1[County]=SummaryPage!$A276)*(Table1[Status]="Not Started"))+SUMPRODUCT((Table1[County]=SummaryPage!$A276)*(Table1[Status]="")))=SUMPRODUCT((Table1[County]=SummaryPage!$A276)*(Table1[Status]&lt;&gt;"Q"))))</f>
        <v/>
      </c>
    </row>
    <row r="277" spans="1:18" x14ac:dyDescent="0.3">
      <c r="A277"/>
      <c r="B277"/>
      <c r="C277"/>
      <c r="D277"/>
      <c r="E277"/>
      <c r="F277"/>
      <c r="G277"/>
      <c r="H277"/>
      <c r="I277"/>
      <c r="J277"/>
      <c r="K277" s="29" t="str">
        <f>IF($A277="","",VLOOKUP('Input Sheet'!$D$2 &amp; " " &amp; $A277,Pop[#All],4,FALSE))</f>
        <v/>
      </c>
      <c r="L277" s="5" t="str">
        <f t="shared" si="19"/>
        <v/>
      </c>
      <c r="M277" s="7" t="str">
        <f t="shared" ca="1" si="18"/>
        <v/>
      </c>
      <c r="N277" s="17" t="str">
        <f>IF(OR($A277="",$A277="Grand Total"),IF($A277="Grand Total",SUM($N$15:$N276),""),SUMPRODUCT((Table1[County]=SummaryPage!$A277)*(Table1[Status]&lt;&gt;"Complete")))</f>
        <v/>
      </c>
      <c r="O277" s="6" t="str">
        <f ca="1">IF($A277="Grand Total",SUM(INDIRECT(ADDRESS(1,COLUMN())&amp;":"&amp;ADDRESS(ROW()-1,COLUMN()))),IF(OR($A277="State Agencies",IFERROR(AND($L277&gt;='Input Sheet'!$J$2,$A277&lt;&gt;""),0)),$J277,""))</f>
        <v/>
      </c>
      <c r="P277" s="3" t="str">
        <f>IF(OR($A277="",$A277="Grand Total"),"",IF(IFERROR(ROUND($J277/$K277,2),1000)&gt;='Input Sheet'!$J$2,1,""))</f>
        <v/>
      </c>
      <c r="Q277" s="3" t="str">
        <f t="shared" si="20"/>
        <v/>
      </c>
      <c r="R277" s="3" t="str">
        <f>IF(OR($A277="",$A277="Grand Total"),"",AND($J277=0,(SUMPRODUCT((Table1[County]=SummaryPage!$A277)*(Table1[Status]="Not Started"))+SUMPRODUCT((Table1[County]=SummaryPage!$A277)*(Table1[Status]="")))=SUMPRODUCT((Table1[County]=SummaryPage!$A277)*(Table1[Status]&lt;&gt;"Q"))))</f>
        <v/>
      </c>
    </row>
    <row r="278" spans="1:18" x14ac:dyDescent="0.3">
      <c r="A278"/>
      <c r="B278"/>
      <c r="C278"/>
      <c r="D278"/>
      <c r="E278"/>
      <c r="F278"/>
      <c r="G278"/>
      <c r="H278"/>
      <c r="I278"/>
      <c r="J278"/>
      <c r="K278" s="29" t="str">
        <f>IF($A278="","",VLOOKUP('Input Sheet'!$D$2 &amp; " " &amp; $A278,Pop[#All],4,FALSE))</f>
        <v/>
      </c>
      <c r="L278" s="5" t="str">
        <f t="shared" si="19"/>
        <v/>
      </c>
      <c r="M278" s="7" t="str">
        <f t="shared" ca="1" si="18"/>
        <v/>
      </c>
      <c r="N278" s="17" t="str">
        <f>IF(OR($A278="",$A278="Grand Total"),IF($A278="Grand Total",SUM($N$15:$N277),""),SUMPRODUCT((Table1[County]=SummaryPage!$A278)*(Table1[Status]&lt;&gt;"Complete")))</f>
        <v/>
      </c>
      <c r="O278" s="6" t="str">
        <f ca="1">IF($A278="Grand Total",SUM(INDIRECT(ADDRESS(1,COLUMN())&amp;":"&amp;ADDRESS(ROW()-1,COLUMN()))),IF(OR($A278="State Agencies",IFERROR(AND($L278&gt;='Input Sheet'!$J$2,$A278&lt;&gt;""),0)),$J278,""))</f>
        <v/>
      </c>
      <c r="P278" s="3" t="str">
        <f>IF(OR($A278="",$A278="Grand Total"),"",IF(IFERROR(ROUND($J278/$K278,2),1000)&gt;='Input Sheet'!$J$2,1,""))</f>
        <v/>
      </c>
      <c r="Q278" s="3" t="str">
        <f t="shared" si="20"/>
        <v/>
      </c>
      <c r="R278" s="3" t="str">
        <f>IF(OR($A278="",$A278="Grand Total"),"",AND($J278=0,(SUMPRODUCT((Table1[County]=SummaryPage!$A278)*(Table1[Status]="Not Started"))+SUMPRODUCT((Table1[County]=SummaryPage!$A278)*(Table1[Status]="")))=SUMPRODUCT((Table1[County]=SummaryPage!$A278)*(Table1[Status]&lt;&gt;"Q"))))</f>
        <v/>
      </c>
    </row>
    <row r="279" spans="1:18" x14ac:dyDescent="0.3">
      <c r="A279"/>
      <c r="B279"/>
      <c r="C279"/>
      <c r="D279"/>
      <c r="E279"/>
      <c r="F279"/>
      <c r="G279"/>
      <c r="H279"/>
      <c r="I279"/>
      <c r="J279"/>
      <c r="K279" s="29" t="str">
        <f>IF($A279="","",VLOOKUP('Input Sheet'!$D$2 &amp; " " &amp; $A279,Pop[#All],4,FALSE))</f>
        <v/>
      </c>
      <c r="L279" s="5" t="str">
        <f t="shared" si="19"/>
        <v/>
      </c>
      <c r="M279" s="7" t="str">
        <f t="shared" ca="1" si="18"/>
        <v/>
      </c>
      <c r="N279" s="17" t="str">
        <f>IF(OR($A279="",$A279="Grand Total"),IF($A279="Grand Total",SUM($N$15:$N278),""),SUMPRODUCT((Table1[County]=SummaryPage!$A279)*(Table1[Status]&lt;&gt;"Complete")))</f>
        <v/>
      </c>
      <c r="O279" s="6" t="str">
        <f ca="1">IF($A279="Grand Total",SUM(INDIRECT(ADDRESS(1,COLUMN())&amp;":"&amp;ADDRESS(ROW()-1,COLUMN()))),IF(OR($A279="State Agencies",IFERROR(AND($L279&gt;='Input Sheet'!$J$2,$A279&lt;&gt;""),0)),$J279,""))</f>
        <v/>
      </c>
      <c r="P279" s="3" t="str">
        <f>IF(OR($A279="",$A279="Grand Total"),"",IF(IFERROR(ROUND($J279/$K279,2),1000)&gt;='Input Sheet'!$J$2,1,""))</f>
        <v/>
      </c>
      <c r="Q279" s="3" t="str">
        <f t="shared" si="20"/>
        <v/>
      </c>
      <c r="R279" s="3" t="str">
        <f>IF(OR($A279="",$A279="Grand Total"),"",AND($J279=0,(SUMPRODUCT((Table1[County]=SummaryPage!$A279)*(Table1[Status]="Not Started"))+SUMPRODUCT((Table1[County]=SummaryPage!$A279)*(Table1[Status]="")))=SUMPRODUCT((Table1[County]=SummaryPage!$A279)*(Table1[Status]&lt;&gt;"Q"))))</f>
        <v/>
      </c>
    </row>
    <row r="280" spans="1:18" x14ac:dyDescent="0.3">
      <c r="A280"/>
      <c r="B280"/>
      <c r="C280"/>
      <c r="D280"/>
      <c r="E280"/>
      <c r="F280"/>
      <c r="G280"/>
      <c r="H280"/>
      <c r="I280"/>
      <c r="J280"/>
      <c r="K280" s="29" t="str">
        <f>IF($A280="","",VLOOKUP('Input Sheet'!$D$2 &amp; " " &amp; $A280,Pop[#All],4,FALSE))</f>
        <v/>
      </c>
      <c r="L280" s="5" t="str">
        <f t="shared" si="19"/>
        <v/>
      </c>
      <c r="M280" s="7" t="str">
        <f t="shared" ca="1" si="18"/>
        <v/>
      </c>
      <c r="N280" s="17" t="str">
        <f>IF(OR($A280="",$A280="Grand Total"),IF($A280="Grand Total",SUM($N$15:$N279),""),SUMPRODUCT((Table1[County]=SummaryPage!$A280)*(Table1[Status]&lt;&gt;"Complete")))</f>
        <v/>
      </c>
      <c r="O280" s="6" t="str">
        <f ca="1">IF($A280="Grand Total",SUM(INDIRECT(ADDRESS(1,COLUMN())&amp;":"&amp;ADDRESS(ROW()-1,COLUMN()))),IF(OR($A280="State Agencies",IFERROR(AND($L280&gt;='Input Sheet'!$J$2,$A280&lt;&gt;""),0)),$J280,""))</f>
        <v/>
      </c>
      <c r="P280" s="3" t="str">
        <f>IF(OR($A280="",$A280="Grand Total"),"",IF(IFERROR(ROUND($J280/$K280,2),1000)&gt;='Input Sheet'!$J$2,1,""))</f>
        <v/>
      </c>
      <c r="Q280" s="3" t="str">
        <f t="shared" si="20"/>
        <v/>
      </c>
      <c r="R280" s="3" t="str">
        <f>IF(OR($A280="",$A280="Grand Total"),"",AND($J280=0,(SUMPRODUCT((Table1[County]=SummaryPage!$A280)*(Table1[Status]="Not Started"))+SUMPRODUCT((Table1[County]=SummaryPage!$A280)*(Table1[Status]="")))=SUMPRODUCT((Table1[County]=SummaryPage!$A280)*(Table1[Status]&lt;&gt;"Q"))))</f>
        <v/>
      </c>
    </row>
    <row r="281" spans="1:18" x14ac:dyDescent="0.3">
      <c r="A281"/>
      <c r="B281"/>
      <c r="C281"/>
      <c r="D281"/>
      <c r="E281"/>
      <c r="F281"/>
      <c r="G281"/>
      <c r="H281"/>
      <c r="I281"/>
      <c r="J281"/>
      <c r="K281" s="29" t="str">
        <f>IF($A281="","",VLOOKUP('Input Sheet'!$D$2 &amp; " " &amp; $A281,Pop[#All],4,FALSE))</f>
        <v/>
      </c>
      <c r="L281" s="5" t="str">
        <f t="shared" si="19"/>
        <v/>
      </c>
      <c r="M281" s="7" t="str">
        <f t="shared" ca="1" si="18"/>
        <v/>
      </c>
      <c r="N281" s="17" t="str">
        <f>IF(OR($A281="",$A281="Grand Total"),IF($A281="Grand Total",SUM($N$15:$N280),""),SUMPRODUCT((Table1[County]=SummaryPage!$A281)*(Table1[Status]&lt;&gt;"Complete")))</f>
        <v/>
      </c>
      <c r="O281" s="6" t="str">
        <f ca="1">IF($A281="Grand Total",SUM(INDIRECT(ADDRESS(1,COLUMN())&amp;":"&amp;ADDRESS(ROW()-1,COLUMN()))),IF(OR($A281="State Agencies",IFERROR(AND($L281&gt;='Input Sheet'!$J$2,$A281&lt;&gt;""),0)),$J281,""))</f>
        <v/>
      </c>
      <c r="P281" s="3" t="str">
        <f>IF(OR($A281="",$A281="Grand Total"),"",IF(IFERROR(ROUND($J281/$K281,2),1000)&gt;='Input Sheet'!$J$2,1,""))</f>
        <v/>
      </c>
      <c r="Q281" s="3" t="str">
        <f t="shared" si="20"/>
        <v/>
      </c>
      <c r="R281" s="3" t="str">
        <f>IF(OR($A281="",$A281="Grand Total"),"",AND($J281=0,(SUMPRODUCT((Table1[County]=SummaryPage!$A281)*(Table1[Status]="Not Started"))+SUMPRODUCT((Table1[County]=SummaryPage!$A281)*(Table1[Status]="")))=SUMPRODUCT((Table1[County]=SummaryPage!$A281)*(Table1[Status]&lt;&gt;"Q"))))</f>
        <v/>
      </c>
    </row>
    <row r="282" spans="1:18" x14ac:dyDescent="0.3">
      <c r="A282"/>
      <c r="B282"/>
      <c r="C282"/>
      <c r="D282"/>
      <c r="E282"/>
      <c r="F282"/>
      <c r="G282"/>
      <c r="H282"/>
      <c r="I282"/>
      <c r="J282"/>
      <c r="K282" s="29" t="str">
        <f>IF($A282="","",VLOOKUP('Input Sheet'!$D$2 &amp; " " &amp; $A282,Pop[#All],4,FALSE))</f>
        <v/>
      </c>
      <c r="L282" s="5" t="str">
        <f t="shared" si="19"/>
        <v/>
      </c>
      <c r="M282" s="7" t="str">
        <f t="shared" ca="1" si="18"/>
        <v/>
      </c>
      <c r="N282" s="17" t="str">
        <f>IF(OR($A282="",$A282="Grand Total"),IF($A282="Grand Total",SUM($N$15:$N281),""),SUMPRODUCT((Table1[County]=SummaryPage!$A282)*(Table1[Status]&lt;&gt;"Complete")))</f>
        <v/>
      </c>
      <c r="O282" s="6" t="str">
        <f ca="1">IF($A282="Grand Total",SUM(INDIRECT(ADDRESS(1,COLUMN())&amp;":"&amp;ADDRESS(ROW()-1,COLUMN()))),IF(OR($A282="State Agencies",IFERROR(AND($L282&gt;='Input Sheet'!$J$2,$A282&lt;&gt;""),0)),$J282,""))</f>
        <v/>
      </c>
      <c r="P282" s="3" t="str">
        <f>IF(OR($A282="",$A282="Grand Total"),"",IF(IFERROR(ROUND($J282/$K282,2),1000)&gt;='Input Sheet'!$J$2,1,""))</f>
        <v/>
      </c>
      <c r="Q282" s="3" t="str">
        <f t="shared" si="20"/>
        <v/>
      </c>
      <c r="R282" s="3" t="str">
        <f>IF(OR($A282="",$A282="Grand Total"),"",AND($J282=0,(SUMPRODUCT((Table1[County]=SummaryPage!$A282)*(Table1[Status]="Not Started"))+SUMPRODUCT((Table1[County]=SummaryPage!$A282)*(Table1[Status]="")))=SUMPRODUCT((Table1[County]=SummaryPage!$A282)*(Table1[Status]&lt;&gt;"Q"))))</f>
        <v/>
      </c>
    </row>
    <row r="283" spans="1:18" x14ac:dyDescent="0.3">
      <c r="A283"/>
      <c r="B283"/>
      <c r="C283"/>
      <c r="D283"/>
      <c r="E283"/>
      <c r="F283"/>
      <c r="G283"/>
      <c r="H283"/>
      <c r="I283"/>
      <c r="J283"/>
      <c r="K283" s="29" t="str">
        <f>IF($A283="","",VLOOKUP('Input Sheet'!$D$2 &amp; " " &amp; $A283,Pop[#All],4,FALSE))</f>
        <v/>
      </c>
      <c r="L283" s="5" t="str">
        <f t="shared" si="19"/>
        <v/>
      </c>
      <c r="M283" s="7" t="str">
        <f t="shared" ca="1" si="18"/>
        <v/>
      </c>
      <c r="N283" s="17" t="str">
        <f>IF(OR($A283="",$A283="Grand Total"),IF($A283="Grand Total",SUM($N$15:$N282),""),SUMPRODUCT((Table1[County]=SummaryPage!$A283)*(Table1[Status]&lt;&gt;"Complete")))</f>
        <v/>
      </c>
      <c r="O283" s="6" t="str">
        <f ca="1">IF($A283="Grand Total",SUM(INDIRECT(ADDRESS(1,COLUMN())&amp;":"&amp;ADDRESS(ROW()-1,COLUMN()))),IF(OR($A283="State Agencies",IFERROR(AND($L283&gt;='Input Sheet'!$J$2,$A283&lt;&gt;""),0)),$J283,""))</f>
        <v/>
      </c>
      <c r="P283" s="3" t="str">
        <f>IF(OR($A283="",$A283="Grand Total"),"",IF(IFERROR(ROUND($J283/$K283,2),1000)&gt;='Input Sheet'!$J$2,1,""))</f>
        <v/>
      </c>
      <c r="Q283" s="3" t="str">
        <f t="shared" si="20"/>
        <v/>
      </c>
      <c r="R283" s="3" t="str">
        <f>IF(OR($A283="",$A283="Grand Total"),"",AND($J283=0,(SUMPRODUCT((Table1[County]=SummaryPage!$A283)*(Table1[Status]="Not Started"))+SUMPRODUCT((Table1[County]=SummaryPage!$A283)*(Table1[Status]="")))=SUMPRODUCT((Table1[County]=SummaryPage!$A283)*(Table1[Status]&lt;&gt;"Q"))))</f>
        <v/>
      </c>
    </row>
    <row r="284" spans="1:18" x14ac:dyDescent="0.3">
      <c r="A284"/>
      <c r="B284"/>
      <c r="C284"/>
      <c r="D284"/>
      <c r="E284"/>
      <c r="F284"/>
      <c r="G284"/>
      <c r="H284"/>
      <c r="I284"/>
      <c r="J284"/>
      <c r="K284" s="29" t="str">
        <f>IF($A284="","",VLOOKUP('Input Sheet'!$D$2 &amp; " " &amp; $A284,Pop[#All],4,FALSE))</f>
        <v/>
      </c>
      <c r="L284" s="5" t="str">
        <f t="shared" si="19"/>
        <v/>
      </c>
      <c r="M284" s="7" t="str">
        <f t="shared" ca="1" si="18"/>
        <v/>
      </c>
      <c r="N284" s="17" t="str">
        <f>IF(OR($A284="",$A284="Grand Total"),IF($A284="Grand Total",SUM($N$15:$N283),""),SUMPRODUCT((Table1[County]=SummaryPage!$A284)*(Table1[Status]&lt;&gt;"Complete")))</f>
        <v/>
      </c>
      <c r="O284" s="6" t="str">
        <f ca="1">IF($A284="Grand Total",SUM(INDIRECT(ADDRESS(1,COLUMN())&amp;":"&amp;ADDRESS(ROW()-1,COLUMN()))),IF(OR($A284="State Agencies",IFERROR(AND($L284&gt;='Input Sheet'!$J$2,$A284&lt;&gt;""),0)),$J284,""))</f>
        <v/>
      </c>
      <c r="P284" s="3" t="str">
        <f>IF(OR($A284="",$A284="Grand Total"),"",IF(IFERROR(ROUND($J284/$K284,2),1000)&gt;='Input Sheet'!$J$2,1,""))</f>
        <v/>
      </c>
      <c r="Q284" s="3" t="str">
        <f t="shared" si="20"/>
        <v/>
      </c>
      <c r="R284" s="3" t="str">
        <f>IF(OR($A284="",$A284="Grand Total"),"",AND($J284=0,(SUMPRODUCT((Table1[County]=SummaryPage!$A284)*(Table1[Status]="Not Started"))+SUMPRODUCT((Table1[County]=SummaryPage!$A284)*(Table1[Status]="")))=SUMPRODUCT((Table1[County]=SummaryPage!$A284)*(Table1[Status]&lt;&gt;"Q"))))</f>
        <v/>
      </c>
    </row>
    <row r="285" spans="1:18" x14ac:dyDescent="0.3">
      <c r="A285"/>
      <c r="B285"/>
      <c r="C285"/>
      <c r="D285"/>
      <c r="E285"/>
      <c r="F285"/>
      <c r="G285"/>
      <c r="H285"/>
      <c r="I285"/>
      <c r="J285"/>
      <c r="K285" s="29" t="str">
        <f>IF($A285="","",VLOOKUP('Input Sheet'!$D$2 &amp; " " &amp; $A285,Pop[#All],4,FALSE))</f>
        <v/>
      </c>
      <c r="L285" s="5" t="str">
        <f t="shared" si="19"/>
        <v/>
      </c>
      <c r="M285" s="7" t="str">
        <f t="shared" ca="1" si="18"/>
        <v/>
      </c>
      <c r="N285" s="17" t="str">
        <f>IF(OR($A285="",$A285="Grand Total"),IF($A285="Grand Total",SUM($N$15:$N284),""),SUMPRODUCT((Table1[County]=SummaryPage!$A285)*(Table1[Status]&lt;&gt;"Complete")))</f>
        <v/>
      </c>
      <c r="O285" s="6" t="str">
        <f ca="1">IF($A285="Grand Total",SUM(INDIRECT(ADDRESS(1,COLUMN())&amp;":"&amp;ADDRESS(ROW()-1,COLUMN()))),IF(OR($A285="State Agencies",IFERROR(AND($L285&gt;='Input Sheet'!$J$2,$A285&lt;&gt;""),0)),$J285,""))</f>
        <v/>
      </c>
      <c r="P285" s="3" t="str">
        <f>IF(OR($A285="",$A285="Grand Total"),"",IF(IFERROR(ROUND($J285/$K285,2),1000)&gt;='Input Sheet'!$J$2,1,""))</f>
        <v/>
      </c>
      <c r="Q285" s="3" t="str">
        <f t="shared" si="20"/>
        <v/>
      </c>
      <c r="R285" s="3" t="str">
        <f>IF(OR($A285="",$A285="Grand Total"),"",AND($J285=0,(SUMPRODUCT((Table1[County]=SummaryPage!$A285)*(Table1[Status]="Not Started"))+SUMPRODUCT((Table1[County]=SummaryPage!$A285)*(Table1[Status]="")))=SUMPRODUCT((Table1[County]=SummaryPage!$A285)*(Table1[Status]&lt;&gt;"Q"))))</f>
        <v/>
      </c>
    </row>
    <row r="286" spans="1:18" x14ac:dyDescent="0.3">
      <c r="A286"/>
      <c r="B286"/>
      <c r="C286"/>
      <c r="D286"/>
      <c r="E286"/>
      <c r="F286"/>
      <c r="G286"/>
      <c r="H286"/>
      <c r="I286"/>
      <c r="J286"/>
      <c r="K286" s="29" t="str">
        <f>IF($A286="","",VLOOKUP('Input Sheet'!$D$2 &amp; " " &amp; $A286,Pop[#All],4,FALSE))</f>
        <v/>
      </c>
      <c r="L286" s="5" t="str">
        <f t="shared" si="19"/>
        <v/>
      </c>
      <c r="M286" s="7" t="str">
        <f t="shared" ca="1" si="18"/>
        <v/>
      </c>
      <c r="N286" s="17" t="str">
        <f>IF(OR($A286="",$A286="Grand Total"),IF($A286="Grand Total",SUM($N$15:$N285),""),SUMPRODUCT((Table1[County]=SummaryPage!$A286)*(Table1[Status]&lt;&gt;"Complete")))</f>
        <v/>
      </c>
      <c r="O286" s="6" t="str">
        <f ca="1">IF($A286="Grand Total",SUM(INDIRECT(ADDRESS(1,COLUMN())&amp;":"&amp;ADDRESS(ROW()-1,COLUMN()))),IF(OR($A286="State Agencies",IFERROR(AND($L286&gt;='Input Sheet'!$J$2,$A286&lt;&gt;""),0)),$J286,""))</f>
        <v/>
      </c>
      <c r="P286" s="3" t="str">
        <f>IF(OR($A286="",$A286="Grand Total"),"",IF(IFERROR(ROUND($J286/$K286,2),1000)&gt;='Input Sheet'!$J$2,1,""))</f>
        <v/>
      </c>
      <c r="Q286" s="3" t="str">
        <f t="shared" si="20"/>
        <v/>
      </c>
      <c r="R286" s="3" t="str">
        <f>IF(OR($A286="",$A286="Grand Total"),"",AND($J286=0,(SUMPRODUCT((Table1[County]=SummaryPage!$A286)*(Table1[Status]="Not Started"))+SUMPRODUCT((Table1[County]=SummaryPage!$A286)*(Table1[Status]="")))=SUMPRODUCT((Table1[County]=SummaryPage!$A286)*(Table1[Status]&lt;&gt;"Q"))))</f>
        <v/>
      </c>
    </row>
    <row r="287" spans="1:18" x14ac:dyDescent="0.3">
      <c r="A287"/>
      <c r="B287"/>
      <c r="C287"/>
      <c r="D287"/>
      <c r="E287"/>
      <c r="F287"/>
      <c r="G287"/>
      <c r="H287"/>
      <c r="I287"/>
      <c r="J287"/>
      <c r="K287" s="29" t="str">
        <f>IF($A287="","",VLOOKUP('Input Sheet'!$D$2 &amp; " " &amp; $A287,Pop[#All],4,FALSE))</f>
        <v/>
      </c>
      <c r="L287" s="5" t="str">
        <f t="shared" si="19"/>
        <v/>
      </c>
      <c r="M287" s="7" t="str">
        <f t="shared" ca="1" si="18"/>
        <v/>
      </c>
      <c r="N287" s="17" t="str">
        <f>IF(OR($A287="",$A287="Grand Total"),IF($A287="Grand Total",SUM($N$15:$N286),""),SUMPRODUCT((Table1[County]=SummaryPage!$A287)*(Table1[Status]&lt;&gt;"Complete")))</f>
        <v/>
      </c>
      <c r="O287" s="6" t="str">
        <f ca="1">IF($A287="Grand Total",SUM(INDIRECT(ADDRESS(1,COLUMN())&amp;":"&amp;ADDRESS(ROW()-1,COLUMN()))),IF(OR($A287="State Agencies",IFERROR(AND($L287&gt;='Input Sheet'!$J$2,$A287&lt;&gt;""),0)),$J287,""))</f>
        <v/>
      </c>
      <c r="P287" s="3" t="str">
        <f>IF(OR($A287="",$A287="Grand Total"),"",IF(IFERROR(ROUND($J287/$K287,2),1000)&gt;='Input Sheet'!$J$2,1,""))</f>
        <v/>
      </c>
      <c r="Q287" s="3" t="str">
        <f t="shared" si="20"/>
        <v/>
      </c>
      <c r="R287" s="3" t="str">
        <f>IF(OR($A287="",$A287="Grand Total"),"",AND($J287=0,(SUMPRODUCT((Table1[County]=SummaryPage!$A287)*(Table1[Status]="Not Started"))+SUMPRODUCT((Table1[County]=SummaryPage!$A287)*(Table1[Status]="")))=SUMPRODUCT((Table1[County]=SummaryPage!$A287)*(Table1[Status]&lt;&gt;"Q"))))</f>
        <v/>
      </c>
    </row>
    <row r="288" spans="1:18" x14ac:dyDescent="0.3">
      <c r="A288"/>
      <c r="B288"/>
      <c r="C288"/>
      <c r="D288"/>
      <c r="E288"/>
      <c r="F288"/>
      <c r="G288"/>
      <c r="H288"/>
      <c r="I288"/>
      <c r="J288"/>
      <c r="K288" s="29" t="str">
        <f>IF($A288="","",VLOOKUP('Input Sheet'!$D$2 &amp; " " &amp; $A288,Pop[#All],4,FALSE))</f>
        <v/>
      </c>
      <c r="L288" s="5" t="str">
        <f t="shared" si="19"/>
        <v/>
      </c>
      <c r="M288" s="7" t="str">
        <f t="shared" ca="1" si="18"/>
        <v/>
      </c>
      <c r="N288" s="17" t="str">
        <f>IF(OR($A288="",$A288="Grand Total"),IF($A288="Grand Total",SUM($N$15:$N287),""),SUMPRODUCT((Table1[County]=SummaryPage!$A288)*(Table1[Status]&lt;&gt;"Complete")))</f>
        <v/>
      </c>
      <c r="O288" s="6" t="str">
        <f ca="1">IF($A288="Grand Total",SUM(INDIRECT(ADDRESS(1,COLUMN())&amp;":"&amp;ADDRESS(ROW()-1,COLUMN()))),IF(OR($A288="State Agencies",IFERROR(AND($L288&gt;='Input Sheet'!$J$2,$A288&lt;&gt;""),0)),$J288,""))</f>
        <v/>
      </c>
      <c r="P288" s="3" t="str">
        <f>IF(OR($A288="",$A288="Grand Total"),"",IF(IFERROR(ROUND($J288/$K288,2),1000)&gt;='Input Sheet'!$J$2,1,""))</f>
        <v/>
      </c>
      <c r="Q288" s="3" t="str">
        <f t="shared" si="20"/>
        <v/>
      </c>
      <c r="R288" s="3" t="str">
        <f>IF(OR($A288="",$A288="Grand Total"),"",AND($J288=0,(SUMPRODUCT((Table1[County]=SummaryPage!$A288)*(Table1[Status]="Not Started"))+SUMPRODUCT((Table1[County]=SummaryPage!$A288)*(Table1[Status]="")))=SUMPRODUCT((Table1[County]=SummaryPage!$A288)*(Table1[Status]&lt;&gt;"Q"))))</f>
        <v/>
      </c>
    </row>
    <row r="289" spans="1:18" x14ac:dyDescent="0.3">
      <c r="A289"/>
      <c r="B289"/>
      <c r="C289"/>
      <c r="D289"/>
      <c r="E289"/>
      <c r="F289"/>
      <c r="G289"/>
      <c r="H289"/>
      <c r="I289"/>
      <c r="J289"/>
      <c r="K289" s="29" t="str">
        <f>IF($A289="","",VLOOKUP('Input Sheet'!$D$2 &amp; " " &amp; $A289,Pop[#All],4,FALSE))</f>
        <v/>
      </c>
      <c r="L289" s="5" t="str">
        <f t="shared" si="19"/>
        <v/>
      </c>
      <c r="M289" s="7" t="str">
        <f t="shared" ca="1" si="18"/>
        <v/>
      </c>
      <c r="N289" s="17" t="str">
        <f>IF(OR($A289="",$A289="Grand Total"),IF($A289="Grand Total",SUM($N$15:$N288),""),SUMPRODUCT((Table1[County]=SummaryPage!$A289)*(Table1[Status]&lt;&gt;"Complete")))</f>
        <v/>
      </c>
      <c r="O289" s="6" t="str">
        <f ca="1">IF($A289="Grand Total",SUM(INDIRECT(ADDRESS(1,COLUMN())&amp;":"&amp;ADDRESS(ROW()-1,COLUMN()))),IF(OR($A289="State Agencies",IFERROR(AND($L289&gt;='Input Sheet'!$J$2,$A289&lt;&gt;""),0)),$J289,""))</f>
        <v/>
      </c>
      <c r="P289" s="3" t="str">
        <f>IF(OR($A289="",$A289="Grand Total"),"",IF(IFERROR(ROUND($J289/$K289,2),1000)&gt;='Input Sheet'!$J$2,1,""))</f>
        <v/>
      </c>
      <c r="Q289" s="3" t="str">
        <f t="shared" si="20"/>
        <v/>
      </c>
      <c r="R289" s="3" t="str">
        <f>IF(OR($A289="",$A289="Grand Total"),"",AND($J289=0,(SUMPRODUCT((Table1[County]=SummaryPage!$A289)*(Table1[Status]="Not Started"))+SUMPRODUCT((Table1[County]=SummaryPage!$A289)*(Table1[Status]="")))=SUMPRODUCT((Table1[County]=SummaryPage!$A289)*(Table1[Status]&lt;&gt;"Q"))))</f>
        <v/>
      </c>
    </row>
    <row r="290" spans="1:18" x14ac:dyDescent="0.3">
      <c r="A290"/>
      <c r="B290"/>
      <c r="C290"/>
      <c r="D290"/>
      <c r="E290"/>
      <c r="F290"/>
      <c r="G290"/>
      <c r="H290"/>
      <c r="I290"/>
      <c r="J290"/>
      <c r="K290" s="29" t="str">
        <f>IF($A290="","",VLOOKUP('Input Sheet'!$D$2 &amp; " " &amp; $A290,Pop[#All],4,FALSE))</f>
        <v/>
      </c>
      <c r="L290" s="5" t="str">
        <f t="shared" si="19"/>
        <v/>
      </c>
      <c r="M290" s="7" t="str">
        <f t="shared" ca="1" si="18"/>
        <v/>
      </c>
      <c r="N290" s="17" t="str">
        <f>IF(OR($A290="",$A290="Grand Total"),IF($A290="Grand Total",SUM($N$15:$N289),""),SUMPRODUCT((Table1[County]=SummaryPage!$A290)*(Table1[Status]&lt;&gt;"Complete")))</f>
        <v/>
      </c>
      <c r="O290" s="6" t="str">
        <f ca="1">IF($A290="Grand Total",SUM(INDIRECT(ADDRESS(1,COLUMN())&amp;":"&amp;ADDRESS(ROW()-1,COLUMN()))),IF(OR($A290="State Agencies",IFERROR(AND($L290&gt;='Input Sheet'!$J$2,$A290&lt;&gt;""),0)),$J290,""))</f>
        <v/>
      </c>
      <c r="P290" s="3" t="str">
        <f>IF(OR($A290="",$A290="Grand Total"),"",IF(IFERROR(ROUND($J290/$K290,2),1000)&gt;='Input Sheet'!$J$2,1,""))</f>
        <v/>
      </c>
      <c r="Q290" s="3" t="str">
        <f t="shared" si="20"/>
        <v/>
      </c>
      <c r="R290" s="3" t="str">
        <f>IF(OR($A290="",$A290="Grand Total"),"",AND($J290=0,(SUMPRODUCT((Table1[County]=SummaryPage!$A290)*(Table1[Status]="Not Started"))+SUMPRODUCT((Table1[County]=SummaryPage!$A290)*(Table1[Status]="")))=SUMPRODUCT((Table1[County]=SummaryPage!$A290)*(Table1[Status]&lt;&gt;"Q"))))</f>
        <v/>
      </c>
    </row>
    <row r="291" spans="1:18" x14ac:dyDescent="0.3">
      <c r="A291"/>
      <c r="B291"/>
      <c r="C291"/>
      <c r="D291"/>
      <c r="E291"/>
      <c r="F291"/>
      <c r="G291"/>
      <c r="H291"/>
      <c r="I291"/>
      <c r="J291"/>
      <c r="K291" s="29" t="str">
        <f>IF($A291="","",VLOOKUP('Input Sheet'!$D$2 &amp; " " &amp; $A291,Pop[#All],4,FALSE))</f>
        <v/>
      </c>
      <c r="L291" s="5" t="str">
        <f t="shared" si="19"/>
        <v/>
      </c>
      <c r="M291" s="7" t="str">
        <f t="shared" ca="1" si="18"/>
        <v/>
      </c>
      <c r="N291" s="17" t="str">
        <f>IF(OR($A291="",$A291="Grand Total"),IF($A291="Grand Total",SUM($N$15:$N290),""),SUMPRODUCT((Table1[County]=SummaryPage!$A291)*(Table1[Status]&lt;&gt;"Complete")))</f>
        <v/>
      </c>
      <c r="O291" s="6" t="str">
        <f ca="1">IF($A291="Grand Total",SUM(INDIRECT(ADDRESS(1,COLUMN())&amp;":"&amp;ADDRESS(ROW()-1,COLUMN()))),IF(OR($A291="State Agencies",IFERROR(AND($L291&gt;='Input Sheet'!$J$2,$A291&lt;&gt;""),0)),$J291,""))</f>
        <v/>
      </c>
      <c r="P291" s="3" t="str">
        <f>IF(OR($A291="",$A291="Grand Total"),"",IF(IFERROR(ROUND($J291/$K291,2),1000)&gt;='Input Sheet'!$J$2,1,""))</f>
        <v/>
      </c>
      <c r="Q291" s="3" t="str">
        <f t="shared" si="20"/>
        <v/>
      </c>
      <c r="R291" s="3" t="str">
        <f>IF(OR($A291="",$A291="Grand Total"),"",AND($J291=0,(SUMPRODUCT((Table1[County]=SummaryPage!$A291)*(Table1[Status]="Not Started"))+SUMPRODUCT((Table1[County]=SummaryPage!$A291)*(Table1[Status]="")))=SUMPRODUCT((Table1[County]=SummaryPage!$A291)*(Table1[Status]&lt;&gt;"Q"))))</f>
        <v/>
      </c>
    </row>
    <row r="292" spans="1:18" x14ac:dyDescent="0.3">
      <c r="A292"/>
      <c r="B292"/>
      <c r="C292"/>
      <c r="D292"/>
      <c r="E292"/>
      <c r="F292"/>
      <c r="G292"/>
      <c r="H292"/>
      <c r="I292"/>
      <c r="J292"/>
      <c r="K292" s="29" t="str">
        <f>IF($A292="","",VLOOKUP('Input Sheet'!$D$2 &amp; " " &amp; $A292,Pop[#All],4,FALSE))</f>
        <v/>
      </c>
      <c r="L292" s="5" t="str">
        <f t="shared" si="19"/>
        <v/>
      </c>
      <c r="M292" s="7" t="str">
        <f t="shared" ca="1" si="18"/>
        <v/>
      </c>
      <c r="N292" s="17" t="str">
        <f>IF(OR($A292="",$A292="Grand Total"),IF($A292="Grand Total",SUM($N$15:$N291),""),SUMPRODUCT((Table1[County]=SummaryPage!$A292)*(Table1[Status]&lt;&gt;"Complete")))</f>
        <v/>
      </c>
      <c r="O292" s="6" t="str">
        <f ca="1">IF($A292="Grand Total",SUM(INDIRECT(ADDRESS(1,COLUMN())&amp;":"&amp;ADDRESS(ROW()-1,COLUMN()))),IF(OR($A292="State Agencies",IFERROR(AND($L292&gt;='Input Sheet'!$J$2,$A292&lt;&gt;""),0)),$J292,""))</f>
        <v/>
      </c>
      <c r="P292" s="3" t="str">
        <f>IF(OR($A292="",$A292="Grand Total"),"",IF(IFERROR(ROUND($J292/$K292,2),1000)&gt;='Input Sheet'!$J$2,1,""))</f>
        <v/>
      </c>
      <c r="Q292" s="3" t="str">
        <f t="shared" si="20"/>
        <v/>
      </c>
      <c r="R292" s="3" t="str">
        <f>IF(OR($A292="",$A292="Grand Total"),"",AND($J292=0,(SUMPRODUCT((Table1[County]=SummaryPage!$A292)*(Table1[Status]="Not Started"))+SUMPRODUCT((Table1[County]=SummaryPage!$A292)*(Table1[Status]="")))=SUMPRODUCT((Table1[County]=SummaryPage!$A292)*(Table1[Status]&lt;&gt;"Q"))))</f>
        <v/>
      </c>
    </row>
    <row r="293" spans="1:18" x14ac:dyDescent="0.3">
      <c r="A293"/>
      <c r="B293"/>
      <c r="C293"/>
      <c r="D293"/>
      <c r="E293"/>
      <c r="F293"/>
      <c r="G293"/>
      <c r="H293"/>
      <c r="I293"/>
      <c r="J293"/>
      <c r="K293" s="29" t="str">
        <f>IF($A293="","",VLOOKUP('Input Sheet'!$D$2 &amp; " " &amp; $A293,Pop[#All],4,FALSE))</f>
        <v/>
      </c>
      <c r="L293" s="5" t="str">
        <f t="shared" si="19"/>
        <v/>
      </c>
      <c r="M293" s="7" t="str">
        <f t="shared" ca="1" si="18"/>
        <v/>
      </c>
      <c r="N293" s="17" t="str">
        <f>IF(OR($A293="",$A293="Grand Total"),IF($A293="Grand Total",SUM($N$15:$N292),""),SUMPRODUCT((Table1[County]=SummaryPage!$A293)*(Table1[Status]&lt;&gt;"Complete")))</f>
        <v/>
      </c>
      <c r="O293" s="6" t="str">
        <f ca="1">IF($A293="Grand Total",SUM(INDIRECT(ADDRESS(1,COLUMN())&amp;":"&amp;ADDRESS(ROW()-1,COLUMN()))),IF(OR($A293="State Agencies",IFERROR(AND($L293&gt;='Input Sheet'!$J$2,$A293&lt;&gt;""),0)),$J293,""))</f>
        <v/>
      </c>
      <c r="P293" s="3" t="str">
        <f>IF(OR($A293="",$A293="Grand Total"),"",IF(IFERROR(ROUND($J293/$K293,2),1000)&gt;='Input Sheet'!$J$2,1,""))</f>
        <v/>
      </c>
      <c r="Q293" s="3" t="str">
        <f t="shared" si="20"/>
        <v/>
      </c>
      <c r="R293" s="3" t="str">
        <f>IF(OR($A293="",$A293="Grand Total"),"",AND($J293=0,(SUMPRODUCT((Table1[County]=SummaryPage!$A293)*(Table1[Status]="Not Started"))+SUMPRODUCT((Table1[County]=SummaryPage!$A293)*(Table1[Status]="")))=SUMPRODUCT((Table1[County]=SummaryPage!$A293)*(Table1[Status]&lt;&gt;"Q"))))</f>
        <v/>
      </c>
    </row>
    <row r="294" spans="1:18" x14ac:dyDescent="0.3">
      <c r="A294"/>
      <c r="B294"/>
      <c r="C294"/>
      <c r="D294"/>
      <c r="E294"/>
      <c r="F294"/>
      <c r="G294"/>
      <c r="H294"/>
      <c r="I294"/>
      <c r="J294"/>
      <c r="K294" s="29" t="str">
        <f>IF($A294="","",VLOOKUP('Input Sheet'!$D$2 &amp; " " &amp; $A294,Pop[#All],4,FALSE))</f>
        <v/>
      </c>
      <c r="L294" s="5" t="str">
        <f t="shared" si="19"/>
        <v/>
      </c>
      <c r="M294" s="7" t="str">
        <f t="shared" ca="1" si="18"/>
        <v/>
      </c>
      <c r="N294" s="17" t="str">
        <f>IF(OR($A294="",$A294="Grand Total"),IF($A294="Grand Total",SUM($N$15:$N293),""),SUMPRODUCT((Table1[County]=SummaryPage!$A294)*(Table1[Status]&lt;&gt;"Complete")))</f>
        <v/>
      </c>
      <c r="O294" s="6" t="str">
        <f ca="1">IF($A294="Grand Total",SUM(INDIRECT(ADDRESS(1,COLUMN())&amp;":"&amp;ADDRESS(ROW()-1,COLUMN()))),IF(OR($A294="State Agencies",IFERROR(AND($L294&gt;='Input Sheet'!$J$2,$A294&lt;&gt;""),0)),$J294,""))</f>
        <v/>
      </c>
      <c r="P294" s="3" t="str">
        <f>IF(OR($A294="",$A294="Grand Total"),"",IF(IFERROR(ROUND($J294/$K294,2),1000)&gt;='Input Sheet'!$J$2,1,""))</f>
        <v/>
      </c>
      <c r="Q294" s="3" t="str">
        <f t="shared" si="20"/>
        <v/>
      </c>
      <c r="R294" s="3" t="str">
        <f>IF(OR($A294="",$A294="Grand Total"),"",AND($J294=0,(SUMPRODUCT((Table1[County]=SummaryPage!$A294)*(Table1[Status]="Not Started"))+SUMPRODUCT((Table1[County]=SummaryPage!$A294)*(Table1[Status]="")))=SUMPRODUCT((Table1[County]=SummaryPage!$A294)*(Table1[Status]&lt;&gt;"Q"))))</f>
        <v/>
      </c>
    </row>
    <row r="295" spans="1:18" x14ac:dyDescent="0.3">
      <c r="A295"/>
      <c r="B295"/>
      <c r="C295"/>
      <c r="D295"/>
      <c r="E295"/>
      <c r="F295"/>
      <c r="G295"/>
      <c r="H295"/>
      <c r="I295"/>
      <c r="J295"/>
      <c r="K295" s="29" t="str">
        <f>IF($A295="","",VLOOKUP('Input Sheet'!$D$2 &amp; " " &amp; $A295,Pop[#All],4,FALSE))</f>
        <v/>
      </c>
      <c r="L295" s="5" t="str">
        <f t="shared" si="19"/>
        <v/>
      </c>
      <c r="M295" s="7" t="str">
        <f t="shared" ca="1" si="18"/>
        <v/>
      </c>
      <c r="N295" s="17" t="str">
        <f>IF(OR($A295="",$A295="Grand Total"),IF($A295="Grand Total",SUM($N$15:$N294),""),SUMPRODUCT((Table1[County]=SummaryPage!$A295)*(Table1[Status]&lt;&gt;"Complete")))</f>
        <v/>
      </c>
      <c r="O295" s="6" t="str">
        <f ca="1">IF($A295="Grand Total",SUM(INDIRECT(ADDRESS(1,COLUMN())&amp;":"&amp;ADDRESS(ROW()-1,COLUMN()))),IF(OR($A295="State Agencies",IFERROR(AND($L295&gt;='Input Sheet'!$J$2,$A295&lt;&gt;""),0)),$J295,""))</f>
        <v/>
      </c>
      <c r="P295" s="3" t="str">
        <f>IF(OR($A295="",$A295="Grand Total"),"",IF(IFERROR(ROUND($J295/$K295,2),1000)&gt;='Input Sheet'!$J$2,1,""))</f>
        <v/>
      </c>
      <c r="Q295" s="3" t="str">
        <f t="shared" si="20"/>
        <v/>
      </c>
      <c r="R295" s="3" t="str">
        <f>IF(OR($A295="",$A295="Grand Total"),"",AND($J295=0,(SUMPRODUCT((Table1[County]=SummaryPage!$A295)*(Table1[Status]="Not Started"))+SUMPRODUCT((Table1[County]=SummaryPage!$A295)*(Table1[Status]="")))=SUMPRODUCT((Table1[County]=SummaryPage!$A295)*(Table1[Status]&lt;&gt;"Q"))))</f>
        <v/>
      </c>
    </row>
    <row r="296" spans="1:18" x14ac:dyDescent="0.3">
      <c r="A296"/>
      <c r="B296"/>
      <c r="C296"/>
      <c r="D296"/>
      <c r="E296"/>
      <c r="F296"/>
      <c r="G296"/>
      <c r="H296"/>
      <c r="I296"/>
      <c r="J296"/>
      <c r="K296" s="29" t="str">
        <f>IF($A296="","",VLOOKUP('Input Sheet'!$D$2 &amp; " " &amp; $A296,Pop[#All],4,FALSE))</f>
        <v/>
      </c>
      <c r="L296" s="5" t="str">
        <f t="shared" si="19"/>
        <v/>
      </c>
      <c r="M296" s="7" t="str">
        <f t="shared" ca="1" si="18"/>
        <v/>
      </c>
      <c r="N296" s="17" t="str">
        <f>IF(OR($A296="",$A296="Grand Total"),IF($A296="Grand Total",SUM($N$15:$N295),""),SUMPRODUCT((Table1[County]=SummaryPage!$A296)*(Table1[Status]&lt;&gt;"Complete")))</f>
        <v/>
      </c>
      <c r="O296" s="6" t="str">
        <f ca="1">IF($A296="Grand Total",SUM(INDIRECT(ADDRESS(1,COLUMN())&amp;":"&amp;ADDRESS(ROW()-1,COLUMN()))),IF(OR($A296="State Agencies",IFERROR(AND($L296&gt;='Input Sheet'!$J$2,$A296&lt;&gt;""),0)),$J296,""))</f>
        <v/>
      </c>
      <c r="P296" s="3" t="str">
        <f>IF(OR($A296="",$A296="Grand Total"),"",IF(IFERROR(ROUND($J296/$K296,2),1000)&gt;='Input Sheet'!$J$2,1,""))</f>
        <v/>
      </c>
      <c r="Q296" s="3" t="str">
        <f t="shared" si="20"/>
        <v/>
      </c>
      <c r="R296" s="3" t="str">
        <f>IF(OR($A296="",$A296="Grand Total"),"",AND($J296=0,(SUMPRODUCT((Table1[County]=SummaryPage!$A296)*(Table1[Status]="Not Started"))+SUMPRODUCT((Table1[County]=SummaryPage!$A296)*(Table1[Status]="")))=SUMPRODUCT((Table1[County]=SummaryPage!$A296)*(Table1[Status]&lt;&gt;"Q"))))</f>
        <v/>
      </c>
    </row>
    <row r="297" spans="1:18" x14ac:dyDescent="0.3">
      <c r="A297"/>
      <c r="B297"/>
      <c r="C297"/>
      <c r="D297"/>
      <c r="E297"/>
      <c r="F297"/>
      <c r="G297"/>
      <c r="H297"/>
      <c r="I297"/>
      <c r="J297"/>
      <c r="K297" s="29" t="str">
        <f>IF($A297="","",VLOOKUP('Input Sheet'!$D$2 &amp; " " &amp; $A297,Pop[#All],4,FALSE))</f>
        <v/>
      </c>
      <c r="L297" s="5" t="str">
        <f t="shared" si="19"/>
        <v/>
      </c>
      <c r="M297" s="7" t="str">
        <f t="shared" ca="1" si="18"/>
        <v/>
      </c>
      <c r="N297" s="17" t="str">
        <f>IF(OR($A297="",$A297="Grand Total"),IF($A297="Grand Total",SUM($N$15:$N296),""),SUMPRODUCT((Table1[County]=SummaryPage!$A297)*(Table1[Status]&lt;&gt;"Complete")))</f>
        <v/>
      </c>
      <c r="O297" s="6" t="str">
        <f ca="1">IF($A297="Grand Total",SUM(INDIRECT(ADDRESS(1,COLUMN())&amp;":"&amp;ADDRESS(ROW()-1,COLUMN()))),IF(OR($A297="State Agencies",IFERROR(AND($L297&gt;='Input Sheet'!$J$2,$A297&lt;&gt;""),0)),$J297,""))</f>
        <v/>
      </c>
      <c r="P297" s="3" t="str">
        <f>IF(OR($A297="",$A297="Grand Total"),"",IF(IFERROR(ROUND($J297/$K297,2),1000)&gt;='Input Sheet'!$J$2,1,""))</f>
        <v/>
      </c>
      <c r="Q297" s="3" t="str">
        <f t="shared" si="20"/>
        <v/>
      </c>
      <c r="R297" s="3" t="str">
        <f>IF(OR($A297="",$A297="Grand Total"),"",AND($J297=0,(SUMPRODUCT((Table1[County]=SummaryPage!$A297)*(Table1[Status]="Not Started"))+SUMPRODUCT((Table1[County]=SummaryPage!$A297)*(Table1[Status]="")))=SUMPRODUCT((Table1[County]=SummaryPage!$A297)*(Table1[Status]&lt;&gt;"Q"))))</f>
        <v/>
      </c>
    </row>
    <row r="298" spans="1:18" x14ac:dyDescent="0.3">
      <c r="A298"/>
      <c r="B298"/>
      <c r="C298"/>
      <c r="D298"/>
      <c r="E298"/>
      <c r="F298"/>
      <c r="G298"/>
      <c r="H298"/>
      <c r="I298"/>
      <c r="J298"/>
      <c r="K298" s="29" t="str">
        <f>IF($A298="","",VLOOKUP('Input Sheet'!$D$2 &amp; " " &amp; $A298,Pop[#All],4,FALSE))</f>
        <v/>
      </c>
      <c r="L298" s="5" t="str">
        <f t="shared" si="19"/>
        <v/>
      </c>
      <c r="M298" s="7" t="str">
        <f t="shared" ca="1" si="18"/>
        <v/>
      </c>
      <c r="N298" s="17" t="str">
        <f>IF(OR($A298="",$A298="Grand Total"),IF($A298="Grand Total",SUM($N$15:$N297),""),SUMPRODUCT((Table1[County]=SummaryPage!$A298)*(Table1[Status]&lt;&gt;"Complete")))</f>
        <v/>
      </c>
      <c r="O298" s="6" t="str">
        <f ca="1">IF($A298="Grand Total",SUM(INDIRECT(ADDRESS(1,COLUMN())&amp;":"&amp;ADDRESS(ROW()-1,COLUMN()))),IF(OR($A298="State Agencies",IFERROR(AND($L298&gt;='Input Sheet'!$J$2,$A298&lt;&gt;""),0)),$J298,""))</f>
        <v/>
      </c>
      <c r="P298" s="3" t="str">
        <f>IF(OR($A298="",$A298="Grand Total"),"",IF(IFERROR(ROUND($J298/$K298,2),1000)&gt;='Input Sheet'!$J$2,1,""))</f>
        <v/>
      </c>
      <c r="Q298" s="3" t="str">
        <f t="shared" si="20"/>
        <v/>
      </c>
      <c r="R298" s="3" t="str">
        <f>IF(OR($A298="",$A298="Grand Total"),"",AND($J298=0,(SUMPRODUCT((Table1[County]=SummaryPage!$A298)*(Table1[Status]="Not Started"))+SUMPRODUCT((Table1[County]=SummaryPage!$A298)*(Table1[Status]="")))=SUMPRODUCT((Table1[County]=SummaryPage!$A298)*(Table1[Status]&lt;&gt;"Q"))))</f>
        <v/>
      </c>
    </row>
    <row r="299" spans="1:18" x14ac:dyDescent="0.3">
      <c r="A299"/>
      <c r="B299"/>
      <c r="C299"/>
      <c r="D299"/>
      <c r="E299"/>
      <c r="F299"/>
      <c r="G299"/>
      <c r="H299"/>
      <c r="I299"/>
      <c r="J299"/>
      <c r="K299" s="29" t="str">
        <f>IF($A299="","",VLOOKUP('Input Sheet'!$D$2 &amp; " " &amp; $A299,Pop[#All],4,FALSE))</f>
        <v/>
      </c>
      <c r="L299" s="5" t="str">
        <f t="shared" si="19"/>
        <v/>
      </c>
      <c r="M299" s="7" t="str">
        <f t="shared" ca="1" si="18"/>
        <v/>
      </c>
      <c r="N299" s="17" t="str">
        <f>IF(OR($A299="",$A299="Grand Total"),IF($A299="Grand Total",SUM($N$15:$N298),""),SUMPRODUCT((Table1[County]=SummaryPage!$A299)*(Table1[Status]&lt;&gt;"Complete")))</f>
        <v/>
      </c>
      <c r="O299" s="6" t="str">
        <f ca="1">IF($A299="Grand Total",SUM(INDIRECT(ADDRESS(1,COLUMN())&amp;":"&amp;ADDRESS(ROW()-1,COLUMN()))),IF(OR($A299="State Agencies",IFERROR(AND($L299&gt;='Input Sheet'!$J$2,$A299&lt;&gt;""),0)),$J299,""))</f>
        <v/>
      </c>
      <c r="P299" s="3" t="str">
        <f>IF(OR($A299="",$A299="Grand Total"),"",IF(IFERROR(ROUND($J299/$K299,2),1000)&gt;='Input Sheet'!$J$2,1,""))</f>
        <v/>
      </c>
      <c r="Q299" s="3" t="str">
        <f t="shared" si="20"/>
        <v/>
      </c>
      <c r="R299" s="3" t="str">
        <f>IF(OR($A299="",$A299="Grand Total"),"",AND($J299=0,(SUMPRODUCT((Table1[County]=SummaryPage!$A299)*(Table1[Status]="Not Started"))+SUMPRODUCT((Table1[County]=SummaryPage!$A299)*(Table1[Status]="")))=SUMPRODUCT((Table1[County]=SummaryPage!$A299)*(Table1[Status]&lt;&gt;"Q"))))</f>
        <v/>
      </c>
    </row>
    <row r="300" spans="1:18" x14ac:dyDescent="0.3">
      <c r="A300"/>
      <c r="B300"/>
      <c r="C300"/>
      <c r="D300"/>
      <c r="E300"/>
      <c r="F300"/>
      <c r="G300"/>
      <c r="H300"/>
      <c r="I300"/>
      <c r="J300"/>
      <c r="K300" s="29" t="str">
        <f>IF($A300="","",VLOOKUP('Input Sheet'!$D$2 &amp; " " &amp; $A300,Pop[#All],4,FALSE))</f>
        <v/>
      </c>
      <c r="L300" s="5" t="str">
        <f t="shared" si="19"/>
        <v/>
      </c>
      <c r="M300" s="7" t="str">
        <f t="shared" ca="1" si="18"/>
        <v/>
      </c>
      <c r="N300" s="17" t="str">
        <f>IF(OR($A300="",$A300="Grand Total"),IF($A300="Grand Total",SUM($N$15:$N299),""),SUMPRODUCT((Table1[County]=SummaryPage!$A300)*(Table1[Status]&lt;&gt;"Complete")))</f>
        <v/>
      </c>
      <c r="O300" s="6" t="str">
        <f ca="1">IF($A300="Grand Total",SUM(INDIRECT(ADDRESS(1,COLUMN())&amp;":"&amp;ADDRESS(ROW()-1,COLUMN()))),IF(OR($A300="State Agencies",IFERROR(AND($L300&gt;='Input Sheet'!$J$2,$A300&lt;&gt;""),0)),$J300,""))</f>
        <v/>
      </c>
      <c r="P300" s="3" t="str">
        <f>IF(OR($A300="",$A300="Grand Total"),"",IF(IFERROR(ROUND($J300/$K300,2),1000)&gt;='Input Sheet'!$J$2,1,""))</f>
        <v/>
      </c>
      <c r="Q300" s="3" t="str">
        <f t="shared" si="20"/>
        <v/>
      </c>
      <c r="R300" s="3" t="str">
        <f>IF(OR($A300="",$A300="Grand Total"),"",AND($J300=0,(SUMPRODUCT((Table1[County]=SummaryPage!$A300)*(Table1[Status]="Not Started"))+SUMPRODUCT((Table1[County]=SummaryPage!$A300)*(Table1[Status]="")))=SUMPRODUCT((Table1[County]=SummaryPage!$A300)*(Table1[Status]&lt;&gt;"Q"))))</f>
        <v/>
      </c>
    </row>
    <row r="301" spans="1:18" x14ac:dyDescent="0.3">
      <c r="A301"/>
      <c r="B301"/>
      <c r="C301"/>
      <c r="D301"/>
      <c r="E301"/>
      <c r="F301"/>
      <c r="G301"/>
      <c r="H301"/>
      <c r="I301"/>
      <c r="J301"/>
      <c r="K301" s="29" t="str">
        <f>IF($A301="","",VLOOKUP('Input Sheet'!$D$2 &amp; " " &amp; $A301,Pop[#All],4,FALSE))</f>
        <v/>
      </c>
      <c r="L301" s="5" t="str">
        <f t="shared" si="19"/>
        <v/>
      </c>
      <c r="M301" s="7" t="str">
        <f t="shared" ca="1" si="18"/>
        <v/>
      </c>
      <c r="N301" s="17" t="str">
        <f>IF(OR($A301="",$A301="Grand Total"),IF($A301="Grand Total",SUM($N$15:$N300),""),SUMPRODUCT((Table1[County]=SummaryPage!$A301)*(Table1[Status]&lt;&gt;"Complete")))</f>
        <v/>
      </c>
      <c r="O301" s="6" t="str">
        <f ca="1">IF($A301="Grand Total",SUM(INDIRECT(ADDRESS(1,COLUMN())&amp;":"&amp;ADDRESS(ROW()-1,COLUMN()))),IF(OR($A301="State Agencies",IFERROR(AND($L301&gt;='Input Sheet'!$J$2,$A301&lt;&gt;""),0)),$J301,""))</f>
        <v/>
      </c>
      <c r="P301" s="3" t="str">
        <f>IF(OR($A301="",$A301="Grand Total"),"",IF(IFERROR(ROUND($J301/$K301,2),1000)&gt;='Input Sheet'!$J$2,1,""))</f>
        <v/>
      </c>
      <c r="Q301" s="3" t="str">
        <f t="shared" si="20"/>
        <v/>
      </c>
      <c r="R301" s="3" t="str">
        <f>IF(OR($A301="",$A301="Grand Total"),"",AND($J301=0,(SUMPRODUCT((Table1[County]=SummaryPage!$A301)*(Table1[Status]="Not Started"))+SUMPRODUCT((Table1[County]=SummaryPage!$A301)*(Table1[Status]="")))=SUMPRODUCT((Table1[County]=SummaryPage!$A301)*(Table1[Status]&lt;&gt;"Q"))))</f>
        <v/>
      </c>
    </row>
    <row r="302" spans="1:18" x14ac:dyDescent="0.3">
      <c r="A302"/>
      <c r="B302"/>
      <c r="C302"/>
      <c r="D302"/>
      <c r="E302"/>
      <c r="F302"/>
      <c r="G302"/>
      <c r="H302"/>
      <c r="I302"/>
      <c r="J302"/>
      <c r="K302" s="29" t="str">
        <f>IF($A302="","",VLOOKUP('Input Sheet'!$D$2 &amp; " " &amp; $A302,Pop[#All],4,FALSE))</f>
        <v/>
      </c>
      <c r="L302" s="5" t="str">
        <f t="shared" si="19"/>
        <v/>
      </c>
      <c r="M302" s="7" t="str">
        <f t="shared" ca="1" si="18"/>
        <v/>
      </c>
      <c r="N302" s="17" t="str">
        <f>IF(OR($A302="",$A302="Grand Total"),IF($A302="Grand Total",SUM($N$15:$N301),""),SUMPRODUCT((Table1[County]=SummaryPage!$A302)*(Table1[Status]&lt;&gt;"Complete")))</f>
        <v/>
      </c>
      <c r="O302" s="6" t="str">
        <f ca="1">IF($A302="Grand Total",SUM(INDIRECT(ADDRESS(1,COLUMN())&amp;":"&amp;ADDRESS(ROW()-1,COLUMN()))),IF(OR($A302="State Agencies",IFERROR(AND($L302&gt;='Input Sheet'!$J$2,$A302&lt;&gt;""),0)),$J302,""))</f>
        <v/>
      </c>
      <c r="P302" s="3" t="str">
        <f>IF(OR($A302="",$A302="Grand Total"),"",IF(IFERROR(ROUND($J302/$K302,2),1000)&gt;='Input Sheet'!$J$2,1,""))</f>
        <v/>
      </c>
      <c r="Q302" s="3" t="str">
        <f t="shared" si="20"/>
        <v/>
      </c>
      <c r="R302" s="3" t="str">
        <f>IF(OR($A302="",$A302="Grand Total"),"",AND($J302=0,(SUMPRODUCT((Table1[County]=SummaryPage!$A302)*(Table1[Status]="Not Started"))+SUMPRODUCT((Table1[County]=SummaryPage!$A302)*(Table1[Status]="")))=SUMPRODUCT((Table1[County]=SummaryPage!$A302)*(Table1[Status]&lt;&gt;"Q"))))</f>
        <v/>
      </c>
    </row>
    <row r="303" spans="1:18" x14ac:dyDescent="0.3">
      <c r="A303"/>
      <c r="B303"/>
      <c r="C303"/>
      <c r="D303"/>
      <c r="E303"/>
      <c r="F303"/>
      <c r="G303"/>
      <c r="H303"/>
      <c r="I303"/>
      <c r="J303"/>
      <c r="K303" s="29" t="str">
        <f>IF($A303="","",VLOOKUP('Input Sheet'!$D$2 &amp; " " &amp; $A303,Pop[#All],4,FALSE))</f>
        <v/>
      </c>
      <c r="L303" s="5" t="str">
        <f t="shared" si="19"/>
        <v/>
      </c>
      <c r="M303" s="7" t="str">
        <f t="shared" ca="1" si="18"/>
        <v/>
      </c>
      <c r="N303" s="17" t="str">
        <f>IF(OR($A303="",$A303="Grand Total"),IF($A303="Grand Total",SUM($N$15:$N302),""),SUMPRODUCT((Table1[County]=SummaryPage!$A303)*(Table1[Status]&lt;&gt;"Complete")))</f>
        <v/>
      </c>
      <c r="O303" s="6" t="str">
        <f ca="1">IF($A303="Grand Total",SUM(INDIRECT(ADDRESS(1,COLUMN())&amp;":"&amp;ADDRESS(ROW()-1,COLUMN()))),IF(OR($A303="State Agencies",IFERROR(AND($L303&gt;='Input Sheet'!$J$2,$A303&lt;&gt;""),0)),$J303,""))</f>
        <v/>
      </c>
      <c r="P303" s="3" t="str">
        <f>IF(OR($A303="",$A303="Grand Total"),"",IF(IFERROR(ROUND($J303/$K303,2),1000)&gt;='Input Sheet'!$J$2,1,""))</f>
        <v/>
      </c>
      <c r="Q303" s="3" t="str">
        <f t="shared" si="20"/>
        <v/>
      </c>
      <c r="R303" s="3" t="str">
        <f>IF(OR($A303="",$A303="Grand Total"),"",AND($J303=0,(SUMPRODUCT((Table1[County]=SummaryPage!$A303)*(Table1[Status]="Not Started"))+SUMPRODUCT((Table1[County]=SummaryPage!$A303)*(Table1[Status]="")))=SUMPRODUCT((Table1[County]=SummaryPage!$A303)*(Table1[Status]&lt;&gt;"Q"))))</f>
        <v/>
      </c>
    </row>
    <row r="304" spans="1:18" x14ac:dyDescent="0.3">
      <c r="A304"/>
      <c r="B304"/>
      <c r="C304"/>
      <c r="D304"/>
      <c r="E304"/>
      <c r="F304"/>
      <c r="G304"/>
      <c r="H304"/>
      <c r="I304"/>
      <c r="J304"/>
      <c r="K304" s="29" t="str">
        <f>IF($A304="","",VLOOKUP('Input Sheet'!$D$2 &amp; " " &amp; $A304,Pop[#All],4,FALSE))</f>
        <v/>
      </c>
      <c r="L304" s="5" t="str">
        <f t="shared" si="19"/>
        <v/>
      </c>
      <c r="M304" s="7" t="str">
        <f t="shared" ca="1" si="18"/>
        <v/>
      </c>
      <c r="N304" s="17" t="str">
        <f>IF(OR($A304="",$A304="Grand Total"),IF($A304="Grand Total",SUM($N$15:$N303),""),SUMPRODUCT((Table1[County]=SummaryPage!$A304)*(Table1[Status]&lt;&gt;"Complete")))</f>
        <v/>
      </c>
      <c r="O304" s="6" t="str">
        <f ca="1">IF($A304="Grand Total",SUM(INDIRECT(ADDRESS(1,COLUMN())&amp;":"&amp;ADDRESS(ROW()-1,COLUMN()))),IF(OR($A304="State Agencies",IFERROR(AND($L304&gt;='Input Sheet'!$J$2,$A304&lt;&gt;""),0)),$J304,""))</f>
        <v/>
      </c>
      <c r="P304" s="3" t="str">
        <f>IF(OR($A304="",$A304="Grand Total"),"",IF(IFERROR(ROUND($J304/$K304,2),1000)&gt;='Input Sheet'!$J$2,1,""))</f>
        <v/>
      </c>
      <c r="Q304" s="3" t="str">
        <f t="shared" si="20"/>
        <v/>
      </c>
      <c r="R304" s="3" t="str">
        <f>IF(OR($A304="",$A304="Grand Total"),"",AND($J304=0,(SUMPRODUCT((Table1[County]=SummaryPage!$A304)*(Table1[Status]="Not Started"))+SUMPRODUCT((Table1[County]=SummaryPage!$A304)*(Table1[Status]="")))=SUMPRODUCT((Table1[County]=SummaryPage!$A304)*(Table1[Status]&lt;&gt;"Q"))))</f>
        <v/>
      </c>
    </row>
    <row r="305" spans="1:18" x14ac:dyDescent="0.3">
      <c r="A305"/>
      <c r="B305"/>
      <c r="C305"/>
      <c r="D305"/>
      <c r="E305"/>
      <c r="F305"/>
      <c r="G305"/>
      <c r="H305"/>
      <c r="I305"/>
      <c r="J305"/>
      <c r="K305" s="29" t="str">
        <f>IF($A305="","",VLOOKUP('Input Sheet'!$D$2 &amp; " " &amp; $A305,Pop[#All],4,FALSE))</f>
        <v/>
      </c>
      <c r="L305" s="5" t="str">
        <f t="shared" si="19"/>
        <v/>
      </c>
      <c r="M305" s="7" t="str">
        <f t="shared" ca="1" si="18"/>
        <v/>
      </c>
      <c r="N305" s="17" t="str">
        <f>IF(OR($A305="",$A305="Grand Total"),IF($A305="Grand Total",SUM($N$15:$N304),""),SUMPRODUCT((Table1[County]=SummaryPage!$A305)*(Table1[Status]&lt;&gt;"Complete")))</f>
        <v/>
      </c>
      <c r="O305" s="6" t="str">
        <f ca="1">IF($A305="Grand Total",SUM(INDIRECT(ADDRESS(1,COLUMN())&amp;":"&amp;ADDRESS(ROW()-1,COLUMN()))),IF(OR($A305="State Agencies",IFERROR(AND($L305&gt;='Input Sheet'!$J$2,$A305&lt;&gt;""),0)),$J305,""))</f>
        <v/>
      </c>
      <c r="P305" s="3" t="str">
        <f>IF(OR($A305="",$A305="Grand Total"),"",IF(IFERROR(ROUND($J305/$K305,2),1000)&gt;='Input Sheet'!$J$2,1,""))</f>
        <v/>
      </c>
      <c r="Q305" s="3" t="str">
        <f t="shared" si="20"/>
        <v/>
      </c>
      <c r="R305" s="3" t="str">
        <f>IF(OR($A305="",$A305="Grand Total"),"",AND($J305=0,(SUMPRODUCT((Table1[County]=SummaryPage!$A305)*(Table1[Status]="Not Started"))+SUMPRODUCT((Table1[County]=SummaryPage!$A305)*(Table1[Status]="")))=SUMPRODUCT((Table1[County]=SummaryPage!$A305)*(Table1[Status]&lt;&gt;"Q"))))</f>
        <v/>
      </c>
    </row>
    <row r="306" spans="1:18" x14ac:dyDescent="0.3">
      <c r="A306"/>
      <c r="B306"/>
      <c r="C306"/>
      <c r="D306"/>
      <c r="E306"/>
      <c r="F306"/>
      <c r="G306"/>
      <c r="H306"/>
      <c r="I306"/>
      <c r="J306"/>
      <c r="K306" s="29" t="str">
        <f>IF($A306="","",VLOOKUP('Input Sheet'!$D$2 &amp; " " &amp; $A306,Pop[#All],4,FALSE))</f>
        <v/>
      </c>
      <c r="L306" s="5" t="str">
        <f t="shared" si="19"/>
        <v/>
      </c>
      <c r="M306" s="7" t="str">
        <f t="shared" ca="1" si="18"/>
        <v/>
      </c>
      <c r="N306" s="17" t="str">
        <f>IF(OR($A306="",$A306="Grand Total"),IF($A306="Grand Total",SUM($N$15:$N305),""),SUMPRODUCT((Table1[County]=SummaryPage!$A306)*(Table1[Status]&lt;&gt;"Complete")))</f>
        <v/>
      </c>
      <c r="O306" s="6" t="str">
        <f ca="1">IF($A306="Grand Total",SUM(INDIRECT(ADDRESS(1,COLUMN())&amp;":"&amp;ADDRESS(ROW()-1,COLUMN()))),IF(OR($A306="State Agencies",IFERROR(AND($L306&gt;='Input Sheet'!$J$2,$A306&lt;&gt;""),0)),$J306,""))</f>
        <v/>
      </c>
      <c r="P306" s="3" t="str">
        <f>IF(OR($A306="",$A306="Grand Total"),"",IF(IFERROR(ROUND($J306/$K306,2),1000)&gt;='Input Sheet'!$J$2,1,""))</f>
        <v/>
      </c>
      <c r="Q306" s="3" t="str">
        <f t="shared" si="20"/>
        <v/>
      </c>
      <c r="R306" s="3" t="str">
        <f>IF(OR($A306="",$A306="Grand Total"),"",AND($J306=0,(SUMPRODUCT((Table1[County]=SummaryPage!$A306)*(Table1[Status]="Not Started"))+SUMPRODUCT((Table1[County]=SummaryPage!$A306)*(Table1[Status]="")))=SUMPRODUCT((Table1[County]=SummaryPage!$A306)*(Table1[Status]&lt;&gt;"Q"))))</f>
        <v/>
      </c>
    </row>
    <row r="307" spans="1:18" x14ac:dyDescent="0.3">
      <c r="A307"/>
      <c r="B307"/>
      <c r="C307"/>
      <c r="D307"/>
      <c r="E307"/>
      <c r="F307"/>
      <c r="G307"/>
      <c r="H307"/>
      <c r="I307"/>
      <c r="J307"/>
      <c r="K307" s="29" t="str">
        <f>IF($A307="","",VLOOKUP('Input Sheet'!$D$2 &amp; " " &amp; $A307,Pop[#All],4,FALSE))</f>
        <v/>
      </c>
      <c r="L307" s="5" t="str">
        <f t="shared" si="19"/>
        <v/>
      </c>
      <c r="M307" s="7" t="str">
        <f t="shared" ca="1" si="18"/>
        <v/>
      </c>
      <c r="N307" s="17" t="str">
        <f>IF(OR($A307="",$A307="Grand Total"),IF($A307="Grand Total",SUM($N$15:$N306),""),SUMPRODUCT((Table1[County]=SummaryPage!$A307)*(Table1[Status]&lt;&gt;"Complete")))</f>
        <v/>
      </c>
      <c r="O307" s="6" t="str">
        <f ca="1">IF($A307="Grand Total",SUM(INDIRECT(ADDRESS(1,COLUMN())&amp;":"&amp;ADDRESS(ROW()-1,COLUMN()))),IF(OR($A307="State Agencies",IFERROR(AND($L307&gt;='Input Sheet'!$J$2,$A307&lt;&gt;""),0)),$J307,""))</f>
        <v/>
      </c>
      <c r="P307" s="3" t="str">
        <f>IF(OR($A307="",$A307="Grand Total"),"",IF(IFERROR(ROUND($J307/$K307,2),1000)&gt;='Input Sheet'!$J$2,1,""))</f>
        <v/>
      </c>
      <c r="Q307" s="3" t="str">
        <f t="shared" si="20"/>
        <v/>
      </c>
      <c r="R307" s="3" t="str">
        <f>IF(OR($A307="",$A307="Grand Total"),"",AND($J307=0,(SUMPRODUCT((Table1[County]=SummaryPage!$A307)*(Table1[Status]="Not Started"))+SUMPRODUCT((Table1[County]=SummaryPage!$A307)*(Table1[Status]="")))=SUMPRODUCT((Table1[County]=SummaryPage!$A307)*(Table1[Status]&lt;&gt;"Q"))))</f>
        <v/>
      </c>
    </row>
    <row r="308" spans="1:18" x14ac:dyDescent="0.3">
      <c r="A308"/>
      <c r="B308"/>
      <c r="C308"/>
      <c r="D308"/>
      <c r="E308"/>
      <c r="F308"/>
      <c r="G308"/>
      <c r="H308"/>
      <c r="I308"/>
      <c r="J308"/>
      <c r="K308" s="29" t="str">
        <f>IF($A308="","",VLOOKUP('Input Sheet'!$D$2 &amp; " " &amp; $A308,Pop[#All],4,FALSE))</f>
        <v/>
      </c>
      <c r="L308" s="5" t="str">
        <f t="shared" si="19"/>
        <v/>
      </c>
      <c r="M308" s="7" t="str">
        <f t="shared" ca="1" si="18"/>
        <v/>
      </c>
      <c r="N308" s="17" t="str">
        <f>IF(OR($A308="",$A308="Grand Total"),IF($A308="Grand Total",SUM($N$15:$N307),""),SUMPRODUCT((Table1[County]=SummaryPage!$A308)*(Table1[Status]&lt;&gt;"Complete")))</f>
        <v/>
      </c>
      <c r="O308" s="6" t="str">
        <f ca="1">IF($A308="Grand Total",SUM(INDIRECT(ADDRESS(1,COLUMN())&amp;":"&amp;ADDRESS(ROW()-1,COLUMN()))),IF(OR($A308="State Agencies",IFERROR(AND($L308&gt;='Input Sheet'!$J$2,$A308&lt;&gt;""),0)),$J308,""))</f>
        <v/>
      </c>
      <c r="P308" s="3" t="str">
        <f>IF(OR($A308="",$A308="Grand Total"),"",IF(IFERROR(ROUND($J308/$K308,2),1000)&gt;='Input Sheet'!$J$2,1,""))</f>
        <v/>
      </c>
      <c r="Q308" s="3" t="str">
        <f t="shared" si="20"/>
        <v/>
      </c>
      <c r="R308" s="3" t="str">
        <f>IF(OR($A308="",$A308="Grand Total"),"",AND($J308=0,(SUMPRODUCT((Table1[County]=SummaryPage!$A308)*(Table1[Status]="Not Started"))+SUMPRODUCT((Table1[County]=SummaryPage!$A308)*(Table1[Status]="")))=SUMPRODUCT((Table1[County]=SummaryPage!$A308)*(Table1[Status]&lt;&gt;"Q"))))</f>
        <v/>
      </c>
    </row>
    <row r="309" spans="1:18" x14ac:dyDescent="0.3">
      <c r="A309"/>
      <c r="B309"/>
      <c r="C309"/>
      <c r="D309"/>
      <c r="E309"/>
      <c r="F309"/>
      <c r="G309"/>
      <c r="H309"/>
      <c r="I309"/>
      <c r="J309"/>
      <c r="K309" s="29" t="str">
        <f>IF($A309="","",VLOOKUP('Input Sheet'!$D$2 &amp; " " &amp; $A309,Pop[#All],4,FALSE))</f>
        <v/>
      </c>
      <c r="L309" s="5" t="str">
        <f t="shared" si="19"/>
        <v/>
      </c>
      <c r="M309" s="7" t="str">
        <f t="shared" ca="1" si="18"/>
        <v/>
      </c>
      <c r="N309" s="17" t="str">
        <f>IF(OR($A309="",$A309="Grand Total"),IF($A309="Grand Total",SUM($N$15:$N308),""),SUMPRODUCT((Table1[County]=SummaryPage!$A309)*(Table1[Status]&lt;&gt;"Complete")))</f>
        <v/>
      </c>
      <c r="O309" s="6" t="str">
        <f ca="1">IF($A309="Grand Total",SUM(INDIRECT(ADDRESS(1,COLUMN())&amp;":"&amp;ADDRESS(ROW()-1,COLUMN()))),IF(OR($A309="State Agencies",IFERROR(AND($L309&gt;='Input Sheet'!$J$2,$A309&lt;&gt;""),0)),$J309,""))</f>
        <v/>
      </c>
      <c r="P309" s="3" t="str">
        <f>IF(OR($A309="",$A309="Grand Total"),"",IF(IFERROR(ROUND($J309/$K309,2),1000)&gt;='Input Sheet'!$J$2,1,""))</f>
        <v/>
      </c>
      <c r="Q309" s="3" t="str">
        <f t="shared" si="20"/>
        <v/>
      </c>
      <c r="R309" s="3" t="str">
        <f>IF(OR($A309="",$A309="Grand Total"),"",AND($J309=0,(SUMPRODUCT((Table1[County]=SummaryPage!$A309)*(Table1[Status]="Not Started"))+SUMPRODUCT((Table1[County]=SummaryPage!$A309)*(Table1[Status]="")))=SUMPRODUCT((Table1[County]=SummaryPage!$A309)*(Table1[Status]&lt;&gt;"Q"))))</f>
        <v/>
      </c>
    </row>
    <row r="310" spans="1:18" x14ac:dyDescent="0.3">
      <c r="A310"/>
      <c r="B310"/>
      <c r="C310"/>
      <c r="D310"/>
      <c r="E310"/>
      <c r="F310"/>
      <c r="G310"/>
      <c r="H310"/>
      <c r="I310"/>
      <c r="J310"/>
      <c r="K310" s="29" t="str">
        <f>IF($A310="","",VLOOKUP('Input Sheet'!$D$2 &amp; " " &amp; $A310,Pop[#All],4,FALSE))</f>
        <v/>
      </c>
      <c r="L310" s="5" t="str">
        <f t="shared" si="19"/>
        <v/>
      </c>
      <c r="M310" s="7" t="str">
        <f t="shared" ca="1" si="18"/>
        <v/>
      </c>
      <c r="N310" s="17" t="str">
        <f>IF(OR($A310="",$A310="Grand Total"),IF($A310="Grand Total",SUM($N$15:$N309),""),SUMPRODUCT((Table1[County]=SummaryPage!$A310)*(Table1[Status]&lt;&gt;"Complete")))</f>
        <v/>
      </c>
      <c r="O310" s="6" t="str">
        <f ca="1">IF($A310="Grand Total",SUM(INDIRECT(ADDRESS(1,COLUMN())&amp;":"&amp;ADDRESS(ROW()-1,COLUMN()))),IF(OR($A310="State Agencies",IFERROR(AND($L310&gt;='Input Sheet'!$J$2,$A310&lt;&gt;""),0)),$J310,""))</f>
        <v/>
      </c>
      <c r="P310" s="3" t="str">
        <f>IF(OR($A310="",$A310="Grand Total"),"",IF(IFERROR(ROUND($J310/$K310,2),1000)&gt;='Input Sheet'!$J$2,1,""))</f>
        <v/>
      </c>
      <c r="Q310" s="3" t="str">
        <f t="shared" si="20"/>
        <v/>
      </c>
      <c r="R310" s="3" t="str">
        <f>IF(OR($A310="",$A310="Grand Total"),"",AND($J310=0,(SUMPRODUCT((Table1[County]=SummaryPage!$A310)*(Table1[Status]="Not Started"))+SUMPRODUCT((Table1[County]=SummaryPage!$A310)*(Table1[Status]="")))=SUMPRODUCT((Table1[County]=SummaryPage!$A310)*(Table1[Status]&lt;&gt;"Q"))))</f>
        <v/>
      </c>
    </row>
    <row r="311" spans="1:18" x14ac:dyDescent="0.3">
      <c r="A311"/>
      <c r="B311"/>
      <c r="C311"/>
      <c r="D311"/>
      <c r="E311"/>
      <c r="F311"/>
      <c r="G311"/>
      <c r="H311"/>
      <c r="I311"/>
      <c r="J311"/>
      <c r="K311" s="29" t="str">
        <f>IF($A311="","",VLOOKUP('Input Sheet'!$D$2 &amp; " " &amp; $A311,Pop[#All],4,FALSE))</f>
        <v/>
      </c>
      <c r="L311" s="5" t="str">
        <f t="shared" si="19"/>
        <v/>
      </c>
      <c r="M311" s="7" t="str">
        <f t="shared" ca="1" si="18"/>
        <v/>
      </c>
      <c r="N311" s="17" t="str">
        <f>IF(OR($A311="",$A311="Grand Total"),IF($A311="Grand Total",SUM($N$15:$N310),""),SUMPRODUCT((Table1[County]=SummaryPage!$A311)*(Table1[Status]&lt;&gt;"Complete")))</f>
        <v/>
      </c>
      <c r="O311" s="6" t="str">
        <f ca="1">IF($A311="Grand Total",SUM(INDIRECT(ADDRESS(1,COLUMN())&amp;":"&amp;ADDRESS(ROW()-1,COLUMN()))),IF(OR($A311="State Agencies",IFERROR(AND($L311&gt;='Input Sheet'!$J$2,$A311&lt;&gt;""),0)),$J311,""))</f>
        <v/>
      </c>
      <c r="P311" s="3" t="str">
        <f>IF(OR($A311="",$A311="Grand Total"),"",IF(IFERROR(ROUND($J311/$K311,2),1000)&gt;='Input Sheet'!$J$2,1,""))</f>
        <v/>
      </c>
      <c r="Q311" s="3" t="str">
        <f t="shared" si="20"/>
        <v/>
      </c>
      <c r="R311" s="3" t="str">
        <f>IF(OR($A311="",$A311="Grand Total"),"",AND($J311=0,(SUMPRODUCT((Table1[County]=SummaryPage!$A311)*(Table1[Status]="Not Started"))+SUMPRODUCT((Table1[County]=SummaryPage!$A311)*(Table1[Status]="")))=SUMPRODUCT((Table1[County]=SummaryPage!$A311)*(Table1[Status]&lt;&gt;"Q"))))</f>
        <v/>
      </c>
    </row>
    <row r="312" spans="1:18" x14ac:dyDescent="0.3">
      <c r="A312"/>
      <c r="B312"/>
      <c r="C312"/>
      <c r="D312"/>
      <c r="E312"/>
      <c r="F312"/>
      <c r="G312"/>
      <c r="H312"/>
      <c r="I312"/>
      <c r="J312"/>
      <c r="K312" s="29" t="str">
        <f>IF($A312="","",VLOOKUP('Input Sheet'!$D$2 &amp; " " &amp; $A312,Pop[#All],4,FALSE))</f>
        <v/>
      </c>
      <c r="L312" s="5" t="str">
        <f t="shared" si="19"/>
        <v/>
      </c>
      <c r="M312" s="7" t="str">
        <f t="shared" ca="1" si="18"/>
        <v/>
      </c>
      <c r="N312" s="17" t="str">
        <f>IF(OR($A312="",$A312="Grand Total"),IF($A312="Grand Total",SUM($N$15:$N311),""),SUMPRODUCT((Table1[County]=SummaryPage!$A312)*(Table1[Status]&lt;&gt;"Complete")))</f>
        <v/>
      </c>
      <c r="O312" s="6" t="str">
        <f ca="1">IF($A312="Grand Total",SUM(INDIRECT(ADDRESS(1,COLUMN())&amp;":"&amp;ADDRESS(ROW()-1,COLUMN()))),IF(OR($A312="State Agencies",IFERROR(AND($L312&gt;='Input Sheet'!$J$2,$A312&lt;&gt;""),0)),$J312,""))</f>
        <v/>
      </c>
      <c r="P312" s="3" t="str">
        <f>IF(OR($A312="",$A312="Grand Total"),"",IF(IFERROR(ROUND($J312/$K312,2),1000)&gt;='Input Sheet'!$J$2,1,""))</f>
        <v/>
      </c>
      <c r="Q312" s="3" t="str">
        <f t="shared" si="20"/>
        <v/>
      </c>
      <c r="R312" s="3" t="str">
        <f>IF(OR($A312="",$A312="Grand Total"),"",AND($J312=0,(SUMPRODUCT((Table1[County]=SummaryPage!$A312)*(Table1[Status]="Not Started"))+SUMPRODUCT((Table1[County]=SummaryPage!$A312)*(Table1[Status]="")))=SUMPRODUCT((Table1[County]=SummaryPage!$A312)*(Table1[Status]&lt;&gt;"Q"))))</f>
        <v/>
      </c>
    </row>
    <row r="313" spans="1:18" x14ac:dyDescent="0.3">
      <c r="A313"/>
      <c r="B313"/>
      <c r="C313"/>
      <c r="D313"/>
      <c r="E313"/>
      <c r="F313"/>
      <c r="G313"/>
      <c r="H313"/>
      <c r="I313"/>
      <c r="J313"/>
      <c r="K313" s="29" t="str">
        <f>IF($A313="","",VLOOKUP('Input Sheet'!$D$2 &amp; " " &amp; $A313,Pop[#All],4,FALSE))</f>
        <v/>
      </c>
      <c r="L313" s="5" t="str">
        <f t="shared" si="19"/>
        <v/>
      </c>
      <c r="M313" s="7" t="str">
        <f t="shared" ca="1" si="18"/>
        <v/>
      </c>
      <c r="N313" s="17" t="str">
        <f>IF(OR($A313="",$A313="Grand Total"),IF($A313="Grand Total",SUM($N$15:$N312),""),SUMPRODUCT((Table1[County]=SummaryPage!$A313)*(Table1[Status]&lt;&gt;"Complete")))</f>
        <v/>
      </c>
      <c r="O313" s="6" t="str">
        <f ca="1">IF($A313="Grand Total",SUM(INDIRECT(ADDRESS(1,COLUMN())&amp;":"&amp;ADDRESS(ROW()-1,COLUMN()))),IF(OR($A313="State Agencies",IFERROR(AND($L313&gt;='Input Sheet'!$J$2,$A313&lt;&gt;""),0)),$J313,""))</f>
        <v/>
      </c>
      <c r="P313" s="3" t="str">
        <f>IF(OR($A313="",$A313="Grand Total"),"",IF(IFERROR(ROUND($J313/$K313,2),1000)&gt;='Input Sheet'!$J$2,1,""))</f>
        <v/>
      </c>
      <c r="Q313" s="3" t="str">
        <f t="shared" si="20"/>
        <v/>
      </c>
      <c r="R313" s="3" t="str">
        <f>IF(OR($A313="",$A313="Grand Total"),"",AND($J313=0,(SUMPRODUCT((Table1[County]=SummaryPage!$A313)*(Table1[Status]="Not Started"))+SUMPRODUCT((Table1[County]=SummaryPage!$A313)*(Table1[Status]="")))=SUMPRODUCT((Table1[County]=SummaryPage!$A313)*(Table1[Status]&lt;&gt;"Q"))))</f>
        <v/>
      </c>
    </row>
    <row r="314" spans="1:18" x14ac:dyDescent="0.3">
      <c r="A314"/>
      <c r="B314"/>
      <c r="C314"/>
      <c r="D314"/>
      <c r="E314"/>
      <c r="F314"/>
      <c r="G314"/>
      <c r="H314"/>
      <c r="I314"/>
      <c r="J314"/>
      <c r="K314" s="29" t="str">
        <f>IF($A314="","",VLOOKUP('Input Sheet'!$D$2 &amp; " " &amp; $A314,Pop[#All],4,FALSE))</f>
        <v/>
      </c>
      <c r="L314" s="5" t="str">
        <f t="shared" si="19"/>
        <v/>
      </c>
      <c r="M314" s="7" t="str">
        <f t="shared" ca="1" si="18"/>
        <v/>
      </c>
      <c r="N314" s="17" t="str">
        <f>IF(OR($A314="",$A314="Grand Total"),IF($A314="Grand Total",SUM($N$15:$N313),""),SUMPRODUCT((Table1[County]=SummaryPage!$A314)*(Table1[Status]&lt;&gt;"Complete")))</f>
        <v/>
      </c>
      <c r="O314" s="6" t="str">
        <f ca="1">IF($A314="Grand Total",SUM(INDIRECT(ADDRESS(1,COLUMN())&amp;":"&amp;ADDRESS(ROW()-1,COLUMN()))),IF(OR($A314="State Agencies",IFERROR(AND($L314&gt;='Input Sheet'!$J$2,$A314&lt;&gt;""),0)),$J314,""))</f>
        <v/>
      </c>
      <c r="P314" s="3" t="str">
        <f>IF(OR($A314="",$A314="Grand Total"),"",IF(IFERROR(ROUND($J314/$K314,2),1000)&gt;='Input Sheet'!$J$2,1,""))</f>
        <v/>
      </c>
      <c r="Q314" s="3" t="str">
        <f t="shared" si="20"/>
        <v/>
      </c>
      <c r="R314" s="3" t="str">
        <f>IF(OR($A314="",$A314="Grand Total"),"",AND($J314=0,(SUMPRODUCT((Table1[County]=SummaryPage!$A314)*(Table1[Status]="Not Started"))+SUMPRODUCT((Table1[County]=SummaryPage!$A314)*(Table1[Status]="")))=SUMPRODUCT((Table1[County]=SummaryPage!$A314)*(Table1[Status]&lt;&gt;"Q"))))</f>
        <v/>
      </c>
    </row>
    <row r="315" spans="1:18" x14ac:dyDescent="0.3">
      <c r="A315"/>
      <c r="B315"/>
      <c r="C315"/>
      <c r="D315"/>
      <c r="E315"/>
      <c r="F315"/>
      <c r="G315"/>
      <c r="H315"/>
      <c r="I315"/>
      <c r="J315"/>
      <c r="K315" s="29" t="str">
        <f>IF($A315="","",VLOOKUP('Input Sheet'!$D$2 &amp; " " &amp; $A315,Pop[#All],4,FALSE))</f>
        <v/>
      </c>
      <c r="L315" s="5" t="str">
        <f t="shared" si="19"/>
        <v/>
      </c>
      <c r="M315" s="7" t="str">
        <f t="shared" ca="1" si="18"/>
        <v/>
      </c>
      <c r="N315" s="17" t="str">
        <f>IF(OR($A315="",$A315="Grand Total"),IF($A315="Grand Total",SUM($N$15:$N314),""),SUMPRODUCT((Table1[County]=SummaryPage!$A315)*(Table1[Status]&lt;&gt;"Complete")))</f>
        <v/>
      </c>
      <c r="O315" s="6" t="str">
        <f ca="1">IF($A315="Grand Total",SUM(INDIRECT(ADDRESS(1,COLUMN())&amp;":"&amp;ADDRESS(ROW()-1,COLUMN()))),IF(OR($A315="State Agencies",IFERROR(AND($L315&gt;='Input Sheet'!$J$2,$A315&lt;&gt;""),0)),$J315,""))</f>
        <v/>
      </c>
      <c r="P315" s="3" t="str">
        <f>IF(OR($A315="",$A315="Grand Total"),"",IF(IFERROR(ROUND($J315/$K315,2),1000)&gt;='Input Sheet'!$J$2,1,""))</f>
        <v/>
      </c>
      <c r="Q315" s="3" t="str">
        <f t="shared" si="20"/>
        <v/>
      </c>
      <c r="R315" s="3" t="str">
        <f>IF(OR($A315="",$A315="Grand Total"),"",AND($J315=0,(SUMPRODUCT((Table1[County]=SummaryPage!$A315)*(Table1[Status]="Not Started"))+SUMPRODUCT((Table1[County]=SummaryPage!$A315)*(Table1[Status]="")))=SUMPRODUCT((Table1[County]=SummaryPage!$A315)*(Table1[Status]&lt;&gt;"Q"))))</f>
        <v/>
      </c>
    </row>
    <row r="316" spans="1:18" x14ac:dyDescent="0.3">
      <c r="A316"/>
      <c r="B316"/>
      <c r="C316"/>
      <c r="D316"/>
      <c r="E316"/>
      <c r="F316"/>
      <c r="G316"/>
      <c r="H316"/>
      <c r="I316"/>
      <c r="J316"/>
      <c r="K316" s="29" t="str">
        <f>IF($A316="","",VLOOKUP('Input Sheet'!$D$2 &amp; " " &amp; $A316,Pop[#All],4,FALSE))</f>
        <v/>
      </c>
      <c r="L316" s="5" t="str">
        <f t="shared" si="19"/>
        <v/>
      </c>
      <c r="M316" s="7" t="str">
        <f t="shared" ca="1" si="18"/>
        <v/>
      </c>
      <c r="N316" s="17" t="str">
        <f>IF(OR($A316="",$A316="Grand Total"),IF($A316="Grand Total",SUM($N$15:$N315),""),SUMPRODUCT((Table1[County]=SummaryPage!$A316)*(Table1[Status]&lt;&gt;"Complete")))</f>
        <v/>
      </c>
      <c r="O316" s="6" t="str">
        <f ca="1">IF($A316="Grand Total",SUM(INDIRECT(ADDRESS(1,COLUMN())&amp;":"&amp;ADDRESS(ROW()-1,COLUMN()))),IF(OR($A316="State Agencies",IFERROR(AND($L316&gt;='Input Sheet'!$J$2,$A316&lt;&gt;""),0)),$J316,""))</f>
        <v/>
      </c>
      <c r="P316" s="3" t="str">
        <f>IF(OR($A316="",$A316="Grand Total"),"",IF(IFERROR(ROUND($J316/$K316,2),1000)&gt;='Input Sheet'!$J$2,1,""))</f>
        <v/>
      </c>
      <c r="Q316" s="3" t="str">
        <f t="shared" si="20"/>
        <v/>
      </c>
      <c r="R316" s="3" t="str">
        <f>IF(OR($A316="",$A316="Grand Total"),"",AND($J316=0,(SUMPRODUCT((Table1[County]=SummaryPage!$A316)*(Table1[Status]="Not Started"))+SUMPRODUCT((Table1[County]=SummaryPage!$A316)*(Table1[Status]="")))=SUMPRODUCT((Table1[County]=SummaryPage!$A316)*(Table1[Status]&lt;&gt;"Q"))))</f>
        <v/>
      </c>
    </row>
    <row r="317" spans="1:18" x14ac:dyDescent="0.3">
      <c r="A317"/>
      <c r="B317"/>
      <c r="C317"/>
      <c r="D317"/>
      <c r="E317"/>
      <c r="F317"/>
      <c r="G317"/>
      <c r="H317"/>
      <c r="I317"/>
      <c r="J317"/>
      <c r="K317" s="29" t="str">
        <f>IF($A317="","",VLOOKUP('Input Sheet'!$D$2 &amp; " " &amp; $A317,Pop[#All],4,FALSE))</f>
        <v/>
      </c>
      <c r="L317" s="5" t="str">
        <f t="shared" si="19"/>
        <v/>
      </c>
      <c r="M317" s="7" t="str">
        <f t="shared" ca="1" si="18"/>
        <v/>
      </c>
      <c r="N317" s="17" t="str">
        <f>IF(OR($A317="",$A317="Grand Total"),IF($A317="Grand Total",SUM($N$15:$N316),""),SUMPRODUCT((Table1[County]=SummaryPage!$A317)*(Table1[Status]&lt;&gt;"Complete")))</f>
        <v/>
      </c>
      <c r="O317" s="6" t="str">
        <f ca="1">IF($A317="Grand Total",SUM(INDIRECT(ADDRESS(1,COLUMN())&amp;":"&amp;ADDRESS(ROW()-1,COLUMN()))),IF(OR($A317="State Agencies",IFERROR(AND($L317&gt;='Input Sheet'!$J$2,$A317&lt;&gt;""),0)),$J317,""))</f>
        <v/>
      </c>
      <c r="P317" s="3" t="str">
        <f>IF(OR($A317="",$A317="Grand Total"),"",IF(IFERROR(ROUND($J317/$K317,2),1000)&gt;='Input Sheet'!$J$2,1,""))</f>
        <v/>
      </c>
      <c r="Q317" s="3" t="str">
        <f t="shared" si="20"/>
        <v/>
      </c>
      <c r="R317" s="3" t="str">
        <f>IF(OR($A317="",$A317="Grand Total"),"",AND($J317=0,(SUMPRODUCT((Table1[County]=SummaryPage!$A317)*(Table1[Status]="Not Started"))+SUMPRODUCT((Table1[County]=SummaryPage!$A317)*(Table1[Status]="")))=SUMPRODUCT((Table1[County]=SummaryPage!$A317)*(Table1[Status]&lt;&gt;"Q"))))</f>
        <v/>
      </c>
    </row>
    <row r="318" spans="1:18" x14ac:dyDescent="0.3">
      <c r="A318"/>
      <c r="B318"/>
      <c r="C318"/>
      <c r="D318"/>
      <c r="E318"/>
      <c r="F318"/>
      <c r="G318"/>
      <c r="H318"/>
      <c r="I318"/>
      <c r="J318"/>
      <c r="K318" s="29" t="str">
        <f>IF($A318="","",VLOOKUP('Input Sheet'!$D$2 &amp; " " &amp; $A318,Pop[#All],4,FALSE))</f>
        <v/>
      </c>
      <c r="L318" s="5" t="str">
        <f t="shared" si="19"/>
        <v/>
      </c>
      <c r="M318" s="7" t="str">
        <f t="shared" ca="1" si="18"/>
        <v/>
      </c>
      <c r="N318" s="17" t="str">
        <f>IF(OR($A318="",$A318="Grand Total"),IF($A318="Grand Total",SUM($N$15:$N317),""),SUMPRODUCT((Table1[County]=SummaryPage!$A318)*(Table1[Status]&lt;&gt;"Complete")))</f>
        <v/>
      </c>
      <c r="O318" s="6" t="str">
        <f ca="1">IF($A318="Grand Total",SUM(INDIRECT(ADDRESS(1,COLUMN())&amp;":"&amp;ADDRESS(ROW()-1,COLUMN()))),IF(OR($A318="State Agencies",IFERROR(AND($L318&gt;='Input Sheet'!$J$2,$A318&lt;&gt;""),0)),$J318,""))</f>
        <v/>
      </c>
      <c r="P318" s="3" t="str">
        <f>IF(OR($A318="",$A318="Grand Total"),"",IF(IFERROR(ROUND($J318/$K318,2),1000)&gt;='Input Sheet'!$J$2,1,""))</f>
        <v/>
      </c>
      <c r="Q318" s="3" t="str">
        <f t="shared" si="20"/>
        <v/>
      </c>
      <c r="R318" s="3" t="str">
        <f>IF(OR($A318="",$A318="Grand Total"),"",AND($J318=0,(SUMPRODUCT((Table1[County]=SummaryPage!$A318)*(Table1[Status]="Not Started"))+SUMPRODUCT((Table1[County]=SummaryPage!$A318)*(Table1[Status]="")))=SUMPRODUCT((Table1[County]=SummaryPage!$A318)*(Table1[Status]&lt;&gt;"Q"))))</f>
        <v/>
      </c>
    </row>
    <row r="319" spans="1:18" x14ac:dyDescent="0.3">
      <c r="A319"/>
      <c r="B319"/>
      <c r="C319"/>
      <c r="D319"/>
      <c r="E319"/>
      <c r="F319"/>
      <c r="G319"/>
      <c r="H319"/>
      <c r="I319"/>
      <c r="J319"/>
      <c r="K319" s="29" t="str">
        <f>IF($A319="","",VLOOKUP('Input Sheet'!$D$2 &amp; " " &amp; $A319,Pop[#All],4,FALSE))</f>
        <v/>
      </c>
      <c r="L319" s="5" t="str">
        <f t="shared" si="19"/>
        <v/>
      </c>
      <c r="M319" s="7" t="str">
        <f t="shared" ca="1" si="18"/>
        <v/>
      </c>
      <c r="N319" s="17" t="str">
        <f>IF(OR($A319="",$A319="Grand Total"),IF($A319="Grand Total",SUM($N$15:$N318),""),SUMPRODUCT((Table1[County]=SummaryPage!$A319)*(Table1[Status]&lt;&gt;"Complete")))</f>
        <v/>
      </c>
      <c r="O319" s="6" t="str">
        <f ca="1">IF($A319="Grand Total",SUM(INDIRECT(ADDRESS(1,COLUMN())&amp;":"&amp;ADDRESS(ROW()-1,COLUMN()))),IF(OR($A319="State Agencies",IFERROR(AND($L319&gt;='Input Sheet'!$J$2,$A319&lt;&gt;""),0)),$J319,""))</f>
        <v/>
      </c>
      <c r="P319" s="3" t="str">
        <f>IF(OR($A319="",$A319="Grand Total"),"",IF(IFERROR(ROUND($J319/$K319,2),1000)&gt;='Input Sheet'!$J$2,1,""))</f>
        <v/>
      </c>
      <c r="Q319" s="3" t="str">
        <f t="shared" si="20"/>
        <v/>
      </c>
      <c r="R319" s="3" t="str">
        <f>IF(OR($A319="",$A319="Grand Total"),"",AND($J319=0,(SUMPRODUCT((Table1[County]=SummaryPage!$A319)*(Table1[Status]="Not Started"))+SUMPRODUCT((Table1[County]=SummaryPage!$A319)*(Table1[Status]="")))=SUMPRODUCT((Table1[County]=SummaryPage!$A319)*(Table1[Status]&lt;&gt;"Q"))))</f>
        <v/>
      </c>
    </row>
    <row r="320" spans="1:18" x14ac:dyDescent="0.3">
      <c r="A320"/>
      <c r="B320"/>
      <c r="C320"/>
      <c r="D320"/>
      <c r="E320"/>
      <c r="F320"/>
      <c r="G320"/>
      <c r="H320"/>
      <c r="I320"/>
      <c r="J320"/>
      <c r="K320" s="29" t="str">
        <f>IF($A320="","",VLOOKUP('Input Sheet'!$D$2 &amp; " " &amp; $A320,Pop[#All],4,FALSE))</f>
        <v/>
      </c>
      <c r="L320" s="5" t="str">
        <f t="shared" si="19"/>
        <v/>
      </c>
      <c r="M320" s="7" t="str">
        <f t="shared" ca="1" si="18"/>
        <v/>
      </c>
      <c r="N320" s="17" t="str">
        <f>IF(OR($A320="",$A320="Grand Total"),IF($A320="Grand Total",SUM($N$15:$N319),""),SUMPRODUCT((Table1[County]=SummaryPage!$A320)*(Table1[Status]&lt;&gt;"Complete")))</f>
        <v/>
      </c>
      <c r="O320" s="6" t="str">
        <f ca="1">IF($A320="Grand Total",SUM(INDIRECT(ADDRESS(1,COLUMN())&amp;":"&amp;ADDRESS(ROW()-1,COLUMN()))),IF(OR($A320="State Agencies",IFERROR(AND($L320&gt;='Input Sheet'!$J$2,$A320&lt;&gt;""),0)),$J320,""))</f>
        <v/>
      </c>
      <c r="P320" s="3" t="str">
        <f>IF(OR($A320="",$A320="Grand Total"),"",IF(IFERROR(ROUND($J320/$K320,2),1000)&gt;='Input Sheet'!$J$2,1,""))</f>
        <v/>
      </c>
      <c r="Q320" s="3" t="str">
        <f t="shared" si="20"/>
        <v/>
      </c>
      <c r="R320" s="3" t="str">
        <f>IF(OR($A320="",$A320="Grand Total"),"",AND($J320=0,(SUMPRODUCT((Table1[County]=SummaryPage!$A320)*(Table1[Status]="Not Started"))+SUMPRODUCT((Table1[County]=SummaryPage!$A320)*(Table1[Status]="")))=SUMPRODUCT((Table1[County]=SummaryPage!$A320)*(Table1[Status]&lt;&gt;"Q"))))</f>
        <v/>
      </c>
    </row>
    <row r="321" spans="1:18" x14ac:dyDescent="0.3">
      <c r="A321"/>
      <c r="B321"/>
      <c r="C321"/>
      <c r="D321"/>
      <c r="E321"/>
      <c r="F321"/>
      <c r="G321"/>
      <c r="H321"/>
      <c r="I321"/>
      <c r="J321"/>
      <c r="K321" s="29" t="str">
        <f>IF($A321="","",VLOOKUP('Input Sheet'!$D$2 &amp; " " &amp; $A321,Pop[#All],4,FALSE))</f>
        <v/>
      </c>
      <c r="L321" s="5" t="str">
        <f t="shared" si="19"/>
        <v/>
      </c>
      <c r="M321" s="7" t="str">
        <f t="shared" ca="1" si="18"/>
        <v/>
      </c>
      <c r="N321" s="17" t="str">
        <f>IF(OR($A321="",$A321="Grand Total"),IF($A321="Grand Total",SUM($N$15:$N320),""),SUMPRODUCT((Table1[County]=SummaryPage!$A321)*(Table1[Status]&lt;&gt;"Complete")))</f>
        <v/>
      </c>
      <c r="O321" s="6" t="str">
        <f ca="1">IF($A321="Grand Total",SUM(INDIRECT(ADDRESS(1,COLUMN())&amp;":"&amp;ADDRESS(ROW()-1,COLUMN()))),IF(OR($A321="State Agencies",IFERROR(AND($L321&gt;='Input Sheet'!$J$2,$A321&lt;&gt;""),0)),$J321,""))</f>
        <v/>
      </c>
      <c r="P321" s="3" t="str">
        <f>IF(OR($A321="",$A321="Grand Total"),"",IF(IFERROR(ROUND($J321/$K321,2),1000)&gt;='Input Sheet'!$J$2,1,""))</f>
        <v/>
      </c>
      <c r="Q321" s="3" t="str">
        <f t="shared" si="20"/>
        <v/>
      </c>
      <c r="R321" s="3" t="str">
        <f>IF(OR($A321="",$A321="Grand Total"),"",AND($J321=0,(SUMPRODUCT((Table1[County]=SummaryPage!$A321)*(Table1[Status]="Not Started"))+SUMPRODUCT((Table1[County]=SummaryPage!$A321)*(Table1[Status]="")))=SUMPRODUCT((Table1[County]=SummaryPage!$A321)*(Table1[Status]&lt;&gt;"Q"))))</f>
        <v/>
      </c>
    </row>
    <row r="322" spans="1:18" x14ac:dyDescent="0.3">
      <c r="A322"/>
      <c r="B322"/>
      <c r="C322"/>
      <c r="D322"/>
      <c r="E322"/>
      <c r="F322"/>
      <c r="G322"/>
      <c r="H322"/>
      <c r="I322"/>
      <c r="J322"/>
      <c r="K322" s="29" t="str">
        <f>IF($A322="","",VLOOKUP('Input Sheet'!$D$2 &amp; " " &amp; $A322,Pop[#All],4,FALSE))</f>
        <v/>
      </c>
      <c r="L322" s="5" t="str">
        <f t="shared" si="19"/>
        <v/>
      </c>
      <c r="M322" s="7" t="str">
        <f t="shared" ca="1" si="18"/>
        <v/>
      </c>
      <c r="N322" s="17" t="str">
        <f>IF(OR($A322="",$A322="Grand Total"),IF($A322="Grand Total",SUM($N$15:$N321),""),SUMPRODUCT((Table1[County]=SummaryPage!$A322)*(Table1[Status]&lt;&gt;"Complete")))</f>
        <v/>
      </c>
      <c r="O322" s="6" t="str">
        <f ca="1">IF($A322="Grand Total",SUM(INDIRECT(ADDRESS(1,COLUMN())&amp;":"&amp;ADDRESS(ROW()-1,COLUMN()))),IF(OR($A322="State Agencies",IFERROR(AND($L322&gt;='Input Sheet'!$J$2,$A322&lt;&gt;""),0)),$J322,""))</f>
        <v/>
      </c>
      <c r="P322" s="3" t="str">
        <f>IF(OR($A322="",$A322="Grand Total"),"",IF(IFERROR(ROUND($J322/$K322,2),1000)&gt;='Input Sheet'!$J$2,1,""))</f>
        <v/>
      </c>
      <c r="Q322" s="3" t="str">
        <f t="shared" si="20"/>
        <v/>
      </c>
      <c r="R322" s="3" t="str">
        <f>IF(OR($A322="",$A322="Grand Total"),"",AND($J322=0,(SUMPRODUCT((Table1[County]=SummaryPage!$A322)*(Table1[Status]="Not Started"))+SUMPRODUCT((Table1[County]=SummaryPage!$A322)*(Table1[Status]="")))=SUMPRODUCT((Table1[County]=SummaryPage!$A322)*(Table1[Status]&lt;&gt;"Q"))))</f>
        <v/>
      </c>
    </row>
    <row r="323" spans="1:18" x14ac:dyDescent="0.3">
      <c r="A323"/>
      <c r="B323"/>
      <c r="C323"/>
      <c r="D323"/>
      <c r="E323"/>
      <c r="F323"/>
      <c r="G323"/>
      <c r="H323"/>
      <c r="I323"/>
      <c r="J323"/>
      <c r="K323" s="29" t="str">
        <f>IF($A323="","",VLOOKUP('Input Sheet'!$D$2 &amp; " " &amp; $A323,Pop[#All],4,FALSE))</f>
        <v/>
      </c>
      <c r="L323" s="5" t="str">
        <f t="shared" si="19"/>
        <v/>
      </c>
      <c r="M323" s="7" t="str">
        <f t="shared" ca="1" si="18"/>
        <v/>
      </c>
      <c r="N323" s="17" t="str">
        <f>IF(OR($A323="",$A323="Grand Total"),IF($A323="Grand Total",SUM($N$15:$N322),""),SUMPRODUCT((Table1[County]=SummaryPage!$A323)*(Table1[Status]&lt;&gt;"Complete")))</f>
        <v/>
      </c>
      <c r="O323" s="6" t="str">
        <f ca="1">IF($A323="Grand Total",SUM(INDIRECT(ADDRESS(1,COLUMN())&amp;":"&amp;ADDRESS(ROW()-1,COLUMN()))),IF(OR($A323="State Agencies",IFERROR(AND($L323&gt;='Input Sheet'!$J$2,$A323&lt;&gt;""),0)),$J323,""))</f>
        <v/>
      </c>
      <c r="P323" s="3" t="str">
        <f>IF(OR($A323="",$A323="Grand Total"),"",IF(IFERROR(ROUND($J323/$K323,2),1000)&gt;='Input Sheet'!$J$2,1,""))</f>
        <v/>
      </c>
      <c r="Q323" s="3" t="str">
        <f t="shared" si="20"/>
        <v/>
      </c>
      <c r="R323" s="3" t="str">
        <f>IF(OR($A323="",$A323="Grand Total"),"",AND($J323=0,(SUMPRODUCT((Table1[County]=SummaryPage!$A323)*(Table1[Status]="Not Started"))+SUMPRODUCT((Table1[County]=SummaryPage!$A323)*(Table1[Status]="")))=SUMPRODUCT((Table1[County]=SummaryPage!$A323)*(Table1[Status]&lt;&gt;"Q"))))</f>
        <v/>
      </c>
    </row>
    <row r="324" spans="1:18" x14ac:dyDescent="0.3">
      <c r="A324"/>
      <c r="B324"/>
      <c r="C324"/>
      <c r="D324"/>
      <c r="E324"/>
      <c r="F324"/>
      <c r="G324"/>
      <c r="H324"/>
      <c r="I324"/>
      <c r="J324"/>
      <c r="K324" s="29" t="str">
        <f>IF($A324="","",VLOOKUP('Input Sheet'!$D$2 &amp; " " &amp; $A324,Pop[#All],4,FALSE))</f>
        <v/>
      </c>
      <c r="L324" s="5" t="str">
        <f t="shared" si="19"/>
        <v/>
      </c>
      <c r="M324" s="7" t="str">
        <f t="shared" ca="1" si="18"/>
        <v/>
      </c>
      <c r="N324" s="17" t="str">
        <f>IF(OR($A324="",$A324="Grand Total"),IF($A324="Grand Total",SUM($N$15:$N323),""),SUMPRODUCT((Table1[County]=SummaryPage!$A324)*(Table1[Status]&lt;&gt;"Complete")))</f>
        <v/>
      </c>
      <c r="O324" s="6" t="str">
        <f ca="1">IF($A324="Grand Total",SUM(INDIRECT(ADDRESS(1,COLUMN())&amp;":"&amp;ADDRESS(ROW()-1,COLUMN()))),IF(OR($A324="State Agencies",IFERROR(AND($L324&gt;='Input Sheet'!$J$2,$A324&lt;&gt;""),0)),$J324,""))</f>
        <v/>
      </c>
      <c r="P324" s="3" t="str">
        <f>IF(OR($A324="",$A324="Grand Total"),"",IF(IFERROR(ROUND($J324/$K324,2),1000)&gt;='Input Sheet'!$J$2,1,""))</f>
        <v/>
      </c>
      <c r="Q324" s="3" t="str">
        <f t="shared" si="20"/>
        <v/>
      </c>
      <c r="R324" s="3" t="str">
        <f>IF(OR($A324="",$A324="Grand Total"),"",AND($J324=0,(SUMPRODUCT((Table1[County]=SummaryPage!$A324)*(Table1[Status]="Not Started"))+SUMPRODUCT((Table1[County]=SummaryPage!$A324)*(Table1[Status]="")))=SUMPRODUCT((Table1[County]=SummaryPage!$A324)*(Table1[Status]&lt;&gt;"Q"))))</f>
        <v/>
      </c>
    </row>
    <row r="325" spans="1:18" x14ac:dyDescent="0.3">
      <c r="A325"/>
      <c r="B325"/>
      <c r="C325"/>
      <c r="D325"/>
      <c r="E325"/>
      <c r="F325"/>
      <c r="G325"/>
      <c r="H325"/>
      <c r="I325"/>
      <c r="J325"/>
      <c r="K325" s="29" t="str">
        <f>IF($A325="","",VLOOKUP('Input Sheet'!$D$2 &amp; " " &amp; $A325,Pop[#All],4,FALSE))</f>
        <v/>
      </c>
      <c r="L325" s="5" t="str">
        <f t="shared" si="19"/>
        <v/>
      </c>
      <c r="M325" s="7" t="str">
        <f t="shared" ca="1" si="18"/>
        <v/>
      </c>
      <c r="N325" s="17" t="str">
        <f>IF(OR($A325="",$A325="Grand Total"),IF($A325="Grand Total",SUM($N$15:$N324),""),SUMPRODUCT((Table1[County]=SummaryPage!$A325)*(Table1[Status]&lt;&gt;"Complete")))</f>
        <v/>
      </c>
      <c r="O325" s="6" t="str">
        <f ca="1">IF($A325="Grand Total",SUM(INDIRECT(ADDRESS(1,COLUMN())&amp;":"&amp;ADDRESS(ROW()-1,COLUMN()))),IF(OR($A325="State Agencies",IFERROR(AND($L325&gt;='Input Sheet'!$J$2,$A325&lt;&gt;""),0)),$J325,""))</f>
        <v/>
      </c>
      <c r="P325" s="3" t="str">
        <f>IF(OR($A325="",$A325="Grand Total"),"",IF(IFERROR(ROUND($J325/$K325,2),1000)&gt;='Input Sheet'!$J$2,1,""))</f>
        <v/>
      </c>
      <c r="Q325" s="3" t="str">
        <f t="shared" si="20"/>
        <v/>
      </c>
      <c r="R325" s="3" t="str">
        <f>IF(OR($A325="",$A325="Grand Total"),"",AND($J325=0,(SUMPRODUCT((Table1[County]=SummaryPage!$A325)*(Table1[Status]="Not Started"))+SUMPRODUCT((Table1[County]=SummaryPage!$A325)*(Table1[Status]="")))=SUMPRODUCT((Table1[County]=SummaryPage!$A325)*(Table1[Status]&lt;&gt;"Q"))))</f>
        <v/>
      </c>
    </row>
    <row r="326" spans="1:18" x14ac:dyDescent="0.3">
      <c r="A326"/>
      <c r="B326"/>
      <c r="C326"/>
      <c r="D326"/>
      <c r="E326"/>
      <c r="F326"/>
      <c r="G326"/>
      <c r="H326"/>
      <c r="I326"/>
      <c r="J326"/>
      <c r="K326" s="29" t="str">
        <f>IF($A326="","",VLOOKUP('Input Sheet'!$D$2 &amp; " " &amp; $A326,Pop[#All],4,FALSE))</f>
        <v/>
      </c>
      <c r="L326" s="5" t="str">
        <f t="shared" si="19"/>
        <v/>
      </c>
      <c r="M326" s="7" t="str">
        <f t="shared" ca="1" si="18"/>
        <v/>
      </c>
      <c r="N326" s="17" t="str">
        <f>IF(OR($A326="",$A326="Grand Total"),IF($A326="Grand Total",SUM($N$15:$N325),""),SUMPRODUCT((Table1[County]=SummaryPage!$A326)*(Table1[Status]&lt;&gt;"Complete")))</f>
        <v/>
      </c>
      <c r="O326" s="6" t="str">
        <f ca="1">IF($A326="Grand Total",SUM(INDIRECT(ADDRESS(1,COLUMN())&amp;":"&amp;ADDRESS(ROW()-1,COLUMN()))),IF(OR($A326="State Agencies",IFERROR(AND($L326&gt;='Input Sheet'!$J$2,$A326&lt;&gt;""),0)),$J326,""))</f>
        <v/>
      </c>
      <c r="P326" s="3" t="str">
        <f>IF(OR($A326="",$A326="Grand Total"),"",IF(IFERROR(ROUND($J326/$K326,2),1000)&gt;='Input Sheet'!$J$2,1,""))</f>
        <v/>
      </c>
      <c r="Q326" s="3" t="str">
        <f t="shared" si="20"/>
        <v/>
      </c>
      <c r="R326" s="3" t="str">
        <f>IF(OR($A326="",$A326="Grand Total"),"",AND($J326=0,(SUMPRODUCT((Table1[County]=SummaryPage!$A326)*(Table1[Status]="Not Started"))+SUMPRODUCT((Table1[County]=SummaryPage!$A326)*(Table1[Status]="")))=SUMPRODUCT((Table1[County]=SummaryPage!$A326)*(Table1[Status]&lt;&gt;"Q"))))</f>
        <v/>
      </c>
    </row>
    <row r="327" spans="1:18" x14ac:dyDescent="0.3">
      <c r="A327"/>
      <c r="B327"/>
      <c r="C327"/>
      <c r="D327"/>
      <c r="E327"/>
      <c r="F327"/>
      <c r="G327"/>
      <c r="H327"/>
      <c r="I327"/>
      <c r="J327"/>
      <c r="K327" s="29" t="str">
        <f>IF($A327="","",VLOOKUP('Input Sheet'!$D$2 &amp; " " &amp; $A327,Pop[#All],4,FALSE))</f>
        <v/>
      </c>
      <c r="L327" s="5" t="str">
        <f t="shared" si="19"/>
        <v/>
      </c>
      <c r="M327" s="7" t="str">
        <f t="shared" ca="1" si="18"/>
        <v/>
      </c>
      <c r="N327" s="17" t="str">
        <f>IF(OR($A327="",$A327="Grand Total"),IF($A327="Grand Total",SUM($N$15:$N326),""),SUMPRODUCT((Table1[County]=SummaryPage!$A327)*(Table1[Status]&lt;&gt;"Complete")))</f>
        <v/>
      </c>
      <c r="O327" s="6" t="str">
        <f ca="1">IF($A327="Grand Total",SUM(INDIRECT(ADDRESS(1,COLUMN())&amp;":"&amp;ADDRESS(ROW()-1,COLUMN()))),IF(OR($A327="State Agencies",IFERROR(AND($L327&gt;='Input Sheet'!$J$2,$A327&lt;&gt;""),0)),$J327,""))</f>
        <v/>
      </c>
      <c r="P327" s="3" t="str">
        <f>IF(OR($A327="",$A327="Grand Total"),"",IF(IFERROR(ROUND($J327/$K327,2),1000)&gt;='Input Sheet'!$J$2,1,""))</f>
        <v/>
      </c>
      <c r="Q327" s="3" t="str">
        <f t="shared" si="20"/>
        <v/>
      </c>
      <c r="R327" s="3" t="str">
        <f>IF(OR($A327="",$A327="Grand Total"),"",AND($J327=0,(SUMPRODUCT((Table1[County]=SummaryPage!$A327)*(Table1[Status]="Not Started"))+SUMPRODUCT((Table1[County]=SummaryPage!$A327)*(Table1[Status]="")))=SUMPRODUCT((Table1[County]=SummaryPage!$A327)*(Table1[Status]&lt;&gt;"Q"))))</f>
        <v/>
      </c>
    </row>
    <row r="328" spans="1:18" x14ac:dyDescent="0.3">
      <c r="A328"/>
      <c r="B328"/>
      <c r="C328"/>
      <c r="D328"/>
      <c r="E328"/>
      <c r="F328"/>
      <c r="G328"/>
      <c r="H328"/>
      <c r="I328"/>
      <c r="J328"/>
      <c r="K328" s="29" t="str">
        <f>IF($A328="","",VLOOKUP('Input Sheet'!$D$2 &amp; " " &amp; $A328,Pop[#All],4,FALSE))</f>
        <v/>
      </c>
      <c r="L328" s="5" t="str">
        <f t="shared" si="19"/>
        <v/>
      </c>
      <c r="M328" s="7" t="str">
        <f t="shared" ca="1" si="18"/>
        <v/>
      </c>
      <c r="N328" s="17" t="str">
        <f>IF(OR($A328="",$A328="Grand Total"),IF($A328="Grand Total",SUM($N$15:$N327),""),SUMPRODUCT((Table1[County]=SummaryPage!$A328)*(Table1[Status]&lt;&gt;"Complete")))</f>
        <v/>
      </c>
      <c r="O328" s="6" t="str">
        <f ca="1">IF($A328="Grand Total",SUM(INDIRECT(ADDRESS(1,COLUMN())&amp;":"&amp;ADDRESS(ROW()-1,COLUMN()))),IF(OR($A328="State Agencies",IFERROR(AND($L328&gt;='Input Sheet'!$J$2,$A328&lt;&gt;""),0)),$J328,""))</f>
        <v/>
      </c>
      <c r="P328" s="3" t="str">
        <f>IF(OR($A328="",$A328="Grand Total"),"",IF(IFERROR(ROUND($J328/$K328,2),1000)&gt;='Input Sheet'!$J$2,1,""))</f>
        <v/>
      </c>
      <c r="Q328" s="3" t="str">
        <f t="shared" si="20"/>
        <v/>
      </c>
      <c r="R328" s="3" t="str">
        <f>IF(OR($A328="",$A328="Grand Total"),"",AND($J328=0,(SUMPRODUCT((Table1[County]=SummaryPage!$A328)*(Table1[Status]="Not Started"))+SUMPRODUCT((Table1[County]=SummaryPage!$A328)*(Table1[Status]="")))=SUMPRODUCT((Table1[County]=SummaryPage!$A328)*(Table1[Status]&lt;&gt;"Q"))))</f>
        <v/>
      </c>
    </row>
    <row r="329" spans="1:18" x14ac:dyDescent="0.3">
      <c r="A329"/>
      <c r="B329"/>
      <c r="C329"/>
      <c r="D329"/>
      <c r="E329"/>
      <c r="F329"/>
      <c r="G329"/>
      <c r="H329"/>
      <c r="I329"/>
      <c r="J329"/>
      <c r="K329" s="29" t="str">
        <f>IF($A329="","",VLOOKUP('Input Sheet'!$D$2 &amp; " " &amp; $A329,Pop[#All],4,FALSE))</f>
        <v/>
      </c>
      <c r="L329" s="5" t="str">
        <f t="shared" si="19"/>
        <v/>
      </c>
      <c r="M329" s="7" t="str">
        <f t="shared" ca="1" si="18"/>
        <v/>
      </c>
      <c r="N329" s="17" t="str">
        <f>IF(OR($A329="",$A329="Grand Total"),IF($A329="Grand Total",SUM($N$15:$N328),""),SUMPRODUCT((Table1[County]=SummaryPage!$A329)*(Table1[Status]&lt;&gt;"Complete")))</f>
        <v/>
      </c>
      <c r="O329" s="6" t="str">
        <f ca="1">IF($A329="Grand Total",SUM(INDIRECT(ADDRESS(1,COLUMN())&amp;":"&amp;ADDRESS(ROW()-1,COLUMN()))),IF(OR($A329="State Agencies",IFERROR(AND($L329&gt;='Input Sheet'!$J$2,$A329&lt;&gt;""),0)),$J329,""))</f>
        <v/>
      </c>
      <c r="P329" s="3" t="str">
        <f>IF(OR($A329="",$A329="Grand Total"),"",IF(IFERROR(ROUND($J329/$K329,2),1000)&gt;='Input Sheet'!$J$2,1,""))</f>
        <v/>
      </c>
      <c r="Q329" s="3" t="str">
        <f t="shared" si="20"/>
        <v/>
      </c>
      <c r="R329" s="3" t="str">
        <f>IF(OR($A329="",$A329="Grand Total"),"",AND($J329=0,(SUMPRODUCT((Table1[County]=SummaryPage!$A329)*(Table1[Status]="Not Started"))+SUMPRODUCT((Table1[County]=SummaryPage!$A329)*(Table1[Status]="")))=SUMPRODUCT((Table1[County]=SummaryPage!$A329)*(Table1[Status]&lt;&gt;"Q"))))</f>
        <v/>
      </c>
    </row>
    <row r="330" spans="1:18" x14ac:dyDescent="0.3">
      <c r="A330"/>
      <c r="B330"/>
      <c r="C330"/>
      <c r="D330"/>
      <c r="E330"/>
      <c r="F330"/>
      <c r="G330"/>
      <c r="H330"/>
      <c r="I330"/>
      <c r="J330"/>
      <c r="K330" s="29" t="str">
        <f>IF($A330="","",VLOOKUP('Input Sheet'!$D$2 &amp; " " &amp; $A330,Pop[#All],4,FALSE))</f>
        <v/>
      </c>
      <c r="L330" s="5" t="str">
        <f t="shared" si="19"/>
        <v/>
      </c>
      <c r="M330" s="7" t="str">
        <f t="shared" ca="1" si="18"/>
        <v/>
      </c>
      <c r="N330" s="17" t="str">
        <f>IF(OR($A330="",$A330="Grand Total"),IF($A330="Grand Total",SUM($N$15:$N329),""),SUMPRODUCT((Table1[County]=SummaryPage!$A330)*(Table1[Status]&lt;&gt;"Complete")))</f>
        <v/>
      </c>
      <c r="O330" s="6" t="str">
        <f ca="1">IF($A330="Grand Total",SUM(INDIRECT(ADDRESS(1,COLUMN())&amp;":"&amp;ADDRESS(ROW()-1,COLUMN()))),IF(OR($A330="State Agencies",IFERROR(AND($L330&gt;='Input Sheet'!$J$2,$A330&lt;&gt;""),0)),$J330,""))</f>
        <v/>
      </c>
      <c r="P330" s="3" t="str">
        <f>IF(OR($A330="",$A330="Grand Total"),"",IF(IFERROR(ROUND($J330/$K330,2),1000)&gt;='Input Sheet'!$J$2,1,""))</f>
        <v/>
      </c>
      <c r="Q330" s="3" t="str">
        <f t="shared" si="20"/>
        <v/>
      </c>
      <c r="R330" s="3" t="str">
        <f>IF(OR($A330="",$A330="Grand Total"),"",AND($J330=0,(SUMPRODUCT((Table1[County]=SummaryPage!$A330)*(Table1[Status]="Not Started"))+SUMPRODUCT((Table1[County]=SummaryPage!$A330)*(Table1[Status]="")))=SUMPRODUCT((Table1[County]=SummaryPage!$A330)*(Table1[Status]&lt;&gt;"Q"))))</f>
        <v/>
      </c>
    </row>
    <row r="331" spans="1:18" x14ac:dyDescent="0.3">
      <c r="K331" s="29" t="str">
        <f>IF($A331="","",VLOOKUP('Input Sheet'!$D$2 &amp; " " &amp; $A331,Pop[#All],4,FALSE))</f>
        <v/>
      </c>
      <c r="L331" s="5" t="str">
        <f t="shared" si="19"/>
        <v/>
      </c>
      <c r="M331" s="7" t="str">
        <f t="shared" ca="1" si="18"/>
        <v/>
      </c>
      <c r="N331" s="17" t="str">
        <f>IF(OR($A331="",$A331="Grand Total"),IF($A331="Grand Total",SUM($N$15:$N330),""),SUMPRODUCT((Table1[County]=SummaryPage!$A331)*(Table1[Status]&lt;&gt;"Complete")))</f>
        <v/>
      </c>
      <c r="O331" s="6" t="str">
        <f ca="1">IF($A331="Grand Total",SUM(INDIRECT(ADDRESS(1,COLUMN())&amp;":"&amp;ADDRESS(ROW()-1,COLUMN()))),IF(OR($A331="State Agencies",IFERROR(AND($L331&gt;='Input Sheet'!$J$2,$A331&lt;&gt;""),0)),$J331,""))</f>
        <v/>
      </c>
      <c r="P331" s="3" t="str">
        <f>IF(OR($A331="",$A331="Grand Total"),"",IF(IFERROR(ROUND($J331/$K331,2),1000)&gt;='Input Sheet'!$J$2,1,""))</f>
        <v/>
      </c>
      <c r="Q331" s="3" t="str">
        <f t="shared" si="20"/>
        <v/>
      </c>
      <c r="R331" s="3" t="str">
        <f>IF(OR($A331="",$A331="Grand Total"),"",AND($J331=0,(SUMPRODUCT((Table1[County]=SummaryPage!$A331)*(Table1[Status]="Not Started"))+SUMPRODUCT((Table1[County]=SummaryPage!$A331)*(Table1[Status]="")))=SUMPRODUCT((Table1[County]=SummaryPage!$A331)*(Table1[Status]&lt;&gt;"Q"))))</f>
        <v/>
      </c>
    </row>
    <row r="332" spans="1:18" x14ac:dyDescent="0.3">
      <c r="K332" s="29" t="str">
        <f>IF($A332="","",VLOOKUP('Input Sheet'!$D$2 &amp; " " &amp; $A332,Pop[#All],4,FALSE))</f>
        <v/>
      </c>
      <c r="L332" s="5" t="str">
        <f t="shared" si="19"/>
        <v/>
      </c>
      <c r="M332" s="7" t="str">
        <f t="shared" ca="1" si="18"/>
        <v/>
      </c>
      <c r="N332" s="17" t="str">
        <f>IF(OR($A332="",$A332="Grand Total"),IF($A332="Grand Total",SUM($N$15:$N331),""),SUMPRODUCT((Table1[County]=SummaryPage!$A332)*(Table1[Status]&lt;&gt;"Complete")))</f>
        <v/>
      </c>
      <c r="O332" s="6" t="str">
        <f ca="1">IF($A332="Grand Total",SUM(INDIRECT(ADDRESS(1,COLUMN())&amp;":"&amp;ADDRESS(ROW()-1,COLUMN()))),IF(OR($A332="State Agencies",IFERROR(AND($L332&gt;='Input Sheet'!$J$2,$A332&lt;&gt;""),0)),$J332,""))</f>
        <v/>
      </c>
      <c r="P332" s="3" t="str">
        <f>IF(OR($A332="",$A332="Grand Total"),"",IF(IFERROR(ROUND($J332/$K332,2),1000)&gt;='Input Sheet'!$J$2,1,""))</f>
        <v/>
      </c>
      <c r="Q332" s="3" t="str">
        <f t="shared" si="20"/>
        <v/>
      </c>
      <c r="R332" s="3" t="str">
        <f>IF(OR($A332="",$A332="Grand Total"),"",AND($J332=0,(SUMPRODUCT((Table1[County]=SummaryPage!$A332)*(Table1[Status]="Not Started"))+SUMPRODUCT((Table1[County]=SummaryPage!$A332)*(Table1[Status]="")))=SUMPRODUCT((Table1[County]=SummaryPage!$A332)*(Table1[Status]&lt;&gt;"Q"))))</f>
        <v/>
      </c>
    </row>
    <row r="333" spans="1:18" x14ac:dyDescent="0.3">
      <c r="K333" s="29" t="str">
        <f>IF($A333="","",VLOOKUP('Input Sheet'!$D$2 &amp; " " &amp; $A333,Pop[#All],4,FALSE))</f>
        <v/>
      </c>
      <c r="L333" s="5" t="str">
        <f t="shared" si="19"/>
        <v/>
      </c>
      <c r="M333" s="7" t="str">
        <f t="shared" ca="1" si="18"/>
        <v/>
      </c>
      <c r="N333" s="17" t="str">
        <f>IF(OR($A333="",$A333="Grand Total"),IF($A333="Grand Total",SUM($N$15:$N332),""),SUMPRODUCT((Table1[County]=SummaryPage!$A333)*(Table1[Status]&lt;&gt;"Complete")))</f>
        <v/>
      </c>
      <c r="O333" s="6" t="str">
        <f ca="1">IF($A333="Grand Total",SUM(INDIRECT(ADDRESS(1,COLUMN())&amp;":"&amp;ADDRESS(ROW()-1,COLUMN()))),IF(OR($A333="State Agencies",IFERROR(AND($L333&gt;='Input Sheet'!$J$2,$A333&lt;&gt;""),0)),$J333,""))</f>
        <v/>
      </c>
      <c r="P333" s="3" t="str">
        <f>IF(OR($A333="",$A333="Grand Total"),"",IF(IFERROR(ROUND($J333/$K333,2),1000)&gt;='Input Sheet'!$J$2,1,""))</f>
        <v/>
      </c>
      <c r="Q333" s="3" t="str">
        <f t="shared" si="20"/>
        <v/>
      </c>
      <c r="R333" s="3" t="str">
        <f>IF(OR($A333="",$A333="Grand Total"),"",AND($J333=0,(SUMPRODUCT((Table1[County]=SummaryPage!$A333)*(Table1[Status]="Not Started"))+SUMPRODUCT((Table1[County]=SummaryPage!$A333)*(Table1[Status]="")))=SUMPRODUCT((Table1[County]=SummaryPage!$A333)*(Table1[Status]&lt;&gt;"Q"))))</f>
        <v/>
      </c>
    </row>
    <row r="334" spans="1:18" x14ac:dyDescent="0.3">
      <c r="K334" s="29" t="str">
        <f>IF($A334="","",VLOOKUP('Input Sheet'!$D$2 &amp; " " &amp; $A334,Pop[#All],4,FALSE))</f>
        <v/>
      </c>
      <c r="L334" s="5" t="str">
        <f t="shared" si="19"/>
        <v/>
      </c>
      <c r="M334" s="7" t="str">
        <f t="shared" ca="1" si="18"/>
        <v/>
      </c>
      <c r="N334" s="17" t="str">
        <f>IF(OR($A334="",$A334="Grand Total"),IF($A334="Grand Total",SUM($N$15:$N333),""),SUMPRODUCT((Table1[County]=SummaryPage!$A334)*(Table1[Status]&lt;&gt;"Complete")))</f>
        <v/>
      </c>
      <c r="O334" s="6" t="str">
        <f ca="1">IF($A334="Grand Total",SUM(INDIRECT(ADDRESS(1,COLUMN())&amp;":"&amp;ADDRESS(ROW()-1,COLUMN()))),IF(OR($A334="State Agencies",IFERROR(AND($L334&gt;='Input Sheet'!$J$2,$A334&lt;&gt;""),0)),$J334,""))</f>
        <v/>
      </c>
      <c r="P334" s="3" t="str">
        <f>IF(OR($A334="",$A334="Grand Total"),"",IF(IFERROR(ROUND($J334/$K334,2),1000)&gt;='Input Sheet'!$J$2,1,""))</f>
        <v/>
      </c>
      <c r="Q334" s="3" t="str">
        <f t="shared" si="20"/>
        <v/>
      </c>
      <c r="R334" s="3" t="str">
        <f>IF(OR($A334="",$A334="Grand Total"),"",AND($J334=0,(SUMPRODUCT((Table1[County]=SummaryPage!$A334)*(Table1[Status]="Not Started"))+SUMPRODUCT((Table1[County]=SummaryPage!$A334)*(Table1[Status]="")))=SUMPRODUCT((Table1[County]=SummaryPage!$A334)*(Table1[Status]&lt;&gt;"Q"))))</f>
        <v/>
      </c>
    </row>
    <row r="335" spans="1:18" x14ac:dyDescent="0.3">
      <c r="K335" s="29" t="str">
        <f>IF($A335="","",VLOOKUP('Input Sheet'!$D$2 &amp; " " &amp; $A335,Pop[#All],4,FALSE))</f>
        <v/>
      </c>
      <c r="L335" s="5" t="str">
        <f t="shared" si="19"/>
        <v/>
      </c>
      <c r="M335" s="7" t="str">
        <f t="shared" ref="M335:M398" ca="1" si="21">IF(A335="Grand Total","",IF(ISNUMBER($O335),$O335*2/SUM($O:$O),""))</f>
        <v/>
      </c>
      <c r="N335" s="17" t="str">
        <f>IF(OR($A335="",$A335="Grand Total"),IF($A335="Grand Total",SUM($N$15:$N334),""),SUMPRODUCT((Table1[County]=SummaryPage!$A335)*(Table1[Status]&lt;&gt;"Complete")))</f>
        <v/>
      </c>
      <c r="O335" s="6" t="str">
        <f ca="1">IF($A335="Grand Total",SUM(INDIRECT(ADDRESS(1,COLUMN())&amp;":"&amp;ADDRESS(ROW()-1,COLUMN()))),IF(OR($A335="State Agencies",IFERROR(AND($L335&gt;='Input Sheet'!$J$2,$A335&lt;&gt;""),0)),$J335,""))</f>
        <v/>
      </c>
      <c r="P335" s="3" t="str">
        <f>IF(OR($A335="",$A335="Grand Total"),"",IF(IFERROR(ROUND($J335/$K335,2),1000)&gt;='Input Sheet'!$J$2,1,""))</f>
        <v/>
      </c>
      <c r="Q335" s="3" t="str">
        <f t="shared" si="20"/>
        <v/>
      </c>
      <c r="R335" s="3" t="str">
        <f>IF(OR($A335="",$A335="Grand Total"),"",AND($J335=0,(SUMPRODUCT((Table1[County]=SummaryPage!$A335)*(Table1[Status]="Not Started"))+SUMPRODUCT((Table1[County]=SummaryPage!$A335)*(Table1[Status]="")))=SUMPRODUCT((Table1[County]=SummaryPage!$A335)*(Table1[Status]&lt;&gt;"Q"))))</f>
        <v/>
      </c>
    </row>
    <row r="336" spans="1:18" x14ac:dyDescent="0.3">
      <c r="K336" s="29" t="str">
        <f>IF($A336="","",VLOOKUP('Input Sheet'!$D$2 &amp; " " &amp; $A336,Pop[#All],4,FALSE))</f>
        <v/>
      </c>
      <c r="L336" s="5" t="str">
        <f t="shared" ref="L336:L399" si="22">IFERROR(IF($A336="","",ROUND($J336/$K336,2)),"")</f>
        <v/>
      </c>
      <c r="M336" s="7" t="str">
        <f t="shared" ca="1" si="21"/>
        <v/>
      </c>
      <c r="N336" s="17" t="str">
        <f>IF(OR($A336="",$A336="Grand Total"),IF($A336="Grand Total",SUM($N$15:$N335),""),SUMPRODUCT((Table1[County]=SummaryPage!$A336)*(Table1[Status]&lt;&gt;"Complete")))</f>
        <v/>
      </c>
      <c r="O336" s="6" t="str">
        <f ca="1">IF($A336="Grand Total",SUM(INDIRECT(ADDRESS(1,COLUMN())&amp;":"&amp;ADDRESS(ROW()-1,COLUMN()))),IF(OR($A336="State Agencies",IFERROR(AND($L336&gt;='Input Sheet'!$J$2,$A336&lt;&gt;""),0)),$J336,""))</f>
        <v/>
      </c>
      <c r="P336" s="3" t="str">
        <f>IF(OR($A336="",$A336="Grand Total"),"",IF(IFERROR(ROUND($J336/$K336,2),1000)&gt;='Input Sheet'!$J$2,1,""))</f>
        <v/>
      </c>
      <c r="Q336" s="3" t="str">
        <f t="shared" ref="Q336:Q399" si="23">IFERROR($L336*$P336,"")</f>
        <v/>
      </c>
      <c r="R336" s="3" t="str">
        <f>IF(OR($A336="",$A336="Grand Total"),"",AND($J336=0,(SUMPRODUCT((Table1[County]=SummaryPage!$A336)*(Table1[Status]="Not Started"))+SUMPRODUCT((Table1[County]=SummaryPage!$A336)*(Table1[Status]="")))=SUMPRODUCT((Table1[County]=SummaryPage!$A336)*(Table1[Status]&lt;&gt;"Q"))))</f>
        <v/>
      </c>
    </row>
    <row r="337" spans="11:18" x14ac:dyDescent="0.3">
      <c r="K337" s="29" t="str">
        <f>IF($A337="","",VLOOKUP('Input Sheet'!$D$2 &amp; " " &amp; $A337,Pop[#All],4,FALSE))</f>
        <v/>
      </c>
      <c r="L337" s="5" t="str">
        <f t="shared" si="22"/>
        <v/>
      </c>
      <c r="M337" s="7" t="str">
        <f t="shared" ca="1" si="21"/>
        <v/>
      </c>
      <c r="N337" s="17" t="str">
        <f>IF(OR($A337="",$A337="Grand Total"),IF($A337="Grand Total",SUM($N$15:$N336),""),SUMPRODUCT((Table1[County]=SummaryPage!$A337)*(Table1[Status]&lt;&gt;"Complete")))</f>
        <v/>
      </c>
      <c r="O337" s="6" t="str">
        <f ca="1">IF($A337="Grand Total",SUM(INDIRECT(ADDRESS(1,COLUMN())&amp;":"&amp;ADDRESS(ROW()-1,COLUMN()))),IF(OR($A337="State Agencies",IFERROR(AND($L337&gt;='Input Sheet'!$J$2,$A337&lt;&gt;""),0)),$J337,""))</f>
        <v/>
      </c>
      <c r="P337" s="3" t="str">
        <f>IF(OR($A337="",$A337="Grand Total"),"",IF(IFERROR(ROUND($J337/$K337,2),1000)&gt;='Input Sheet'!$J$2,1,""))</f>
        <v/>
      </c>
      <c r="Q337" s="3" t="str">
        <f t="shared" si="23"/>
        <v/>
      </c>
      <c r="R337" s="3" t="str">
        <f>IF(OR($A337="",$A337="Grand Total"),"",AND($J337=0,(SUMPRODUCT((Table1[County]=SummaryPage!$A337)*(Table1[Status]="Not Started"))+SUMPRODUCT((Table1[County]=SummaryPage!$A337)*(Table1[Status]="")))=SUMPRODUCT((Table1[County]=SummaryPage!$A337)*(Table1[Status]&lt;&gt;"Q"))))</f>
        <v/>
      </c>
    </row>
    <row r="338" spans="11:18" x14ac:dyDescent="0.3">
      <c r="K338" s="29" t="str">
        <f>IF($A338="","",VLOOKUP('Input Sheet'!$D$2 &amp; " " &amp; $A338,Pop[#All],4,FALSE))</f>
        <v/>
      </c>
      <c r="L338" s="5" t="str">
        <f t="shared" si="22"/>
        <v/>
      </c>
      <c r="M338" s="7" t="str">
        <f t="shared" ca="1" si="21"/>
        <v/>
      </c>
      <c r="N338" s="17" t="str">
        <f>IF(OR($A338="",$A338="Grand Total"),IF($A338="Grand Total",SUM($N$15:$N337),""),SUMPRODUCT((Table1[County]=SummaryPage!$A338)*(Table1[Status]&lt;&gt;"Complete")))</f>
        <v/>
      </c>
      <c r="O338" s="6" t="str">
        <f ca="1">IF($A338="Grand Total",SUM(INDIRECT(ADDRESS(1,COLUMN())&amp;":"&amp;ADDRESS(ROW()-1,COLUMN()))),IF(OR($A338="State Agencies",IFERROR(AND($L338&gt;='Input Sheet'!$J$2,$A338&lt;&gt;""),0)),$J338,""))</f>
        <v/>
      </c>
      <c r="P338" s="3" t="str">
        <f>IF(OR($A338="",$A338="Grand Total"),"",IF(IFERROR(ROUND($J338/$K338,2),1000)&gt;='Input Sheet'!$J$2,1,""))</f>
        <v/>
      </c>
      <c r="Q338" s="3" t="str">
        <f t="shared" si="23"/>
        <v/>
      </c>
      <c r="R338" s="3" t="str">
        <f>IF(OR($A338="",$A338="Grand Total"),"",AND($J338=0,(SUMPRODUCT((Table1[County]=SummaryPage!$A338)*(Table1[Status]="Not Started"))+SUMPRODUCT((Table1[County]=SummaryPage!$A338)*(Table1[Status]="")))=SUMPRODUCT((Table1[County]=SummaryPage!$A338)*(Table1[Status]&lt;&gt;"Q"))))</f>
        <v/>
      </c>
    </row>
    <row r="339" spans="11:18" x14ac:dyDescent="0.3">
      <c r="K339" s="29" t="str">
        <f>IF($A339="","",VLOOKUP('Input Sheet'!$D$2 &amp; " " &amp; $A339,Pop[#All],4,FALSE))</f>
        <v/>
      </c>
      <c r="L339" s="5" t="str">
        <f t="shared" si="22"/>
        <v/>
      </c>
      <c r="M339" s="7" t="str">
        <f t="shared" ca="1" si="21"/>
        <v/>
      </c>
      <c r="N339" s="17" t="str">
        <f>IF(OR($A339="",$A339="Grand Total"),IF($A339="Grand Total",SUM($N$15:$N338),""),SUMPRODUCT((Table1[County]=SummaryPage!$A339)*(Table1[Status]&lt;&gt;"Complete")))</f>
        <v/>
      </c>
      <c r="O339" s="6" t="str">
        <f ca="1">IF($A339="Grand Total",SUM(INDIRECT(ADDRESS(1,COLUMN())&amp;":"&amp;ADDRESS(ROW()-1,COLUMN()))),IF(OR($A339="State Agencies",IFERROR(AND($L339&gt;='Input Sheet'!$J$2,$A339&lt;&gt;""),0)),$J339,""))</f>
        <v/>
      </c>
      <c r="P339" s="3" t="str">
        <f>IF(OR($A339="",$A339="Grand Total"),"",IF(IFERROR(ROUND($J339/$K339,2),1000)&gt;='Input Sheet'!$J$2,1,""))</f>
        <v/>
      </c>
      <c r="Q339" s="3" t="str">
        <f t="shared" si="23"/>
        <v/>
      </c>
      <c r="R339" s="3" t="str">
        <f>IF(OR($A339="",$A339="Grand Total"),"",AND($J339=0,(SUMPRODUCT((Table1[County]=SummaryPage!$A339)*(Table1[Status]="Not Started"))+SUMPRODUCT((Table1[County]=SummaryPage!$A339)*(Table1[Status]="")))=SUMPRODUCT((Table1[County]=SummaryPage!$A339)*(Table1[Status]&lt;&gt;"Q"))))</f>
        <v/>
      </c>
    </row>
    <row r="340" spans="11:18" x14ac:dyDescent="0.3">
      <c r="K340" s="29" t="str">
        <f>IF($A340="","",VLOOKUP('Input Sheet'!$D$2 &amp; " " &amp; $A340,Pop[#All],4,FALSE))</f>
        <v/>
      </c>
      <c r="L340" s="5" t="str">
        <f t="shared" si="22"/>
        <v/>
      </c>
      <c r="M340" s="7" t="str">
        <f t="shared" ca="1" si="21"/>
        <v/>
      </c>
      <c r="N340" s="17" t="str">
        <f>IF(OR($A340="",$A340="Grand Total"),IF($A340="Grand Total",SUM($N$15:$N339),""),SUMPRODUCT((Table1[County]=SummaryPage!$A340)*(Table1[Status]&lt;&gt;"Complete")))</f>
        <v/>
      </c>
      <c r="O340" s="6" t="str">
        <f ca="1">IF($A340="Grand Total",SUM(INDIRECT(ADDRESS(1,COLUMN())&amp;":"&amp;ADDRESS(ROW()-1,COLUMN()))),IF(OR($A340="State Agencies",IFERROR(AND($L340&gt;='Input Sheet'!$J$2,$A340&lt;&gt;""),0)),$J340,""))</f>
        <v/>
      </c>
      <c r="P340" s="3" t="str">
        <f>IF(OR($A340="",$A340="Grand Total"),"",IF(IFERROR(ROUND($J340/$K340,2),1000)&gt;='Input Sheet'!$J$2,1,""))</f>
        <v/>
      </c>
      <c r="Q340" s="3" t="str">
        <f t="shared" si="23"/>
        <v/>
      </c>
      <c r="R340" s="3" t="str">
        <f>IF(OR($A340="",$A340="Grand Total"),"",AND($J340=0,(SUMPRODUCT((Table1[County]=SummaryPage!$A340)*(Table1[Status]="Not Started"))+SUMPRODUCT((Table1[County]=SummaryPage!$A340)*(Table1[Status]="")))=SUMPRODUCT((Table1[County]=SummaryPage!$A340)*(Table1[Status]&lt;&gt;"Q"))))</f>
        <v/>
      </c>
    </row>
    <row r="341" spans="11:18" x14ac:dyDescent="0.3">
      <c r="K341" s="29" t="str">
        <f>IF($A341="","",VLOOKUP('Input Sheet'!$D$2 &amp; " " &amp; $A341,Pop[#All],4,FALSE))</f>
        <v/>
      </c>
      <c r="L341" s="5" t="str">
        <f t="shared" si="22"/>
        <v/>
      </c>
      <c r="M341" s="7" t="str">
        <f t="shared" ca="1" si="21"/>
        <v/>
      </c>
      <c r="N341" s="17" t="str">
        <f>IF(OR($A341="",$A341="Grand Total"),IF($A341="Grand Total",SUM($N$15:$N340),""),SUMPRODUCT((Table1[County]=SummaryPage!$A341)*(Table1[Status]&lt;&gt;"Complete")))</f>
        <v/>
      </c>
      <c r="O341" s="6" t="str">
        <f ca="1">IF($A341="Grand Total",SUM(INDIRECT(ADDRESS(1,COLUMN())&amp;":"&amp;ADDRESS(ROW()-1,COLUMN()))),IF(OR($A341="State Agencies",IFERROR(AND($L341&gt;='Input Sheet'!$J$2,$A341&lt;&gt;""),0)),$J341,""))</f>
        <v/>
      </c>
      <c r="P341" s="3" t="str">
        <f>IF(OR($A341="",$A341="Grand Total"),"",IF(IFERROR(ROUND($J341/$K341,2),1000)&gt;='Input Sheet'!$J$2,1,""))</f>
        <v/>
      </c>
      <c r="Q341" s="3" t="str">
        <f t="shared" si="23"/>
        <v/>
      </c>
      <c r="R341" s="3" t="str">
        <f>IF(OR($A341="",$A341="Grand Total"),"",AND($J341=0,(SUMPRODUCT((Table1[County]=SummaryPage!$A341)*(Table1[Status]="Not Started"))+SUMPRODUCT((Table1[County]=SummaryPage!$A341)*(Table1[Status]="")))=SUMPRODUCT((Table1[County]=SummaryPage!$A341)*(Table1[Status]&lt;&gt;"Q"))))</f>
        <v/>
      </c>
    </row>
    <row r="342" spans="11:18" x14ac:dyDescent="0.3">
      <c r="K342" s="29" t="str">
        <f>IF($A342="","",VLOOKUP('Input Sheet'!$D$2 &amp; " " &amp; $A342,Pop[#All],4,FALSE))</f>
        <v/>
      </c>
      <c r="L342" s="5" t="str">
        <f t="shared" si="22"/>
        <v/>
      </c>
      <c r="M342" s="7" t="str">
        <f t="shared" ca="1" si="21"/>
        <v/>
      </c>
      <c r="N342" s="17" t="str">
        <f>IF(OR($A342="",$A342="Grand Total"),IF($A342="Grand Total",SUM($N$15:$N341),""),SUMPRODUCT((Table1[County]=SummaryPage!$A342)*(Table1[Status]&lt;&gt;"Complete")))</f>
        <v/>
      </c>
      <c r="O342" s="6" t="str">
        <f ca="1">IF($A342="Grand Total",SUM(INDIRECT(ADDRESS(1,COLUMN())&amp;":"&amp;ADDRESS(ROW()-1,COLUMN()))),IF(OR($A342="State Agencies",IFERROR(AND($L342&gt;='Input Sheet'!$J$2,$A342&lt;&gt;""),0)),$J342,""))</f>
        <v/>
      </c>
      <c r="P342" s="3" t="str">
        <f>IF(OR($A342="",$A342="Grand Total"),"",IF(IFERROR(ROUND($J342/$K342,2),1000)&gt;='Input Sheet'!$J$2,1,""))</f>
        <v/>
      </c>
      <c r="Q342" s="3" t="str">
        <f t="shared" si="23"/>
        <v/>
      </c>
      <c r="R342" s="3" t="str">
        <f>IF(OR($A342="",$A342="Grand Total"),"",AND($J342=0,(SUMPRODUCT((Table1[County]=SummaryPage!$A342)*(Table1[Status]="Not Started"))+SUMPRODUCT((Table1[County]=SummaryPage!$A342)*(Table1[Status]="")))=SUMPRODUCT((Table1[County]=SummaryPage!$A342)*(Table1[Status]&lt;&gt;"Q"))))</f>
        <v/>
      </c>
    </row>
    <row r="343" spans="11:18" x14ac:dyDescent="0.3">
      <c r="K343" s="29" t="str">
        <f>IF($A343="","",VLOOKUP('Input Sheet'!$D$2 &amp; " " &amp; $A343,Pop[#All],4,FALSE))</f>
        <v/>
      </c>
      <c r="L343" s="5" t="str">
        <f t="shared" si="22"/>
        <v/>
      </c>
      <c r="M343" s="7" t="str">
        <f t="shared" ca="1" si="21"/>
        <v/>
      </c>
      <c r="N343" s="17" t="str">
        <f>IF(OR($A343="",$A343="Grand Total"),IF($A343="Grand Total",SUM($N$15:$N342),""),SUMPRODUCT((Table1[County]=SummaryPage!$A343)*(Table1[Status]&lt;&gt;"Complete")))</f>
        <v/>
      </c>
      <c r="O343" s="6" t="str">
        <f ca="1">IF($A343="Grand Total",SUM(INDIRECT(ADDRESS(1,COLUMN())&amp;":"&amp;ADDRESS(ROW()-1,COLUMN()))),IF(OR($A343="State Agencies",IFERROR(AND($L343&gt;='Input Sheet'!$J$2,$A343&lt;&gt;""),0)),$J343,""))</f>
        <v/>
      </c>
      <c r="P343" s="3" t="str">
        <f>IF(OR($A343="",$A343="Grand Total"),"",IF(IFERROR(ROUND($J343/$K343,2),1000)&gt;='Input Sheet'!$J$2,1,""))</f>
        <v/>
      </c>
      <c r="Q343" s="3" t="str">
        <f t="shared" si="23"/>
        <v/>
      </c>
      <c r="R343" s="3" t="str">
        <f>IF(OR($A343="",$A343="Grand Total"),"",AND($J343=0,(SUMPRODUCT((Table1[County]=SummaryPage!$A343)*(Table1[Status]="Not Started"))+SUMPRODUCT((Table1[County]=SummaryPage!$A343)*(Table1[Status]="")))=SUMPRODUCT((Table1[County]=SummaryPage!$A343)*(Table1[Status]&lt;&gt;"Q"))))</f>
        <v/>
      </c>
    </row>
    <row r="344" spans="11:18" x14ac:dyDescent="0.3">
      <c r="K344" s="29" t="str">
        <f>IF($A344="","",VLOOKUP('Input Sheet'!$D$2 &amp; " " &amp; $A344,Pop[#All],4,FALSE))</f>
        <v/>
      </c>
      <c r="L344" s="5" t="str">
        <f t="shared" si="22"/>
        <v/>
      </c>
      <c r="M344" s="7" t="str">
        <f t="shared" ca="1" si="21"/>
        <v/>
      </c>
      <c r="N344" s="17" t="str">
        <f>IF(OR($A344="",$A344="Grand Total"),IF($A344="Grand Total",SUM($N$15:$N343),""),SUMPRODUCT((Table1[County]=SummaryPage!$A344)*(Table1[Status]&lt;&gt;"Complete")))</f>
        <v/>
      </c>
      <c r="O344" s="6" t="str">
        <f ca="1">IF($A344="Grand Total",SUM(INDIRECT(ADDRESS(1,COLUMN())&amp;":"&amp;ADDRESS(ROW()-1,COLUMN()))),IF(OR($A344="State Agencies",IFERROR(AND($L344&gt;='Input Sheet'!$J$2,$A344&lt;&gt;""),0)),$J344,""))</f>
        <v/>
      </c>
      <c r="P344" s="3" t="str">
        <f>IF(OR($A344="",$A344="Grand Total"),"",IF(IFERROR(ROUND($J344/$K344,2),1000)&gt;='Input Sheet'!$J$2,1,""))</f>
        <v/>
      </c>
      <c r="Q344" s="3" t="str">
        <f t="shared" si="23"/>
        <v/>
      </c>
      <c r="R344" s="3" t="str">
        <f>IF(OR($A344="",$A344="Grand Total"),"",AND($J344=0,(SUMPRODUCT((Table1[County]=SummaryPage!$A344)*(Table1[Status]="Not Started"))+SUMPRODUCT((Table1[County]=SummaryPage!$A344)*(Table1[Status]="")))=SUMPRODUCT((Table1[County]=SummaryPage!$A344)*(Table1[Status]&lt;&gt;"Q"))))</f>
        <v/>
      </c>
    </row>
    <row r="345" spans="11:18" x14ac:dyDescent="0.3">
      <c r="K345" s="29" t="str">
        <f>IF($A345="","",VLOOKUP('Input Sheet'!$D$2 &amp; " " &amp; $A345,Pop[#All],4,FALSE))</f>
        <v/>
      </c>
      <c r="L345" s="5" t="str">
        <f t="shared" si="22"/>
        <v/>
      </c>
      <c r="M345" s="7" t="str">
        <f t="shared" ca="1" si="21"/>
        <v/>
      </c>
      <c r="N345" s="17" t="str">
        <f>IF(OR($A345="",$A345="Grand Total"),IF($A345="Grand Total",SUM($N$15:$N344),""),SUMPRODUCT((Table1[County]=SummaryPage!$A345)*(Table1[Status]&lt;&gt;"Complete")))</f>
        <v/>
      </c>
      <c r="O345" s="6" t="str">
        <f ca="1">IF($A345="Grand Total",SUM(INDIRECT(ADDRESS(1,COLUMN())&amp;":"&amp;ADDRESS(ROW()-1,COLUMN()))),IF(OR($A345="State Agencies",IFERROR(AND($L345&gt;='Input Sheet'!$J$2,$A345&lt;&gt;""),0)),$J345,""))</f>
        <v/>
      </c>
      <c r="P345" s="3" t="str">
        <f>IF(OR($A345="",$A345="Grand Total"),"",IF(IFERROR(ROUND($J345/$K345,2),1000)&gt;='Input Sheet'!$J$2,1,""))</f>
        <v/>
      </c>
      <c r="Q345" s="3" t="str">
        <f t="shared" si="23"/>
        <v/>
      </c>
      <c r="R345" s="3" t="str">
        <f>IF(OR($A345="",$A345="Grand Total"),"",AND($J345=0,(SUMPRODUCT((Table1[County]=SummaryPage!$A345)*(Table1[Status]="Not Started"))+SUMPRODUCT((Table1[County]=SummaryPage!$A345)*(Table1[Status]="")))=SUMPRODUCT((Table1[County]=SummaryPage!$A345)*(Table1[Status]&lt;&gt;"Q"))))</f>
        <v/>
      </c>
    </row>
    <row r="346" spans="11:18" x14ac:dyDescent="0.3">
      <c r="K346" s="29" t="str">
        <f>IF($A346="","",VLOOKUP('Input Sheet'!$D$2 &amp; " " &amp; $A346,Pop[#All],4,FALSE))</f>
        <v/>
      </c>
      <c r="L346" s="5" t="str">
        <f t="shared" si="22"/>
        <v/>
      </c>
      <c r="M346" s="7" t="str">
        <f t="shared" ca="1" si="21"/>
        <v/>
      </c>
      <c r="N346" s="17" t="str">
        <f>IF(OR($A346="",$A346="Grand Total"),IF($A346="Grand Total",SUM($N$15:$N345),""),SUMPRODUCT((Table1[County]=SummaryPage!$A346)*(Table1[Status]&lt;&gt;"Complete")))</f>
        <v/>
      </c>
      <c r="O346" s="6" t="str">
        <f ca="1">IF($A346="Grand Total",SUM(INDIRECT(ADDRESS(1,COLUMN())&amp;":"&amp;ADDRESS(ROW()-1,COLUMN()))),IF(OR($A346="State Agencies",IFERROR(AND($L346&gt;='Input Sheet'!$J$2,$A346&lt;&gt;""),0)),$J346,""))</f>
        <v/>
      </c>
      <c r="P346" s="3" t="str">
        <f>IF(OR($A346="",$A346="Grand Total"),"",IF(IFERROR(ROUND($J346/$K346,2),1000)&gt;='Input Sheet'!$J$2,1,""))</f>
        <v/>
      </c>
      <c r="Q346" s="3" t="str">
        <f t="shared" si="23"/>
        <v/>
      </c>
      <c r="R346" s="3" t="str">
        <f>IF(OR($A346="",$A346="Grand Total"),"",AND($J346=0,(SUMPRODUCT((Table1[County]=SummaryPage!$A346)*(Table1[Status]="Not Started"))+SUMPRODUCT((Table1[County]=SummaryPage!$A346)*(Table1[Status]="")))=SUMPRODUCT((Table1[County]=SummaryPage!$A346)*(Table1[Status]&lt;&gt;"Q"))))</f>
        <v/>
      </c>
    </row>
    <row r="347" spans="11:18" x14ac:dyDescent="0.3">
      <c r="K347" s="29" t="str">
        <f>IF($A347="","",VLOOKUP('Input Sheet'!$D$2 &amp; " " &amp; $A347,Pop[#All],4,FALSE))</f>
        <v/>
      </c>
      <c r="L347" s="5" t="str">
        <f t="shared" si="22"/>
        <v/>
      </c>
      <c r="M347" s="7" t="str">
        <f t="shared" ca="1" si="21"/>
        <v/>
      </c>
      <c r="N347" s="17" t="str">
        <f>IF(OR($A347="",$A347="Grand Total"),IF($A347="Grand Total",SUM($N$15:$N346),""),SUMPRODUCT((Table1[County]=SummaryPage!$A347)*(Table1[Status]&lt;&gt;"Complete")))</f>
        <v/>
      </c>
      <c r="O347" s="6" t="str">
        <f ca="1">IF($A347="Grand Total",SUM(INDIRECT(ADDRESS(1,COLUMN())&amp;":"&amp;ADDRESS(ROW()-1,COLUMN()))),IF(OR($A347="State Agencies",IFERROR(AND($L347&gt;='Input Sheet'!$J$2,$A347&lt;&gt;""),0)),$J347,""))</f>
        <v/>
      </c>
      <c r="P347" s="3" t="str">
        <f>IF(OR($A347="",$A347="Grand Total"),"",IF(IFERROR(ROUND($J347/$K347,2),1000)&gt;='Input Sheet'!$J$2,1,""))</f>
        <v/>
      </c>
      <c r="Q347" s="3" t="str">
        <f t="shared" si="23"/>
        <v/>
      </c>
      <c r="R347" s="3" t="str">
        <f>IF(OR($A347="",$A347="Grand Total"),"",AND($J347=0,(SUMPRODUCT((Table1[County]=SummaryPage!$A347)*(Table1[Status]="Not Started"))+SUMPRODUCT((Table1[County]=SummaryPage!$A347)*(Table1[Status]="")))=SUMPRODUCT((Table1[County]=SummaryPage!$A347)*(Table1[Status]&lt;&gt;"Q"))))</f>
        <v/>
      </c>
    </row>
    <row r="348" spans="11:18" x14ac:dyDescent="0.3">
      <c r="K348" s="29" t="str">
        <f>IF($A348="","",VLOOKUP('Input Sheet'!$D$2 &amp; " " &amp; $A348,Pop[#All],4,FALSE))</f>
        <v/>
      </c>
      <c r="L348" s="5" t="str">
        <f t="shared" si="22"/>
        <v/>
      </c>
      <c r="M348" s="7" t="str">
        <f t="shared" ca="1" si="21"/>
        <v/>
      </c>
      <c r="N348" s="17" t="str">
        <f>IF(OR($A348="",$A348="Grand Total"),IF($A348="Grand Total",SUM($N$15:$N347),""),SUMPRODUCT((Table1[County]=SummaryPage!$A348)*(Table1[Status]&lt;&gt;"Complete")))</f>
        <v/>
      </c>
      <c r="O348" s="6" t="str">
        <f ca="1">IF($A348="Grand Total",SUM(INDIRECT(ADDRESS(1,COLUMN())&amp;":"&amp;ADDRESS(ROW()-1,COLUMN()))),IF(OR($A348="State Agencies",IFERROR(AND($L348&gt;='Input Sheet'!$J$2,$A348&lt;&gt;""),0)),$J348,""))</f>
        <v/>
      </c>
      <c r="P348" s="3" t="str">
        <f>IF(OR($A348="",$A348="Grand Total"),"",IF(IFERROR(ROUND($J348/$K348,2),1000)&gt;='Input Sheet'!$J$2,1,""))</f>
        <v/>
      </c>
      <c r="Q348" s="3" t="str">
        <f t="shared" si="23"/>
        <v/>
      </c>
      <c r="R348" s="3" t="str">
        <f>IF(OR($A348="",$A348="Grand Total"),"",AND($J348=0,(SUMPRODUCT((Table1[County]=SummaryPage!$A348)*(Table1[Status]="Not Started"))+SUMPRODUCT((Table1[County]=SummaryPage!$A348)*(Table1[Status]="")))=SUMPRODUCT((Table1[County]=SummaryPage!$A348)*(Table1[Status]&lt;&gt;"Q"))))</f>
        <v/>
      </c>
    </row>
    <row r="349" spans="11:18" x14ac:dyDescent="0.3">
      <c r="K349" s="29" t="str">
        <f>IF($A349="","",VLOOKUP('Input Sheet'!$D$2 &amp; " " &amp; $A349,Pop[#All],4,FALSE))</f>
        <v/>
      </c>
      <c r="L349" s="5" t="str">
        <f t="shared" si="22"/>
        <v/>
      </c>
      <c r="M349" s="7" t="str">
        <f t="shared" ca="1" si="21"/>
        <v/>
      </c>
      <c r="N349" s="17" t="str">
        <f>IF(OR($A349="",$A349="Grand Total"),IF($A349="Grand Total",SUM($N$15:$N348),""),SUMPRODUCT((Table1[County]=SummaryPage!$A349)*(Table1[Status]&lt;&gt;"Complete")))</f>
        <v/>
      </c>
      <c r="O349" s="6" t="str">
        <f ca="1">IF($A349="Grand Total",SUM(INDIRECT(ADDRESS(1,COLUMN())&amp;":"&amp;ADDRESS(ROW()-1,COLUMN()))),IF(OR($A349="State Agencies",IFERROR(AND($L349&gt;='Input Sheet'!$J$2,$A349&lt;&gt;""),0)),$J349,""))</f>
        <v/>
      </c>
      <c r="P349" s="3" t="str">
        <f>IF(OR($A349="",$A349="Grand Total"),"",IF(IFERROR(ROUND($J349/$K349,2),1000)&gt;='Input Sheet'!$J$2,1,""))</f>
        <v/>
      </c>
      <c r="Q349" s="3" t="str">
        <f t="shared" si="23"/>
        <v/>
      </c>
      <c r="R349" s="3" t="str">
        <f>IF(OR($A349="",$A349="Grand Total"),"",AND($J349=0,(SUMPRODUCT((Table1[County]=SummaryPage!$A349)*(Table1[Status]="Not Started"))+SUMPRODUCT((Table1[County]=SummaryPage!$A349)*(Table1[Status]="")))=SUMPRODUCT((Table1[County]=SummaryPage!$A349)*(Table1[Status]&lt;&gt;"Q"))))</f>
        <v/>
      </c>
    </row>
    <row r="350" spans="11:18" x14ac:dyDescent="0.3">
      <c r="K350" s="29" t="str">
        <f>IF($A350="","",VLOOKUP('Input Sheet'!$D$2 &amp; " " &amp; $A350,Pop[#All],4,FALSE))</f>
        <v/>
      </c>
      <c r="L350" s="5" t="str">
        <f t="shared" si="22"/>
        <v/>
      </c>
      <c r="M350" s="7" t="str">
        <f t="shared" ca="1" si="21"/>
        <v/>
      </c>
      <c r="N350" s="17" t="str">
        <f>IF(OR($A350="",$A350="Grand Total"),IF($A350="Grand Total",SUM($N$15:$N349),""),SUMPRODUCT((Table1[County]=SummaryPage!$A350)*(Table1[Status]&lt;&gt;"Complete")))</f>
        <v/>
      </c>
      <c r="O350" s="6" t="str">
        <f ca="1">IF($A350="Grand Total",SUM(INDIRECT(ADDRESS(1,COLUMN())&amp;":"&amp;ADDRESS(ROW()-1,COLUMN()))),IF(OR($A350="State Agencies",IFERROR(AND($L350&gt;='Input Sheet'!$J$2,$A350&lt;&gt;""),0)),$J350,""))</f>
        <v/>
      </c>
      <c r="P350" s="3" t="str">
        <f>IF(OR($A350="",$A350="Grand Total"),"",IF(IFERROR(ROUND($J350/$K350,2),1000)&gt;='Input Sheet'!$J$2,1,""))</f>
        <v/>
      </c>
      <c r="Q350" s="3" t="str">
        <f t="shared" si="23"/>
        <v/>
      </c>
      <c r="R350" s="3" t="str">
        <f>IF(OR($A350="",$A350="Grand Total"),"",AND($J350=0,(SUMPRODUCT((Table1[County]=SummaryPage!$A350)*(Table1[Status]="Not Started"))+SUMPRODUCT((Table1[County]=SummaryPage!$A350)*(Table1[Status]="")))=SUMPRODUCT((Table1[County]=SummaryPage!$A350)*(Table1[Status]&lt;&gt;"Q"))))</f>
        <v/>
      </c>
    </row>
    <row r="351" spans="11:18" x14ac:dyDescent="0.3">
      <c r="K351" s="29" t="str">
        <f>IF($A351="","",VLOOKUP('Input Sheet'!$D$2 &amp; " " &amp; $A351,Pop[#All],4,FALSE))</f>
        <v/>
      </c>
      <c r="L351" s="5" t="str">
        <f t="shared" si="22"/>
        <v/>
      </c>
      <c r="M351" s="7" t="str">
        <f t="shared" ca="1" si="21"/>
        <v/>
      </c>
      <c r="N351" s="17" t="str">
        <f>IF(OR($A351="",$A351="Grand Total"),IF($A351="Grand Total",SUM($N$15:$N350),""),SUMPRODUCT((Table1[County]=SummaryPage!$A351)*(Table1[Status]&lt;&gt;"Complete")))</f>
        <v/>
      </c>
      <c r="O351" s="6" t="str">
        <f ca="1">IF($A351="Grand Total",SUM(INDIRECT(ADDRESS(1,COLUMN())&amp;":"&amp;ADDRESS(ROW()-1,COLUMN()))),IF(OR($A351="State Agencies",IFERROR(AND($L351&gt;='Input Sheet'!$J$2,$A351&lt;&gt;""),0)),$J351,""))</f>
        <v/>
      </c>
      <c r="P351" s="3" t="str">
        <f>IF(OR($A351="",$A351="Grand Total"),"",IF(IFERROR(ROUND($J351/$K351,2),1000)&gt;='Input Sheet'!$J$2,1,""))</f>
        <v/>
      </c>
      <c r="Q351" s="3" t="str">
        <f t="shared" si="23"/>
        <v/>
      </c>
      <c r="R351" s="3" t="str">
        <f>IF(OR($A351="",$A351="Grand Total"),"",AND($J351=0,(SUMPRODUCT((Table1[County]=SummaryPage!$A351)*(Table1[Status]="Not Started"))+SUMPRODUCT((Table1[County]=SummaryPage!$A351)*(Table1[Status]="")))=SUMPRODUCT((Table1[County]=SummaryPage!$A351)*(Table1[Status]&lt;&gt;"Q"))))</f>
        <v/>
      </c>
    </row>
    <row r="352" spans="11:18" x14ac:dyDescent="0.3">
      <c r="K352" s="29" t="str">
        <f>IF($A352="","",VLOOKUP('Input Sheet'!$D$2 &amp; " " &amp; $A352,Pop[#All],4,FALSE))</f>
        <v/>
      </c>
      <c r="L352" s="5" t="str">
        <f t="shared" si="22"/>
        <v/>
      </c>
      <c r="M352" s="7" t="str">
        <f t="shared" ca="1" si="21"/>
        <v/>
      </c>
      <c r="N352" s="17" t="str">
        <f>IF(OR($A352="",$A352="Grand Total"),IF($A352="Grand Total",SUM($N$15:$N351),""),SUMPRODUCT((Table1[County]=SummaryPage!$A352)*(Table1[Status]&lt;&gt;"Complete")))</f>
        <v/>
      </c>
      <c r="O352" s="6" t="str">
        <f ca="1">IF($A352="Grand Total",SUM(INDIRECT(ADDRESS(1,COLUMN())&amp;":"&amp;ADDRESS(ROW()-1,COLUMN()))),IF(OR($A352="State Agencies",IFERROR(AND($L352&gt;='Input Sheet'!$J$2,$A352&lt;&gt;""),0)),$J352,""))</f>
        <v/>
      </c>
      <c r="P352" s="3" t="str">
        <f>IF(OR($A352="",$A352="Grand Total"),"",IF(IFERROR(ROUND($J352/$K352,2),1000)&gt;='Input Sheet'!$J$2,1,""))</f>
        <v/>
      </c>
      <c r="Q352" s="3" t="str">
        <f t="shared" si="23"/>
        <v/>
      </c>
      <c r="R352" s="3" t="str">
        <f>IF(OR($A352="",$A352="Grand Total"),"",AND($J352=0,(SUMPRODUCT((Table1[County]=SummaryPage!$A352)*(Table1[Status]="Not Started"))+SUMPRODUCT((Table1[County]=SummaryPage!$A352)*(Table1[Status]="")))=SUMPRODUCT((Table1[County]=SummaryPage!$A352)*(Table1[Status]&lt;&gt;"Q"))))</f>
        <v/>
      </c>
    </row>
    <row r="353" spans="11:18" x14ac:dyDescent="0.3">
      <c r="K353" s="29" t="str">
        <f>IF($A353="","",VLOOKUP('Input Sheet'!$D$2 &amp; " " &amp; $A353,Pop[#All],4,FALSE))</f>
        <v/>
      </c>
      <c r="L353" s="5" t="str">
        <f t="shared" si="22"/>
        <v/>
      </c>
      <c r="M353" s="7" t="str">
        <f t="shared" ca="1" si="21"/>
        <v/>
      </c>
      <c r="N353" s="17" t="str">
        <f>IF(OR($A353="",$A353="Grand Total"),IF($A353="Grand Total",SUM($N$15:$N352),""),SUMPRODUCT((Table1[County]=SummaryPage!$A353)*(Table1[Status]&lt;&gt;"Complete")))</f>
        <v/>
      </c>
      <c r="O353" s="6" t="str">
        <f ca="1">IF($A353="Grand Total",SUM(INDIRECT(ADDRESS(1,COLUMN())&amp;":"&amp;ADDRESS(ROW()-1,COLUMN()))),IF(OR($A353="State Agencies",IFERROR(AND($L353&gt;='Input Sheet'!$J$2,$A353&lt;&gt;""),0)),$J353,""))</f>
        <v/>
      </c>
      <c r="P353" s="3" t="str">
        <f>IF(OR($A353="",$A353="Grand Total"),"",IF(IFERROR(ROUND($J353/$K353,2),1000)&gt;='Input Sheet'!$J$2,1,""))</f>
        <v/>
      </c>
      <c r="Q353" s="3" t="str">
        <f t="shared" si="23"/>
        <v/>
      </c>
      <c r="R353" s="3" t="str">
        <f>IF(OR($A353="",$A353="Grand Total"),"",AND($J353=0,(SUMPRODUCT((Table1[County]=SummaryPage!$A353)*(Table1[Status]="Not Started"))+SUMPRODUCT((Table1[County]=SummaryPage!$A353)*(Table1[Status]="")))=SUMPRODUCT((Table1[County]=SummaryPage!$A353)*(Table1[Status]&lt;&gt;"Q"))))</f>
        <v/>
      </c>
    </row>
    <row r="354" spans="11:18" x14ac:dyDescent="0.3">
      <c r="K354" s="29" t="str">
        <f>IF($A354="","",VLOOKUP('Input Sheet'!$D$2 &amp; " " &amp; $A354,Pop[#All],4,FALSE))</f>
        <v/>
      </c>
      <c r="L354" s="5" t="str">
        <f t="shared" si="22"/>
        <v/>
      </c>
      <c r="M354" s="7" t="str">
        <f t="shared" ca="1" si="21"/>
        <v/>
      </c>
      <c r="N354" s="17" t="str">
        <f>IF(OR($A354="",$A354="Grand Total"),IF($A354="Grand Total",SUM($N$15:$N353),""),SUMPRODUCT((Table1[County]=SummaryPage!$A354)*(Table1[Status]&lt;&gt;"Complete")))</f>
        <v/>
      </c>
      <c r="O354" s="6" t="str">
        <f ca="1">IF($A354="Grand Total",SUM(INDIRECT(ADDRESS(1,COLUMN())&amp;":"&amp;ADDRESS(ROW()-1,COLUMN()))),IF(OR($A354="State Agencies",IFERROR(AND($L354&gt;='Input Sheet'!$J$2,$A354&lt;&gt;""),0)),$J354,""))</f>
        <v/>
      </c>
      <c r="P354" s="3" t="str">
        <f>IF(OR($A354="",$A354="Grand Total"),"",IF(IFERROR(ROUND($J354/$K354,2),1000)&gt;='Input Sheet'!$J$2,1,""))</f>
        <v/>
      </c>
      <c r="Q354" s="3" t="str">
        <f t="shared" si="23"/>
        <v/>
      </c>
      <c r="R354" s="3" t="str">
        <f>IF(OR($A354="",$A354="Grand Total"),"",AND($J354=0,(SUMPRODUCT((Table1[County]=SummaryPage!$A354)*(Table1[Status]="Not Started"))+SUMPRODUCT((Table1[County]=SummaryPage!$A354)*(Table1[Status]="")))=SUMPRODUCT((Table1[County]=SummaryPage!$A354)*(Table1[Status]&lt;&gt;"Q"))))</f>
        <v/>
      </c>
    </row>
    <row r="355" spans="11:18" x14ac:dyDescent="0.3">
      <c r="K355" s="29" t="str">
        <f>IF($A355="","",VLOOKUP('Input Sheet'!$D$2 &amp; " " &amp; $A355,Pop[#All],4,FALSE))</f>
        <v/>
      </c>
      <c r="L355" s="5" t="str">
        <f t="shared" si="22"/>
        <v/>
      </c>
      <c r="M355" s="7" t="str">
        <f t="shared" ca="1" si="21"/>
        <v/>
      </c>
      <c r="N355" s="17" t="str">
        <f>IF(OR($A355="",$A355="Grand Total"),IF($A355="Grand Total",SUM($N$15:$N354),""),SUMPRODUCT((Table1[County]=SummaryPage!$A355)*(Table1[Status]&lt;&gt;"Complete")))</f>
        <v/>
      </c>
      <c r="O355" s="6" t="str">
        <f ca="1">IF($A355="Grand Total",SUM(INDIRECT(ADDRESS(1,COLUMN())&amp;":"&amp;ADDRESS(ROW()-1,COLUMN()))),IF(OR($A355="State Agencies",IFERROR(AND($L355&gt;='Input Sheet'!$J$2,$A355&lt;&gt;""),0)),$J355,""))</f>
        <v/>
      </c>
      <c r="P355" s="3" t="str">
        <f>IF(OR($A355="",$A355="Grand Total"),"",IF(IFERROR(ROUND($J355/$K355,2),1000)&gt;='Input Sheet'!$J$2,1,""))</f>
        <v/>
      </c>
      <c r="Q355" s="3" t="str">
        <f t="shared" si="23"/>
        <v/>
      </c>
      <c r="R355" s="3" t="str">
        <f>IF(OR($A355="",$A355="Grand Total"),"",AND($J355=0,(SUMPRODUCT((Table1[County]=SummaryPage!$A355)*(Table1[Status]="Not Started"))+SUMPRODUCT((Table1[County]=SummaryPage!$A355)*(Table1[Status]="")))=SUMPRODUCT((Table1[County]=SummaryPage!$A355)*(Table1[Status]&lt;&gt;"Q"))))</f>
        <v/>
      </c>
    </row>
    <row r="356" spans="11:18" x14ac:dyDescent="0.3">
      <c r="K356" s="29" t="str">
        <f>IF($A356="","",VLOOKUP('Input Sheet'!$D$2 &amp; " " &amp; $A356,Pop[#All],4,FALSE))</f>
        <v/>
      </c>
      <c r="L356" s="5" t="str">
        <f t="shared" si="22"/>
        <v/>
      </c>
      <c r="M356" s="7" t="str">
        <f t="shared" ca="1" si="21"/>
        <v/>
      </c>
      <c r="N356" s="17" t="str">
        <f>IF(OR($A356="",$A356="Grand Total"),IF($A356="Grand Total",SUM($N$15:$N355),""),SUMPRODUCT((Table1[County]=SummaryPage!$A356)*(Table1[Status]&lt;&gt;"Complete")))</f>
        <v/>
      </c>
      <c r="O356" s="6" t="str">
        <f ca="1">IF($A356="Grand Total",SUM(INDIRECT(ADDRESS(1,COLUMN())&amp;":"&amp;ADDRESS(ROW()-1,COLUMN()))),IF(OR($A356="State Agencies",IFERROR(AND($L356&gt;='Input Sheet'!$J$2,$A356&lt;&gt;""),0)),$J356,""))</f>
        <v/>
      </c>
      <c r="P356" s="3" t="str">
        <f>IF(OR($A356="",$A356="Grand Total"),"",IF(IFERROR(ROUND($J356/$K356,2),1000)&gt;='Input Sheet'!$J$2,1,""))</f>
        <v/>
      </c>
      <c r="Q356" s="3" t="str">
        <f t="shared" si="23"/>
        <v/>
      </c>
      <c r="R356" s="3" t="str">
        <f>IF(OR($A356="",$A356="Grand Total"),"",AND($J356=0,(SUMPRODUCT((Table1[County]=SummaryPage!$A356)*(Table1[Status]="Not Started"))+SUMPRODUCT((Table1[County]=SummaryPage!$A356)*(Table1[Status]="")))=SUMPRODUCT((Table1[County]=SummaryPage!$A356)*(Table1[Status]&lt;&gt;"Q"))))</f>
        <v/>
      </c>
    </row>
    <row r="357" spans="11:18" x14ac:dyDescent="0.3">
      <c r="K357" s="29" t="str">
        <f>IF($A357="","",VLOOKUP('Input Sheet'!$D$2 &amp; " " &amp; $A357,Pop[#All],4,FALSE))</f>
        <v/>
      </c>
      <c r="L357" s="5" t="str">
        <f t="shared" si="22"/>
        <v/>
      </c>
      <c r="M357" s="7" t="str">
        <f t="shared" ca="1" si="21"/>
        <v/>
      </c>
      <c r="N357" s="17" t="str">
        <f>IF(OR($A357="",$A357="Grand Total"),IF($A357="Grand Total",SUM($N$15:$N356),""),SUMPRODUCT((Table1[County]=SummaryPage!$A357)*(Table1[Status]&lt;&gt;"Complete")))</f>
        <v/>
      </c>
      <c r="O357" s="6" t="str">
        <f ca="1">IF($A357="Grand Total",SUM(INDIRECT(ADDRESS(1,COLUMN())&amp;":"&amp;ADDRESS(ROW()-1,COLUMN()))),IF(OR($A357="State Agencies",IFERROR(AND($L357&gt;='Input Sheet'!$J$2,$A357&lt;&gt;""),0)),$J357,""))</f>
        <v/>
      </c>
      <c r="P357" s="3" t="str">
        <f>IF(OR($A357="",$A357="Grand Total"),"",IF(IFERROR(ROUND($J357/$K357,2),1000)&gt;='Input Sheet'!$J$2,1,""))</f>
        <v/>
      </c>
      <c r="Q357" s="3" t="str">
        <f t="shared" si="23"/>
        <v/>
      </c>
      <c r="R357" s="3" t="str">
        <f>IF(OR($A357="",$A357="Grand Total"),"",AND($J357=0,(SUMPRODUCT((Table1[County]=SummaryPage!$A357)*(Table1[Status]="Not Started"))+SUMPRODUCT((Table1[County]=SummaryPage!$A357)*(Table1[Status]="")))=SUMPRODUCT((Table1[County]=SummaryPage!$A357)*(Table1[Status]&lt;&gt;"Q"))))</f>
        <v/>
      </c>
    </row>
    <row r="358" spans="11:18" x14ac:dyDescent="0.3">
      <c r="K358" s="29" t="str">
        <f>IF($A358="","",VLOOKUP('Input Sheet'!$D$2 &amp; " " &amp; $A358,Pop[#All],4,FALSE))</f>
        <v/>
      </c>
      <c r="L358" s="5" t="str">
        <f t="shared" si="22"/>
        <v/>
      </c>
      <c r="M358" s="7" t="str">
        <f t="shared" ca="1" si="21"/>
        <v/>
      </c>
      <c r="N358" s="17" t="str">
        <f>IF(OR($A358="",$A358="Grand Total"),IF($A358="Grand Total",SUM($N$15:$N357),""),SUMPRODUCT((Table1[County]=SummaryPage!$A358)*(Table1[Status]&lt;&gt;"Complete")))</f>
        <v/>
      </c>
      <c r="O358" s="6" t="str">
        <f ca="1">IF($A358="Grand Total",SUM(INDIRECT(ADDRESS(1,COLUMN())&amp;":"&amp;ADDRESS(ROW()-1,COLUMN()))),IF(OR($A358="State Agencies",IFERROR(AND($L358&gt;='Input Sheet'!$J$2,$A358&lt;&gt;""),0)),$J358,""))</f>
        <v/>
      </c>
      <c r="P358" s="3" t="str">
        <f>IF(OR($A358="",$A358="Grand Total"),"",IF(IFERROR(ROUND($J358/$K358,2),1000)&gt;='Input Sheet'!$J$2,1,""))</f>
        <v/>
      </c>
      <c r="Q358" s="3" t="str">
        <f t="shared" si="23"/>
        <v/>
      </c>
      <c r="R358" s="3" t="str">
        <f>IF(OR($A358="",$A358="Grand Total"),"",AND($J358=0,(SUMPRODUCT((Table1[County]=SummaryPage!$A358)*(Table1[Status]="Not Started"))+SUMPRODUCT((Table1[County]=SummaryPage!$A358)*(Table1[Status]="")))=SUMPRODUCT((Table1[County]=SummaryPage!$A358)*(Table1[Status]&lt;&gt;"Q"))))</f>
        <v/>
      </c>
    </row>
    <row r="359" spans="11:18" x14ac:dyDescent="0.3">
      <c r="K359" s="29" t="str">
        <f>IF($A359="","",VLOOKUP('Input Sheet'!$D$2 &amp; " " &amp; $A359,Pop[#All],4,FALSE))</f>
        <v/>
      </c>
      <c r="L359" s="5" t="str">
        <f t="shared" si="22"/>
        <v/>
      </c>
      <c r="M359" s="7" t="str">
        <f t="shared" ca="1" si="21"/>
        <v/>
      </c>
      <c r="N359" s="17" t="str">
        <f>IF(OR($A359="",$A359="Grand Total"),IF($A359="Grand Total",SUM($N$15:$N358),""),SUMPRODUCT((Table1[County]=SummaryPage!$A359)*(Table1[Status]&lt;&gt;"Complete")))</f>
        <v/>
      </c>
      <c r="O359" s="6" t="str">
        <f ca="1">IF($A359="Grand Total",SUM(INDIRECT(ADDRESS(1,COLUMN())&amp;":"&amp;ADDRESS(ROW()-1,COLUMN()))),IF(OR($A359="State Agencies",IFERROR(AND($L359&gt;='Input Sheet'!$J$2,$A359&lt;&gt;""),0)),$J359,""))</f>
        <v/>
      </c>
      <c r="P359" s="3" t="str">
        <f>IF(OR($A359="",$A359="Grand Total"),"",IF(IFERROR(ROUND($J359/$K359,2),1000)&gt;='Input Sheet'!$J$2,1,""))</f>
        <v/>
      </c>
      <c r="Q359" s="3" t="str">
        <f t="shared" si="23"/>
        <v/>
      </c>
      <c r="R359" s="3" t="str">
        <f>IF(OR($A359="",$A359="Grand Total"),"",AND($J359=0,(SUMPRODUCT((Table1[County]=SummaryPage!$A359)*(Table1[Status]="Not Started"))+SUMPRODUCT((Table1[County]=SummaryPage!$A359)*(Table1[Status]="")))=SUMPRODUCT((Table1[County]=SummaryPage!$A359)*(Table1[Status]&lt;&gt;"Q"))))</f>
        <v/>
      </c>
    </row>
    <row r="360" spans="11:18" x14ac:dyDescent="0.3">
      <c r="K360" s="29" t="str">
        <f>IF($A360="","",VLOOKUP('Input Sheet'!$D$2 &amp; " " &amp; $A360,Pop[#All],4,FALSE))</f>
        <v/>
      </c>
      <c r="L360" s="5" t="str">
        <f t="shared" si="22"/>
        <v/>
      </c>
      <c r="M360" s="7" t="str">
        <f t="shared" ca="1" si="21"/>
        <v/>
      </c>
      <c r="N360" s="17" t="str">
        <f>IF(OR($A360="",$A360="Grand Total"),IF($A360="Grand Total",SUM($N$15:$N359),""),SUMPRODUCT((Table1[County]=SummaryPage!$A360)*(Table1[Status]&lt;&gt;"Complete")))</f>
        <v/>
      </c>
      <c r="O360" s="6" t="str">
        <f ca="1">IF($A360="Grand Total",SUM(INDIRECT(ADDRESS(1,COLUMN())&amp;":"&amp;ADDRESS(ROW()-1,COLUMN()))),IF(OR($A360="State Agencies",IFERROR(AND($L360&gt;='Input Sheet'!$J$2,$A360&lt;&gt;""),0)),$J360,""))</f>
        <v/>
      </c>
      <c r="P360" s="3" t="str">
        <f>IF(OR($A360="",$A360="Grand Total"),"",IF(IFERROR(ROUND($J360/$K360,2),1000)&gt;='Input Sheet'!$J$2,1,""))</f>
        <v/>
      </c>
      <c r="Q360" s="3" t="str">
        <f t="shared" si="23"/>
        <v/>
      </c>
      <c r="R360" s="3" t="str">
        <f>IF(OR($A360="",$A360="Grand Total"),"",AND($J360=0,(SUMPRODUCT((Table1[County]=SummaryPage!$A360)*(Table1[Status]="Not Started"))+SUMPRODUCT((Table1[County]=SummaryPage!$A360)*(Table1[Status]="")))=SUMPRODUCT((Table1[County]=SummaryPage!$A360)*(Table1[Status]&lt;&gt;"Q"))))</f>
        <v/>
      </c>
    </row>
    <row r="361" spans="11:18" x14ac:dyDescent="0.3">
      <c r="K361" s="29" t="str">
        <f>IF($A361="","",VLOOKUP('Input Sheet'!$D$2 &amp; " " &amp; $A361,Pop[#All],4,FALSE))</f>
        <v/>
      </c>
      <c r="L361" s="5" t="str">
        <f t="shared" si="22"/>
        <v/>
      </c>
      <c r="M361" s="7" t="str">
        <f t="shared" ca="1" si="21"/>
        <v/>
      </c>
      <c r="N361" s="17" t="str">
        <f>IF(OR($A361="",$A361="Grand Total"),IF($A361="Grand Total",SUM($N$15:$N360),""),SUMPRODUCT((Table1[County]=SummaryPage!$A361)*(Table1[Status]&lt;&gt;"Complete")))</f>
        <v/>
      </c>
      <c r="O361" s="6" t="str">
        <f ca="1">IF($A361="Grand Total",SUM(INDIRECT(ADDRESS(1,COLUMN())&amp;":"&amp;ADDRESS(ROW()-1,COLUMN()))),IF(OR($A361="State Agencies",IFERROR(AND($L361&gt;='Input Sheet'!$J$2,$A361&lt;&gt;""),0)),$J361,""))</f>
        <v/>
      </c>
      <c r="P361" s="3" t="str">
        <f>IF(OR($A361="",$A361="Grand Total"),"",IF(IFERROR(ROUND($J361/$K361,2),1000)&gt;='Input Sheet'!$J$2,1,""))</f>
        <v/>
      </c>
      <c r="Q361" s="3" t="str">
        <f t="shared" si="23"/>
        <v/>
      </c>
      <c r="R361" s="3" t="str">
        <f>IF(OR($A361="",$A361="Grand Total"),"",AND($J361=0,(SUMPRODUCT((Table1[County]=SummaryPage!$A361)*(Table1[Status]="Not Started"))+SUMPRODUCT((Table1[County]=SummaryPage!$A361)*(Table1[Status]="")))=SUMPRODUCT((Table1[County]=SummaryPage!$A361)*(Table1[Status]&lt;&gt;"Q"))))</f>
        <v/>
      </c>
    </row>
    <row r="362" spans="11:18" x14ac:dyDescent="0.3">
      <c r="K362" s="29" t="str">
        <f>IF($A362="","",VLOOKUP('Input Sheet'!$D$2 &amp; " " &amp; $A362,Pop[#All],4,FALSE))</f>
        <v/>
      </c>
      <c r="L362" s="5" t="str">
        <f t="shared" si="22"/>
        <v/>
      </c>
      <c r="M362" s="7" t="str">
        <f t="shared" ca="1" si="21"/>
        <v/>
      </c>
      <c r="N362" s="17" t="str">
        <f>IF(OR($A362="",$A362="Grand Total"),IF($A362="Grand Total",SUM($N$15:$N361),""),SUMPRODUCT((Table1[County]=SummaryPage!$A362)*(Table1[Status]&lt;&gt;"Complete")))</f>
        <v/>
      </c>
      <c r="O362" s="6" t="str">
        <f ca="1">IF($A362="Grand Total",SUM(INDIRECT(ADDRESS(1,COLUMN())&amp;":"&amp;ADDRESS(ROW()-1,COLUMN()))),IF(OR($A362="State Agencies",IFERROR(AND($L362&gt;='Input Sheet'!$J$2,$A362&lt;&gt;""),0)),$J362,""))</f>
        <v/>
      </c>
      <c r="P362" s="3" t="str">
        <f>IF(OR($A362="",$A362="Grand Total"),"",IF(IFERROR(ROUND($J362/$K362,2),1000)&gt;='Input Sheet'!$J$2,1,""))</f>
        <v/>
      </c>
      <c r="Q362" s="3" t="str">
        <f t="shared" si="23"/>
        <v/>
      </c>
      <c r="R362" s="3" t="str">
        <f>IF(OR($A362="",$A362="Grand Total"),"",AND($J362=0,(SUMPRODUCT((Table1[County]=SummaryPage!$A362)*(Table1[Status]="Not Started"))+SUMPRODUCT((Table1[County]=SummaryPage!$A362)*(Table1[Status]="")))=SUMPRODUCT((Table1[County]=SummaryPage!$A362)*(Table1[Status]&lt;&gt;"Q"))))</f>
        <v/>
      </c>
    </row>
    <row r="363" spans="11:18" x14ac:dyDescent="0.3">
      <c r="K363" s="29" t="str">
        <f>IF($A363="","",VLOOKUP('Input Sheet'!$D$2 &amp; " " &amp; $A363,Pop[#All],4,FALSE))</f>
        <v/>
      </c>
      <c r="L363" s="5" t="str">
        <f t="shared" si="22"/>
        <v/>
      </c>
      <c r="M363" s="7" t="str">
        <f t="shared" ca="1" si="21"/>
        <v/>
      </c>
      <c r="N363" s="17" t="str">
        <f>IF(OR($A363="",$A363="Grand Total"),IF($A363="Grand Total",SUM($N$15:$N362),""),SUMPRODUCT((Table1[County]=SummaryPage!$A363)*(Table1[Status]&lt;&gt;"Complete")))</f>
        <v/>
      </c>
      <c r="O363" s="6" t="str">
        <f ca="1">IF($A363="Grand Total",SUM(INDIRECT(ADDRESS(1,COLUMN())&amp;":"&amp;ADDRESS(ROW()-1,COLUMN()))),IF(OR($A363="State Agencies",IFERROR(AND($L363&gt;='Input Sheet'!$J$2,$A363&lt;&gt;""),0)),$J363,""))</f>
        <v/>
      </c>
      <c r="P363" s="3" t="str">
        <f>IF(OR($A363="",$A363="Grand Total"),"",IF(IFERROR(ROUND($J363/$K363,2),1000)&gt;='Input Sheet'!$J$2,1,""))</f>
        <v/>
      </c>
      <c r="Q363" s="3" t="str">
        <f t="shared" si="23"/>
        <v/>
      </c>
      <c r="R363" s="3" t="str">
        <f>IF(OR($A363="",$A363="Grand Total"),"",AND($J363=0,(SUMPRODUCT((Table1[County]=SummaryPage!$A363)*(Table1[Status]="Not Started"))+SUMPRODUCT((Table1[County]=SummaryPage!$A363)*(Table1[Status]="")))=SUMPRODUCT((Table1[County]=SummaryPage!$A363)*(Table1[Status]&lt;&gt;"Q"))))</f>
        <v/>
      </c>
    </row>
    <row r="364" spans="11:18" x14ac:dyDescent="0.3">
      <c r="K364" s="29" t="str">
        <f>IF($A364="","",VLOOKUP('Input Sheet'!$D$2 &amp; " " &amp; $A364,Pop[#All],4,FALSE))</f>
        <v/>
      </c>
      <c r="L364" s="5" t="str">
        <f t="shared" si="22"/>
        <v/>
      </c>
      <c r="M364" s="7" t="str">
        <f t="shared" ca="1" si="21"/>
        <v/>
      </c>
      <c r="N364" s="17" t="str">
        <f>IF(OR($A364="",$A364="Grand Total"),IF($A364="Grand Total",SUM($N$15:$N363),""),SUMPRODUCT((Table1[County]=SummaryPage!$A364)*(Table1[Status]&lt;&gt;"Complete")))</f>
        <v/>
      </c>
      <c r="O364" s="6" t="str">
        <f ca="1">IF($A364="Grand Total",SUM(INDIRECT(ADDRESS(1,COLUMN())&amp;":"&amp;ADDRESS(ROW()-1,COLUMN()))),IF(OR($A364="State Agencies",IFERROR(AND($L364&gt;='Input Sheet'!$J$2,$A364&lt;&gt;""),0)),$J364,""))</f>
        <v/>
      </c>
      <c r="P364" s="3" t="str">
        <f>IF(OR($A364="",$A364="Grand Total"),"",IF(IFERROR(ROUND($J364/$K364,2),1000)&gt;='Input Sheet'!$J$2,1,""))</f>
        <v/>
      </c>
      <c r="Q364" s="3" t="str">
        <f t="shared" si="23"/>
        <v/>
      </c>
      <c r="R364" s="3" t="str">
        <f>IF(OR($A364="",$A364="Grand Total"),"",AND($J364=0,(SUMPRODUCT((Table1[County]=SummaryPage!$A364)*(Table1[Status]="Not Started"))+SUMPRODUCT((Table1[County]=SummaryPage!$A364)*(Table1[Status]="")))=SUMPRODUCT((Table1[County]=SummaryPage!$A364)*(Table1[Status]&lt;&gt;"Q"))))</f>
        <v/>
      </c>
    </row>
    <row r="365" spans="11:18" x14ac:dyDescent="0.3">
      <c r="K365" s="29" t="str">
        <f>IF($A365="","",VLOOKUP('Input Sheet'!$D$2 &amp; " " &amp; $A365,Pop[#All],4,FALSE))</f>
        <v/>
      </c>
      <c r="L365" s="5" t="str">
        <f t="shared" si="22"/>
        <v/>
      </c>
      <c r="M365" s="7" t="str">
        <f t="shared" ca="1" si="21"/>
        <v/>
      </c>
      <c r="N365" s="17" t="str">
        <f>IF(OR($A365="",$A365="Grand Total"),IF($A365="Grand Total",SUM($N$15:$N364),""),SUMPRODUCT((Table1[County]=SummaryPage!$A365)*(Table1[Status]&lt;&gt;"Complete")))</f>
        <v/>
      </c>
      <c r="O365" s="6" t="str">
        <f ca="1">IF($A365="Grand Total",SUM(INDIRECT(ADDRESS(1,COLUMN())&amp;":"&amp;ADDRESS(ROW()-1,COLUMN()))),IF(OR($A365="State Agencies",IFERROR(AND($L365&gt;='Input Sheet'!$J$2,$A365&lt;&gt;""),0)),$J365,""))</f>
        <v/>
      </c>
      <c r="P365" s="3" t="str">
        <f>IF(OR($A365="",$A365="Grand Total"),"",IF(IFERROR(ROUND($J365/$K365,2),1000)&gt;='Input Sheet'!$J$2,1,""))</f>
        <v/>
      </c>
      <c r="Q365" s="3" t="str">
        <f t="shared" si="23"/>
        <v/>
      </c>
      <c r="R365" s="3" t="str">
        <f>IF(OR($A365="",$A365="Grand Total"),"",AND($J365=0,(SUMPRODUCT((Table1[County]=SummaryPage!$A365)*(Table1[Status]="Not Started"))+SUMPRODUCT((Table1[County]=SummaryPage!$A365)*(Table1[Status]="")))=SUMPRODUCT((Table1[County]=SummaryPage!$A365)*(Table1[Status]&lt;&gt;"Q"))))</f>
        <v/>
      </c>
    </row>
    <row r="366" spans="11:18" x14ac:dyDescent="0.3">
      <c r="K366" s="29" t="str">
        <f>IF($A366="","",VLOOKUP('Input Sheet'!$D$2 &amp; " " &amp; $A366,Pop[#All],4,FALSE))</f>
        <v/>
      </c>
      <c r="L366" s="5" t="str">
        <f t="shared" si="22"/>
        <v/>
      </c>
      <c r="M366" s="7" t="str">
        <f t="shared" ca="1" si="21"/>
        <v/>
      </c>
      <c r="N366" s="17" t="str">
        <f>IF(OR($A366="",$A366="Grand Total"),IF($A366="Grand Total",SUM($N$15:$N365),""),SUMPRODUCT((Table1[County]=SummaryPage!$A366)*(Table1[Status]&lt;&gt;"Complete")))</f>
        <v/>
      </c>
      <c r="O366" s="6" t="str">
        <f ca="1">IF($A366="Grand Total",SUM(INDIRECT(ADDRESS(1,COLUMN())&amp;":"&amp;ADDRESS(ROW()-1,COLUMN()))),IF(OR($A366="State Agencies",IFERROR(AND($L366&gt;='Input Sheet'!$J$2,$A366&lt;&gt;""),0)),$J366,""))</f>
        <v/>
      </c>
      <c r="P366" s="3" t="str">
        <f>IF(OR($A366="",$A366="Grand Total"),"",IF(IFERROR(ROUND($J366/$K366,2),1000)&gt;='Input Sheet'!$J$2,1,""))</f>
        <v/>
      </c>
      <c r="Q366" s="3" t="str">
        <f t="shared" si="23"/>
        <v/>
      </c>
      <c r="R366" s="3" t="str">
        <f>IF(OR($A366="",$A366="Grand Total"),"",AND($J366=0,(SUMPRODUCT((Table1[County]=SummaryPage!$A366)*(Table1[Status]="Not Started"))+SUMPRODUCT((Table1[County]=SummaryPage!$A366)*(Table1[Status]="")))=SUMPRODUCT((Table1[County]=SummaryPage!$A366)*(Table1[Status]&lt;&gt;"Q"))))</f>
        <v/>
      </c>
    </row>
    <row r="367" spans="11:18" x14ac:dyDescent="0.3">
      <c r="K367" s="29" t="str">
        <f>IF($A367="","",VLOOKUP('Input Sheet'!$D$2 &amp; " " &amp; $A367,Pop[#All],4,FALSE))</f>
        <v/>
      </c>
      <c r="L367" s="5" t="str">
        <f t="shared" si="22"/>
        <v/>
      </c>
      <c r="M367" s="7" t="str">
        <f t="shared" ca="1" si="21"/>
        <v/>
      </c>
      <c r="N367" s="17" t="str">
        <f>IF(OR($A367="",$A367="Grand Total"),IF($A367="Grand Total",SUM($N$15:$N366),""),SUMPRODUCT((Table1[County]=SummaryPage!$A367)*(Table1[Status]&lt;&gt;"Complete")))</f>
        <v/>
      </c>
      <c r="O367" s="6" t="str">
        <f ca="1">IF($A367="Grand Total",SUM(INDIRECT(ADDRESS(1,COLUMN())&amp;":"&amp;ADDRESS(ROW()-1,COLUMN()))),IF(OR($A367="State Agencies",IFERROR(AND($L367&gt;='Input Sheet'!$J$2,$A367&lt;&gt;""),0)),$J367,""))</f>
        <v/>
      </c>
      <c r="P367" s="3" t="str">
        <f>IF(OR($A367="",$A367="Grand Total"),"",IF(IFERROR(ROUND($J367/$K367,2),1000)&gt;='Input Sheet'!$J$2,1,""))</f>
        <v/>
      </c>
      <c r="Q367" s="3" t="str">
        <f t="shared" si="23"/>
        <v/>
      </c>
      <c r="R367" s="3" t="str">
        <f>IF(OR($A367="",$A367="Grand Total"),"",AND($J367=0,(SUMPRODUCT((Table1[County]=SummaryPage!$A367)*(Table1[Status]="Not Started"))+SUMPRODUCT((Table1[County]=SummaryPage!$A367)*(Table1[Status]="")))=SUMPRODUCT((Table1[County]=SummaryPage!$A367)*(Table1[Status]&lt;&gt;"Q"))))</f>
        <v/>
      </c>
    </row>
    <row r="368" spans="11:18" x14ac:dyDescent="0.3">
      <c r="K368" s="29" t="str">
        <f>IF($A368="","",VLOOKUP('Input Sheet'!$D$2 &amp; " " &amp; $A368,Pop[#All],4,FALSE))</f>
        <v/>
      </c>
      <c r="L368" s="5" t="str">
        <f t="shared" si="22"/>
        <v/>
      </c>
      <c r="M368" s="7" t="str">
        <f t="shared" ca="1" si="21"/>
        <v/>
      </c>
      <c r="N368" s="17" t="str">
        <f>IF(OR($A368="",$A368="Grand Total"),IF($A368="Grand Total",SUM($N$15:$N367),""),SUMPRODUCT((Table1[County]=SummaryPage!$A368)*(Table1[Status]&lt;&gt;"Complete")))</f>
        <v/>
      </c>
      <c r="O368" s="6" t="str">
        <f ca="1">IF($A368="Grand Total",SUM(INDIRECT(ADDRESS(1,COLUMN())&amp;":"&amp;ADDRESS(ROW()-1,COLUMN()))),IF(OR($A368="State Agencies",IFERROR(AND($L368&gt;='Input Sheet'!$J$2,$A368&lt;&gt;""),0)),$J368,""))</f>
        <v/>
      </c>
      <c r="P368" s="3" t="str">
        <f>IF(OR($A368="",$A368="Grand Total"),"",IF(IFERROR(ROUND($J368/$K368,2),1000)&gt;='Input Sheet'!$J$2,1,""))</f>
        <v/>
      </c>
      <c r="Q368" s="3" t="str">
        <f t="shared" si="23"/>
        <v/>
      </c>
      <c r="R368" s="3" t="str">
        <f>IF(OR($A368="",$A368="Grand Total"),"",AND($J368=0,(SUMPRODUCT((Table1[County]=SummaryPage!$A368)*(Table1[Status]="Not Started"))+SUMPRODUCT((Table1[County]=SummaryPage!$A368)*(Table1[Status]="")))=SUMPRODUCT((Table1[County]=SummaryPage!$A368)*(Table1[Status]&lt;&gt;"Q"))))</f>
        <v/>
      </c>
    </row>
    <row r="369" spans="11:18" x14ac:dyDescent="0.3">
      <c r="K369" s="29" t="str">
        <f>IF($A369="","",VLOOKUP('Input Sheet'!$D$2 &amp; " " &amp; $A369,Pop[#All],4,FALSE))</f>
        <v/>
      </c>
      <c r="L369" s="5" t="str">
        <f t="shared" si="22"/>
        <v/>
      </c>
      <c r="M369" s="7" t="str">
        <f t="shared" ca="1" si="21"/>
        <v/>
      </c>
      <c r="N369" s="17" t="str">
        <f>IF(OR($A369="",$A369="Grand Total"),IF($A369="Grand Total",SUM($N$15:$N368),""),SUMPRODUCT((Table1[County]=SummaryPage!$A369)*(Table1[Status]&lt;&gt;"Complete")))</f>
        <v/>
      </c>
      <c r="O369" s="6" t="str">
        <f ca="1">IF($A369="Grand Total",SUM(INDIRECT(ADDRESS(1,COLUMN())&amp;":"&amp;ADDRESS(ROW()-1,COLUMN()))),IF(OR($A369="State Agencies",IFERROR(AND($L369&gt;='Input Sheet'!$J$2,$A369&lt;&gt;""),0)),$J369,""))</f>
        <v/>
      </c>
      <c r="P369" s="3" t="str">
        <f>IF(OR($A369="",$A369="Grand Total"),"",IF(IFERROR(ROUND($J369/$K369,2),1000)&gt;='Input Sheet'!$J$2,1,""))</f>
        <v/>
      </c>
      <c r="Q369" s="3" t="str">
        <f t="shared" si="23"/>
        <v/>
      </c>
      <c r="R369" s="3" t="str">
        <f>IF(OR($A369="",$A369="Grand Total"),"",AND($J369=0,(SUMPRODUCT((Table1[County]=SummaryPage!$A369)*(Table1[Status]="Not Started"))+SUMPRODUCT((Table1[County]=SummaryPage!$A369)*(Table1[Status]="")))=SUMPRODUCT((Table1[County]=SummaryPage!$A369)*(Table1[Status]&lt;&gt;"Q"))))</f>
        <v/>
      </c>
    </row>
    <row r="370" spans="11:18" x14ac:dyDescent="0.3">
      <c r="K370" s="29" t="str">
        <f>IF($A370="","",VLOOKUP('Input Sheet'!$D$2 &amp; " " &amp; $A370,Pop[#All],4,FALSE))</f>
        <v/>
      </c>
      <c r="L370" s="5" t="str">
        <f t="shared" si="22"/>
        <v/>
      </c>
      <c r="M370" s="7" t="str">
        <f t="shared" ca="1" si="21"/>
        <v/>
      </c>
      <c r="N370" s="17" t="str">
        <f>IF(OR($A370="",$A370="Grand Total"),IF($A370="Grand Total",SUM($N$15:$N369),""),SUMPRODUCT((Table1[County]=SummaryPage!$A370)*(Table1[Status]&lt;&gt;"Complete")))</f>
        <v/>
      </c>
      <c r="O370" s="6" t="str">
        <f ca="1">IF($A370="Grand Total",SUM(INDIRECT(ADDRESS(1,COLUMN())&amp;":"&amp;ADDRESS(ROW()-1,COLUMN()))),IF(OR($A370="State Agencies",IFERROR(AND($L370&gt;='Input Sheet'!$J$2,$A370&lt;&gt;""),0)),$J370,""))</f>
        <v/>
      </c>
      <c r="P370" s="3" t="str">
        <f>IF(OR($A370="",$A370="Grand Total"),"",IF(IFERROR(ROUND($J370/$K370,2),1000)&gt;='Input Sheet'!$J$2,1,""))</f>
        <v/>
      </c>
      <c r="Q370" s="3" t="str">
        <f t="shared" si="23"/>
        <v/>
      </c>
      <c r="R370" s="3" t="str">
        <f>IF(OR($A370="",$A370="Grand Total"),"",AND($J370=0,(SUMPRODUCT((Table1[County]=SummaryPage!$A370)*(Table1[Status]="Not Started"))+SUMPRODUCT((Table1[County]=SummaryPage!$A370)*(Table1[Status]="")))=SUMPRODUCT((Table1[County]=SummaryPage!$A370)*(Table1[Status]&lt;&gt;"Q"))))</f>
        <v/>
      </c>
    </row>
    <row r="371" spans="11:18" x14ac:dyDescent="0.3">
      <c r="K371" s="29" t="str">
        <f>IF($A371="","",VLOOKUP('Input Sheet'!$D$2 &amp; " " &amp; $A371,Pop[#All],4,FALSE))</f>
        <v/>
      </c>
      <c r="L371" s="5" t="str">
        <f t="shared" si="22"/>
        <v/>
      </c>
      <c r="M371" s="7" t="str">
        <f t="shared" ca="1" si="21"/>
        <v/>
      </c>
      <c r="N371" s="17" t="str">
        <f>IF(OR($A371="",$A371="Grand Total"),IF($A371="Grand Total",SUM($N$15:$N370),""),SUMPRODUCT((Table1[County]=SummaryPage!$A371)*(Table1[Status]&lt;&gt;"Complete")))</f>
        <v/>
      </c>
      <c r="O371" s="6" t="str">
        <f ca="1">IF($A371="Grand Total",SUM(INDIRECT(ADDRESS(1,COLUMN())&amp;":"&amp;ADDRESS(ROW()-1,COLUMN()))),IF(OR($A371="State Agencies",IFERROR(AND($L371&gt;='Input Sheet'!$J$2,$A371&lt;&gt;""),0)),$J371,""))</f>
        <v/>
      </c>
      <c r="P371" s="3" t="str">
        <f>IF(OR($A371="",$A371="Grand Total"),"",IF(IFERROR(ROUND($J371/$K371,2),1000)&gt;='Input Sheet'!$J$2,1,""))</f>
        <v/>
      </c>
      <c r="Q371" s="3" t="str">
        <f t="shared" si="23"/>
        <v/>
      </c>
      <c r="R371" s="3" t="str">
        <f>IF(OR($A371="",$A371="Grand Total"),"",AND($J371=0,(SUMPRODUCT((Table1[County]=SummaryPage!$A371)*(Table1[Status]="Not Started"))+SUMPRODUCT((Table1[County]=SummaryPage!$A371)*(Table1[Status]="")))=SUMPRODUCT((Table1[County]=SummaryPage!$A371)*(Table1[Status]&lt;&gt;"Q"))))</f>
        <v/>
      </c>
    </row>
    <row r="372" spans="11:18" x14ac:dyDescent="0.3">
      <c r="K372" s="29" t="str">
        <f>IF($A372="","",VLOOKUP('Input Sheet'!$D$2 &amp; " " &amp; $A372,Pop[#All],4,FALSE))</f>
        <v/>
      </c>
      <c r="L372" s="5" t="str">
        <f t="shared" si="22"/>
        <v/>
      </c>
      <c r="M372" s="7" t="str">
        <f t="shared" ca="1" si="21"/>
        <v/>
      </c>
      <c r="N372" s="17" t="str">
        <f>IF(OR($A372="",$A372="Grand Total"),IF($A372="Grand Total",SUM($N$15:$N371),""),SUMPRODUCT((Table1[County]=SummaryPage!$A372)*(Table1[Status]&lt;&gt;"Complete")))</f>
        <v/>
      </c>
      <c r="O372" s="6" t="str">
        <f ca="1">IF($A372="Grand Total",SUM(INDIRECT(ADDRESS(1,COLUMN())&amp;":"&amp;ADDRESS(ROW()-1,COLUMN()))),IF(OR($A372="State Agencies",IFERROR(AND($L372&gt;='Input Sheet'!$J$2,$A372&lt;&gt;""),0)),$J372,""))</f>
        <v/>
      </c>
      <c r="P372" s="3" t="str">
        <f>IF(OR($A372="",$A372="Grand Total"),"",IF(IFERROR(ROUND($J372/$K372,2),1000)&gt;='Input Sheet'!$J$2,1,""))</f>
        <v/>
      </c>
      <c r="Q372" s="3" t="str">
        <f t="shared" si="23"/>
        <v/>
      </c>
      <c r="R372" s="3" t="str">
        <f>IF(OR($A372="",$A372="Grand Total"),"",AND($J372=0,(SUMPRODUCT((Table1[County]=SummaryPage!$A372)*(Table1[Status]="Not Started"))+SUMPRODUCT((Table1[County]=SummaryPage!$A372)*(Table1[Status]="")))=SUMPRODUCT((Table1[County]=SummaryPage!$A372)*(Table1[Status]&lt;&gt;"Q"))))</f>
        <v/>
      </c>
    </row>
    <row r="373" spans="11:18" x14ac:dyDescent="0.3">
      <c r="K373" s="29" t="str">
        <f>IF($A373="","",VLOOKUP('Input Sheet'!$D$2 &amp; " " &amp; $A373,Pop[#All],4,FALSE))</f>
        <v/>
      </c>
      <c r="L373" s="5" t="str">
        <f t="shared" si="22"/>
        <v/>
      </c>
      <c r="M373" s="7" t="str">
        <f t="shared" ca="1" si="21"/>
        <v/>
      </c>
      <c r="N373" s="17" t="str">
        <f>IF(OR($A373="",$A373="Grand Total"),IF($A373="Grand Total",SUM($N$15:$N372),""),SUMPRODUCT((Table1[County]=SummaryPage!$A373)*(Table1[Status]&lt;&gt;"Complete")))</f>
        <v/>
      </c>
      <c r="O373" s="6" t="str">
        <f ca="1">IF($A373="Grand Total",SUM(INDIRECT(ADDRESS(1,COLUMN())&amp;":"&amp;ADDRESS(ROW()-1,COLUMN()))),IF(OR($A373="State Agencies",IFERROR(AND($L373&gt;='Input Sheet'!$J$2,$A373&lt;&gt;""),0)),$J373,""))</f>
        <v/>
      </c>
      <c r="P373" s="3" t="str">
        <f>IF(OR($A373="",$A373="Grand Total"),"",IF(IFERROR(ROUND($J373/$K373,2),1000)&gt;='Input Sheet'!$J$2,1,""))</f>
        <v/>
      </c>
      <c r="Q373" s="3" t="str">
        <f t="shared" si="23"/>
        <v/>
      </c>
      <c r="R373" s="3" t="str">
        <f>IF(OR($A373="",$A373="Grand Total"),"",AND($J373=0,(SUMPRODUCT((Table1[County]=SummaryPage!$A373)*(Table1[Status]="Not Started"))+SUMPRODUCT((Table1[County]=SummaryPage!$A373)*(Table1[Status]="")))=SUMPRODUCT((Table1[County]=SummaryPage!$A373)*(Table1[Status]&lt;&gt;"Q"))))</f>
        <v/>
      </c>
    </row>
    <row r="374" spans="11:18" x14ac:dyDescent="0.3">
      <c r="K374" s="29" t="str">
        <f>IF($A374="","",VLOOKUP('Input Sheet'!$D$2 &amp; " " &amp; $A374,Pop[#All],4,FALSE))</f>
        <v/>
      </c>
      <c r="L374" s="5" t="str">
        <f t="shared" si="22"/>
        <v/>
      </c>
      <c r="M374" s="7" t="str">
        <f t="shared" ca="1" si="21"/>
        <v/>
      </c>
      <c r="N374" s="17" t="str">
        <f>IF(OR($A374="",$A374="Grand Total"),IF($A374="Grand Total",SUM($N$15:$N373),""),SUMPRODUCT((Table1[County]=SummaryPage!$A374)*(Table1[Status]&lt;&gt;"Complete")))</f>
        <v/>
      </c>
      <c r="O374" s="6" t="str">
        <f ca="1">IF($A374="Grand Total",SUM(INDIRECT(ADDRESS(1,COLUMN())&amp;":"&amp;ADDRESS(ROW()-1,COLUMN()))),IF(OR($A374="State Agencies",IFERROR(AND($L374&gt;='Input Sheet'!$J$2,$A374&lt;&gt;""),0)),$J374,""))</f>
        <v/>
      </c>
      <c r="P374" s="3" t="str">
        <f>IF(OR($A374="",$A374="Grand Total"),"",IF(IFERROR(ROUND($J374/$K374,2),1000)&gt;='Input Sheet'!$J$2,1,""))</f>
        <v/>
      </c>
      <c r="Q374" s="3" t="str">
        <f t="shared" si="23"/>
        <v/>
      </c>
      <c r="R374" s="3" t="str">
        <f>IF(OR($A374="",$A374="Grand Total"),"",AND($J374=0,(SUMPRODUCT((Table1[County]=SummaryPage!$A374)*(Table1[Status]="Not Started"))+SUMPRODUCT((Table1[County]=SummaryPage!$A374)*(Table1[Status]="")))=SUMPRODUCT((Table1[County]=SummaryPage!$A374)*(Table1[Status]&lt;&gt;"Q"))))</f>
        <v/>
      </c>
    </row>
    <row r="375" spans="11:18" x14ac:dyDescent="0.3">
      <c r="K375" s="29" t="str">
        <f>IF($A375="","",VLOOKUP('Input Sheet'!$D$2 &amp; " " &amp; $A375,Pop[#All],4,FALSE))</f>
        <v/>
      </c>
      <c r="L375" s="5" t="str">
        <f t="shared" si="22"/>
        <v/>
      </c>
      <c r="M375" s="7" t="str">
        <f t="shared" ca="1" si="21"/>
        <v/>
      </c>
      <c r="N375" s="17" t="str">
        <f>IF(OR($A375="",$A375="Grand Total"),IF($A375="Grand Total",SUM($N$15:$N374),""),SUMPRODUCT((Table1[County]=SummaryPage!$A375)*(Table1[Status]&lt;&gt;"Complete")))</f>
        <v/>
      </c>
      <c r="O375" s="6" t="str">
        <f ca="1">IF($A375="Grand Total",SUM(INDIRECT(ADDRESS(1,COLUMN())&amp;":"&amp;ADDRESS(ROW()-1,COLUMN()))),IF(OR($A375="State Agencies",IFERROR(AND($L375&gt;='Input Sheet'!$J$2,$A375&lt;&gt;""),0)),$J375,""))</f>
        <v/>
      </c>
      <c r="P375" s="3" t="str">
        <f>IF(OR($A375="",$A375="Grand Total"),"",IF(IFERROR(ROUND($J375/$K375,2),1000)&gt;='Input Sheet'!$J$2,1,""))</f>
        <v/>
      </c>
      <c r="Q375" s="3" t="str">
        <f t="shared" si="23"/>
        <v/>
      </c>
      <c r="R375" s="3" t="str">
        <f>IF(OR($A375="",$A375="Grand Total"),"",AND($J375=0,(SUMPRODUCT((Table1[County]=SummaryPage!$A375)*(Table1[Status]="Not Started"))+SUMPRODUCT((Table1[County]=SummaryPage!$A375)*(Table1[Status]="")))=SUMPRODUCT((Table1[County]=SummaryPage!$A375)*(Table1[Status]&lt;&gt;"Q"))))</f>
        <v/>
      </c>
    </row>
    <row r="376" spans="11:18" x14ac:dyDescent="0.3">
      <c r="K376" s="29" t="str">
        <f>IF($A376="","",VLOOKUP('Input Sheet'!$D$2 &amp; " " &amp; $A376,Pop[#All],4,FALSE))</f>
        <v/>
      </c>
      <c r="L376" s="5" t="str">
        <f t="shared" si="22"/>
        <v/>
      </c>
      <c r="M376" s="7" t="str">
        <f t="shared" ca="1" si="21"/>
        <v/>
      </c>
      <c r="N376" s="17" t="str">
        <f>IF(OR($A376="",$A376="Grand Total"),IF($A376="Grand Total",SUM($N$15:$N375),""),SUMPRODUCT((Table1[County]=SummaryPage!$A376)*(Table1[Status]&lt;&gt;"Complete")))</f>
        <v/>
      </c>
      <c r="O376" s="6" t="str">
        <f ca="1">IF($A376="Grand Total",SUM(INDIRECT(ADDRESS(1,COLUMN())&amp;":"&amp;ADDRESS(ROW()-1,COLUMN()))),IF(OR($A376="State Agencies",IFERROR(AND($L376&gt;='Input Sheet'!$J$2,$A376&lt;&gt;""),0)),$J376,""))</f>
        <v/>
      </c>
      <c r="P376" s="3" t="str">
        <f>IF(OR($A376="",$A376="Grand Total"),"",IF(IFERROR(ROUND($J376/$K376,2),1000)&gt;='Input Sheet'!$J$2,1,""))</f>
        <v/>
      </c>
      <c r="Q376" s="3" t="str">
        <f t="shared" si="23"/>
        <v/>
      </c>
      <c r="R376" s="3" t="str">
        <f>IF(OR($A376="",$A376="Grand Total"),"",AND($J376=0,(SUMPRODUCT((Table1[County]=SummaryPage!$A376)*(Table1[Status]="Not Started"))+SUMPRODUCT((Table1[County]=SummaryPage!$A376)*(Table1[Status]="")))=SUMPRODUCT((Table1[County]=SummaryPage!$A376)*(Table1[Status]&lt;&gt;"Q"))))</f>
        <v/>
      </c>
    </row>
    <row r="377" spans="11:18" x14ac:dyDescent="0.3">
      <c r="K377" s="29" t="str">
        <f>IF($A377="","",VLOOKUP('Input Sheet'!$D$2 &amp; " " &amp; $A377,Pop[#All],4,FALSE))</f>
        <v/>
      </c>
      <c r="L377" s="5" t="str">
        <f t="shared" si="22"/>
        <v/>
      </c>
      <c r="M377" s="7" t="str">
        <f t="shared" ca="1" si="21"/>
        <v/>
      </c>
      <c r="N377" s="17" t="str">
        <f>IF(OR($A377="",$A377="Grand Total"),IF($A377="Grand Total",SUM($N$15:$N376),""),SUMPRODUCT((Table1[County]=SummaryPage!$A377)*(Table1[Status]&lt;&gt;"Complete")))</f>
        <v/>
      </c>
      <c r="O377" s="6" t="str">
        <f ca="1">IF($A377="Grand Total",SUM(INDIRECT(ADDRESS(1,COLUMN())&amp;":"&amp;ADDRESS(ROW()-1,COLUMN()))),IF(OR($A377="State Agencies",IFERROR(AND($L377&gt;='Input Sheet'!$J$2,$A377&lt;&gt;""),0)),$J377,""))</f>
        <v/>
      </c>
      <c r="P377" s="3" t="str">
        <f>IF(OR($A377="",$A377="Grand Total"),"",IF(IFERROR(ROUND($J377/$K377,2),1000)&gt;='Input Sheet'!$J$2,1,""))</f>
        <v/>
      </c>
      <c r="Q377" s="3" t="str">
        <f t="shared" si="23"/>
        <v/>
      </c>
      <c r="R377" s="3" t="str">
        <f>IF(OR($A377="",$A377="Grand Total"),"",AND($J377=0,(SUMPRODUCT((Table1[County]=SummaryPage!$A377)*(Table1[Status]="Not Started"))+SUMPRODUCT((Table1[County]=SummaryPage!$A377)*(Table1[Status]="")))=SUMPRODUCT((Table1[County]=SummaryPage!$A377)*(Table1[Status]&lt;&gt;"Q"))))</f>
        <v/>
      </c>
    </row>
    <row r="378" spans="11:18" x14ac:dyDescent="0.3">
      <c r="K378" s="29" t="str">
        <f>IF($A378="","",VLOOKUP('Input Sheet'!$D$2 &amp; " " &amp; $A378,Pop[#All],4,FALSE))</f>
        <v/>
      </c>
      <c r="L378" s="5" t="str">
        <f t="shared" si="22"/>
        <v/>
      </c>
      <c r="M378" s="7" t="str">
        <f t="shared" ca="1" si="21"/>
        <v/>
      </c>
      <c r="N378" s="17" t="str">
        <f>IF(OR($A378="",$A378="Grand Total"),IF($A378="Grand Total",SUM($N$15:$N377),""),SUMPRODUCT((Table1[County]=SummaryPage!$A378)*(Table1[Status]&lt;&gt;"Complete")))</f>
        <v/>
      </c>
      <c r="O378" s="6" t="str">
        <f ca="1">IF($A378="Grand Total",SUM(INDIRECT(ADDRESS(1,COLUMN())&amp;":"&amp;ADDRESS(ROW()-1,COLUMN()))),IF(OR($A378="State Agencies",IFERROR(AND($L378&gt;='Input Sheet'!$J$2,$A378&lt;&gt;""),0)),$J378,""))</f>
        <v/>
      </c>
      <c r="P378" s="3" t="str">
        <f>IF(OR($A378="",$A378="Grand Total"),"",IF(IFERROR(ROUND($J378/$K378,2),1000)&gt;='Input Sheet'!$J$2,1,""))</f>
        <v/>
      </c>
      <c r="Q378" s="3" t="str">
        <f t="shared" si="23"/>
        <v/>
      </c>
      <c r="R378" s="3" t="str">
        <f>IF(OR($A378="",$A378="Grand Total"),"",AND($J378=0,(SUMPRODUCT((Table1[County]=SummaryPage!$A378)*(Table1[Status]="Not Started"))+SUMPRODUCT((Table1[County]=SummaryPage!$A378)*(Table1[Status]="")))=SUMPRODUCT((Table1[County]=SummaryPage!$A378)*(Table1[Status]&lt;&gt;"Q"))))</f>
        <v/>
      </c>
    </row>
    <row r="379" spans="11:18" x14ac:dyDescent="0.3">
      <c r="K379" s="29" t="str">
        <f>IF($A379="","",VLOOKUP('Input Sheet'!$D$2 &amp; " " &amp; $A379,Pop[#All],4,FALSE))</f>
        <v/>
      </c>
      <c r="L379" s="5" t="str">
        <f t="shared" si="22"/>
        <v/>
      </c>
      <c r="M379" s="7" t="str">
        <f t="shared" ca="1" si="21"/>
        <v/>
      </c>
      <c r="N379" s="17" t="str">
        <f>IF(OR($A379="",$A379="Grand Total"),IF($A379="Grand Total",SUM($N$15:$N378),""),SUMPRODUCT((Table1[County]=SummaryPage!$A379)*(Table1[Status]&lt;&gt;"Complete")))</f>
        <v/>
      </c>
      <c r="O379" s="6" t="str">
        <f ca="1">IF($A379="Grand Total",SUM(INDIRECT(ADDRESS(1,COLUMN())&amp;":"&amp;ADDRESS(ROW()-1,COLUMN()))),IF(OR($A379="State Agencies",IFERROR(AND($L379&gt;='Input Sheet'!$J$2,$A379&lt;&gt;""),0)),$J379,""))</f>
        <v/>
      </c>
      <c r="P379" s="3" t="str">
        <f>IF(OR($A379="",$A379="Grand Total"),"",IF(IFERROR(ROUND($J379/$K379,2),1000)&gt;='Input Sheet'!$J$2,1,""))</f>
        <v/>
      </c>
      <c r="Q379" s="3" t="str">
        <f t="shared" si="23"/>
        <v/>
      </c>
      <c r="R379" s="3" t="str">
        <f>IF(OR($A379="",$A379="Grand Total"),"",AND($J379=0,(SUMPRODUCT((Table1[County]=SummaryPage!$A379)*(Table1[Status]="Not Started"))+SUMPRODUCT((Table1[County]=SummaryPage!$A379)*(Table1[Status]="")))=SUMPRODUCT((Table1[County]=SummaryPage!$A379)*(Table1[Status]&lt;&gt;"Q"))))</f>
        <v/>
      </c>
    </row>
    <row r="380" spans="11:18" x14ac:dyDescent="0.3">
      <c r="K380" s="29" t="str">
        <f>IF($A380="","",VLOOKUP('Input Sheet'!$D$2 &amp; " " &amp; $A380,Pop[#All],4,FALSE))</f>
        <v/>
      </c>
      <c r="L380" s="5" t="str">
        <f t="shared" si="22"/>
        <v/>
      </c>
      <c r="M380" s="7" t="str">
        <f t="shared" ca="1" si="21"/>
        <v/>
      </c>
      <c r="N380" s="17" t="str">
        <f>IF(OR($A380="",$A380="Grand Total"),IF($A380="Grand Total",SUM($N$15:$N379),""),SUMPRODUCT((Table1[County]=SummaryPage!$A380)*(Table1[Status]&lt;&gt;"Complete")))</f>
        <v/>
      </c>
      <c r="O380" s="6" t="str">
        <f ca="1">IF($A380="Grand Total",SUM(INDIRECT(ADDRESS(1,COLUMN())&amp;":"&amp;ADDRESS(ROW()-1,COLUMN()))),IF(OR($A380="State Agencies",IFERROR(AND($L380&gt;='Input Sheet'!$J$2,$A380&lt;&gt;""),0)),$J380,""))</f>
        <v/>
      </c>
      <c r="P380" s="3" t="str">
        <f>IF(OR($A380="",$A380="Grand Total"),"",IF(IFERROR(ROUND($J380/$K380,2),1000)&gt;='Input Sheet'!$J$2,1,""))</f>
        <v/>
      </c>
      <c r="Q380" s="3" t="str">
        <f t="shared" si="23"/>
        <v/>
      </c>
      <c r="R380" s="3" t="str">
        <f>IF(OR($A380="",$A380="Grand Total"),"",AND($J380=0,(SUMPRODUCT((Table1[County]=SummaryPage!$A380)*(Table1[Status]="Not Started"))+SUMPRODUCT((Table1[County]=SummaryPage!$A380)*(Table1[Status]="")))=SUMPRODUCT((Table1[County]=SummaryPage!$A380)*(Table1[Status]&lt;&gt;"Q"))))</f>
        <v/>
      </c>
    </row>
    <row r="381" spans="11:18" x14ac:dyDescent="0.3">
      <c r="K381" s="29" t="str">
        <f>IF($A381="","",VLOOKUP('Input Sheet'!$D$2 &amp; " " &amp; $A381,Pop[#All],4,FALSE))</f>
        <v/>
      </c>
      <c r="L381" s="5" t="str">
        <f t="shared" si="22"/>
        <v/>
      </c>
      <c r="M381" s="7" t="str">
        <f t="shared" ca="1" si="21"/>
        <v/>
      </c>
      <c r="N381" s="17" t="str">
        <f>IF(OR($A381="",$A381="Grand Total"),IF($A381="Grand Total",SUM($N$15:$N380),""),SUMPRODUCT((Table1[County]=SummaryPage!$A381)*(Table1[Status]&lt;&gt;"Complete")))</f>
        <v/>
      </c>
      <c r="O381" s="6" t="str">
        <f ca="1">IF($A381="Grand Total",SUM(INDIRECT(ADDRESS(1,COLUMN())&amp;":"&amp;ADDRESS(ROW()-1,COLUMN()))),IF(OR($A381="State Agencies",IFERROR(AND($L381&gt;='Input Sheet'!$J$2,$A381&lt;&gt;""),0)),$J381,""))</f>
        <v/>
      </c>
      <c r="P381" s="3" t="str">
        <f>IF(OR($A381="",$A381="Grand Total"),"",IF(IFERROR(ROUND($J381/$K381,2),1000)&gt;='Input Sheet'!$J$2,1,""))</f>
        <v/>
      </c>
      <c r="Q381" s="3" t="str">
        <f t="shared" si="23"/>
        <v/>
      </c>
      <c r="R381" s="3" t="str">
        <f>IF(OR($A381="",$A381="Grand Total"),"",AND($J381=0,(SUMPRODUCT((Table1[County]=SummaryPage!$A381)*(Table1[Status]="Not Started"))+SUMPRODUCT((Table1[County]=SummaryPage!$A381)*(Table1[Status]="")))=SUMPRODUCT((Table1[County]=SummaryPage!$A381)*(Table1[Status]&lt;&gt;"Q"))))</f>
        <v/>
      </c>
    </row>
    <row r="382" spans="11:18" x14ac:dyDescent="0.3">
      <c r="K382" s="29" t="str">
        <f>IF($A382="","",VLOOKUP('Input Sheet'!$D$2 &amp; " " &amp; $A382,Pop[#All],4,FALSE))</f>
        <v/>
      </c>
      <c r="L382" s="5" t="str">
        <f t="shared" si="22"/>
        <v/>
      </c>
      <c r="M382" s="7" t="str">
        <f t="shared" ca="1" si="21"/>
        <v/>
      </c>
      <c r="N382" s="17" t="str">
        <f>IF(OR($A382="",$A382="Grand Total"),IF($A382="Grand Total",SUM($N$15:$N381),""),SUMPRODUCT((Table1[County]=SummaryPage!$A382)*(Table1[Status]&lt;&gt;"Complete")))</f>
        <v/>
      </c>
      <c r="O382" s="6" t="str">
        <f ca="1">IF($A382="Grand Total",SUM(INDIRECT(ADDRESS(1,COLUMN())&amp;":"&amp;ADDRESS(ROW()-1,COLUMN()))),IF(OR($A382="State Agencies",IFERROR(AND($L382&gt;='Input Sheet'!$J$2,$A382&lt;&gt;""),0)),$J382,""))</f>
        <v/>
      </c>
      <c r="P382" s="3" t="str">
        <f>IF(OR($A382="",$A382="Grand Total"),"",IF(IFERROR(ROUND($J382/$K382,2),1000)&gt;='Input Sheet'!$J$2,1,""))</f>
        <v/>
      </c>
      <c r="Q382" s="3" t="str">
        <f t="shared" si="23"/>
        <v/>
      </c>
      <c r="R382" s="3" t="str">
        <f>IF(OR($A382="",$A382="Grand Total"),"",AND($J382=0,(SUMPRODUCT((Table1[County]=SummaryPage!$A382)*(Table1[Status]="Not Started"))+SUMPRODUCT((Table1[County]=SummaryPage!$A382)*(Table1[Status]="")))=SUMPRODUCT((Table1[County]=SummaryPage!$A382)*(Table1[Status]&lt;&gt;"Q"))))</f>
        <v/>
      </c>
    </row>
    <row r="383" spans="11:18" x14ac:dyDescent="0.3">
      <c r="K383" s="29" t="str">
        <f>IF($A383="","",VLOOKUP('Input Sheet'!$D$2 &amp; " " &amp; $A383,Pop[#All],4,FALSE))</f>
        <v/>
      </c>
      <c r="L383" s="5" t="str">
        <f t="shared" si="22"/>
        <v/>
      </c>
      <c r="M383" s="7" t="str">
        <f t="shared" ca="1" si="21"/>
        <v/>
      </c>
      <c r="N383" s="17" t="str">
        <f>IF(OR($A383="",$A383="Grand Total"),IF($A383="Grand Total",SUM($N$15:$N382),""),SUMPRODUCT((Table1[County]=SummaryPage!$A383)*(Table1[Status]&lt;&gt;"Complete")))</f>
        <v/>
      </c>
      <c r="O383" s="6" t="str">
        <f ca="1">IF($A383="Grand Total",SUM(INDIRECT(ADDRESS(1,COLUMN())&amp;":"&amp;ADDRESS(ROW()-1,COLUMN()))),IF(OR($A383="State Agencies",IFERROR(AND($L383&gt;='Input Sheet'!$J$2,$A383&lt;&gt;""),0)),$J383,""))</f>
        <v/>
      </c>
      <c r="P383" s="3" t="str">
        <f>IF(OR($A383="",$A383="Grand Total"),"",IF(IFERROR(ROUND($J383/$K383,2),1000)&gt;='Input Sheet'!$J$2,1,""))</f>
        <v/>
      </c>
      <c r="Q383" s="3" t="str">
        <f t="shared" si="23"/>
        <v/>
      </c>
      <c r="R383" s="3" t="str">
        <f>IF(OR($A383="",$A383="Grand Total"),"",AND($J383=0,(SUMPRODUCT((Table1[County]=SummaryPage!$A383)*(Table1[Status]="Not Started"))+SUMPRODUCT((Table1[County]=SummaryPage!$A383)*(Table1[Status]="")))=SUMPRODUCT((Table1[County]=SummaryPage!$A383)*(Table1[Status]&lt;&gt;"Q"))))</f>
        <v/>
      </c>
    </row>
    <row r="384" spans="11:18" x14ac:dyDescent="0.3">
      <c r="K384" s="29" t="str">
        <f>IF($A384="","",VLOOKUP('Input Sheet'!$D$2 &amp; " " &amp; $A384,Pop[#All],4,FALSE))</f>
        <v/>
      </c>
      <c r="L384" s="5" t="str">
        <f t="shared" si="22"/>
        <v/>
      </c>
      <c r="M384" s="7" t="str">
        <f t="shared" ca="1" si="21"/>
        <v/>
      </c>
      <c r="N384" s="17" t="str">
        <f>IF(OR($A384="",$A384="Grand Total"),IF($A384="Grand Total",SUM($N$15:$N383),""),SUMPRODUCT((Table1[County]=SummaryPage!$A384)*(Table1[Status]&lt;&gt;"Complete")))</f>
        <v/>
      </c>
      <c r="O384" s="6" t="str">
        <f ca="1">IF($A384="Grand Total",SUM(INDIRECT(ADDRESS(1,COLUMN())&amp;":"&amp;ADDRESS(ROW()-1,COLUMN()))),IF(OR($A384="State Agencies",IFERROR(AND($L384&gt;='Input Sheet'!$J$2,$A384&lt;&gt;""),0)),$J384,""))</f>
        <v/>
      </c>
      <c r="P384" s="3" t="str">
        <f>IF(OR($A384="",$A384="Grand Total"),"",IF(IFERROR(ROUND($J384/$K384,2),1000)&gt;='Input Sheet'!$J$2,1,""))</f>
        <v/>
      </c>
      <c r="Q384" s="3" t="str">
        <f t="shared" si="23"/>
        <v/>
      </c>
      <c r="R384" s="3" t="str">
        <f>IF(OR($A384="",$A384="Grand Total"),"",AND($J384=0,(SUMPRODUCT((Table1[County]=SummaryPage!$A384)*(Table1[Status]="Not Started"))+SUMPRODUCT((Table1[County]=SummaryPage!$A384)*(Table1[Status]="")))=SUMPRODUCT((Table1[County]=SummaryPage!$A384)*(Table1[Status]&lt;&gt;"Q"))))</f>
        <v/>
      </c>
    </row>
    <row r="385" spans="11:18" x14ac:dyDescent="0.3">
      <c r="K385" s="29" t="str">
        <f>IF($A385="","",VLOOKUP('Input Sheet'!$D$2 &amp; " " &amp; $A385,Pop[#All],4,FALSE))</f>
        <v/>
      </c>
      <c r="L385" s="5" t="str">
        <f t="shared" si="22"/>
        <v/>
      </c>
      <c r="M385" s="7" t="str">
        <f t="shared" ca="1" si="21"/>
        <v/>
      </c>
      <c r="N385" s="17" t="str">
        <f>IF(OR($A385="",$A385="Grand Total"),IF($A385="Grand Total",SUM($N$15:$N384),""),SUMPRODUCT((Table1[County]=SummaryPage!$A385)*(Table1[Status]&lt;&gt;"Complete")))</f>
        <v/>
      </c>
      <c r="O385" s="6" t="str">
        <f ca="1">IF($A385="Grand Total",SUM(INDIRECT(ADDRESS(1,COLUMN())&amp;":"&amp;ADDRESS(ROW()-1,COLUMN()))),IF(OR($A385="State Agencies",IFERROR(AND($L385&gt;='Input Sheet'!$J$2,$A385&lt;&gt;""),0)),$J385,""))</f>
        <v/>
      </c>
      <c r="P385" s="3" t="str">
        <f>IF(OR($A385="",$A385="Grand Total"),"",IF(IFERROR(ROUND($J385/$K385,2),1000)&gt;='Input Sheet'!$J$2,1,""))</f>
        <v/>
      </c>
      <c r="Q385" s="3" t="str">
        <f t="shared" si="23"/>
        <v/>
      </c>
      <c r="R385" s="3" t="str">
        <f>IF(OR($A385="",$A385="Grand Total"),"",AND($J385=0,(SUMPRODUCT((Table1[County]=SummaryPage!$A385)*(Table1[Status]="Not Started"))+SUMPRODUCT((Table1[County]=SummaryPage!$A385)*(Table1[Status]="")))=SUMPRODUCT((Table1[County]=SummaryPage!$A385)*(Table1[Status]&lt;&gt;"Q"))))</f>
        <v/>
      </c>
    </row>
    <row r="386" spans="11:18" x14ac:dyDescent="0.3">
      <c r="K386" s="29" t="str">
        <f>IF($A386="","",VLOOKUP('Input Sheet'!$D$2 &amp; " " &amp; $A386,Pop[#All],4,FALSE))</f>
        <v/>
      </c>
      <c r="L386" s="5" t="str">
        <f t="shared" si="22"/>
        <v/>
      </c>
      <c r="M386" s="7" t="str">
        <f t="shared" ca="1" si="21"/>
        <v/>
      </c>
      <c r="N386" s="17" t="str">
        <f>IF(OR($A386="",$A386="Grand Total"),IF($A386="Grand Total",SUM($N$15:$N385),""),SUMPRODUCT((Table1[County]=SummaryPage!$A386)*(Table1[Status]&lt;&gt;"Complete")))</f>
        <v/>
      </c>
      <c r="O386" s="6" t="str">
        <f ca="1">IF($A386="Grand Total",SUM(INDIRECT(ADDRESS(1,COLUMN())&amp;":"&amp;ADDRESS(ROW()-1,COLUMN()))),IF(OR($A386="State Agencies",IFERROR(AND($L386&gt;='Input Sheet'!$J$2,$A386&lt;&gt;""),0)),$J386,""))</f>
        <v/>
      </c>
      <c r="P386" s="3" t="str">
        <f>IF(OR($A386="",$A386="Grand Total"),"",IF(IFERROR(ROUND($J386/$K386,2),1000)&gt;='Input Sheet'!$J$2,1,""))</f>
        <v/>
      </c>
      <c r="Q386" s="3" t="str">
        <f t="shared" si="23"/>
        <v/>
      </c>
      <c r="R386" s="3" t="str">
        <f>IF(OR($A386="",$A386="Grand Total"),"",AND($J386=0,(SUMPRODUCT((Table1[County]=SummaryPage!$A386)*(Table1[Status]="Not Started"))+SUMPRODUCT((Table1[County]=SummaryPage!$A386)*(Table1[Status]="")))=SUMPRODUCT((Table1[County]=SummaryPage!$A386)*(Table1[Status]&lt;&gt;"Q"))))</f>
        <v/>
      </c>
    </row>
    <row r="387" spans="11:18" x14ac:dyDescent="0.3">
      <c r="K387" s="29" t="str">
        <f>IF($A387="","",VLOOKUP('Input Sheet'!$D$2 &amp; " " &amp; $A387,Pop[#All],4,FALSE))</f>
        <v/>
      </c>
      <c r="L387" s="5" t="str">
        <f t="shared" si="22"/>
        <v/>
      </c>
      <c r="M387" s="7" t="str">
        <f t="shared" ca="1" si="21"/>
        <v/>
      </c>
      <c r="N387" s="17" t="str">
        <f>IF(OR($A387="",$A387="Grand Total"),IF($A387="Grand Total",SUM($N$15:$N386),""),SUMPRODUCT((Table1[County]=SummaryPage!$A387)*(Table1[Status]&lt;&gt;"Complete")))</f>
        <v/>
      </c>
      <c r="O387" s="6" t="str">
        <f ca="1">IF($A387="Grand Total",SUM(INDIRECT(ADDRESS(1,COLUMN())&amp;":"&amp;ADDRESS(ROW()-1,COLUMN()))),IF(OR($A387="State Agencies",IFERROR(AND($L387&gt;='Input Sheet'!$J$2,$A387&lt;&gt;""),0)),$J387,""))</f>
        <v/>
      </c>
      <c r="P387" s="3" t="str">
        <f>IF(OR($A387="",$A387="Grand Total"),"",IF(IFERROR(ROUND($J387/$K387,2),1000)&gt;='Input Sheet'!$J$2,1,""))</f>
        <v/>
      </c>
      <c r="Q387" s="3" t="str">
        <f t="shared" si="23"/>
        <v/>
      </c>
      <c r="R387" s="3" t="str">
        <f>IF(OR($A387="",$A387="Grand Total"),"",AND($J387=0,(SUMPRODUCT((Table1[County]=SummaryPage!$A387)*(Table1[Status]="Not Started"))+SUMPRODUCT((Table1[County]=SummaryPage!$A387)*(Table1[Status]="")))=SUMPRODUCT((Table1[County]=SummaryPage!$A387)*(Table1[Status]&lt;&gt;"Q"))))</f>
        <v/>
      </c>
    </row>
    <row r="388" spans="11:18" x14ac:dyDescent="0.3">
      <c r="K388" s="29" t="str">
        <f>IF($A388="","",VLOOKUP('Input Sheet'!$D$2 &amp; " " &amp; $A388,Pop[#All],4,FALSE))</f>
        <v/>
      </c>
      <c r="L388" s="5" t="str">
        <f t="shared" si="22"/>
        <v/>
      </c>
      <c r="M388" s="7" t="str">
        <f t="shared" ca="1" si="21"/>
        <v/>
      </c>
      <c r="N388" s="17" t="str">
        <f>IF(OR($A388="",$A388="Grand Total"),IF($A388="Grand Total",SUM($N$15:$N387),""),SUMPRODUCT((Table1[County]=SummaryPage!$A388)*(Table1[Status]&lt;&gt;"Complete")))</f>
        <v/>
      </c>
      <c r="O388" s="6" t="str">
        <f ca="1">IF($A388="Grand Total",SUM(INDIRECT(ADDRESS(1,COLUMN())&amp;":"&amp;ADDRESS(ROW()-1,COLUMN()))),IF(OR($A388="State Agencies",IFERROR(AND($L388&gt;='Input Sheet'!$J$2,$A388&lt;&gt;""),0)),$J388,""))</f>
        <v/>
      </c>
      <c r="P388" s="3" t="str">
        <f>IF(OR($A388="",$A388="Grand Total"),"",IF(IFERROR(ROUND($J388/$K388,2),1000)&gt;='Input Sheet'!$J$2,1,""))</f>
        <v/>
      </c>
      <c r="Q388" s="3" t="str">
        <f t="shared" si="23"/>
        <v/>
      </c>
      <c r="R388" s="3" t="str">
        <f>IF(OR($A388="",$A388="Grand Total"),"",AND($J388=0,(SUMPRODUCT((Table1[County]=SummaryPage!$A388)*(Table1[Status]="Not Started"))+SUMPRODUCT((Table1[County]=SummaryPage!$A388)*(Table1[Status]="")))=SUMPRODUCT((Table1[County]=SummaryPage!$A388)*(Table1[Status]&lt;&gt;"Q"))))</f>
        <v/>
      </c>
    </row>
    <row r="389" spans="11:18" x14ac:dyDescent="0.3">
      <c r="K389" s="29" t="str">
        <f>IF($A389="","",VLOOKUP('Input Sheet'!$D$2 &amp; " " &amp; $A389,Pop[#All],4,FALSE))</f>
        <v/>
      </c>
      <c r="L389" s="5" t="str">
        <f t="shared" si="22"/>
        <v/>
      </c>
      <c r="M389" s="7" t="str">
        <f t="shared" ca="1" si="21"/>
        <v/>
      </c>
      <c r="N389" s="17" t="str">
        <f>IF(OR($A389="",$A389="Grand Total"),IF($A389="Grand Total",SUM($N$15:$N388),""),SUMPRODUCT((Table1[County]=SummaryPage!$A389)*(Table1[Status]&lt;&gt;"Complete")))</f>
        <v/>
      </c>
      <c r="O389" s="6" t="str">
        <f ca="1">IF($A389="Grand Total",SUM(INDIRECT(ADDRESS(1,COLUMN())&amp;":"&amp;ADDRESS(ROW()-1,COLUMN()))),IF(OR($A389="State Agencies",IFERROR(AND($L389&gt;='Input Sheet'!$J$2,$A389&lt;&gt;""),0)),$J389,""))</f>
        <v/>
      </c>
      <c r="P389" s="3" t="str">
        <f>IF(OR($A389="",$A389="Grand Total"),"",IF(IFERROR(ROUND($J389/$K389,2),1000)&gt;='Input Sheet'!$J$2,1,""))</f>
        <v/>
      </c>
      <c r="Q389" s="3" t="str">
        <f t="shared" si="23"/>
        <v/>
      </c>
      <c r="R389" s="3" t="str">
        <f>IF(OR($A389="",$A389="Grand Total"),"",AND($J389=0,(SUMPRODUCT((Table1[County]=SummaryPage!$A389)*(Table1[Status]="Not Started"))+SUMPRODUCT((Table1[County]=SummaryPage!$A389)*(Table1[Status]="")))=SUMPRODUCT((Table1[County]=SummaryPage!$A389)*(Table1[Status]&lt;&gt;"Q"))))</f>
        <v/>
      </c>
    </row>
    <row r="390" spans="11:18" x14ac:dyDescent="0.3">
      <c r="K390" s="29" t="str">
        <f>IF($A390="","",VLOOKUP('Input Sheet'!$D$2 &amp; " " &amp; $A390,Pop[#All],4,FALSE))</f>
        <v/>
      </c>
      <c r="L390" s="5" t="str">
        <f t="shared" si="22"/>
        <v/>
      </c>
      <c r="M390" s="7" t="str">
        <f t="shared" ca="1" si="21"/>
        <v/>
      </c>
      <c r="N390" s="17" t="str">
        <f>IF(OR($A390="",$A390="Grand Total"),IF($A390="Grand Total",SUM($N$15:$N389),""),SUMPRODUCT((Table1[County]=SummaryPage!$A390)*(Table1[Status]&lt;&gt;"Complete")))</f>
        <v/>
      </c>
      <c r="O390" s="6" t="str">
        <f ca="1">IF($A390="Grand Total",SUM(INDIRECT(ADDRESS(1,COLUMN())&amp;":"&amp;ADDRESS(ROW()-1,COLUMN()))),IF(OR($A390="State Agencies",IFERROR(AND($L390&gt;='Input Sheet'!$J$2,$A390&lt;&gt;""),0)),$J390,""))</f>
        <v/>
      </c>
      <c r="P390" s="3" t="str">
        <f>IF(OR($A390="",$A390="Grand Total"),"",IF(IFERROR(ROUND($J390/$K390,2),1000)&gt;='Input Sheet'!$J$2,1,""))</f>
        <v/>
      </c>
      <c r="Q390" s="3" t="str">
        <f t="shared" si="23"/>
        <v/>
      </c>
      <c r="R390" s="3" t="str">
        <f>IF(OR($A390="",$A390="Grand Total"),"",AND($J390=0,(SUMPRODUCT((Table1[County]=SummaryPage!$A390)*(Table1[Status]="Not Started"))+SUMPRODUCT((Table1[County]=SummaryPage!$A390)*(Table1[Status]="")))=SUMPRODUCT((Table1[County]=SummaryPage!$A390)*(Table1[Status]&lt;&gt;"Q"))))</f>
        <v/>
      </c>
    </row>
    <row r="391" spans="11:18" x14ac:dyDescent="0.3">
      <c r="K391" s="29" t="str">
        <f>IF($A391="","",VLOOKUP('Input Sheet'!$D$2 &amp; " " &amp; $A391,Pop[#All],4,FALSE))</f>
        <v/>
      </c>
      <c r="L391" s="5" t="str">
        <f t="shared" si="22"/>
        <v/>
      </c>
      <c r="M391" s="7" t="str">
        <f t="shared" ca="1" si="21"/>
        <v/>
      </c>
      <c r="N391" s="17" t="str">
        <f>IF(OR($A391="",$A391="Grand Total"),IF($A391="Grand Total",SUM($N$15:$N390),""),SUMPRODUCT((Table1[County]=SummaryPage!$A391)*(Table1[Status]&lt;&gt;"Complete")))</f>
        <v/>
      </c>
      <c r="O391" s="6" t="str">
        <f ca="1">IF($A391="Grand Total",SUM(INDIRECT(ADDRESS(1,COLUMN())&amp;":"&amp;ADDRESS(ROW()-1,COLUMN()))),IF(OR($A391="State Agencies",IFERROR(AND($L391&gt;='Input Sheet'!$J$2,$A391&lt;&gt;""),0)),$J391,""))</f>
        <v/>
      </c>
      <c r="P391" s="3" t="str">
        <f>IF(OR($A391="",$A391="Grand Total"),"",IF(IFERROR(ROUND($J391/$K391,2),1000)&gt;='Input Sheet'!$J$2,1,""))</f>
        <v/>
      </c>
      <c r="Q391" s="3" t="str">
        <f t="shared" si="23"/>
        <v/>
      </c>
      <c r="R391" s="3" t="str">
        <f>IF(OR($A391="",$A391="Grand Total"),"",AND($J391=0,(SUMPRODUCT((Table1[County]=SummaryPage!$A391)*(Table1[Status]="Not Started"))+SUMPRODUCT((Table1[County]=SummaryPage!$A391)*(Table1[Status]="")))=SUMPRODUCT((Table1[County]=SummaryPage!$A391)*(Table1[Status]&lt;&gt;"Q"))))</f>
        <v/>
      </c>
    </row>
    <row r="392" spans="11:18" x14ac:dyDescent="0.3">
      <c r="K392" s="29" t="str">
        <f>IF($A392="","",VLOOKUP('Input Sheet'!$D$2 &amp; " " &amp; $A392,Pop[#All],4,FALSE))</f>
        <v/>
      </c>
      <c r="L392" s="5" t="str">
        <f t="shared" si="22"/>
        <v/>
      </c>
      <c r="M392" s="7" t="str">
        <f t="shared" ca="1" si="21"/>
        <v/>
      </c>
      <c r="N392" s="17" t="str">
        <f>IF(OR($A392="",$A392="Grand Total"),IF($A392="Grand Total",SUM($N$15:$N391),""),SUMPRODUCT((Table1[County]=SummaryPage!$A392)*(Table1[Status]&lt;&gt;"Complete")))</f>
        <v/>
      </c>
      <c r="O392" s="6" t="str">
        <f ca="1">IF($A392="Grand Total",SUM(INDIRECT(ADDRESS(1,COLUMN())&amp;":"&amp;ADDRESS(ROW()-1,COLUMN()))),IF(OR($A392="State Agencies",IFERROR(AND($L392&gt;='Input Sheet'!$J$2,$A392&lt;&gt;""),0)),$J392,""))</f>
        <v/>
      </c>
      <c r="P392" s="3" t="str">
        <f>IF(OR($A392="",$A392="Grand Total"),"",IF(IFERROR(ROUND($J392/$K392,2),1000)&gt;='Input Sheet'!$J$2,1,""))</f>
        <v/>
      </c>
      <c r="Q392" s="3" t="str">
        <f t="shared" si="23"/>
        <v/>
      </c>
      <c r="R392" s="3" t="str">
        <f>IF(OR($A392="",$A392="Grand Total"),"",AND($J392=0,(SUMPRODUCT((Table1[County]=SummaryPage!$A392)*(Table1[Status]="Not Started"))+SUMPRODUCT((Table1[County]=SummaryPage!$A392)*(Table1[Status]="")))=SUMPRODUCT((Table1[County]=SummaryPage!$A392)*(Table1[Status]&lt;&gt;"Q"))))</f>
        <v/>
      </c>
    </row>
    <row r="393" spans="11:18" x14ac:dyDescent="0.3">
      <c r="K393" s="29" t="str">
        <f>IF($A393="","",VLOOKUP('Input Sheet'!$D$2 &amp; " " &amp; $A393,Pop[#All],4,FALSE))</f>
        <v/>
      </c>
      <c r="L393" s="5" t="str">
        <f t="shared" si="22"/>
        <v/>
      </c>
      <c r="M393" s="7" t="str">
        <f t="shared" ca="1" si="21"/>
        <v/>
      </c>
      <c r="N393" s="17" t="str">
        <f>IF(OR($A393="",$A393="Grand Total"),IF($A393="Grand Total",SUM($N$15:$N392),""),SUMPRODUCT((Table1[County]=SummaryPage!$A393)*(Table1[Status]&lt;&gt;"Complete")))</f>
        <v/>
      </c>
      <c r="O393" s="6" t="str">
        <f ca="1">IF($A393="Grand Total",SUM(INDIRECT(ADDRESS(1,COLUMN())&amp;":"&amp;ADDRESS(ROW()-1,COLUMN()))),IF(OR($A393="State Agencies",IFERROR(AND($L393&gt;='Input Sheet'!$J$2,$A393&lt;&gt;""),0)),$J393,""))</f>
        <v/>
      </c>
      <c r="P393" s="3" t="str">
        <f>IF(OR($A393="",$A393="Grand Total"),"",IF(IFERROR(ROUND($J393/$K393,2),1000)&gt;='Input Sheet'!$J$2,1,""))</f>
        <v/>
      </c>
      <c r="Q393" s="3" t="str">
        <f t="shared" si="23"/>
        <v/>
      </c>
      <c r="R393" s="3" t="str">
        <f>IF(OR($A393="",$A393="Grand Total"),"",AND($J393=0,(SUMPRODUCT((Table1[County]=SummaryPage!$A393)*(Table1[Status]="Not Started"))+SUMPRODUCT((Table1[County]=SummaryPage!$A393)*(Table1[Status]="")))=SUMPRODUCT((Table1[County]=SummaryPage!$A393)*(Table1[Status]&lt;&gt;"Q"))))</f>
        <v/>
      </c>
    </row>
    <row r="394" spans="11:18" x14ac:dyDescent="0.3">
      <c r="K394" s="29" t="str">
        <f>IF($A394="","",VLOOKUP('Input Sheet'!$D$2 &amp; " " &amp; $A394,Pop[#All],4,FALSE))</f>
        <v/>
      </c>
      <c r="L394" s="5" t="str">
        <f t="shared" si="22"/>
        <v/>
      </c>
      <c r="M394" s="7" t="str">
        <f t="shared" ca="1" si="21"/>
        <v/>
      </c>
      <c r="N394" s="17" t="str">
        <f>IF(OR($A394="",$A394="Grand Total"),IF($A394="Grand Total",SUM($N$15:$N393),""),SUMPRODUCT((Table1[County]=SummaryPage!$A394)*(Table1[Status]&lt;&gt;"Complete")))</f>
        <v/>
      </c>
      <c r="O394" s="6" t="str">
        <f ca="1">IF($A394="Grand Total",SUM(INDIRECT(ADDRESS(1,COLUMN())&amp;":"&amp;ADDRESS(ROW()-1,COLUMN()))),IF(OR($A394="State Agencies",IFERROR(AND($L394&gt;='Input Sheet'!$J$2,$A394&lt;&gt;""),0)),$J394,""))</f>
        <v/>
      </c>
      <c r="P394" s="3" t="str">
        <f>IF(OR($A394="",$A394="Grand Total"),"",IF(IFERROR(ROUND($J394/$K394,2),1000)&gt;='Input Sheet'!$J$2,1,""))</f>
        <v/>
      </c>
      <c r="Q394" s="3" t="str">
        <f t="shared" si="23"/>
        <v/>
      </c>
      <c r="R394" s="3" t="str">
        <f>IF(OR($A394="",$A394="Grand Total"),"",AND($J394=0,(SUMPRODUCT((Table1[County]=SummaryPage!$A394)*(Table1[Status]="Not Started"))+SUMPRODUCT((Table1[County]=SummaryPage!$A394)*(Table1[Status]="")))=SUMPRODUCT((Table1[County]=SummaryPage!$A394)*(Table1[Status]&lt;&gt;"Q"))))</f>
        <v/>
      </c>
    </row>
    <row r="395" spans="11:18" x14ac:dyDescent="0.3">
      <c r="K395" s="29" t="str">
        <f>IF($A395="","",VLOOKUP('Input Sheet'!$D$2 &amp; " " &amp; $A395,Pop[#All],4,FALSE))</f>
        <v/>
      </c>
      <c r="L395" s="5" t="str">
        <f t="shared" si="22"/>
        <v/>
      </c>
      <c r="M395" s="7" t="str">
        <f t="shared" ca="1" si="21"/>
        <v/>
      </c>
      <c r="N395" s="17" t="str">
        <f>IF(OR($A395="",$A395="Grand Total"),IF($A395="Grand Total",SUM($N$15:$N394),""),SUMPRODUCT((Table1[County]=SummaryPage!$A395)*(Table1[Status]&lt;&gt;"Complete")))</f>
        <v/>
      </c>
      <c r="O395" s="6" t="str">
        <f ca="1">IF($A395="Grand Total",SUM(INDIRECT(ADDRESS(1,COLUMN())&amp;":"&amp;ADDRESS(ROW()-1,COLUMN()))),IF(OR($A395="State Agencies",IFERROR(AND($L395&gt;='Input Sheet'!$J$2,$A395&lt;&gt;""),0)),$J395,""))</f>
        <v/>
      </c>
      <c r="P395" s="3" t="str">
        <f>IF(OR($A395="",$A395="Grand Total"),"",IF(IFERROR(ROUND($J395/$K395,2),1000)&gt;='Input Sheet'!$J$2,1,""))</f>
        <v/>
      </c>
      <c r="Q395" s="3" t="str">
        <f t="shared" si="23"/>
        <v/>
      </c>
      <c r="R395" s="3" t="str">
        <f>IF(OR($A395="",$A395="Grand Total"),"",AND($J395=0,(SUMPRODUCT((Table1[County]=SummaryPage!$A395)*(Table1[Status]="Not Started"))+SUMPRODUCT((Table1[County]=SummaryPage!$A395)*(Table1[Status]="")))=SUMPRODUCT((Table1[County]=SummaryPage!$A395)*(Table1[Status]&lt;&gt;"Q"))))</f>
        <v/>
      </c>
    </row>
    <row r="396" spans="11:18" x14ac:dyDescent="0.3">
      <c r="K396" s="29" t="str">
        <f>IF($A396="","",VLOOKUP('Input Sheet'!$D$2 &amp; " " &amp; $A396,Pop[#All],4,FALSE))</f>
        <v/>
      </c>
      <c r="L396" s="5" t="str">
        <f t="shared" si="22"/>
        <v/>
      </c>
      <c r="M396" s="7" t="str">
        <f t="shared" ca="1" si="21"/>
        <v/>
      </c>
      <c r="N396" s="17" t="str">
        <f>IF(OR($A396="",$A396="Grand Total"),IF($A396="Grand Total",SUM($N$15:$N395),""),SUMPRODUCT((Table1[County]=SummaryPage!$A396)*(Table1[Status]&lt;&gt;"Complete")))</f>
        <v/>
      </c>
      <c r="O396" s="6" t="str">
        <f ca="1">IF($A396="Grand Total",SUM(INDIRECT(ADDRESS(1,COLUMN())&amp;":"&amp;ADDRESS(ROW()-1,COLUMN()))),IF(OR($A396="State Agencies",IFERROR(AND($L396&gt;='Input Sheet'!$J$2,$A396&lt;&gt;""),0)),$J396,""))</f>
        <v/>
      </c>
      <c r="P396" s="3" t="str">
        <f>IF(OR($A396="",$A396="Grand Total"),"",IF(IFERROR(ROUND($J396/$K396,2),1000)&gt;='Input Sheet'!$J$2,1,""))</f>
        <v/>
      </c>
      <c r="Q396" s="3" t="str">
        <f t="shared" si="23"/>
        <v/>
      </c>
      <c r="R396" s="3" t="str">
        <f>IF(OR($A396="",$A396="Grand Total"),"",AND($J396=0,(SUMPRODUCT((Table1[County]=SummaryPage!$A396)*(Table1[Status]="Not Started"))+SUMPRODUCT((Table1[County]=SummaryPage!$A396)*(Table1[Status]="")))=SUMPRODUCT((Table1[County]=SummaryPage!$A396)*(Table1[Status]&lt;&gt;"Q"))))</f>
        <v/>
      </c>
    </row>
    <row r="397" spans="11:18" x14ac:dyDescent="0.3">
      <c r="K397" s="29" t="str">
        <f>IF($A397="","",VLOOKUP('Input Sheet'!$D$2 &amp; " " &amp; $A397,Pop[#All],4,FALSE))</f>
        <v/>
      </c>
      <c r="L397" s="5" t="str">
        <f t="shared" si="22"/>
        <v/>
      </c>
      <c r="M397" s="7" t="str">
        <f t="shared" ca="1" si="21"/>
        <v/>
      </c>
      <c r="N397" s="17" t="str">
        <f>IF(OR($A397="",$A397="Grand Total"),IF($A397="Grand Total",SUM($N$15:$N396),""),SUMPRODUCT((Table1[County]=SummaryPage!$A397)*(Table1[Status]&lt;&gt;"Complete")))</f>
        <v/>
      </c>
      <c r="O397" s="6" t="str">
        <f ca="1">IF($A397="Grand Total",SUM(INDIRECT(ADDRESS(1,COLUMN())&amp;":"&amp;ADDRESS(ROW()-1,COLUMN()))),IF(OR($A397="State Agencies",IFERROR(AND($L397&gt;='Input Sheet'!$J$2,$A397&lt;&gt;""),0)),$J397,""))</f>
        <v/>
      </c>
      <c r="P397" s="3" t="str">
        <f>IF(OR($A397="",$A397="Grand Total"),"",IF(IFERROR(ROUND($J397/$K397,2),1000)&gt;='Input Sheet'!$J$2,1,""))</f>
        <v/>
      </c>
      <c r="Q397" s="3" t="str">
        <f t="shared" si="23"/>
        <v/>
      </c>
      <c r="R397" s="3" t="str">
        <f>IF(OR($A397="",$A397="Grand Total"),"",AND($J397=0,(SUMPRODUCT((Table1[County]=SummaryPage!$A397)*(Table1[Status]="Not Started"))+SUMPRODUCT((Table1[County]=SummaryPage!$A397)*(Table1[Status]="")))=SUMPRODUCT((Table1[County]=SummaryPage!$A397)*(Table1[Status]&lt;&gt;"Q"))))</f>
        <v/>
      </c>
    </row>
    <row r="398" spans="11:18" x14ac:dyDescent="0.3">
      <c r="K398" s="29" t="str">
        <f>IF($A398="","",VLOOKUP('Input Sheet'!$D$2 &amp; " " &amp; $A398,Pop[#All],4,FALSE))</f>
        <v/>
      </c>
      <c r="L398" s="5" t="str">
        <f t="shared" si="22"/>
        <v/>
      </c>
      <c r="M398" s="7" t="str">
        <f t="shared" ca="1" si="21"/>
        <v/>
      </c>
      <c r="N398" s="17" t="str">
        <f>IF(OR($A398="",$A398="Grand Total"),IF($A398="Grand Total",SUM($N$15:$N397),""),SUMPRODUCT((Table1[County]=SummaryPage!$A398)*(Table1[Status]&lt;&gt;"Complete")))</f>
        <v/>
      </c>
      <c r="O398" s="6" t="str">
        <f ca="1">IF($A398="Grand Total",SUM(INDIRECT(ADDRESS(1,COLUMN())&amp;":"&amp;ADDRESS(ROW()-1,COLUMN()))),IF(OR($A398="State Agencies",IFERROR(AND($L398&gt;='Input Sheet'!$J$2,$A398&lt;&gt;""),0)),$J398,""))</f>
        <v/>
      </c>
      <c r="P398" s="3" t="str">
        <f>IF(OR($A398="",$A398="Grand Total"),"",IF(IFERROR(ROUND($J398/$K398,2),1000)&gt;='Input Sheet'!$J$2,1,""))</f>
        <v/>
      </c>
      <c r="Q398" s="3" t="str">
        <f t="shared" si="23"/>
        <v/>
      </c>
      <c r="R398" s="3" t="str">
        <f>IF(OR($A398="",$A398="Grand Total"),"",AND($J398=0,(SUMPRODUCT((Table1[County]=SummaryPage!$A398)*(Table1[Status]="Not Started"))+SUMPRODUCT((Table1[County]=SummaryPage!$A398)*(Table1[Status]="")))=SUMPRODUCT((Table1[County]=SummaryPage!$A398)*(Table1[Status]&lt;&gt;"Q"))))</f>
        <v/>
      </c>
    </row>
    <row r="399" spans="11:18" x14ac:dyDescent="0.3">
      <c r="K399" s="29" t="str">
        <f>IF($A399="","",VLOOKUP('Input Sheet'!$D$2 &amp; " " &amp; $A399,Pop[#All],4,FALSE))</f>
        <v/>
      </c>
      <c r="L399" s="5" t="str">
        <f t="shared" si="22"/>
        <v/>
      </c>
      <c r="M399" s="7" t="str">
        <f t="shared" ref="M399:M462" ca="1" si="24">IF(A399="Grand Total","",IF(ISNUMBER($O399),$O399*2/SUM($O:$O),""))</f>
        <v/>
      </c>
      <c r="N399" s="17" t="str">
        <f>IF(OR($A399="",$A399="Grand Total"),IF($A399="Grand Total",SUM($N$15:$N398),""),SUMPRODUCT((Table1[County]=SummaryPage!$A399)*(Table1[Status]&lt;&gt;"Complete")))</f>
        <v/>
      </c>
      <c r="O399" s="6" t="str">
        <f ca="1">IF($A399="Grand Total",SUM(INDIRECT(ADDRESS(1,COLUMN())&amp;":"&amp;ADDRESS(ROW()-1,COLUMN()))),IF(OR($A399="State Agencies",IFERROR(AND($L399&gt;='Input Sheet'!$J$2,$A399&lt;&gt;""),0)),$J399,""))</f>
        <v/>
      </c>
      <c r="P399" s="3" t="str">
        <f>IF(OR($A399="",$A399="Grand Total"),"",IF(IFERROR(ROUND($J399/$K399,2),1000)&gt;='Input Sheet'!$J$2,1,""))</f>
        <v/>
      </c>
      <c r="Q399" s="3" t="str">
        <f t="shared" si="23"/>
        <v/>
      </c>
      <c r="R399" s="3" t="str">
        <f>IF(OR($A399="",$A399="Grand Total"),"",AND($J399=0,(SUMPRODUCT((Table1[County]=SummaryPage!$A399)*(Table1[Status]="Not Started"))+SUMPRODUCT((Table1[County]=SummaryPage!$A399)*(Table1[Status]="")))=SUMPRODUCT((Table1[County]=SummaryPage!$A399)*(Table1[Status]&lt;&gt;"Q"))))</f>
        <v/>
      </c>
    </row>
    <row r="400" spans="11:18" x14ac:dyDescent="0.3">
      <c r="K400" s="29" t="str">
        <f>IF($A400="","",VLOOKUP('Input Sheet'!$D$2 &amp; " " &amp; $A400,Pop[#All],4,FALSE))</f>
        <v/>
      </c>
      <c r="L400" s="5" t="str">
        <f t="shared" ref="L400:L463" si="25">IFERROR(IF($A400="","",ROUND($J400/$K400,2)),"")</f>
        <v/>
      </c>
      <c r="M400" s="7" t="str">
        <f t="shared" ca="1" si="24"/>
        <v/>
      </c>
      <c r="N400" s="17" t="str">
        <f>IF(OR($A400="",$A400="Grand Total"),IF($A400="Grand Total",SUM($N$15:$N399),""),SUMPRODUCT((Table1[County]=SummaryPage!$A400)*(Table1[Status]&lt;&gt;"Complete")))</f>
        <v/>
      </c>
      <c r="O400" s="6" t="str">
        <f ca="1">IF($A400="Grand Total",SUM(INDIRECT(ADDRESS(1,COLUMN())&amp;":"&amp;ADDRESS(ROW()-1,COLUMN()))),IF(OR($A400="State Agencies",IFERROR(AND($L400&gt;='Input Sheet'!$J$2,$A400&lt;&gt;""),0)),$J400,""))</f>
        <v/>
      </c>
      <c r="P400" s="3" t="str">
        <f>IF(OR($A400="",$A400="Grand Total"),"",IF(IFERROR(ROUND($J400/$K400,2),1000)&gt;='Input Sheet'!$J$2,1,""))</f>
        <v/>
      </c>
      <c r="Q400" s="3" t="str">
        <f t="shared" ref="Q400:Q463" si="26">IFERROR($L400*$P400,"")</f>
        <v/>
      </c>
      <c r="R400" s="3" t="str">
        <f>IF(OR($A400="",$A400="Grand Total"),"",AND($J400=0,(SUMPRODUCT((Table1[County]=SummaryPage!$A400)*(Table1[Status]="Not Started"))+SUMPRODUCT((Table1[County]=SummaryPage!$A400)*(Table1[Status]="")))=SUMPRODUCT((Table1[County]=SummaryPage!$A400)*(Table1[Status]&lt;&gt;"Q"))))</f>
        <v/>
      </c>
    </row>
    <row r="401" spans="11:18" x14ac:dyDescent="0.3">
      <c r="K401" s="29" t="str">
        <f>IF($A401="","",VLOOKUP('Input Sheet'!$D$2 &amp; " " &amp; $A401,Pop[#All],4,FALSE))</f>
        <v/>
      </c>
      <c r="L401" s="5" t="str">
        <f t="shared" si="25"/>
        <v/>
      </c>
      <c r="M401" s="7" t="str">
        <f t="shared" ca="1" si="24"/>
        <v/>
      </c>
      <c r="N401" s="17" t="str">
        <f>IF(OR($A401="",$A401="Grand Total"),IF($A401="Grand Total",SUM($N$15:$N400),""),SUMPRODUCT((Table1[County]=SummaryPage!$A401)*(Table1[Status]&lt;&gt;"Complete")))</f>
        <v/>
      </c>
      <c r="O401" s="6" t="str">
        <f ca="1">IF($A401="Grand Total",SUM(INDIRECT(ADDRESS(1,COLUMN())&amp;":"&amp;ADDRESS(ROW()-1,COLUMN()))),IF(OR($A401="State Agencies",IFERROR(AND($L401&gt;='Input Sheet'!$J$2,$A401&lt;&gt;""),0)),$J401,""))</f>
        <v/>
      </c>
      <c r="P401" s="3" t="str">
        <f>IF(OR($A401="",$A401="Grand Total"),"",IF(IFERROR(ROUND($J401/$K401,2),1000)&gt;='Input Sheet'!$J$2,1,""))</f>
        <v/>
      </c>
      <c r="Q401" s="3" t="str">
        <f t="shared" si="26"/>
        <v/>
      </c>
      <c r="R401" s="3" t="str">
        <f>IF(OR($A401="",$A401="Grand Total"),"",AND($J401=0,(SUMPRODUCT((Table1[County]=SummaryPage!$A401)*(Table1[Status]="Not Started"))+SUMPRODUCT((Table1[County]=SummaryPage!$A401)*(Table1[Status]="")))=SUMPRODUCT((Table1[County]=SummaryPage!$A401)*(Table1[Status]&lt;&gt;"Q"))))</f>
        <v/>
      </c>
    </row>
    <row r="402" spans="11:18" x14ac:dyDescent="0.3">
      <c r="K402" s="29" t="str">
        <f>IF($A402="","",VLOOKUP('Input Sheet'!$D$2 &amp; " " &amp; $A402,Pop[#All],4,FALSE))</f>
        <v/>
      </c>
      <c r="L402" s="5" t="str">
        <f t="shared" si="25"/>
        <v/>
      </c>
      <c r="M402" s="7" t="str">
        <f t="shared" ca="1" si="24"/>
        <v/>
      </c>
      <c r="N402" s="17" t="str">
        <f>IF(OR($A402="",$A402="Grand Total"),IF($A402="Grand Total",SUM($N$15:$N401),""),SUMPRODUCT((Table1[County]=SummaryPage!$A402)*(Table1[Status]&lt;&gt;"Complete")))</f>
        <v/>
      </c>
      <c r="O402" s="6" t="str">
        <f ca="1">IF($A402="Grand Total",SUM(INDIRECT(ADDRESS(1,COLUMN())&amp;":"&amp;ADDRESS(ROW()-1,COLUMN()))),IF(OR($A402="State Agencies",IFERROR(AND($L402&gt;='Input Sheet'!$J$2,$A402&lt;&gt;""),0)),$J402,""))</f>
        <v/>
      </c>
      <c r="P402" s="3" t="str">
        <f>IF(OR($A402="",$A402="Grand Total"),"",IF(IFERROR(ROUND($J402/$K402,2),1000)&gt;='Input Sheet'!$J$2,1,""))</f>
        <v/>
      </c>
      <c r="Q402" s="3" t="str">
        <f t="shared" si="26"/>
        <v/>
      </c>
      <c r="R402" s="3" t="str">
        <f>IF(OR($A402="",$A402="Grand Total"),"",AND($J402=0,(SUMPRODUCT((Table1[County]=SummaryPage!$A402)*(Table1[Status]="Not Started"))+SUMPRODUCT((Table1[County]=SummaryPage!$A402)*(Table1[Status]="")))=SUMPRODUCT((Table1[County]=SummaryPage!$A402)*(Table1[Status]&lt;&gt;"Q"))))</f>
        <v/>
      </c>
    </row>
    <row r="403" spans="11:18" x14ac:dyDescent="0.3">
      <c r="K403" s="29" t="str">
        <f>IF($A403="","",VLOOKUP('Input Sheet'!$D$2 &amp; " " &amp; $A403,Pop[#All],4,FALSE))</f>
        <v/>
      </c>
      <c r="L403" s="5" t="str">
        <f t="shared" si="25"/>
        <v/>
      </c>
      <c r="M403" s="7" t="str">
        <f t="shared" ca="1" si="24"/>
        <v/>
      </c>
      <c r="N403" s="17" t="str">
        <f>IF(OR($A403="",$A403="Grand Total"),IF($A403="Grand Total",SUM($N$15:$N402),""),SUMPRODUCT((Table1[County]=SummaryPage!$A403)*(Table1[Status]&lt;&gt;"Complete")))</f>
        <v/>
      </c>
      <c r="O403" s="6" t="str">
        <f ca="1">IF($A403="Grand Total",SUM(INDIRECT(ADDRESS(1,COLUMN())&amp;":"&amp;ADDRESS(ROW()-1,COLUMN()))),IF(OR($A403="State Agencies",IFERROR(AND($L403&gt;='Input Sheet'!$J$2,$A403&lt;&gt;""),0)),$J403,""))</f>
        <v/>
      </c>
      <c r="P403" s="3" t="str">
        <f>IF(OR($A403="",$A403="Grand Total"),"",IF(IFERROR(ROUND($J403/$K403,2),1000)&gt;='Input Sheet'!$J$2,1,""))</f>
        <v/>
      </c>
      <c r="Q403" s="3" t="str">
        <f t="shared" si="26"/>
        <v/>
      </c>
      <c r="R403" s="3" t="str">
        <f>IF(OR($A403="",$A403="Grand Total"),"",AND($J403=0,(SUMPRODUCT((Table1[County]=SummaryPage!$A403)*(Table1[Status]="Not Started"))+SUMPRODUCT((Table1[County]=SummaryPage!$A403)*(Table1[Status]="")))=SUMPRODUCT((Table1[County]=SummaryPage!$A403)*(Table1[Status]&lt;&gt;"Q"))))</f>
        <v/>
      </c>
    </row>
    <row r="404" spans="11:18" x14ac:dyDescent="0.3">
      <c r="K404" s="29" t="str">
        <f>IF($A404="","",VLOOKUP('Input Sheet'!$D$2 &amp; " " &amp; $A404,Pop[#All],4,FALSE))</f>
        <v/>
      </c>
      <c r="L404" s="5" t="str">
        <f t="shared" si="25"/>
        <v/>
      </c>
      <c r="M404" s="7" t="str">
        <f t="shared" ca="1" si="24"/>
        <v/>
      </c>
      <c r="N404" s="17" t="str">
        <f>IF(OR($A404="",$A404="Grand Total"),IF($A404="Grand Total",SUM($N$15:$N403),""),SUMPRODUCT((Table1[County]=SummaryPage!$A404)*(Table1[Status]&lt;&gt;"Complete")))</f>
        <v/>
      </c>
      <c r="O404" s="6" t="str">
        <f ca="1">IF($A404="Grand Total",SUM(INDIRECT(ADDRESS(1,COLUMN())&amp;":"&amp;ADDRESS(ROW()-1,COLUMN()))),IF(OR($A404="State Agencies",IFERROR(AND($L404&gt;='Input Sheet'!$J$2,$A404&lt;&gt;""),0)),$J404,""))</f>
        <v/>
      </c>
      <c r="P404" s="3" t="str">
        <f>IF(OR($A404="",$A404="Grand Total"),"",IF(IFERROR(ROUND($J404/$K404,2),1000)&gt;='Input Sheet'!$J$2,1,""))</f>
        <v/>
      </c>
      <c r="Q404" s="3" t="str">
        <f t="shared" si="26"/>
        <v/>
      </c>
      <c r="R404" s="3" t="str">
        <f>IF(OR($A404="",$A404="Grand Total"),"",AND($J404=0,(SUMPRODUCT((Table1[County]=SummaryPage!$A404)*(Table1[Status]="Not Started"))+SUMPRODUCT((Table1[County]=SummaryPage!$A404)*(Table1[Status]="")))=SUMPRODUCT((Table1[County]=SummaryPage!$A404)*(Table1[Status]&lt;&gt;"Q"))))</f>
        <v/>
      </c>
    </row>
    <row r="405" spans="11:18" x14ac:dyDescent="0.3">
      <c r="K405" s="29" t="str">
        <f>IF($A405="","",VLOOKUP('Input Sheet'!$D$2 &amp; " " &amp; $A405,Pop[#All],4,FALSE))</f>
        <v/>
      </c>
      <c r="L405" s="5" t="str">
        <f t="shared" si="25"/>
        <v/>
      </c>
      <c r="M405" s="7" t="str">
        <f t="shared" ca="1" si="24"/>
        <v/>
      </c>
      <c r="N405" s="17" t="str">
        <f>IF(OR($A405="",$A405="Grand Total"),IF($A405="Grand Total",SUM($N$15:$N404),""),SUMPRODUCT((Table1[County]=SummaryPage!$A405)*(Table1[Status]&lt;&gt;"Complete")))</f>
        <v/>
      </c>
      <c r="O405" s="6" t="str">
        <f ca="1">IF($A405="Grand Total",SUM(INDIRECT(ADDRESS(1,COLUMN())&amp;":"&amp;ADDRESS(ROW()-1,COLUMN()))),IF(OR($A405="State Agencies",IFERROR(AND($L405&gt;='Input Sheet'!$J$2,$A405&lt;&gt;""),0)),$J405,""))</f>
        <v/>
      </c>
      <c r="P405" s="3" t="str">
        <f>IF(OR($A405="",$A405="Grand Total"),"",IF(IFERROR(ROUND($J405/$K405,2),1000)&gt;='Input Sheet'!$J$2,1,""))</f>
        <v/>
      </c>
      <c r="Q405" s="3" t="str">
        <f t="shared" si="26"/>
        <v/>
      </c>
      <c r="R405" s="3" t="str">
        <f>IF(OR($A405="",$A405="Grand Total"),"",AND($J405=0,(SUMPRODUCT((Table1[County]=SummaryPage!$A405)*(Table1[Status]="Not Started"))+SUMPRODUCT((Table1[County]=SummaryPage!$A405)*(Table1[Status]="")))=SUMPRODUCT((Table1[County]=SummaryPage!$A405)*(Table1[Status]&lt;&gt;"Q"))))</f>
        <v/>
      </c>
    </row>
    <row r="406" spans="11:18" x14ac:dyDescent="0.3">
      <c r="K406" s="29" t="str">
        <f>IF($A406="","",VLOOKUP('Input Sheet'!$D$2 &amp; " " &amp; $A406,Pop[#All],4,FALSE))</f>
        <v/>
      </c>
      <c r="L406" s="5" t="str">
        <f t="shared" si="25"/>
        <v/>
      </c>
      <c r="M406" s="7" t="str">
        <f t="shared" ca="1" si="24"/>
        <v/>
      </c>
      <c r="N406" s="17" t="str">
        <f>IF(OR($A406="",$A406="Grand Total"),IF($A406="Grand Total",SUM($N$15:$N405),""),SUMPRODUCT((Table1[County]=SummaryPage!$A406)*(Table1[Status]&lt;&gt;"Complete")))</f>
        <v/>
      </c>
      <c r="O406" s="6" t="str">
        <f ca="1">IF($A406="Grand Total",SUM(INDIRECT(ADDRESS(1,COLUMN())&amp;":"&amp;ADDRESS(ROW()-1,COLUMN()))),IF(OR($A406="State Agencies",IFERROR(AND($L406&gt;='Input Sheet'!$J$2,$A406&lt;&gt;""),0)),$J406,""))</f>
        <v/>
      </c>
      <c r="P406" s="3" t="str">
        <f>IF(OR($A406="",$A406="Grand Total"),"",IF(IFERROR(ROUND($J406/$K406,2),1000)&gt;='Input Sheet'!$J$2,1,""))</f>
        <v/>
      </c>
      <c r="Q406" s="3" t="str">
        <f t="shared" si="26"/>
        <v/>
      </c>
      <c r="R406" s="3" t="str">
        <f>IF(OR($A406="",$A406="Grand Total"),"",AND($J406=0,(SUMPRODUCT((Table1[County]=SummaryPage!$A406)*(Table1[Status]="Not Started"))+SUMPRODUCT((Table1[County]=SummaryPage!$A406)*(Table1[Status]="")))=SUMPRODUCT((Table1[County]=SummaryPage!$A406)*(Table1[Status]&lt;&gt;"Q"))))</f>
        <v/>
      </c>
    </row>
    <row r="407" spans="11:18" x14ac:dyDescent="0.3">
      <c r="K407" s="29" t="str">
        <f>IF($A407="","",VLOOKUP('Input Sheet'!$D$2 &amp; " " &amp; $A407,Pop[#All],4,FALSE))</f>
        <v/>
      </c>
      <c r="L407" s="5" t="str">
        <f t="shared" si="25"/>
        <v/>
      </c>
      <c r="M407" s="7" t="str">
        <f t="shared" ca="1" si="24"/>
        <v/>
      </c>
      <c r="N407" s="17" t="str">
        <f>IF(OR($A407="",$A407="Grand Total"),IF($A407="Grand Total",SUM($N$15:$N406),""),SUMPRODUCT((Table1[County]=SummaryPage!$A407)*(Table1[Status]&lt;&gt;"Complete")))</f>
        <v/>
      </c>
      <c r="O407" s="6" t="str">
        <f ca="1">IF($A407="Grand Total",SUM(INDIRECT(ADDRESS(1,COLUMN())&amp;":"&amp;ADDRESS(ROW()-1,COLUMN()))),IF(OR($A407="State Agencies",IFERROR(AND($L407&gt;='Input Sheet'!$J$2,$A407&lt;&gt;""),0)),$J407,""))</f>
        <v/>
      </c>
      <c r="P407" s="3" t="str">
        <f>IF(OR($A407="",$A407="Grand Total"),"",IF(IFERROR(ROUND($J407/$K407,2),1000)&gt;='Input Sheet'!$J$2,1,""))</f>
        <v/>
      </c>
      <c r="Q407" s="3" t="str">
        <f t="shared" si="26"/>
        <v/>
      </c>
      <c r="R407" s="3" t="str">
        <f>IF(OR($A407="",$A407="Grand Total"),"",AND($J407=0,(SUMPRODUCT((Table1[County]=SummaryPage!$A407)*(Table1[Status]="Not Started"))+SUMPRODUCT((Table1[County]=SummaryPage!$A407)*(Table1[Status]="")))=SUMPRODUCT((Table1[County]=SummaryPage!$A407)*(Table1[Status]&lt;&gt;"Q"))))</f>
        <v/>
      </c>
    </row>
    <row r="408" spans="11:18" x14ac:dyDescent="0.3">
      <c r="K408" s="29" t="str">
        <f>IF($A408="","",VLOOKUP('Input Sheet'!$D$2 &amp; " " &amp; $A408,Pop[#All],4,FALSE))</f>
        <v/>
      </c>
      <c r="L408" s="5" t="str">
        <f t="shared" si="25"/>
        <v/>
      </c>
      <c r="M408" s="7" t="str">
        <f t="shared" ca="1" si="24"/>
        <v/>
      </c>
      <c r="N408" s="17" t="str">
        <f>IF(OR($A408="",$A408="Grand Total"),IF($A408="Grand Total",SUM($N$15:$N407),""),SUMPRODUCT((Table1[County]=SummaryPage!$A408)*(Table1[Status]&lt;&gt;"Complete")))</f>
        <v/>
      </c>
      <c r="O408" s="6" t="str">
        <f ca="1">IF($A408="Grand Total",SUM(INDIRECT(ADDRESS(1,COLUMN())&amp;":"&amp;ADDRESS(ROW()-1,COLUMN()))),IF(OR($A408="State Agencies",IFERROR(AND($L408&gt;='Input Sheet'!$J$2,$A408&lt;&gt;""),0)),$J408,""))</f>
        <v/>
      </c>
      <c r="P408" s="3" t="str">
        <f>IF(OR($A408="",$A408="Grand Total"),"",IF(IFERROR(ROUND($J408/$K408,2),1000)&gt;='Input Sheet'!$J$2,1,""))</f>
        <v/>
      </c>
      <c r="Q408" s="3" t="str">
        <f t="shared" si="26"/>
        <v/>
      </c>
      <c r="R408" s="3" t="str">
        <f>IF(OR($A408="",$A408="Grand Total"),"",AND($J408=0,(SUMPRODUCT((Table1[County]=SummaryPage!$A408)*(Table1[Status]="Not Started"))+SUMPRODUCT((Table1[County]=SummaryPage!$A408)*(Table1[Status]="")))=SUMPRODUCT((Table1[County]=SummaryPage!$A408)*(Table1[Status]&lt;&gt;"Q"))))</f>
        <v/>
      </c>
    </row>
    <row r="409" spans="11:18" x14ac:dyDescent="0.3">
      <c r="K409" s="29" t="str">
        <f>IF($A409="","",VLOOKUP('Input Sheet'!$D$2 &amp; " " &amp; $A409,Pop[#All],4,FALSE))</f>
        <v/>
      </c>
      <c r="L409" s="5" t="str">
        <f t="shared" si="25"/>
        <v/>
      </c>
      <c r="M409" s="7" t="str">
        <f t="shared" ca="1" si="24"/>
        <v/>
      </c>
      <c r="N409" s="17" t="str">
        <f>IF(OR($A409="",$A409="Grand Total"),IF($A409="Grand Total",SUM($N$15:$N408),""),SUMPRODUCT((Table1[County]=SummaryPage!$A409)*(Table1[Status]&lt;&gt;"Complete")))</f>
        <v/>
      </c>
      <c r="O409" s="6" t="str">
        <f ca="1">IF($A409="Grand Total",SUM(INDIRECT(ADDRESS(1,COLUMN())&amp;":"&amp;ADDRESS(ROW()-1,COLUMN()))),IF(OR($A409="State Agencies",IFERROR(AND($L409&gt;='Input Sheet'!$J$2,$A409&lt;&gt;""),0)),$J409,""))</f>
        <v/>
      </c>
      <c r="P409" s="3" t="str">
        <f>IF(OR($A409="",$A409="Grand Total"),"",IF(IFERROR(ROUND($J409/$K409,2),1000)&gt;='Input Sheet'!$J$2,1,""))</f>
        <v/>
      </c>
      <c r="Q409" s="3" t="str">
        <f t="shared" si="26"/>
        <v/>
      </c>
      <c r="R409" s="3" t="str">
        <f>IF(OR($A409="",$A409="Grand Total"),"",AND($J409=0,(SUMPRODUCT((Table1[County]=SummaryPage!$A409)*(Table1[Status]="Not Started"))+SUMPRODUCT((Table1[County]=SummaryPage!$A409)*(Table1[Status]="")))=SUMPRODUCT((Table1[County]=SummaryPage!$A409)*(Table1[Status]&lt;&gt;"Q"))))</f>
        <v/>
      </c>
    </row>
    <row r="410" spans="11:18" x14ac:dyDescent="0.3">
      <c r="K410" s="29" t="str">
        <f>IF($A410="","",VLOOKUP('Input Sheet'!$D$2 &amp; " " &amp; $A410,Pop[#All],4,FALSE))</f>
        <v/>
      </c>
      <c r="L410" s="5" t="str">
        <f t="shared" si="25"/>
        <v/>
      </c>
      <c r="M410" s="7" t="str">
        <f t="shared" ca="1" si="24"/>
        <v/>
      </c>
      <c r="N410" s="17" t="str">
        <f>IF(OR($A410="",$A410="Grand Total"),IF($A410="Grand Total",SUM($N$15:$N409),""),SUMPRODUCT((Table1[County]=SummaryPage!$A410)*(Table1[Status]&lt;&gt;"Complete")))</f>
        <v/>
      </c>
      <c r="O410" s="6" t="str">
        <f ca="1">IF($A410="Grand Total",SUM(INDIRECT(ADDRESS(1,COLUMN())&amp;":"&amp;ADDRESS(ROW()-1,COLUMN()))),IF(OR($A410="State Agencies",IFERROR(AND($L410&gt;='Input Sheet'!$J$2,$A410&lt;&gt;""),0)),$J410,""))</f>
        <v/>
      </c>
      <c r="P410" s="3" t="str">
        <f>IF(OR($A410="",$A410="Grand Total"),"",IF(IFERROR(ROUND($J410/$K410,2),1000)&gt;='Input Sheet'!$J$2,1,""))</f>
        <v/>
      </c>
      <c r="Q410" s="3" t="str">
        <f t="shared" si="26"/>
        <v/>
      </c>
      <c r="R410" s="3" t="str">
        <f>IF(OR($A410="",$A410="Grand Total"),"",AND($J410=0,(SUMPRODUCT((Table1[County]=SummaryPage!$A410)*(Table1[Status]="Not Started"))+SUMPRODUCT((Table1[County]=SummaryPage!$A410)*(Table1[Status]="")))=SUMPRODUCT((Table1[County]=SummaryPage!$A410)*(Table1[Status]&lt;&gt;"Q"))))</f>
        <v/>
      </c>
    </row>
    <row r="411" spans="11:18" x14ac:dyDescent="0.3">
      <c r="K411" s="29" t="str">
        <f>IF($A411="","",VLOOKUP('Input Sheet'!$D$2 &amp; " " &amp; $A411,Pop[#All],4,FALSE))</f>
        <v/>
      </c>
      <c r="L411" s="5" t="str">
        <f t="shared" si="25"/>
        <v/>
      </c>
      <c r="M411" s="7" t="str">
        <f t="shared" ca="1" si="24"/>
        <v/>
      </c>
      <c r="N411" s="17" t="str">
        <f>IF(OR($A411="",$A411="Grand Total"),IF($A411="Grand Total",SUM($N$15:$N410),""),SUMPRODUCT((Table1[County]=SummaryPage!$A411)*(Table1[Status]&lt;&gt;"Complete")))</f>
        <v/>
      </c>
      <c r="O411" s="6" t="str">
        <f ca="1">IF($A411="Grand Total",SUM(INDIRECT(ADDRESS(1,COLUMN())&amp;":"&amp;ADDRESS(ROW()-1,COLUMN()))),IF(OR($A411="State Agencies",IFERROR(AND($L411&gt;='Input Sheet'!$J$2,$A411&lt;&gt;""),0)),$J411,""))</f>
        <v/>
      </c>
      <c r="P411" s="3" t="str">
        <f>IF(OR($A411="",$A411="Grand Total"),"",IF(IFERROR(ROUND($J411/$K411,2),1000)&gt;='Input Sheet'!$J$2,1,""))</f>
        <v/>
      </c>
      <c r="Q411" s="3" t="str">
        <f t="shared" si="26"/>
        <v/>
      </c>
      <c r="R411" s="3" t="str">
        <f>IF(OR($A411="",$A411="Grand Total"),"",AND($J411=0,(SUMPRODUCT((Table1[County]=SummaryPage!$A411)*(Table1[Status]="Not Started"))+SUMPRODUCT((Table1[County]=SummaryPage!$A411)*(Table1[Status]="")))=SUMPRODUCT((Table1[County]=SummaryPage!$A411)*(Table1[Status]&lt;&gt;"Q"))))</f>
        <v/>
      </c>
    </row>
    <row r="412" spans="11:18" x14ac:dyDescent="0.3">
      <c r="K412" s="29" t="str">
        <f>IF($A412="","",VLOOKUP('Input Sheet'!$D$2 &amp; " " &amp; $A412,Pop[#All],4,FALSE))</f>
        <v/>
      </c>
      <c r="L412" s="5" t="str">
        <f t="shared" si="25"/>
        <v/>
      </c>
      <c r="M412" s="7" t="str">
        <f t="shared" ca="1" si="24"/>
        <v/>
      </c>
      <c r="N412" s="17" t="str">
        <f>IF(OR($A412="",$A412="Grand Total"),IF($A412="Grand Total",SUM($N$15:$N411),""),SUMPRODUCT((Table1[County]=SummaryPage!$A412)*(Table1[Status]&lt;&gt;"Complete")))</f>
        <v/>
      </c>
      <c r="O412" s="6" t="str">
        <f ca="1">IF($A412="Grand Total",SUM(INDIRECT(ADDRESS(1,COLUMN())&amp;":"&amp;ADDRESS(ROW()-1,COLUMN()))),IF(OR($A412="State Agencies",IFERROR(AND($L412&gt;='Input Sheet'!$J$2,$A412&lt;&gt;""),0)),$J412,""))</f>
        <v/>
      </c>
      <c r="P412" s="3" t="str">
        <f>IF(OR($A412="",$A412="Grand Total"),"",IF(IFERROR(ROUND($J412/$K412,2),1000)&gt;='Input Sheet'!$J$2,1,""))</f>
        <v/>
      </c>
      <c r="Q412" s="3" t="str">
        <f t="shared" si="26"/>
        <v/>
      </c>
      <c r="R412" s="3" t="str">
        <f>IF(OR($A412="",$A412="Grand Total"),"",AND($J412=0,(SUMPRODUCT((Table1[County]=SummaryPage!$A412)*(Table1[Status]="Not Started"))+SUMPRODUCT((Table1[County]=SummaryPage!$A412)*(Table1[Status]="")))=SUMPRODUCT((Table1[County]=SummaryPage!$A412)*(Table1[Status]&lt;&gt;"Q"))))</f>
        <v/>
      </c>
    </row>
    <row r="413" spans="11:18" x14ac:dyDescent="0.3">
      <c r="K413" s="29" t="str">
        <f>IF($A413="","",VLOOKUP('Input Sheet'!$D$2 &amp; " " &amp; $A413,Pop[#All],4,FALSE))</f>
        <v/>
      </c>
      <c r="L413" s="5" t="str">
        <f t="shared" si="25"/>
        <v/>
      </c>
      <c r="M413" s="7" t="str">
        <f t="shared" ca="1" si="24"/>
        <v/>
      </c>
      <c r="N413" s="17" t="str">
        <f>IF(OR($A413="",$A413="Grand Total"),IF($A413="Grand Total",SUM($N$15:$N412),""),SUMPRODUCT((Table1[County]=SummaryPage!$A413)*(Table1[Status]&lt;&gt;"Complete")))</f>
        <v/>
      </c>
      <c r="O413" s="6" t="str">
        <f ca="1">IF($A413="Grand Total",SUM(INDIRECT(ADDRESS(1,COLUMN())&amp;":"&amp;ADDRESS(ROW()-1,COLUMN()))),IF(OR($A413="State Agencies",IFERROR(AND($L413&gt;='Input Sheet'!$J$2,$A413&lt;&gt;""),0)),$J413,""))</f>
        <v/>
      </c>
      <c r="P413" s="3" t="str">
        <f>IF(OR($A413="",$A413="Grand Total"),"",IF(IFERROR(ROUND($J413/$K413,2),1000)&gt;='Input Sheet'!$J$2,1,""))</f>
        <v/>
      </c>
      <c r="Q413" s="3" t="str">
        <f t="shared" si="26"/>
        <v/>
      </c>
      <c r="R413" s="3" t="str">
        <f>IF(OR($A413="",$A413="Grand Total"),"",AND($J413=0,(SUMPRODUCT((Table1[County]=SummaryPage!$A413)*(Table1[Status]="Not Started"))+SUMPRODUCT((Table1[County]=SummaryPage!$A413)*(Table1[Status]="")))=SUMPRODUCT((Table1[County]=SummaryPage!$A413)*(Table1[Status]&lt;&gt;"Q"))))</f>
        <v/>
      </c>
    </row>
    <row r="414" spans="11:18" x14ac:dyDescent="0.3">
      <c r="K414" s="29" t="str">
        <f>IF($A414="","",VLOOKUP('Input Sheet'!$D$2 &amp; " " &amp; $A414,Pop[#All],4,FALSE))</f>
        <v/>
      </c>
      <c r="L414" s="5" t="str">
        <f t="shared" si="25"/>
        <v/>
      </c>
      <c r="M414" s="7" t="str">
        <f t="shared" ca="1" si="24"/>
        <v/>
      </c>
      <c r="N414" s="17" t="str">
        <f>IF(OR($A414="",$A414="Grand Total"),IF($A414="Grand Total",SUM($N$15:$N413),""),SUMPRODUCT((Table1[County]=SummaryPage!$A414)*(Table1[Status]&lt;&gt;"Complete")))</f>
        <v/>
      </c>
      <c r="O414" s="6" t="str">
        <f ca="1">IF($A414="Grand Total",SUM(INDIRECT(ADDRESS(1,COLUMN())&amp;":"&amp;ADDRESS(ROW()-1,COLUMN()))),IF(OR($A414="State Agencies",IFERROR(AND($L414&gt;='Input Sheet'!$J$2,$A414&lt;&gt;""),0)),$J414,""))</f>
        <v/>
      </c>
      <c r="P414" s="3" t="str">
        <f>IF(OR($A414="",$A414="Grand Total"),"",IF(IFERROR(ROUND($J414/$K414,2),1000)&gt;='Input Sheet'!$J$2,1,""))</f>
        <v/>
      </c>
      <c r="Q414" s="3" t="str">
        <f t="shared" si="26"/>
        <v/>
      </c>
      <c r="R414" s="3" t="str">
        <f>IF(OR($A414="",$A414="Grand Total"),"",AND($J414=0,(SUMPRODUCT((Table1[County]=SummaryPage!$A414)*(Table1[Status]="Not Started"))+SUMPRODUCT((Table1[County]=SummaryPage!$A414)*(Table1[Status]="")))=SUMPRODUCT((Table1[County]=SummaryPage!$A414)*(Table1[Status]&lt;&gt;"Q"))))</f>
        <v/>
      </c>
    </row>
    <row r="415" spans="11:18" x14ac:dyDescent="0.3">
      <c r="K415" s="29" t="str">
        <f>IF($A415="","",VLOOKUP('Input Sheet'!$D$2 &amp; " " &amp; $A415,Pop[#All],4,FALSE))</f>
        <v/>
      </c>
      <c r="L415" s="5" t="str">
        <f t="shared" si="25"/>
        <v/>
      </c>
      <c r="M415" s="7" t="str">
        <f t="shared" ca="1" si="24"/>
        <v/>
      </c>
      <c r="N415" s="17" t="str">
        <f>IF(OR($A415="",$A415="Grand Total"),IF($A415="Grand Total",SUM($N$15:$N414),""),SUMPRODUCT((Table1[County]=SummaryPage!$A415)*(Table1[Status]&lt;&gt;"Complete")))</f>
        <v/>
      </c>
      <c r="O415" s="6" t="str">
        <f ca="1">IF($A415="Grand Total",SUM(INDIRECT(ADDRESS(1,COLUMN())&amp;":"&amp;ADDRESS(ROW()-1,COLUMN()))),IF(OR($A415="State Agencies",IFERROR(AND($L415&gt;='Input Sheet'!$J$2,$A415&lt;&gt;""),0)),$J415,""))</f>
        <v/>
      </c>
      <c r="P415" s="3" t="str">
        <f>IF(OR($A415="",$A415="Grand Total"),"",IF(IFERROR(ROUND($J415/$K415,2),1000)&gt;='Input Sheet'!$J$2,1,""))</f>
        <v/>
      </c>
      <c r="Q415" s="3" t="str">
        <f t="shared" si="26"/>
        <v/>
      </c>
      <c r="R415" s="3" t="str">
        <f>IF(OR($A415="",$A415="Grand Total"),"",AND($J415=0,(SUMPRODUCT((Table1[County]=SummaryPage!$A415)*(Table1[Status]="Not Started"))+SUMPRODUCT((Table1[County]=SummaryPage!$A415)*(Table1[Status]="")))=SUMPRODUCT((Table1[County]=SummaryPage!$A415)*(Table1[Status]&lt;&gt;"Q"))))</f>
        <v/>
      </c>
    </row>
    <row r="416" spans="11:18" x14ac:dyDescent="0.3">
      <c r="K416" s="29" t="str">
        <f>IF($A416="","",VLOOKUP('Input Sheet'!$D$2 &amp; " " &amp; $A416,Pop[#All],4,FALSE))</f>
        <v/>
      </c>
      <c r="L416" s="5" t="str">
        <f t="shared" si="25"/>
        <v/>
      </c>
      <c r="M416" s="7" t="str">
        <f t="shared" ca="1" si="24"/>
        <v/>
      </c>
      <c r="N416" s="17" t="str">
        <f>IF(OR($A416="",$A416="Grand Total"),IF($A416="Grand Total",SUM($N$15:$N415),""),SUMPRODUCT((Table1[County]=SummaryPage!$A416)*(Table1[Status]&lt;&gt;"Complete")))</f>
        <v/>
      </c>
      <c r="O416" s="6" t="str">
        <f ca="1">IF($A416="Grand Total",SUM(INDIRECT(ADDRESS(1,COLUMN())&amp;":"&amp;ADDRESS(ROW()-1,COLUMN()))),IF(OR($A416="State Agencies",IFERROR(AND($L416&gt;='Input Sheet'!$J$2,$A416&lt;&gt;""),0)),$J416,""))</f>
        <v/>
      </c>
      <c r="P416" s="3" t="str">
        <f>IF(OR($A416="",$A416="Grand Total"),"",IF(IFERROR(ROUND($J416/$K416,2),1000)&gt;='Input Sheet'!$J$2,1,""))</f>
        <v/>
      </c>
      <c r="Q416" s="3" t="str">
        <f t="shared" si="26"/>
        <v/>
      </c>
      <c r="R416" s="3" t="str">
        <f>IF(OR($A416="",$A416="Grand Total"),"",AND($J416=0,(SUMPRODUCT((Table1[County]=SummaryPage!$A416)*(Table1[Status]="Not Started"))+SUMPRODUCT((Table1[County]=SummaryPage!$A416)*(Table1[Status]="")))=SUMPRODUCT((Table1[County]=SummaryPage!$A416)*(Table1[Status]&lt;&gt;"Q"))))</f>
        <v/>
      </c>
    </row>
    <row r="417" spans="11:18" x14ac:dyDescent="0.3">
      <c r="K417" s="29" t="str">
        <f>IF($A417="","",VLOOKUP('Input Sheet'!$D$2 &amp; " " &amp; $A417,Pop[#All],4,FALSE))</f>
        <v/>
      </c>
      <c r="L417" s="5" t="str">
        <f t="shared" si="25"/>
        <v/>
      </c>
      <c r="M417" s="7" t="str">
        <f t="shared" ca="1" si="24"/>
        <v/>
      </c>
      <c r="N417" s="17" t="str">
        <f>IF(OR($A417="",$A417="Grand Total"),IF($A417="Grand Total",SUM($N$15:$N416),""),SUMPRODUCT((Table1[County]=SummaryPage!$A417)*(Table1[Status]&lt;&gt;"Complete")))</f>
        <v/>
      </c>
      <c r="O417" s="6" t="str">
        <f ca="1">IF($A417="Grand Total",SUM(INDIRECT(ADDRESS(1,COLUMN())&amp;":"&amp;ADDRESS(ROW()-1,COLUMN()))),IF(OR($A417="State Agencies",IFERROR(AND($L417&gt;='Input Sheet'!$J$2,$A417&lt;&gt;""),0)),$J417,""))</f>
        <v/>
      </c>
      <c r="P417" s="3" t="str">
        <f>IF(OR($A417="",$A417="Grand Total"),"",IF(IFERROR(ROUND($J417/$K417,2),1000)&gt;='Input Sheet'!$J$2,1,""))</f>
        <v/>
      </c>
      <c r="Q417" s="3" t="str">
        <f t="shared" si="26"/>
        <v/>
      </c>
      <c r="R417" s="3" t="str">
        <f>IF(OR($A417="",$A417="Grand Total"),"",AND($J417=0,(SUMPRODUCT((Table1[County]=SummaryPage!$A417)*(Table1[Status]="Not Started"))+SUMPRODUCT((Table1[County]=SummaryPage!$A417)*(Table1[Status]="")))=SUMPRODUCT((Table1[County]=SummaryPage!$A417)*(Table1[Status]&lt;&gt;"Q"))))</f>
        <v/>
      </c>
    </row>
    <row r="418" spans="11:18" x14ac:dyDescent="0.3">
      <c r="K418" s="29" t="str">
        <f>IF($A418="","",VLOOKUP('Input Sheet'!$D$2 &amp; " " &amp; $A418,Pop[#All],4,FALSE))</f>
        <v/>
      </c>
      <c r="L418" s="5" t="str">
        <f t="shared" si="25"/>
        <v/>
      </c>
      <c r="M418" s="7" t="str">
        <f t="shared" ca="1" si="24"/>
        <v/>
      </c>
      <c r="N418" s="17" t="str">
        <f>IF(OR($A418="",$A418="Grand Total"),IF($A418="Grand Total",SUM($N$15:$N417),""),SUMPRODUCT((Table1[County]=SummaryPage!$A418)*(Table1[Status]&lt;&gt;"Complete")))</f>
        <v/>
      </c>
      <c r="O418" s="6" t="str">
        <f ca="1">IF($A418="Grand Total",SUM(INDIRECT(ADDRESS(1,COLUMN())&amp;":"&amp;ADDRESS(ROW()-1,COLUMN()))),IF(OR($A418="State Agencies",IFERROR(AND($L418&gt;='Input Sheet'!$J$2,$A418&lt;&gt;""),0)),$J418,""))</f>
        <v/>
      </c>
      <c r="P418" s="3" t="str">
        <f>IF(OR($A418="",$A418="Grand Total"),"",IF(IFERROR(ROUND($J418/$K418,2),1000)&gt;='Input Sheet'!$J$2,1,""))</f>
        <v/>
      </c>
      <c r="Q418" s="3" t="str">
        <f t="shared" si="26"/>
        <v/>
      </c>
      <c r="R418" s="3" t="str">
        <f>IF(OR($A418="",$A418="Grand Total"),"",AND($J418=0,(SUMPRODUCT((Table1[County]=SummaryPage!$A418)*(Table1[Status]="Not Started"))+SUMPRODUCT((Table1[County]=SummaryPage!$A418)*(Table1[Status]="")))=SUMPRODUCT((Table1[County]=SummaryPage!$A418)*(Table1[Status]&lt;&gt;"Q"))))</f>
        <v/>
      </c>
    </row>
    <row r="419" spans="11:18" x14ac:dyDescent="0.3">
      <c r="K419" s="29" t="str">
        <f>IF($A419="","",VLOOKUP('Input Sheet'!$D$2 &amp; " " &amp; $A419,Pop[#All],4,FALSE))</f>
        <v/>
      </c>
      <c r="L419" s="5" t="str">
        <f t="shared" si="25"/>
        <v/>
      </c>
      <c r="M419" s="7" t="str">
        <f t="shared" ca="1" si="24"/>
        <v/>
      </c>
      <c r="N419" s="17" t="str">
        <f>IF(OR($A419="",$A419="Grand Total"),IF($A419="Grand Total",SUM($N$15:$N418),""),SUMPRODUCT((Table1[County]=SummaryPage!$A419)*(Table1[Status]&lt;&gt;"Complete")))</f>
        <v/>
      </c>
      <c r="O419" s="6" t="str">
        <f ca="1">IF($A419="Grand Total",SUM(INDIRECT(ADDRESS(1,COLUMN())&amp;":"&amp;ADDRESS(ROW()-1,COLUMN()))),IF(OR($A419="State Agencies",IFERROR(AND($L419&gt;='Input Sheet'!$J$2,$A419&lt;&gt;""),0)),$J419,""))</f>
        <v/>
      </c>
      <c r="P419" s="3" t="str">
        <f>IF(OR($A419="",$A419="Grand Total"),"",IF(IFERROR(ROUND($J419/$K419,2),1000)&gt;='Input Sheet'!$J$2,1,""))</f>
        <v/>
      </c>
      <c r="Q419" s="3" t="str">
        <f t="shared" si="26"/>
        <v/>
      </c>
      <c r="R419" s="3" t="str">
        <f>IF(OR($A419="",$A419="Grand Total"),"",AND($J419=0,(SUMPRODUCT((Table1[County]=SummaryPage!$A419)*(Table1[Status]="Not Started"))+SUMPRODUCT((Table1[County]=SummaryPage!$A419)*(Table1[Status]="")))=SUMPRODUCT((Table1[County]=SummaryPage!$A419)*(Table1[Status]&lt;&gt;"Q"))))</f>
        <v/>
      </c>
    </row>
    <row r="420" spans="11:18" x14ac:dyDescent="0.3">
      <c r="K420" s="29" t="str">
        <f>IF($A420="","",VLOOKUP('Input Sheet'!$D$2 &amp; " " &amp; $A420,Pop[#All],4,FALSE))</f>
        <v/>
      </c>
      <c r="L420" s="5" t="str">
        <f t="shared" si="25"/>
        <v/>
      </c>
      <c r="M420" s="7" t="str">
        <f t="shared" ca="1" si="24"/>
        <v/>
      </c>
      <c r="N420" s="17" t="str">
        <f>IF(OR($A420="",$A420="Grand Total"),IF($A420="Grand Total",SUM($N$15:$N419),""),SUMPRODUCT((Table1[County]=SummaryPage!$A420)*(Table1[Status]&lt;&gt;"Complete")))</f>
        <v/>
      </c>
      <c r="O420" s="6" t="str">
        <f ca="1">IF($A420="Grand Total",SUM(INDIRECT(ADDRESS(1,COLUMN())&amp;":"&amp;ADDRESS(ROW()-1,COLUMN()))),IF(OR($A420="State Agencies",IFERROR(AND($L420&gt;='Input Sheet'!$J$2,$A420&lt;&gt;""),0)),$J420,""))</f>
        <v/>
      </c>
      <c r="P420" s="3" t="str">
        <f>IF(OR($A420="",$A420="Grand Total"),"",IF(IFERROR(ROUND($J420/$K420,2),1000)&gt;='Input Sheet'!$J$2,1,""))</f>
        <v/>
      </c>
      <c r="Q420" s="3" t="str">
        <f t="shared" si="26"/>
        <v/>
      </c>
      <c r="R420" s="3" t="str">
        <f>IF(OR($A420="",$A420="Grand Total"),"",AND($J420=0,(SUMPRODUCT((Table1[County]=SummaryPage!$A420)*(Table1[Status]="Not Started"))+SUMPRODUCT((Table1[County]=SummaryPage!$A420)*(Table1[Status]="")))=SUMPRODUCT((Table1[County]=SummaryPage!$A420)*(Table1[Status]&lt;&gt;"Q"))))</f>
        <v/>
      </c>
    </row>
    <row r="421" spans="11:18" x14ac:dyDescent="0.3">
      <c r="K421" s="29" t="str">
        <f>IF($A421="","",VLOOKUP('Input Sheet'!$D$2 &amp; " " &amp; $A421,Pop[#All],4,FALSE))</f>
        <v/>
      </c>
      <c r="L421" s="5" t="str">
        <f t="shared" si="25"/>
        <v/>
      </c>
      <c r="M421" s="7" t="str">
        <f t="shared" ca="1" si="24"/>
        <v/>
      </c>
      <c r="N421" s="17" t="str">
        <f>IF(OR($A421="",$A421="Grand Total"),IF($A421="Grand Total",SUM($N$15:$N420),""),SUMPRODUCT((Table1[County]=SummaryPage!$A421)*(Table1[Status]&lt;&gt;"Complete")))</f>
        <v/>
      </c>
      <c r="O421" s="6" t="str">
        <f ca="1">IF($A421="Grand Total",SUM(INDIRECT(ADDRESS(1,COLUMN())&amp;":"&amp;ADDRESS(ROW()-1,COLUMN()))),IF(OR($A421="State Agencies",IFERROR(AND($L421&gt;='Input Sheet'!$J$2,$A421&lt;&gt;""),0)),$J421,""))</f>
        <v/>
      </c>
      <c r="P421" s="3" t="str">
        <f>IF(OR($A421="",$A421="Grand Total"),"",IF(IFERROR(ROUND($J421/$K421,2),1000)&gt;='Input Sheet'!$J$2,1,""))</f>
        <v/>
      </c>
      <c r="Q421" s="3" t="str">
        <f t="shared" si="26"/>
        <v/>
      </c>
      <c r="R421" s="3" t="str">
        <f>IF(OR($A421="",$A421="Grand Total"),"",AND($J421=0,(SUMPRODUCT((Table1[County]=SummaryPage!$A421)*(Table1[Status]="Not Started"))+SUMPRODUCT((Table1[County]=SummaryPage!$A421)*(Table1[Status]="")))=SUMPRODUCT((Table1[County]=SummaryPage!$A421)*(Table1[Status]&lt;&gt;"Q"))))</f>
        <v/>
      </c>
    </row>
    <row r="422" spans="11:18" x14ac:dyDescent="0.3">
      <c r="K422" s="29" t="str">
        <f>IF($A422="","",VLOOKUP('Input Sheet'!$D$2 &amp; " " &amp; $A422,Pop[#All],4,FALSE))</f>
        <v/>
      </c>
      <c r="L422" s="5" t="str">
        <f t="shared" si="25"/>
        <v/>
      </c>
      <c r="M422" s="7" t="str">
        <f t="shared" ca="1" si="24"/>
        <v/>
      </c>
      <c r="N422" s="17" t="str">
        <f>IF(OR($A422="",$A422="Grand Total"),IF($A422="Grand Total",SUM($N$15:$N421),""),SUMPRODUCT((Table1[County]=SummaryPage!$A422)*(Table1[Status]&lt;&gt;"Complete")))</f>
        <v/>
      </c>
      <c r="O422" s="6" t="str">
        <f ca="1">IF($A422="Grand Total",SUM(INDIRECT(ADDRESS(1,COLUMN())&amp;":"&amp;ADDRESS(ROW()-1,COLUMN()))),IF(OR($A422="State Agencies",IFERROR(AND($L422&gt;='Input Sheet'!$J$2,$A422&lt;&gt;""),0)),$J422,""))</f>
        <v/>
      </c>
      <c r="P422" s="3" t="str">
        <f>IF(OR($A422="",$A422="Grand Total"),"",IF(IFERROR(ROUND($J422/$K422,2),1000)&gt;='Input Sheet'!$J$2,1,""))</f>
        <v/>
      </c>
      <c r="Q422" s="3" t="str">
        <f t="shared" si="26"/>
        <v/>
      </c>
      <c r="R422" s="3" t="str">
        <f>IF(OR($A422="",$A422="Grand Total"),"",AND($J422=0,(SUMPRODUCT((Table1[County]=SummaryPage!$A422)*(Table1[Status]="Not Started"))+SUMPRODUCT((Table1[County]=SummaryPage!$A422)*(Table1[Status]="")))=SUMPRODUCT((Table1[County]=SummaryPage!$A422)*(Table1[Status]&lt;&gt;"Q"))))</f>
        <v/>
      </c>
    </row>
    <row r="423" spans="11:18" x14ac:dyDescent="0.3">
      <c r="K423" s="29" t="str">
        <f>IF($A423="","",VLOOKUP('Input Sheet'!$D$2 &amp; " " &amp; $A423,Pop[#All],4,FALSE))</f>
        <v/>
      </c>
      <c r="L423" s="5" t="str">
        <f t="shared" si="25"/>
        <v/>
      </c>
      <c r="M423" s="7" t="str">
        <f t="shared" ca="1" si="24"/>
        <v/>
      </c>
      <c r="N423" s="17" t="str">
        <f>IF(OR($A423="",$A423="Grand Total"),IF($A423="Grand Total",SUM($N$15:$N422),""),SUMPRODUCT((Table1[County]=SummaryPage!$A423)*(Table1[Status]&lt;&gt;"Complete")))</f>
        <v/>
      </c>
      <c r="O423" s="6" t="str">
        <f ca="1">IF($A423="Grand Total",SUM(INDIRECT(ADDRESS(1,COLUMN())&amp;":"&amp;ADDRESS(ROW()-1,COLUMN()))),IF(OR($A423="State Agencies",IFERROR(AND($L423&gt;='Input Sheet'!$J$2,$A423&lt;&gt;""),0)),$J423,""))</f>
        <v/>
      </c>
      <c r="P423" s="3" t="str">
        <f>IF(OR($A423="",$A423="Grand Total"),"",IF(IFERROR(ROUND($J423/$K423,2),1000)&gt;='Input Sheet'!$J$2,1,""))</f>
        <v/>
      </c>
      <c r="Q423" s="3" t="str">
        <f t="shared" si="26"/>
        <v/>
      </c>
      <c r="R423" s="3" t="str">
        <f>IF(OR($A423="",$A423="Grand Total"),"",AND($J423=0,(SUMPRODUCT((Table1[County]=SummaryPage!$A423)*(Table1[Status]="Not Started"))+SUMPRODUCT((Table1[County]=SummaryPage!$A423)*(Table1[Status]="")))=SUMPRODUCT((Table1[County]=SummaryPage!$A423)*(Table1[Status]&lt;&gt;"Q"))))</f>
        <v/>
      </c>
    </row>
    <row r="424" spans="11:18" x14ac:dyDescent="0.3">
      <c r="K424" s="29" t="str">
        <f>IF($A424="","",VLOOKUP('Input Sheet'!$D$2 &amp; " " &amp; $A424,Pop[#All],4,FALSE))</f>
        <v/>
      </c>
      <c r="L424" s="5" t="str">
        <f t="shared" si="25"/>
        <v/>
      </c>
      <c r="M424" s="7" t="str">
        <f t="shared" ca="1" si="24"/>
        <v/>
      </c>
      <c r="N424" s="17" t="str">
        <f>IF(OR($A424="",$A424="Grand Total"),IF($A424="Grand Total",SUM($N$15:$N423),""),SUMPRODUCT((Table1[County]=SummaryPage!$A424)*(Table1[Status]&lt;&gt;"Complete")))</f>
        <v/>
      </c>
      <c r="O424" s="6" t="str">
        <f ca="1">IF($A424="Grand Total",SUM(INDIRECT(ADDRESS(1,COLUMN())&amp;":"&amp;ADDRESS(ROW()-1,COLUMN()))),IF(OR($A424="State Agencies",IFERROR(AND($L424&gt;='Input Sheet'!$J$2,$A424&lt;&gt;""),0)),$J424,""))</f>
        <v/>
      </c>
      <c r="P424" s="3" t="str">
        <f>IF(OR($A424="",$A424="Grand Total"),"",IF(IFERROR(ROUND($J424/$K424,2),1000)&gt;='Input Sheet'!$J$2,1,""))</f>
        <v/>
      </c>
      <c r="Q424" s="3" t="str">
        <f t="shared" si="26"/>
        <v/>
      </c>
      <c r="R424" s="3" t="str">
        <f>IF(OR($A424="",$A424="Grand Total"),"",AND($J424=0,(SUMPRODUCT((Table1[County]=SummaryPage!$A424)*(Table1[Status]="Not Started"))+SUMPRODUCT((Table1[County]=SummaryPage!$A424)*(Table1[Status]="")))=SUMPRODUCT((Table1[County]=SummaryPage!$A424)*(Table1[Status]&lt;&gt;"Q"))))</f>
        <v/>
      </c>
    </row>
    <row r="425" spans="11:18" x14ac:dyDescent="0.3">
      <c r="K425" s="29" t="str">
        <f>IF($A425="","",VLOOKUP('Input Sheet'!$D$2 &amp; " " &amp; $A425,Pop[#All],4,FALSE))</f>
        <v/>
      </c>
      <c r="L425" s="5" t="str">
        <f t="shared" si="25"/>
        <v/>
      </c>
      <c r="M425" s="7" t="str">
        <f t="shared" ca="1" si="24"/>
        <v/>
      </c>
      <c r="N425" s="17" t="str">
        <f>IF(OR($A425="",$A425="Grand Total"),IF($A425="Grand Total",SUM($N$15:$N424),""),SUMPRODUCT((Table1[County]=SummaryPage!$A425)*(Table1[Status]&lt;&gt;"Complete")))</f>
        <v/>
      </c>
      <c r="O425" s="6" t="str">
        <f ca="1">IF($A425="Grand Total",SUM(INDIRECT(ADDRESS(1,COLUMN())&amp;":"&amp;ADDRESS(ROW()-1,COLUMN()))),IF(OR($A425="State Agencies",IFERROR(AND($L425&gt;='Input Sheet'!$J$2,$A425&lt;&gt;""),0)),$J425,""))</f>
        <v/>
      </c>
      <c r="P425" s="3" t="str">
        <f>IF(OR($A425="",$A425="Grand Total"),"",IF(IFERROR(ROUND($J425/$K425,2),1000)&gt;='Input Sheet'!$J$2,1,""))</f>
        <v/>
      </c>
      <c r="Q425" s="3" t="str">
        <f t="shared" si="26"/>
        <v/>
      </c>
      <c r="R425" s="3" t="str">
        <f>IF(OR($A425="",$A425="Grand Total"),"",AND($J425=0,(SUMPRODUCT((Table1[County]=SummaryPage!$A425)*(Table1[Status]="Not Started"))+SUMPRODUCT((Table1[County]=SummaryPage!$A425)*(Table1[Status]="")))=SUMPRODUCT((Table1[County]=SummaryPage!$A425)*(Table1[Status]&lt;&gt;"Q"))))</f>
        <v/>
      </c>
    </row>
    <row r="426" spans="11:18" x14ac:dyDescent="0.3">
      <c r="K426" s="29" t="str">
        <f>IF($A426="","",VLOOKUP('Input Sheet'!$D$2 &amp; " " &amp; $A426,Pop[#All],4,FALSE))</f>
        <v/>
      </c>
      <c r="L426" s="5" t="str">
        <f t="shared" si="25"/>
        <v/>
      </c>
      <c r="M426" s="7" t="str">
        <f t="shared" ca="1" si="24"/>
        <v/>
      </c>
      <c r="N426" s="17" t="str">
        <f>IF(OR($A426="",$A426="Grand Total"),IF($A426="Grand Total",SUM($N$15:$N425),""),SUMPRODUCT((Table1[County]=SummaryPage!$A426)*(Table1[Status]&lt;&gt;"Complete")))</f>
        <v/>
      </c>
      <c r="O426" s="6" t="str">
        <f ca="1">IF($A426="Grand Total",SUM(INDIRECT(ADDRESS(1,COLUMN())&amp;":"&amp;ADDRESS(ROW()-1,COLUMN()))),IF(OR($A426="State Agencies",IFERROR(AND($L426&gt;='Input Sheet'!$J$2,$A426&lt;&gt;""),0)),$J426,""))</f>
        <v/>
      </c>
      <c r="P426" s="3" t="str">
        <f>IF(OR($A426="",$A426="Grand Total"),"",IF(IFERROR(ROUND($J426/$K426,2),1000)&gt;='Input Sheet'!$J$2,1,""))</f>
        <v/>
      </c>
      <c r="Q426" s="3" t="str">
        <f t="shared" si="26"/>
        <v/>
      </c>
      <c r="R426" s="3" t="str">
        <f>IF(OR($A426="",$A426="Grand Total"),"",AND($J426=0,(SUMPRODUCT((Table1[County]=SummaryPage!$A426)*(Table1[Status]="Not Started"))+SUMPRODUCT((Table1[County]=SummaryPage!$A426)*(Table1[Status]="")))=SUMPRODUCT((Table1[County]=SummaryPage!$A426)*(Table1[Status]&lt;&gt;"Q"))))</f>
        <v/>
      </c>
    </row>
    <row r="427" spans="11:18" x14ac:dyDescent="0.3">
      <c r="K427" s="29" t="str">
        <f>IF($A427="","",VLOOKUP('Input Sheet'!$D$2 &amp; " " &amp; $A427,Pop[#All],4,FALSE))</f>
        <v/>
      </c>
      <c r="L427" s="5" t="str">
        <f t="shared" si="25"/>
        <v/>
      </c>
      <c r="M427" s="7" t="str">
        <f t="shared" ca="1" si="24"/>
        <v/>
      </c>
      <c r="N427" s="17" t="str">
        <f>IF(OR($A427="",$A427="Grand Total"),IF($A427="Grand Total",SUM($N$15:$N426),""),SUMPRODUCT((Table1[County]=SummaryPage!$A427)*(Table1[Status]&lt;&gt;"Complete")))</f>
        <v/>
      </c>
      <c r="O427" s="6" t="str">
        <f ca="1">IF($A427="Grand Total",SUM(INDIRECT(ADDRESS(1,COLUMN())&amp;":"&amp;ADDRESS(ROW()-1,COLUMN()))),IF(OR($A427="State Agencies",IFERROR(AND($L427&gt;='Input Sheet'!$J$2,$A427&lt;&gt;""),0)),$J427,""))</f>
        <v/>
      </c>
      <c r="P427" s="3" t="str">
        <f>IF(OR($A427="",$A427="Grand Total"),"",IF(IFERROR(ROUND($J427/$K427,2),1000)&gt;='Input Sheet'!$J$2,1,""))</f>
        <v/>
      </c>
      <c r="Q427" s="3" t="str">
        <f t="shared" si="26"/>
        <v/>
      </c>
      <c r="R427" s="3" t="str">
        <f>IF(OR($A427="",$A427="Grand Total"),"",AND($J427=0,(SUMPRODUCT((Table1[County]=SummaryPage!$A427)*(Table1[Status]="Not Started"))+SUMPRODUCT((Table1[County]=SummaryPage!$A427)*(Table1[Status]="")))=SUMPRODUCT((Table1[County]=SummaryPage!$A427)*(Table1[Status]&lt;&gt;"Q"))))</f>
        <v/>
      </c>
    </row>
    <row r="428" spans="11:18" x14ac:dyDescent="0.3">
      <c r="K428" s="29" t="str">
        <f>IF($A428="","",VLOOKUP('Input Sheet'!$D$2 &amp; " " &amp; $A428,Pop[#All],4,FALSE))</f>
        <v/>
      </c>
      <c r="L428" s="5" t="str">
        <f t="shared" si="25"/>
        <v/>
      </c>
      <c r="M428" s="7" t="str">
        <f t="shared" ca="1" si="24"/>
        <v/>
      </c>
      <c r="N428" s="17" t="str">
        <f>IF(OR($A428="",$A428="Grand Total"),IF($A428="Grand Total",SUM($N$15:$N427),""),SUMPRODUCT((Table1[County]=SummaryPage!$A428)*(Table1[Status]&lt;&gt;"Complete")))</f>
        <v/>
      </c>
      <c r="O428" s="6" t="str">
        <f ca="1">IF($A428="Grand Total",SUM(INDIRECT(ADDRESS(1,COLUMN())&amp;":"&amp;ADDRESS(ROW()-1,COLUMN()))),IF(OR($A428="State Agencies",IFERROR(AND($L428&gt;='Input Sheet'!$J$2,$A428&lt;&gt;""),0)),$J428,""))</f>
        <v/>
      </c>
      <c r="P428" s="3" t="str">
        <f>IF(OR($A428="",$A428="Grand Total"),"",IF(IFERROR(ROUND($J428/$K428,2),1000)&gt;='Input Sheet'!$J$2,1,""))</f>
        <v/>
      </c>
      <c r="Q428" s="3" t="str">
        <f t="shared" si="26"/>
        <v/>
      </c>
      <c r="R428" s="3" t="str">
        <f>IF(OR($A428="",$A428="Grand Total"),"",AND($J428=0,(SUMPRODUCT((Table1[County]=SummaryPage!$A428)*(Table1[Status]="Not Started"))+SUMPRODUCT((Table1[County]=SummaryPage!$A428)*(Table1[Status]="")))=SUMPRODUCT((Table1[County]=SummaryPage!$A428)*(Table1[Status]&lt;&gt;"Q"))))</f>
        <v/>
      </c>
    </row>
    <row r="429" spans="11:18" x14ac:dyDescent="0.3">
      <c r="K429" s="29" t="str">
        <f>IF($A429="","",VLOOKUP('Input Sheet'!$D$2 &amp; " " &amp; $A429,Pop[#All],4,FALSE))</f>
        <v/>
      </c>
      <c r="L429" s="5" t="str">
        <f t="shared" si="25"/>
        <v/>
      </c>
      <c r="M429" s="7" t="str">
        <f t="shared" ca="1" si="24"/>
        <v/>
      </c>
      <c r="N429" s="17" t="str">
        <f>IF(OR($A429="",$A429="Grand Total"),IF($A429="Grand Total",SUM($N$15:$N428),""),SUMPRODUCT((Table1[County]=SummaryPage!$A429)*(Table1[Status]&lt;&gt;"Complete")))</f>
        <v/>
      </c>
      <c r="O429" s="6" t="str">
        <f ca="1">IF($A429="Grand Total",SUM(INDIRECT(ADDRESS(1,COLUMN())&amp;":"&amp;ADDRESS(ROW()-1,COLUMN()))),IF(OR($A429="State Agencies",IFERROR(AND($L429&gt;='Input Sheet'!$J$2,$A429&lt;&gt;""),0)),$J429,""))</f>
        <v/>
      </c>
      <c r="P429" s="3" t="str">
        <f>IF(OR($A429="",$A429="Grand Total"),"",IF(IFERROR(ROUND($J429/$K429,2),1000)&gt;='Input Sheet'!$J$2,1,""))</f>
        <v/>
      </c>
      <c r="Q429" s="3" t="str">
        <f t="shared" si="26"/>
        <v/>
      </c>
      <c r="R429" s="3" t="str">
        <f>IF(OR($A429="",$A429="Grand Total"),"",AND($J429=0,(SUMPRODUCT((Table1[County]=SummaryPage!$A429)*(Table1[Status]="Not Started"))+SUMPRODUCT((Table1[County]=SummaryPage!$A429)*(Table1[Status]="")))=SUMPRODUCT((Table1[County]=SummaryPage!$A429)*(Table1[Status]&lt;&gt;"Q"))))</f>
        <v/>
      </c>
    </row>
    <row r="430" spans="11:18" x14ac:dyDescent="0.3">
      <c r="K430" s="29" t="str">
        <f>IF($A430="","",VLOOKUP('Input Sheet'!$D$2 &amp; " " &amp; $A430,Pop[#All],4,FALSE))</f>
        <v/>
      </c>
      <c r="L430" s="5" t="str">
        <f t="shared" si="25"/>
        <v/>
      </c>
      <c r="M430" s="7" t="str">
        <f t="shared" ca="1" si="24"/>
        <v/>
      </c>
      <c r="N430" s="17" t="str">
        <f>IF(OR($A430="",$A430="Grand Total"),IF($A430="Grand Total",SUM($N$15:$N429),""),SUMPRODUCT((Table1[County]=SummaryPage!$A430)*(Table1[Status]&lt;&gt;"Complete")))</f>
        <v/>
      </c>
      <c r="O430" s="6" t="str">
        <f ca="1">IF($A430="Grand Total",SUM(INDIRECT(ADDRESS(1,COLUMN())&amp;":"&amp;ADDRESS(ROW()-1,COLUMN()))),IF(OR($A430="State Agencies",IFERROR(AND($L430&gt;='Input Sheet'!$J$2,$A430&lt;&gt;""),0)),$J430,""))</f>
        <v/>
      </c>
      <c r="P430" s="3" t="str">
        <f>IF(OR($A430="",$A430="Grand Total"),"",IF(IFERROR(ROUND($J430/$K430,2),1000)&gt;='Input Sheet'!$J$2,1,""))</f>
        <v/>
      </c>
      <c r="Q430" s="3" t="str">
        <f t="shared" si="26"/>
        <v/>
      </c>
      <c r="R430" s="3" t="str">
        <f>IF(OR($A430="",$A430="Grand Total"),"",AND($J430=0,(SUMPRODUCT((Table1[County]=SummaryPage!$A430)*(Table1[Status]="Not Started"))+SUMPRODUCT((Table1[County]=SummaryPage!$A430)*(Table1[Status]="")))=SUMPRODUCT((Table1[County]=SummaryPage!$A430)*(Table1[Status]&lt;&gt;"Q"))))</f>
        <v/>
      </c>
    </row>
    <row r="431" spans="11:18" x14ac:dyDescent="0.3">
      <c r="K431" s="29" t="str">
        <f>IF($A431="","",VLOOKUP('Input Sheet'!$D$2 &amp; " " &amp; $A431,Pop[#All],4,FALSE))</f>
        <v/>
      </c>
      <c r="L431" s="5" t="str">
        <f t="shared" si="25"/>
        <v/>
      </c>
      <c r="M431" s="7" t="str">
        <f t="shared" ca="1" si="24"/>
        <v/>
      </c>
      <c r="N431" s="17" t="str">
        <f>IF(OR($A431="",$A431="Grand Total"),IF($A431="Grand Total",SUM($N$15:$N430),""),SUMPRODUCT((Table1[County]=SummaryPage!$A431)*(Table1[Status]&lt;&gt;"Complete")))</f>
        <v/>
      </c>
      <c r="O431" s="6" t="str">
        <f ca="1">IF($A431="Grand Total",SUM(INDIRECT(ADDRESS(1,COLUMN())&amp;":"&amp;ADDRESS(ROW()-1,COLUMN()))),IF(OR($A431="State Agencies",IFERROR(AND($L431&gt;='Input Sheet'!$J$2,$A431&lt;&gt;""),0)),$J431,""))</f>
        <v/>
      </c>
      <c r="P431" s="3" t="str">
        <f>IF(OR($A431="",$A431="Grand Total"),"",IF(IFERROR(ROUND($J431/$K431,2),1000)&gt;='Input Sheet'!$J$2,1,""))</f>
        <v/>
      </c>
      <c r="Q431" s="3" t="str">
        <f t="shared" si="26"/>
        <v/>
      </c>
      <c r="R431" s="3" t="str">
        <f>IF(OR($A431="",$A431="Grand Total"),"",AND($J431=0,(SUMPRODUCT((Table1[County]=SummaryPage!$A431)*(Table1[Status]="Not Started"))+SUMPRODUCT((Table1[County]=SummaryPage!$A431)*(Table1[Status]="")))=SUMPRODUCT((Table1[County]=SummaryPage!$A431)*(Table1[Status]&lt;&gt;"Q"))))</f>
        <v/>
      </c>
    </row>
    <row r="432" spans="11:18" x14ac:dyDescent="0.3">
      <c r="K432" s="29" t="str">
        <f>IF($A432="","",VLOOKUP('Input Sheet'!$D$2 &amp; " " &amp; $A432,Pop[#All],4,FALSE))</f>
        <v/>
      </c>
      <c r="L432" s="5" t="str">
        <f t="shared" si="25"/>
        <v/>
      </c>
      <c r="M432" s="7" t="str">
        <f t="shared" ca="1" si="24"/>
        <v/>
      </c>
      <c r="N432" s="17" t="str">
        <f>IF(OR($A432="",$A432="Grand Total"),IF($A432="Grand Total",SUM($N$15:$N431),""),SUMPRODUCT((Table1[County]=SummaryPage!$A432)*(Table1[Status]&lt;&gt;"Complete")))</f>
        <v/>
      </c>
      <c r="O432" s="6" t="str">
        <f ca="1">IF($A432="Grand Total",SUM(INDIRECT(ADDRESS(1,COLUMN())&amp;":"&amp;ADDRESS(ROW()-1,COLUMN()))),IF(OR($A432="State Agencies",IFERROR(AND($L432&gt;='Input Sheet'!$J$2,$A432&lt;&gt;""),0)),$J432,""))</f>
        <v/>
      </c>
      <c r="P432" s="3" t="str">
        <f>IF(OR($A432="",$A432="Grand Total"),"",IF(IFERROR(ROUND($J432/$K432,2),1000)&gt;='Input Sheet'!$J$2,1,""))</f>
        <v/>
      </c>
      <c r="Q432" s="3" t="str">
        <f t="shared" si="26"/>
        <v/>
      </c>
      <c r="R432" s="3" t="str">
        <f>IF(OR($A432="",$A432="Grand Total"),"",AND($J432=0,(SUMPRODUCT((Table1[County]=SummaryPage!$A432)*(Table1[Status]="Not Started"))+SUMPRODUCT((Table1[County]=SummaryPage!$A432)*(Table1[Status]="")))=SUMPRODUCT((Table1[County]=SummaryPage!$A432)*(Table1[Status]&lt;&gt;"Q"))))</f>
        <v/>
      </c>
    </row>
    <row r="433" spans="11:18" x14ac:dyDescent="0.3">
      <c r="K433" s="29" t="str">
        <f>IF($A433="","",VLOOKUP('Input Sheet'!$D$2 &amp; " " &amp; $A433,Pop[#All],4,FALSE))</f>
        <v/>
      </c>
      <c r="L433" s="5" t="str">
        <f t="shared" si="25"/>
        <v/>
      </c>
      <c r="M433" s="7" t="str">
        <f t="shared" ca="1" si="24"/>
        <v/>
      </c>
      <c r="N433" s="17" t="str">
        <f>IF(OR($A433="",$A433="Grand Total"),IF($A433="Grand Total",SUM($N$15:$N432),""),SUMPRODUCT((Table1[County]=SummaryPage!$A433)*(Table1[Status]&lt;&gt;"Complete")))</f>
        <v/>
      </c>
      <c r="O433" s="6" t="str">
        <f ca="1">IF($A433="Grand Total",SUM(INDIRECT(ADDRESS(1,COLUMN())&amp;":"&amp;ADDRESS(ROW()-1,COLUMN()))),IF(OR($A433="State Agencies",IFERROR(AND($L433&gt;='Input Sheet'!$J$2,$A433&lt;&gt;""),0)),$J433,""))</f>
        <v/>
      </c>
      <c r="P433" s="3" t="str">
        <f>IF(OR($A433="",$A433="Grand Total"),"",IF(IFERROR(ROUND($J433/$K433,2),1000)&gt;='Input Sheet'!$J$2,1,""))</f>
        <v/>
      </c>
      <c r="Q433" s="3" t="str">
        <f t="shared" si="26"/>
        <v/>
      </c>
      <c r="R433" s="3" t="str">
        <f>IF(OR($A433="",$A433="Grand Total"),"",AND($J433=0,(SUMPRODUCT((Table1[County]=SummaryPage!$A433)*(Table1[Status]="Not Started"))+SUMPRODUCT((Table1[County]=SummaryPage!$A433)*(Table1[Status]="")))=SUMPRODUCT((Table1[County]=SummaryPage!$A433)*(Table1[Status]&lt;&gt;"Q"))))</f>
        <v/>
      </c>
    </row>
    <row r="434" spans="11:18" x14ac:dyDescent="0.3">
      <c r="K434" s="29" t="str">
        <f>IF($A434="","",VLOOKUP('Input Sheet'!$D$2 &amp; " " &amp; $A434,Pop[#All],4,FALSE))</f>
        <v/>
      </c>
      <c r="L434" s="5" t="str">
        <f t="shared" si="25"/>
        <v/>
      </c>
      <c r="M434" s="7" t="str">
        <f t="shared" ca="1" si="24"/>
        <v/>
      </c>
      <c r="N434" s="17" t="str">
        <f>IF(OR($A434="",$A434="Grand Total"),IF($A434="Grand Total",SUM($N$15:$N433),""),SUMPRODUCT((Table1[County]=SummaryPage!$A434)*(Table1[Status]&lt;&gt;"Complete")))</f>
        <v/>
      </c>
      <c r="O434" s="6" t="str">
        <f ca="1">IF($A434="Grand Total",SUM(INDIRECT(ADDRESS(1,COLUMN())&amp;":"&amp;ADDRESS(ROW()-1,COLUMN()))),IF(OR($A434="State Agencies",IFERROR(AND($L434&gt;='Input Sheet'!$J$2,$A434&lt;&gt;""),0)),$J434,""))</f>
        <v/>
      </c>
      <c r="P434" s="3" t="str">
        <f>IF(OR($A434="",$A434="Grand Total"),"",IF(IFERROR(ROUND($J434/$K434,2),1000)&gt;='Input Sheet'!$J$2,1,""))</f>
        <v/>
      </c>
      <c r="Q434" s="3" t="str">
        <f t="shared" si="26"/>
        <v/>
      </c>
      <c r="R434" s="3" t="str">
        <f>IF(OR($A434="",$A434="Grand Total"),"",AND($J434=0,(SUMPRODUCT((Table1[County]=SummaryPage!$A434)*(Table1[Status]="Not Started"))+SUMPRODUCT((Table1[County]=SummaryPage!$A434)*(Table1[Status]="")))=SUMPRODUCT((Table1[County]=SummaryPage!$A434)*(Table1[Status]&lt;&gt;"Q"))))</f>
        <v/>
      </c>
    </row>
    <row r="435" spans="11:18" x14ac:dyDescent="0.3">
      <c r="K435" s="29" t="str">
        <f>IF($A435="","",VLOOKUP('Input Sheet'!$D$2 &amp; " " &amp; $A435,Pop[#All],4,FALSE))</f>
        <v/>
      </c>
      <c r="L435" s="5" t="str">
        <f t="shared" si="25"/>
        <v/>
      </c>
      <c r="M435" s="7" t="str">
        <f t="shared" ca="1" si="24"/>
        <v/>
      </c>
      <c r="N435" s="17" t="str">
        <f>IF(OR($A435="",$A435="Grand Total"),IF($A435="Grand Total",SUM($N$15:$N434),""),SUMPRODUCT((Table1[County]=SummaryPage!$A435)*(Table1[Status]&lt;&gt;"Complete")))</f>
        <v/>
      </c>
      <c r="O435" s="6" t="str">
        <f ca="1">IF($A435="Grand Total",SUM(INDIRECT(ADDRESS(1,COLUMN())&amp;":"&amp;ADDRESS(ROW()-1,COLUMN()))),IF(OR($A435="State Agencies",IFERROR(AND($L435&gt;='Input Sheet'!$J$2,$A435&lt;&gt;""),0)),$J435,""))</f>
        <v/>
      </c>
      <c r="P435" s="3" t="str">
        <f>IF(OR($A435="",$A435="Grand Total"),"",IF(IFERROR(ROUND($J435/$K435,2),1000)&gt;='Input Sheet'!$J$2,1,""))</f>
        <v/>
      </c>
      <c r="Q435" s="3" t="str">
        <f t="shared" si="26"/>
        <v/>
      </c>
      <c r="R435" s="3" t="str">
        <f>IF(OR($A435="",$A435="Grand Total"),"",AND($J435=0,(SUMPRODUCT((Table1[County]=SummaryPage!$A435)*(Table1[Status]="Not Started"))+SUMPRODUCT((Table1[County]=SummaryPage!$A435)*(Table1[Status]="")))=SUMPRODUCT((Table1[County]=SummaryPage!$A435)*(Table1[Status]&lt;&gt;"Q"))))</f>
        <v/>
      </c>
    </row>
    <row r="436" spans="11:18" x14ac:dyDescent="0.3">
      <c r="K436" s="29" t="str">
        <f>IF($A436="","",VLOOKUP('Input Sheet'!$D$2 &amp; " " &amp; $A436,Pop[#All],4,FALSE))</f>
        <v/>
      </c>
      <c r="L436" s="5" t="str">
        <f t="shared" si="25"/>
        <v/>
      </c>
      <c r="M436" s="7" t="str">
        <f t="shared" ca="1" si="24"/>
        <v/>
      </c>
      <c r="N436" s="17" t="str">
        <f>IF(OR($A436="",$A436="Grand Total"),IF($A436="Grand Total",SUM($N$15:$N435),""),SUMPRODUCT((Table1[County]=SummaryPage!$A436)*(Table1[Status]&lt;&gt;"Complete")))</f>
        <v/>
      </c>
      <c r="O436" s="6" t="str">
        <f ca="1">IF($A436="Grand Total",SUM(INDIRECT(ADDRESS(1,COLUMN())&amp;":"&amp;ADDRESS(ROW()-1,COLUMN()))),IF(OR($A436="State Agencies",IFERROR(AND($L436&gt;='Input Sheet'!$J$2,$A436&lt;&gt;""),0)),$J436,""))</f>
        <v/>
      </c>
      <c r="P436" s="3" t="str">
        <f>IF(OR($A436="",$A436="Grand Total"),"",IF(IFERROR(ROUND($J436/$K436,2),1000)&gt;='Input Sheet'!$J$2,1,""))</f>
        <v/>
      </c>
      <c r="Q436" s="3" t="str">
        <f t="shared" si="26"/>
        <v/>
      </c>
      <c r="R436" s="3" t="str">
        <f>IF(OR($A436="",$A436="Grand Total"),"",AND($J436=0,(SUMPRODUCT((Table1[County]=SummaryPage!$A436)*(Table1[Status]="Not Started"))+SUMPRODUCT((Table1[County]=SummaryPage!$A436)*(Table1[Status]="")))=SUMPRODUCT((Table1[County]=SummaryPage!$A436)*(Table1[Status]&lt;&gt;"Q"))))</f>
        <v/>
      </c>
    </row>
    <row r="437" spans="11:18" x14ac:dyDescent="0.3">
      <c r="K437" s="29" t="str">
        <f>IF($A437="","",VLOOKUP('Input Sheet'!$D$2 &amp; " " &amp; $A437,Pop[#All],4,FALSE))</f>
        <v/>
      </c>
      <c r="L437" s="5" t="str">
        <f t="shared" si="25"/>
        <v/>
      </c>
      <c r="M437" s="7" t="str">
        <f t="shared" ca="1" si="24"/>
        <v/>
      </c>
      <c r="N437" s="17" t="str">
        <f>IF(OR($A437="",$A437="Grand Total"),IF($A437="Grand Total",SUM($N$15:$N436),""),SUMPRODUCT((Table1[County]=SummaryPage!$A437)*(Table1[Status]&lt;&gt;"Complete")))</f>
        <v/>
      </c>
      <c r="O437" s="6" t="str">
        <f ca="1">IF($A437="Grand Total",SUM(INDIRECT(ADDRESS(1,COLUMN())&amp;":"&amp;ADDRESS(ROW()-1,COLUMN()))),IF(OR($A437="State Agencies",IFERROR(AND($L437&gt;='Input Sheet'!$J$2,$A437&lt;&gt;""),0)),$J437,""))</f>
        <v/>
      </c>
      <c r="P437" s="3" t="str">
        <f>IF(OR($A437="",$A437="Grand Total"),"",IF(IFERROR(ROUND($J437/$K437,2),1000)&gt;='Input Sheet'!$J$2,1,""))</f>
        <v/>
      </c>
      <c r="Q437" s="3" t="str">
        <f t="shared" si="26"/>
        <v/>
      </c>
      <c r="R437" s="3" t="str">
        <f>IF(OR($A437="",$A437="Grand Total"),"",AND($J437=0,(SUMPRODUCT((Table1[County]=SummaryPage!$A437)*(Table1[Status]="Not Started"))+SUMPRODUCT((Table1[County]=SummaryPage!$A437)*(Table1[Status]="")))=SUMPRODUCT((Table1[County]=SummaryPage!$A437)*(Table1[Status]&lt;&gt;"Q"))))</f>
        <v/>
      </c>
    </row>
    <row r="438" spans="11:18" x14ac:dyDescent="0.3">
      <c r="K438" s="29" t="str">
        <f>IF($A438="","",VLOOKUP('Input Sheet'!$D$2 &amp; " " &amp; $A438,Pop[#All],4,FALSE))</f>
        <v/>
      </c>
      <c r="L438" s="5" t="str">
        <f t="shared" si="25"/>
        <v/>
      </c>
      <c r="M438" s="7" t="str">
        <f t="shared" ca="1" si="24"/>
        <v/>
      </c>
      <c r="N438" s="17" t="str">
        <f>IF(OR($A438="",$A438="Grand Total"),IF($A438="Grand Total",SUM($N$15:$N437),""),SUMPRODUCT((Table1[County]=SummaryPage!$A438)*(Table1[Status]&lt;&gt;"Complete")))</f>
        <v/>
      </c>
      <c r="O438" s="6" t="str">
        <f ca="1">IF($A438="Grand Total",SUM(INDIRECT(ADDRESS(1,COLUMN())&amp;":"&amp;ADDRESS(ROW()-1,COLUMN()))),IF(OR($A438="State Agencies",IFERROR(AND($L438&gt;='Input Sheet'!$J$2,$A438&lt;&gt;""),0)),$J438,""))</f>
        <v/>
      </c>
      <c r="P438" s="3" t="str">
        <f>IF(OR($A438="",$A438="Grand Total"),"",IF(IFERROR(ROUND($J438/$K438,2),1000)&gt;='Input Sheet'!$J$2,1,""))</f>
        <v/>
      </c>
      <c r="Q438" s="3" t="str">
        <f t="shared" si="26"/>
        <v/>
      </c>
      <c r="R438" s="3" t="str">
        <f>IF(OR($A438="",$A438="Grand Total"),"",AND($J438=0,(SUMPRODUCT((Table1[County]=SummaryPage!$A438)*(Table1[Status]="Not Started"))+SUMPRODUCT((Table1[County]=SummaryPage!$A438)*(Table1[Status]="")))=SUMPRODUCT((Table1[County]=SummaryPage!$A438)*(Table1[Status]&lt;&gt;"Q"))))</f>
        <v/>
      </c>
    </row>
    <row r="439" spans="11:18" x14ac:dyDescent="0.3">
      <c r="K439" s="29" t="str">
        <f>IF($A439="","",VLOOKUP('Input Sheet'!$D$2 &amp; " " &amp; $A439,Pop[#All],4,FALSE))</f>
        <v/>
      </c>
      <c r="L439" s="5" t="str">
        <f t="shared" si="25"/>
        <v/>
      </c>
      <c r="M439" s="7" t="str">
        <f t="shared" ca="1" si="24"/>
        <v/>
      </c>
      <c r="N439" s="17" t="str">
        <f>IF(OR($A439="",$A439="Grand Total"),IF($A439="Grand Total",SUM($N$15:$N438),""),SUMPRODUCT((Table1[County]=SummaryPage!$A439)*(Table1[Status]&lt;&gt;"Complete")))</f>
        <v/>
      </c>
      <c r="O439" s="6" t="str">
        <f ca="1">IF($A439="Grand Total",SUM(INDIRECT(ADDRESS(1,COLUMN())&amp;":"&amp;ADDRESS(ROW()-1,COLUMN()))),IF(OR($A439="State Agencies",IFERROR(AND($L439&gt;='Input Sheet'!$J$2,$A439&lt;&gt;""),0)),$J439,""))</f>
        <v/>
      </c>
      <c r="P439" s="3" t="str">
        <f>IF(OR($A439="",$A439="Grand Total"),"",IF(IFERROR(ROUND($J439/$K439,2),1000)&gt;='Input Sheet'!$J$2,1,""))</f>
        <v/>
      </c>
      <c r="Q439" s="3" t="str">
        <f t="shared" si="26"/>
        <v/>
      </c>
      <c r="R439" s="3" t="str">
        <f>IF(OR($A439="",$A439="Grand Total"),"",AND($J439=0,(SUMPRODUCT((Table1[County]=SummaryPage!$A439)*(Table1[Status]="Not Started"))+SUMPRODUCT((Table1[County]=SummaryPage!$A439)*(Table1[Status]="")))=SUMPRODUCT((Table1[County]=SummaryPage!$A439)*(Table1[Status]&lt;&gt;"Q"))))</f>
        <v/>
      </c>
    </row>
    <row r="440" spans="11:18" x14ac:dyDescent="0.3">
      <c r="K440" s="29" t="str">
        <f>IF($A440="","",VLOOKUP('Input Sheet'!$D$2 &amp; " " &amp; $A440,Pop[#All],4,FALSE))</f>
        <v/>
      </c>
      <c r="L440" s="5" t="str">
        <f t="shared" si="25"/>
        <v/>
      </c>
      <c r="M440" s="7" t="str">
        <f t="shared" ca="1" si="24"/>
        <v/>
      </c>
      <c r="N440" s="17" t="str">
        <f>IF(OR($A440="",$A440="Grand Total"),IF($A440="Grand Total",SUM($N$15:$N439),""),SUMPRODUCT((Table1[County]=SummaryPage!$A440)*(Table1[Status]&lt;&gt;"Complete")))</f>
        <v/>
      </c>
      <c r="O440" s="6" t="str">
        <f ca="1">IF($A440="Grand Total",SUM(INDIRECT(ADDRESS(1,COLUMN())&amp;":"&amp;ADDRESS(ROW()-1,COLUMN()))),IF(OR($A440="State Agencies",IFERROR(AND($L440&gt;='Input Sheet'!$J$2,$A440&lt;&gt;""),0)),$J440,""))</f>
        <v/>
      </c>
      <c r="P440" s="3" t="str">
        <f>IF(OR($A440="",$A440="Grand Total"),"",IF(IFERROR(ROUND($J440/$K440,2),1000)&gt;='Input Sheet'!$J$2,1,""))</f>
        <v/>
      </c>
      <c r="Q440" s="3" t="str">
        <f t="shared" si="26"/>
        <v/>
      </c>
      <c r="R440" s="3" t="str">
        <f>IF(OR($A440="",$A440="Grand Total"),"",AND($J440=0,(SUMPRODUCT((Table1[County]=SummaryPage!$A440)*(Table1[Status]="Not Started"))+SUMPRODUCT((Table1[County]=SummaryPage!$A440)*(Table1[Status]="")))=SUMPRODUCT((Table1[County]=SummaryPage!$A440)*(Table1[Status]&lt;&gt;"Q"))))</f>
        <v/>
      </c>
    </row>
    <row r="441" spans="11:18" x14ac:dyDescent="0.3">
      <c r="K441" s="29" t="str">
        <f>IF($A441="","",VLOOKUP('Input Sheet'!$D$2 &amp; " " &amp; $A441,Pop[#All],4,FALSE))</f>
        <v/>
      </c>
      <c r="L441" s="5" t="str">
        <f t="shared" si="25"/>
        <v/>
      </c>
      <c r="M441" s="7" t="str">
        <f t="shared" ca="1" si="24"/>
        <v/>
      </c>
      <c r="N441" s="17" t="str">
        <f>IF(OR($A441="",$A441="Grand Total"),IF($A441="Grand Total",SUM($N$15:$N440),""),SUMPRODUCT((Table1[County]=SummaryPage!$A441)*(Table1[Status]&lt;&gt;"Complete")))</f>
        <v/>
      </c>
      <c r="O441" s="6" t="str">
        <f ca="1">IF($A441="Grand Total",SUM(INDIRECT(ADDRESS(1,COLUMN())&amp;":"&amp;ADDRESS(ROW()-1,COLUMN()))),IF(OR($A441="State Agencies",IFERROR(AND($L441&gt;='Input Sheet'!$J$2,$A441&lt;&gt;""),0)),$J441,""))</f>
        <v/>
      </c>
      <c r="P441" s="3" t="str">
        <f>IF(OR($A441="",$A441="Grand Total"),"",IF(IFERROR(ROUND($J441/$K441,2),1000)&gt;='Input Sheet'!$J$2,1,""))</f>
        <v/>
      </c>
      <c r="Q441" s="3" t="str">
        <f t="shared" si="26"/>
        <v/>
      </c>
      <c r="R441" s="3" t="str">
        <f>IF(OR($A441="",$A441="Grand Total"),"",AND($J441=0,(SUMPRODUCT((Table1[County]=SummaryPage!$A441)*(Table1[Status]="Not Started"))+SUMPRODUCT((Table1[County]=SummaryPage!$A441)*(Table1[Status]="")))=SUMPRODUCT((Table1[County]=SummaryPage!$A441)*(Table1[Status]&lt;&gt;"Q"))))</f>
        <v/>
      </c>
    </row>
    <row r="442" spans="11:18" x14ac:dyDescent="0.3">
      <c r="K442" s="29" t="str">
        <f>IF($A442="","",VLOOKUP('Input Sheet'!$D$2 &amp; " " &amp; $A442,Pop[#All],4,FALSE))</f>
        <v/>
      </c>
      <c r="L442" s="5" t="str">
        <f t="shared" si="25"/>
        <v/>
      </c>
      <c r="M442" s="7" t="str">
        <f t="shared" ca="1" si="24"/>
        <v/>
      </c>
      <c r="N442" s="17" t="str">
        <f>IF(OR($A442="",$A442="Grand Total"),IF($A442="Grand Total",SUM($N$15:$N441),""),SUMPRODUCT((Table1[County]=SummaryPage!$A442)*(Table1[Status]&lt;&gt;"Complete")))</f>
        <v/>
      </c>
      <c r="O442" s="6" t="str">
        <f ca="1">IF($A442="Grand Total",SUM(INDIRECT(ADDRESS(1,COLUMN())&amp;":"&amp;ADDRESS(ROW()-1,COLUMN()))),IF(OR($A442="State Agencies",IFERROR(AND($L442&gt;='Input Sheet'!$J$2,$A442&lt;&gt;""),0)),$J442,""))</f>
        <v/>
      </c>
      <c r="P442" s="3" t="str">
        <f>IF(OR($A442="",$A442="Grand Total"),"",IF(IFERROR(ROUND($J442/$K442,2),1000)&gt;='Input Sheet'!$J$2,1,""))</f>
        <v/>
      </c>
      <c r="Q442" s="3" t="str">
        <f t="shared" si="26"/>
        <v/>
      </c>
      <c r="R442" s="3" t="str">
        <f>IF(OR($A442="",$A442="Grand Total"),"",AND($J442=0,(SUMPRODUCT((Table1[County]=SummaryPage!$A442)*(Table1[Status]="Not Started"))+SUMPRODUCT((Table1[County]=SummaryPage!$A442)*(Table1[Status]="")))=SUMPRODUCT((Table1[County]=SummaryPage!$A442)*(Table1[Status]&lt;&gt;"Q"))))</f>
        <v/>
      </c>
    </row>
    <row r="443" spans="11:18" x14ac:dyDescent="0.3">
      <c r="K443" s="29" t="str">
        <f>IF($A443="","",VLOOKUP('Input Sheet'!$D$2 &amp; " " &amp; $A443,Pop[#All],4,FALSE))</f>
        <v/>
      </c>
      <c r="L443" s="5" t="str">
        <f t="shared" si="25"/>
        <v/>
      </c>
      <c r="M443" s="7" t="str">
        <f t="shared" ca="1" si="24"/>
        <v/>
      </c>
      <c r="N443" s="17" t="str">
        <f>IF(OR($A443="",$A443="Grand Total"),IF($A443="Grand Total",SUM($N$15:$N442),""),SUMPRODUCT((Table1[County]=SummaryPage!$A443)*(Table1[Status]&lt;&gt;"Complete")))</f>
        <v/>
      </c>
      <c r="O443" s="6" t="str">
        <f ca="1">IF($A443="Grand Total",SUM(INDIRECT(ADDRESS(1,COLUMN())&amp;":"&amp;ADDRESS(ROW()-1,COLUMN()))),IF(OR($A443="State Agencies",IFERROR(AND($L443&gt;='Input Sheet'!$J$2,$A443&lt;&gt;""),0)),$J443,""))</f>
        <v/>
      </c>
      <c r="P443" s="3" t="str">
        <f>IF(OR($A443="",$A443="Grand Total"),"",IF(IFERROR(ROUND($J443/$K443,2),1000)&gt;='Input Sheet'!$J$2,1,""))</f>
        <v/>
      </c>
      <c r="Q443" s="3" t="str">
        <f t="shared" si="26"/>
        <v/>
      </c>
      <c r="R443" s="3" t="str">
        <f>IF(OR($A443="",$A443="Grand Total"),"",AND($J443=0,(SUMPRODUCT((Table1[County]=SummaryPage!$A443)*(Table1[Status]="Not Started"))+SUMPRODUCT((Table1[County]=SummaryPage!$A443)*(Table1[Status]="")))=SUMPRODUCT((Table1[County]=SummaryPage!$A443)*(Table1[Status]&lt;&gt;"Q"))))</f>
        <v/>
      </c>
    </row>
    <row r="444" spans="11:18" x14ac:dyDescent="0.3">
      <c r="K444" s="29" t="str">
        <f>IF($A444="","",VLOOKUP('Input Sheet'!$D$2 &amp; " " &amp; $A444,Pop[#All],4,FALSE))</f>
        <v/>
      </c>
      <c r="L444" s="5" t="str">
        <f t="shared" si="25"/>
        <v/>
      </c>
      <c r="M444" s="7" t="str">
        <f t="shared" ca="1" si="24"/>
        <v/>
      </c>
      <c r="N444" s="17" t="str">
        <f>IF(OR($A444="",$A444="Grand Total"),IF($A444="Grand Total",SUM($N$15:$N443),""),SUMPRODUCT((Table1[County]=SummaryPage!$A444)*(Table1[Status]&lt;&gt;"Complete")))</f>
        <v/>
      </c>
      <c r="O444" s="6" t="str">
        <f ca="1">IF($A444="Grand Total",SUM(INDIRECT(ADDRESS(1,COLUMN())&amp;":"&amp;ADDRESS(ROW()-1,COLUMN()))),IF(OR($A444="State Agencies",IFERROR(AND($L444&gt;='Input Sheet'!$J$2,$A444&lt;&gt;""),0)),$J444,""))</f>
        <v/>
      </c>
      <c r="P444" s="3" t="str">
        <f>IF(OR($A444="",$A444="Grand Total"),"",IF(IFERROR(ROUND($J444/$K444,2),1000)&gt;='Input Sheet'!$J$2,1,""))</f>
        <v/>
      </c>
      <c r="Q444" s="3" t="str">
        <f t="shared" si="26"/>
        <v/>
      </c>
      <c r="R444" s="3" t="str">
        <f>IF(OR($A444="",$A444="Grand Total"),"",AND($J444=0,(SUMPRODUCT((Table1[County]=SummaryPage!$A444)*(Table1[Status]="Not Started"))+SUMPRODUCT((Table1[County]=SummaryPage!$A444)*(Table1[Status]="")))=SUMPRODUCT((Table1[County]=SummaryPage!$A444)*(Table1[Status]&lt;&gt;"Q"))))</f>
        <v/>
      </c>
    </row>
    <row r="445" spans="11:18" x14ac:dyDescent="0.3">
      <c r="K445" s="29" t="str">
        <f>IF($A445="","",VLOOKUP('Input Sheet'!$D$2 &amp; " " &amp; $A445,Pop[#All],4,FALSE))</f>
        <v/>
      </c>
      <c r="L445" s="5" t="str">
        <f t="shared" si="25"/>
        <v/>
      </c>
      <c r="M445" s="7" t="str">
        <f t="shared" ca="1" si="24"/>
        <v/>
      </c>
      <c r="N445" s="17" t="str">
        <f>IF(OR($A445="",$A445="Grand Total"),IF($A445="Grand Total",SUM($N$15:$N444),""),SUMPRODUCT((Table1[County]=SummaryPage!$A445)*(Table1[Status]&lt;&gt;"Complete")))</f>
        <v/>
      </c>
      <c r="O445" s="6" t="str">
        <f ca="1">IF($A445="Grand Total",SUM(INDIRECT(ADDRESS(1,COLUMN())&amp;":"&amp;ADDRESS(ROW()-1,COLUMN()))),IF(OR($A445="State Agencies",IFERROR(AND($L445&gt;='Input Sheet'!$J$2,$A445&lt;&gt;""),0)),$J445,""))</f>
        <v/>
      </c>
      <c r="P445" s="3" t="str">
        <f>IF(OR($A445="",$A445="Grand Total"),"",IF(IFERROR(ROUND($J445/$K445,2),1000)&gt;='Input Sheet'!$J$2,1,""))</f>
        <v/>
      </c>
      <c r="Q445" s="3" t="str">
        <f t="shared" si="26"/>
        <v/>
      </c>
      <c r="R445" s="3" t="str">
        <f>IF(OR($A445="",$A445="Grand Total"),"",AND($J445=0,(SUMPRODUCT((Table1[County]=SummaryPage!$A445)*(Table1[Status]="Not Started"))+SUMPRODUCT((Table1[County]=SummaryPage!$A445)*(Table1[Status]="")))=SUMPRODUCT((Table1[County]=SummaryPage!$A445)*(Table1[Status]&lt;&gt;"Q"))))</f>
        <v/>
      </c>
    </row>
    <row r="446" spans="11:18" x14ac:dyDescent="0.3">
      <c r="K446" s="29" t="str">
        <f>IF($A446="","",VLOOKUP('Input Sheet'!$D$2 &amp; " " &amp; $A446,Pop[#All],4,FALSE))</f>
        <v/>
      </c>
      <c r="L446" s="5" t="str">
        <f t="shared" si="25"/>
        <v/>
      </c>
      <c r="M446" s="7" t="str">
        <f t="shared" ca="1" si="24"/>
        <v/>
      </c>
      <c r="N446" s="17" t="str">
        <f>IF(OR($A446="",$A446="Grand Total"),IF($A446="Grand Total",SUM($N$15:$N445),""),SUMPRODUCT((Table1[County]=SummaryPage!$A446)*(Table1[Status]&lt;&gt;"Complete")))</f>
        <v/>
      </c>
      <c r="O446" s="6" t="str">
        <f ca="1">IF($A446="Grand Total",SUM(INDIRECT(ADDRESS(1,COLUMN())&amp;":"&amp;ADDRESS(ROW()-1,COLUMN()))),IF(OR($A446="State Agencies",IFERROR(AND($L446&gt;='Input Sheet'!$J$2,$A446&lt;&gt;""),0)),$J446,""))</f>
        <v/>
      </c>
      <c r="P446" s="3" t="str">
        <f>IF(OR($A446="",$A446="Grand Total"),"",IF(IFERROR(ROUND($J446/$K446,2),1000)&gt;='Input Sheet'!$J$2,1,""))</f>
        <v/>
      </c>
      <c r="Q446" s="3" t="str">
        <f t="shared" si="26"/>
        <v/>
      </c>
      <c r="R446" s="3" t="str">
        <f>IF(OR($A446="",$A446="Grand Total"),"",AND($J446=0,(SUMPRODUCT((Table1[County]=SummaryPage!$A446)*(Table1[Status]="Not Started"))+SUMPRODUCT((Table1[County]=SummaryPage!$A446)*(Table1[Status]="")))=SUMPRODUCT((Table1[County]=SummaryPage!$A446)*(Table1[Status]&lt;&gt;"Q"))))</f>
        <v/>
      </c>
    </row>
    <row r="447" spans="11:18" x14ac:dyDescent="0.3">
      <c r="K447" s="29" t="str">
        <f>IF($A447="","",VLOOKUP('Input Sheet'!$D$2 &amp; " " &amp; $A447,Pop[#All],4,FALSE))</f>
        <v/>
      </c>
      <c r="L447" s="5" t="str">
        <f t="shared" si="25"/>
        <v/>
      </c>
      <c r="M447" s="7" t="str">
        <f t="shared" ca="1" si="24"/>
        <v/>
      </c>
      <c r="N447" s="17" t="str">
        <f>IF(OR($A447="",$A447="Grand Total"),IF($A447="Grand Total",SUM($N$15:$N446),""),SUMPRODUCT((Table1[County]=SummaryPage!$A447)*(Table1[Status]&lt;&gt;"Complete")))</f>
        <v/>
      </c>
      <c r="O447" s="6" t="str">
        <f ca="1">IF($A447="Grand Total",SUM(INDIRECT(ADDRESS(1,COLUMN())&amp;":"&amp;ADDRESS(ROW()-1,COLUMN()))),IF(OR($A447="State Agencies",IFERROR(AND($L447&gt;='Input Sheet'!$J$2,$A447&lt;&gt;""),0)),$J447,""))</f>
        <v/>
      </c>
      <c r="P447" s="3" t="str">
        <f>IF(OR($A447="",$A447="Grand Total"),"",IF(IFERROR(ROUND($J447/$K447,2),1000)&gt;='Input Sheet'!$J$2,1,""))</f>
        <v/>
      </c>
      <c r="Q447" s="3" t="str">
        <f t="shared" si="26"/>
        <v/>
      </c>
      <c r="R447" s="3" t="str">
        <f>IF(OR($A447="",$A447="Grand Total"),"",AND($J447=0,(SUMPRODUCT((Table1[County]=SummaryPage!$A447)*(Table1[Status]="Not Started"))+SUMPRODUCT((Table1[County]=SummaryPage!$A447)*(Table1[Status]="")))=SUMPRODUCT((Table1[County]=SummaryPage!$A447)*(Table1[Status]&lt;&gt;"Q"))))</f>
        <v/>
      </c>
    </row>
    <row r="448" spans="11:18" x14ac:dyDescent="0.3">
      <c r="K448" s="29" t="str">
        <f>IF($A448="","",VLOOKUP('Input Sheet'!$D$2 &amp; " " &amp; $A448,Pop[#All],4,FALSE))</f>
        <v/>
      </c>
      <c r="L448" s="5" t="str">
        <f t="shared" si="25"/>
        <v/>
      </c>
      <c r="M448" s="7" t="str">
        <f t="shared" ca="1" si="24"/>
        <v/>
      </c>
      <c r="N448" s="17" t="str">
        <f>IF(OR($A448="",$A448="Grand Total"),IF($A448="Grand Total",SUM($N$15:$N447),""),SUMPRODUCT((Table1[County]=SummaryPage!$A448)*(Table1[Status]&lt;&gt;"Complete")))</f>
        <v/>
      </c>
      <c r="O448" s="6" t="str">
        <f ca="1">IF($A448="Grand Total",SUM(INDIRECT(ADDRESS(1,COLUMN())&amp;":"&amp;ADDRESS(ROW()-1,COLUMN()))),IF(OR($A448="State Agencies",IFERROR(AND($L448&gt;='Input Sheet'!$J$2,$A448&lt;&gt;""),0)),$J448,""))</f>
        <v/>
      </c>
      <c r="P448" s="3" t="str">
        <f>IF(OR($A448="",$A448="Grand Total"),"",IF(IFERROR(ROUND($J448/$K448,2),1000)&gt;='Input Sheet'!$J$2,1,""))</f>
        <v/>
      </c>
      <c r="Q448" s="3" t="str">
        <f t="shared" si="26"/>
        <v/>
      </c>
      <c r="R448" s="3" t="str">
        <f>IF(OR($A448="",$A448="Grand Total"),"",AND($J448=0,(SUMPRODUCT((Table1[County]=SummaryPage!$A448)*(Table1[Status]="Not Started"))+SUMPRODUCT((Table1[County]=SummaryPage!$A448)*(Table1[Status]="")))=SUMPRODUCT((Table1[County]=SummaryPage!$A448)*(Table1[Status]&lt;&gt;"Q"))))</f>
        <v/>
      </c>
    </row>
    <row r="449" spans="11:18" x14ac:dyDescent="0.3">
      <c r="K449" s="29" t="str">
        <f>IF($A449="","",VLOOKUP('Input Sheet'!$D$2 &amp; " " &amp; $A449,Pop[#All],4,FALSE))</f>
        <v/>
      </c>
      <c r="L449" s="5" t="str">
        <f t="shared" si="25"/>
        <v/>
      </c>
      <c r="M449" s="7" t="str">
        <f t="shared" ca="1" si="24"/>
        <v/>
      </c>
      <c r="N449" s="17" t="str">
        <f>IF(OR($A449="",$A449="Grand Total"),IF($A449="Grand Total",SUM($N$15:$N448),""),SUMPRODUCT((Table1[County]=SummaryPage!$A449)*(Table1[Status]&lt;&gt;"Complete")))</f>
        <v/>
      </c>
      <c r="O449" s="6" t="str">
        <f ca="1">IF($A449="Grand Total",SUM(INDIRECT(ADDRESS(1,COLUMN())&amp;":"&amp;ADDRESS(ROW()-1,COLUMN()))),IF(OR($A449="State Agencies",IFERROR(AND($L449&gt;='Input Sheet'!$J$2,$A449&lt;&gt;""),0)),$J449,""))</f>
        <v/>
      </c>
      <c r="P449" s="3" t="str">
        <f>IF(OR($A449="",$A449="Grand Total"),"",IF(IFERROR(ROUND($J449/$K449,2),1000)&gt;='Input Sheet'!$J$2,1,""))</f>
        <v/>
      </c>
      <c r="Q449" s="3" t="str">
        <f t="shared" si="26"/>
        <v/>
      </c>
      <c r="R449" s="3" t="str">
        <f>IF(OR($A449="",$A449="Grand Total"),"",AND($J449=0,(SUMPRODUCT((Table1[County]=SummaryPage!$A449)*(Table1[Status]="Not Started"))+SUMPRODUCT((Table1[County]=SummaryPage!$A449)*(Table1[Status]="")))=SUMPRODUCT((Table1[County]=SummaryPage!$A449)*(Table1[Status]&lt;&gt;"Q"))))</f>
        <v/>
      </c>
    </row>
    <row r="450" spans="11:18" x14ac:dyDescent="0.3">
      <c r="K450" s="29" t="str">
        <f>IF($A450="","",VLOOKUP('Input Sheet'!$D$2 &amp; " " &amp; $A450,Pop[#All],4,FALSE))</f>
        <v/>
      </c>
      <c r="L450" s="5" t="str">
        <f t="shared" si="25"/>
        <v/>
      </c>
      <c r="M450" s="7" t="str">
        <f t="shared" ca="1" si="24"/>
        <v/>
      </c>
      <c r="N450" s="17" t="str">
        <f>IF(OR($A450="",$A450="Grand Total"),IF($A450="Grand Total",SUM($N$15:$N449),""),SUMPRODUCT((Table1[County]=SummaryPage!$A450)*(Table1[Status]&lt;&gt;"Complete")))</f>
        <v/>
      </c>
      <c r="O450" s="6" t="str">
        <f ca="1">IF($A450="Grand Total",SUM(INDIRECT(ADDRESS(1,COLUMN())&amp;":"&amp;ADDRESS(ROW()-1,COLUMN()))),IF(OR($A450="State Agencies",IFERROR(AND($L450&gt;='Input Sheet'!$J$2,$A450&lt;&gt;""),0)),$J450,""))</f>
        <v/>
      </c>
      <c r="P450" s="3" t="str">
        <f>IF(OR($A450="",$A450="Grand Total"),"",IF(IFERROR(ROUND($J450/$K450,2),1000)&gt;='Input Sheet'!$J$2,1,""))</f>
        <v/>
      </c>
      <c r="Q450" s="3" t="str">
        <f t="shared" si="26"/>
        <v/>
      </c>
      <c r="R450" s="3" t="str">
        <f>IF(OR($A450="",$A450="Grand Total"),"",AND($J450=0,(SUMPRODUCT((Table1[County]=SummaryPage!$A450)*(Table1[Status]="Not Started"))+SUMPRODUCT((Table1[County]=SummaryPage!$A450)*(Table1[Status]="")))=SUMPRODUCT((Table1[County]=SummaryPage!$A450)*(Table1[Status]&lt;&gt;"Q"))))</f>
        <v/>
      </c>
    </row>
    <row r="451" spans="11:18" x14ac:dyDescent="0.3">
      <c r="K451" s="29" t="str">
        <f>IF($A451="","",VLOOKUP('Input Sheet'!$D$2 &amp; " " &amp; $A451,Pop[#All],4,FALSE))</f>
        <v/>
      </c>
      <c r="L451" s="5" t="str">
        <f t="shared" si="25"/>
        <v/>
      </c>
      <c r="M451" s="7" t="str">
        <f t="shared" ca="1" si="24"/>
        <v/>
      </c>
      <c r="N451" s="17" t="str">
        <f>IF(OR($A451="",$A451="Grand Total"),IF($A451="Grand Total",SUM($N$15:$N450),""),SUMPRODUCT((Table1[County]=SummaryPage!$A451)*(Table1[Status]&lt;&gt;"Complete")))</f>
        <v/>
      </c>
      <c r="O451" s="6" t="str">
        <f ca="1">IF($A451="Grand Total",SUM(INDIRECT(ADDRESS(1,COLUMN())&amp;":"&amp;ADDRESS(ROW()-1,COLUMN()))),IF(OR($A451="State Agencies",IFERROR(AND($L451&gt;='Input Sheet'!$J$2,$A451&lt;&gt;""),0)),$J451,""))</f>
        <v/>
      </c>
      <c r="P451" s="3" t="str">
        <f>IF(OR($A451="",$A451="Grand Total"),"",IF(IFERROR(ROUND($J451/$K451,2),1000)&gt;='Input Sheet'!$J$2,1,""))</f>
        <v/>
      </c>
      <c r="Q451" s="3" t="str">
        <f t="shared" si="26"/>
        <v/>
      </c>
      <c r="R451" s="3" t="str">
        <f>IF(OR($A451="",$A451="Grand Total"),"",AND($J451=0,(SUMPRODUCT((Table1[County]=SummaryPage!$A451)*(Table1[Status]="Not Started"))+SUMPRODUCT((Table1[County]=SummaryPage!$A451)*(Table1[Status]="")))=SUMPRODUCT((Table1[County]=SummaryPage!$A451)*(Table1[Status]&lt;&gt;"Q"))))</f>
        <v/>
      </c>
    </row>
    <row r="452" spans="11:18" x14ac:dyDescent="0.3">
      <c r="K452" s="29" t="str">
        <f>IF($A452="","",VLOOKUP('Input Sheet'!$D$2 &amp; " " &amp; $A452,Pop[#All],4,FALSE))</f>
        <v/>
      </c>
      <c r="L452" s="5" t="str">
        <f t="shared" si="25"/>
        <v/>
      </c>
      <c r="M452" s="7" t="str">
        <f t="shared" ca="1" si="24"/>
        <v/>
      </c>
      <c r="N452" s="17" t="str">
        <f>IF(OR($A452="",$A452="Grand Total"),IF($A452="Grand Total",SUM($N$15:$N451),""),SUMPRODUCT((Table1[County]=SummaryPage!$A452)*(Table1[Status]&lt;&gt;"Complete")))</f>
        <v/>
      </c>
      <c r="O452" s="6" t="str">
        <f ca="1">IF($A452="Grand Total",SUM(INDIRECT(ADDRESS(1,COLUMN())&amp;":"&amp;ADDRESS(ROW()-1,COLUMN()))),IF(OR($A452="State Agencies",IFERROR(AND($L452&gt;='Input Sheet'!$J$2,$A452&lt;&gt;""),0)),$J452,""))</f>
        <v/>
      </c>
      <c r="P452" s="3" t="str">
        <f>IF(OR($A452="",$A452="Grand Total"),"",IF(IFERROR(ROUND($J452/$K452,2),1000)&gt;='Input Sheet'!$J$2,1,""))</f>
        <v/>
      </c>
      <c r="Q452" s="3" t="str">
        <f t="shared" si="26"/>
        <v/>
      </c>
      <c r="R452" s="3" t="str">
        <f>IF(OR($A452="",$A452="Grand Total"),"",AND($J452=0,(SUMPRODUCT((Table1[County]=SummaryPage!$A452)*(Table1[Status]="Not Started"))+SUMPRODUCT((Table1[County]=SummaryPage!$A452)*(Table1[Status]="")))=SUMPRODUCT((Table1[County]=SummaryPage!$A452)*(Table1[Status]&lt;&gt;"Q"))))</f>
        <v/>
      </c>
    </row>
    <row r="453" spans="11:18" x14ac:dyDescent="0.3">
      <c r="K453" s="29" t="str">
        <f>IF($A453="","",VLOOKUP('Input Sheet'!$D$2 &amp; " " &amp; $A453,Pop[#All],4,FALSE))</f>
        <v/>
      </c>
      <c r="L453" s="5" t="str">
        <f t="shared" si="25"/>
        <v/>
      </c>
      <c r="M453" s="7" t="str">
        <f t="shared" ca="1" si="24"/>
        <v/>
      </c>
      <c r="N453" s="17" t="str">
        <f>IF(OR($A453="",$A453="Grand Total"),IF($A453="Grand Total",SUM($N$15:$N452),""),SUMPRODUCT((Table1[County]=SummaryPage!$A453)*(Table1[Status]&lt;&gt;"Complete")))</f>
        <v/>
      </c>
      <c r="O453" s="6" t="str">
        <f ca="1">IF($A453="Grand Total",SUM(INDIRECT(ADDRESS(1,COLUMN())&amp;":"&amp;ADDRESS(ROW()-1,COLUMN()))),IF(OR($A453="State Agencies",IFERROR(AND($L453&gt;='Input Sheet'!$J$2,$A453&lt;&gt;""),0)),$J453,""))</f>
        <v/>
      </c>
      <c r="P453" s="3" t="str">
        <f>IF(OR($A453="",$A453="Grand Total"),"",IF(IFERROR(ROUND($J453/$K453,2),1000)&gt;='Input Sheet'!$J$2,1,""))</f>
        <v/>
      </c>
      <c r="Q453" s="3" t="str">
        <f t="shared" si="26"/>
        <v/>
      </c>
      <c r="R453" s="3" t="str">
        <f>IF(OR($A453="",$A453="Grand Total"),"",AND($J453=0,(SUMPRODUCT((Table1[County]=SummaryPage!$A453)*(Table1[Status]="Not Started"))+SUMPRODUCT((Table1[County]=SummaryPage!$A453)*(Table1[Status]="")))=SUMPRODUCT((Table1[County]=SummaryPage!$A453)*(Table1[Status]&lt;&gt;"Q"))))</f>
        <v/>
      </c>
    </row>
    <row r="454" spans="11:18" x14ac:dyDescent="0.3">
      <c r="K454" s="29" t="str">
        <f>IF($A454="","",VLOOKUP('Input Sheet'!$D$2 &amp; " " &amp; $A454,Pop[#All],4,FALSE))</f>
        <v/>
      </c>
      <c r="L454" s="5" t="str">
        <f t="shared" si="25"/>
        <v/>
      </c>
      <c r="M454" s="7" t="str">
        <f t="shared" ca="1" si="24"/>
        <v/>
      </c>
      <c r="N454" s="17" t="str">
        <f>IF(OR($A454="",$A454="Grand Total"),IF($A454="Grand Total",SUM($N$15:$N453),""),SUMPRODUCT((Table1[County]=SummaryPage!$A454)*(Table1[Status]&lt;&gt;"Complete")))</f>
        <v/>
      </c>
      <c r="O454" s="6" t="str">
        <f ca="1">IF($A454="Grand Total",SUM(INDIRECT(ADDRESS(1,COLUMN())&amp;":"&amp;ADDRESS(ROW()-1,COLUMN()))),IF(OR($A454="State Agencies",IFERROR(AND($L454&gt;='Input Sheet'!$J$2,$A454&lt;&gt;""),0)),$J454,""))</f>
        <v/>
      </c>
      <c r="P454" s="3" t="str">
        <f>IF(OR($A454="",$A454="Grand Total"),"",IF(IFERROR(ROUND($J454/$K454,2),1000)&gt;='Input Sheet'!$J$2,1,""))</f>
        <v/>
      </c>
      <c r="Q454" s="3" t="str">
        <f t="shared" si="26"/>
        <v/>
      </c>
      <c r="R454" s="3" t="str">
        <f>IF(OR($A454="",$A454="Grand Total"),"",AND($J454=0,(SUMPRODUCT((Table1[County]=SummaryPage!$A454)*(Table1[Status]="Not Started"))+SUMPRODUCT((Table1[County]=SummaryPage!$A454)*(Table1[Status]="")))=SUMPRODUCT((Table1[County]=SummaryPage!$A454)*(Table1[Status]&lt;&gt;"Q"))))</f>
        <v/>
      </c>
    </row>
    <row r="455" spans="11:18" x14ac:dyDescent="0.3">
      <c r="K455" s="29" t="str">
        <f>IF($A455="","",VLOOKUP('Input Sheet'!$D$2 &amp; " " &amp; $A455,Pop[#All],4,FALSE))</f>
        <v/>
      </c>
      <c r="L455" s="5" t="str">
        <f t="shared" si="25"/>
        <v/>
      </c>
      <c r="M455" s="7" t="str">
        <f t="shared" ca="1" si="24"/>
        <v/>
      </c>
      <c r="N455" s="17" t="str">
        <f>IF(OR($A455="",$A455="Grand Total"),IF($A455="Grand Total",SUM($N$15:$N454),""),SUMPRODUCT((Table1[County]=SummaryPage!$A455)*(Table1[Status]&lt;&gt;"Complete")))</f>
        <v/>
      </c>
      <c r="O455" s="6" t="str">
        <f ca="1">IF($A455="Grand Total",SUM(INDIRECT(ADDRESS(1,COLUMN())&amp;":"&amp;ADDRESS(ROW()-1,COLUMN()))),IF(OR($A455="State Agencies",IFERROR(AND($L455&gt;='Input Sheet'!$J$2,$A455&lt;&gt;""),0)),$J455,""))</f>
        <v/>
      </c>
      <c r="P455" s="3" t="str">
        <f>IF(OR($A455="",$A455="Grand Total"),"",IF(IFERROR(ROUND($J455/$K455,2),1000)&gt;='Input Sheet'!$J$2,1,""))</f>
        <v/>
      </c>
      <c r="Q455" s="3" t="str">
        <f t="shared" si="26"/>
        <v/>
      </c>
      <c r="R455" s="3" t="str">
        <f>IF(OR($A455="",$A455="Grand Total"),"",AND($J455=0,(SUMPRODUCT((Table1[County]=SummaryPage!$A455)*(Table1[Status]="Not Started"))+SUMPRODUCT((Table1[County]=SummaryPage!$A455)*(Table1[Status]="")))=SUMPRODUCT((Table1[County]=SummaryPage!$A455)*(Table1[Status]&lt;&gt;"Q"))))</f>
        <v/>
      </c>
    </row>
    <row r="456" spans="11:18" x14ac:dyDescent="0.3">
      <c r="K456" s="29" t="str">
        <f>IF($A456="","",VLOOKUP('Input Sheet'!$D$2 &amp; " " &amp; $A456,Pop[#All],4,FALSE))</f>
        <v/>
      </c>
      <c r="L456" s="5" t="str">
        <f t="shared" si="25"/>
        <v/>
      </c>
      <c r="M456" s="7" t="str">
        <f t="shared" ca="1" si="24"/>
        <v/>
      </c>
      <c r="N456" s="17" t="str">
        <f>IF(OR($A456="",$A456="Grand Total"),IF($A456="Grand Total",SUM($N$15:$N455),""),SUMPRODUCT((Table1[County]=SummaryPage!$A456)*(Table1[Status]&lt;&gt;"Complete")))</f>
        <v/>
      </c>
      <c r="O456" s="6" t="str">
        <f ca="1">IF($A456="Grand Total",SUM(INDIRECT(ADDRESS(1,COLUMN())&amp;":"&amp;ADDRESS(ROW()-1,COLUMN()))),IF(OR($A456="State Agencies",IFERROR(AND($L456&gt;='Input Sheet'!$J$2,$A456&lt;&gt;""),0)),$J456,""))</f>
        <v/>
      </c>
      <c r="P456" s="3" t="str">
        <f>IF(OR($A456="",$A456="Grand Total"),"",IF(IFERROR(ROUND($J456/$K456,2),1000)&gt;='Input Sheet'!$J$2,1,""))</f>
        <v/>
      </c>
      <c r="Q456" s="3" t="str">
        <f t="shared" si="26"/>
        <v/>
      </c>
      <c r="R456" s="3" t="str">
        <f>IF(OR($A456="",$A456="Grand Total"),"",AND($J456=0,(SUMPRODUCT((Table1[County]=SummaryPage!$A456)*(Table1[Status]="Not Started"))+SUMPRODUCT((Table1[County]=SummaryPage!$A456)*(Table1[Status]="")))=SUMPRODUCT((Table1[County]=SummaryPage!$A456)*(Table1[Status]&lt;&gt;"Q"))))</f>
        <v/>
      </c>
    </row>
    <row r="457" spans="11:18" x14ac:dyDescent="0.3">
      <c r="K457" s="29" t="str">
        <f>IF($A457="","",VLOOKUP('Input Sheet'!$D$2 &amp; " " &amp; $A457,Pop[#All],4,FALSE))</f>
        <v/>
      </c>
      <c r="L457" s="5" t="str">
        <f t="shared" si="25"/>
        <v/>
      </c>
      <c r="M457" s="7" t="str">
        <f t="shared" ca="1" si="24"/>
        <v/>
      </c>
      <c r="N457" s="17" t="str">
        <f>IF(OR($A457="",$A457="Grand Total"),IF($A457="Grand Total",SUM($N$15:$N456),""),SUMPRODUCT((Table1[County]=SummaryPage!$A457)*(Table1[Status]&lt;&gt;"Complete")))</f>
        <v/>
      </c>
      <c r="O457" s="6" t="str">
        <f ca="1">IF($A457="Grand Total",SUM(INDIRECT(ADDRESS(1,COLUMN())&amp;":"&amp;ADDRESS(ROW()-1,COLUMN()))),IF(OR($A457="State Agencies",IFERROR(AND($L457&gt;='Input Sheet'!$J$2,$A457&lt;&gt;""),0)),$J457,""))</f>
        <v/>
      </c>
      <c r="P457" s="3" t="str">
        <f>IF(OR($A457="",$A457="Grand Total"),"",IF(IFERROR(ROUND($J457/$K457,2),1000)&gt;='Input Sheet'!$J$2,1,""))</f>
        <v/>
      </c>
      <c r="Q457" s="3" t="str">
        <f t="shared" si="26"/>
        <v/>
      </c>
      <c r="R457" s="3" t="str">
        <f>IF(OR($A457="",$A457="Grand Total"),"",AND($J457=0,(SUMPRODUCT((Table1[County]=SummaryPage!$A457)*(Table1[Status]="Not Started"))+SUMPRODUCT((Table1[County]=SummaryPage!$A457)*(Table1[Status]="")))=SUMPRODUCT((Table1[County]=SummaryPage!$A457)*(Table1[Status]&lt;&gt;"Q"))))</f>
        <v/>
      </c>
    </row>
    <row r="458" spans="11:18" x14ac:dyDescent="0.3">
      <c r="K458" s="29" t="str">
        <f>IF($A458="","",VLOOKUP('Input Sheet'!$D$2 &amp; " " &amp; $A458,Pop[#All],4,FALSE))</f>
        <v/>
      </c>
      <c r="L458" s="5" t="str">
        <f t="shared" si="25"/>
        <v/>
      </c>
      <c r="M458" s="7" t="str">
        <f t="shared" ca="1" si="24"/>
        <v/>
      </c>
      <c r="N458" s="17" t="str">
        <f>IF(OR($A458="",$A458="Grand Total"),IF($A458="Grand Total",SUM($N$15:$N457),""),SUMPRODUCT((Table1[County]=SummaryPage!$A458)*(Table1[Status]&lt;&gt;"Complete")))</f>
        <v/>
      </c>
      <c r="O458" s="6" t="str">
        <f ca="1">IF($A458="Grand Total",SUM(INDIRECT(ADDRESS(1,COLUMN())&amp;":"&amp;ADDRESS(ROW()-1,COLUMN()))),IF(OR($A458="State Agencies",IFERROR(AND($L458&gt;='Input Sheet'!$J$2,$A458&lt;&gt;""),0)),$J458,""))</f>
        <v/>
      </c>
      <c r="P458" s="3" t="str">
        <f>IF(OR($A458="",$A458="Grand Total"),"",IF(IFERROR(ROUND($J458/$K458,2),1000)&gt;='Input Sheet'!$J$2,1,""))</f>
        <v/>
      </c>
      <c r="Q458" s="3" t="str">
        <f t="shared" si="26"/>
        <v/>
      </c>
      <c r="R458" s="3" t="str">
        <f>IF(OR($A458="",$A458="Grand Total"),"",AND($J458=0,(SUMPRODUCT((Table1[County]=SummaryPage!$A458)*(Table1[Status]="Not Started"))+SUMPRODUCT((Table1[County]=SummaryPage!$A458)*(Table1[Status]="")))=SUMPRODUCT((Table1[County]=SummaryPage!$A458)*(Table1[Status]&lt;&gt;"Q"))))</f>
        <v/>
      </c>
    </row>
    <row r="459" spans="11:18" x14ac:dyDescent="0.3">
      <c r="K459" s="29" t="str">
        <f>IF($A459="","",VLOOKUP('Input Sheet'!$D$2 &amp; " " &amp; $A459,Pop[#All],4,FALSE))</f>
        <v/>
      </c>
      <c r="L459" s="5" t="str">
        <f t="shared" si="25"/>
        <v/>
      </c>
      <c r="M459" s="7" t="str">
        <f t="shared" ca="1" si="24"/>
        <v/>
      </c>
      <c r="N459" s="17" t="str">
        <f>IF(OR($A459="",$A459="Grand Total"),IF($A459="Grand Total",SUM($N$15:$N458),""),SUMPRODUCT((Table1[County]=SummaryPage!$A459)*(Table1[Status]&lt;&gt;"Complete")))</f>
        <v/>
      </c>
      <c r="O459" s="6" t="str">
        <f ca="1">IF($A459="Grand Total",SUM(INDIRECT(ADDRESS(1,COLUMN())&amp;":"&amp;ADDRESS(ROW()-1,COLUMN()))),IF(OR($A459="State Agencies",IFERROR(AND($L459&gt;='Input Sheet'!$J$2,$A459&lt;&gt;""),0)),$J459,""))</f>
        <v/>
      </c>
      <c r="P459" s="3" t="str">
        <f>IF(OR($A459="",$A459="Grand Total"),"",IF(IFERROR(ROUND($J459/$K459,2),1000)&gt;='Input Sheet'!$J$2,1,""))</f>
        <v/>
      </c>
      <c r="Q459" s="3" t="str">
        <f t="shared" si="26"/>
        <v/>
      </c>
      <c r="R459" s="3" t="str">
        <f>IF(OR($A459="",$A459="Grand Total"),"",AND($J459=0,(SUMPRODUCT((Table1[County]=SummaryPage!$A459)*(Table1[Status]="Not Started"))+SUMPRODUCT((Table1[County]=SummaryPage!$A459)*(Table1[Status]="")))=SUMPRODUCT((Table1[County]=SummaryPage!$A459)*(Table1[Status]&lt;&gt;"Q"))))</f>
        <v/>
      </c>
    </row>
    <row r="460" spans="11:18" x14ac:dyDescent="0.3">
      <c r="K460" s="29" t="str">
        <f>IF($A460="","",VLOOKUP('Input Sheet'!$D$2 &amp; " " &amp; $A460,Pop[#All],4,FALSE))</f>
        <v/>
      </c>
      <c r="L460" s="5" t="str">
        <f t="shared" si="25"/>
        <v/>
      </c>
      <c r="M460" s="7" t="str">
        <f t="shared" ca="1" si="24"/>
        <v/>
      </c>
      <c r="N460" s="17" t="str">
        <f>IF(OR($A460="",$A460="Grand Total"),IF($A460="Grand Total",SUM($N$15:$N459),""),SUMPRODUCT((Table1[County]=SummaryPage!$A460)*(Table1[Status]&lt;&gt;"Complete")))</f>
        <v/>
      </c>
      <c r="O460" s="6" t="str">
        <f ca="1">IF($A460="Grand Total",SUM(INDIRECT(ADDRESS(1,COLUMN())&amp;":"&amp;ADDRESS(ROW()-1,COLUMN()))),IF(OR($A460="State Agencies",IFERROR(AND($L460&gt;='Input Sheet'!$J$2,$A460&lt;&gt;""),0)),$J460,""))</f>
        <v/>
      </c>
      <c r="P460" s="3" t="str">
        <f>IF(OR($A460="",$A460="Grand Total"),"",IF(IFERROR(ROUND($J460/$K460,2),1000)&gt;='Input Sheet'!$J$2,1,""))</f>
        <v/>
      </c>
      <c r="Q460" s="3" t="str">
        <f t="shared" si="26"/>
        <v/>
      </c>
      <c r="R460" s="3" t="str">
        <f>IF(OR($A460="",$A460="Grand Total"),"",AND($J460=0,(SUMPRODUCT((Table1[County]=SummaryPage!$A460)*(Table1[Status]="Not Started"))+SUMPRODUCT((Table1[County]=SummaryPage!$A460)*(Table1[Status]="")))=SUMPRODUCT((Table1[County]=SummaryPage!$A460)*(Table1[Status]&lt;&gt;"Q"))))</f>
        <v/>
      </c>
    </row>
    <row r="461" spans="11:18" x14ac:dyDescent="0.3">
      <c r="K461" s="29" t="str">
        <f>IF($A461="","",VLOOKUP('Input Sheet'!$D$2 &amp; " " &amp; $A461,Pop[#All],4,FALSE))</f>
        <v/>
      </c>
      <c r="L461" s="5" t="str">
        <f t="shared" si="25"/>
        <v/>
      </c>
      <c r="M461" s="7" t="str">
        <f t="shared" ca="1" si="24"/>
        <v/>
      </c>
      <c r="N461" s="17" t="str">
        <f>IF(OR($A461="",$A461="Grand Total"),IF($A461="Grand Total",SUM($N$15:$N460),""),SUMPRODUCT((Table1[County]=SummaryPage!$A461)*(Table1[Status]&lt;&gt;"Complete")))</f>
        <v/>
      </c>
      <c r="O461" s="6" t="str">
        <f ca="1">IF($A461="Grand Total",SUM(INDIRECT(ADDRESS(1,COLUMN())&amp;":"&amp;ADDRESS(ROW()-1,COLUMN()))),IF(OR($A461="State Agencies",IFERROR(AND($L461&gt;='Input Sheet'!$J$2,$A461&lt;&gt;""),0)),$J461,""))</f>
        <v/>
      </c>
      <c r="P461" s="3" t="str">
        <f>IF(OR($A461="",$A461="Grand Total"),"",IF(IFERROR(ROUND($J461/$K461,2),1000)&gt;='Input Sheet'!$J$2,1,""))</f>
        <v/>
      </c>
      <c r="Q461" s="3" t="str">
        <f t="shared" si="26"/>
        <v/>
      </c>
      <c r="R461" s="3" t="str">
        <f>IF(OR($A461="",$A461="Grand Total"),"",AND($J461=0,(SUMPRODUCT((Table1[County]=SummaryPage!$A461)*(Table1[Status]="Not Started"))+SUMPRODUCT((Table1[County]=SummaryPage!$A461)*(Table1[Status]="")))=SUMPRODUCT((Table1[County]=SummaryPage!$A461)*(Table1[Status]&lt;&gt;"Q"))))</f>
        <v/>
      </c>
    </row>
    <row r="462" spans="11:18" x14ac:dyDescent="0.3">
      <c r="K462" s="29" t="str">
        <f>IF($A462="","",VLOOKUP('Input Sheet'!$D$2 &amp; " " &amp; $A462,Pop[#All],4,FALSE))</f>
        <v/>
      </c>
      <c r="L462" s="5" t="str">
        <f t="shared" si="25"/>
        <v/>
      </c>
      <c r="M462" s="7" t="str">
        <f t="shared" ca="1" si="24"/>
        <v/>
      </c>
      <c r="N462" s="17" t="str">
        <f>IF(OR($A462="",$A462="Grand Total"),IF($A462="Grand Total",SUM($N$15:$N461),""),SUMPRODUCT((Table1[County]=SummaryPage!$A462)*(Table1[Status]&lt;&gt;"Complete")))</f>
        <v/>
      </c>
      <c r="O462" s="6" t="str">
        <f ca="1">IF($A462="Grand Total",SUM(INDIRECT(ADDRESS(1,COLUMN())&amp;":"&amp;ADDRESS(ROW()-1,COLUMN()))),IF(OR($A462="State Agencies",IFERROR(AND($L462&gt;='Input Sheet'!$J$2,$A462&lt;&gt;""),0)),$J462,""))</f>
        <v/>
      </c>
      <c r="P462" s="3" t="str">
        <f>IF(OR($A462="",$A462="Grand Total"),"",IF(IFERROR(ROUND($J462/$K462,2),1000)&gt;='Input Sheet'!$J$2,1,""))</f>
        <v/>
      </c>
      <c r="Q462" s="3" t="str">
        <f t="shared" si="26"/>
        <v/>
      </c>
      <c r="R462" s="3" t="str">
        <f>IF(OR($A462="",$A462="Grand Total"),"",AND($J462=0,(SUMPRODUCT((Table1[County]=SummaryPage!$A462)*(Table1[Status]="Not Started"))+SUMPRODUCT((Table1[County]=SummaryPage!$A462)*(Table1[Status]="")))=SUMPRODUCT((Table1[County]=SummaryPage!$A462)*(Table1[Status]&lt;&gt;"Q"))))</f>
        <v/>
      </c>
    </row>
    <row r="463" spans="11:18" x14ac:dyDescent="0.3">
      <c r="K463" s="29" t="str">
        <f>IF($A463="","",VLOOKUP('Input Sheet'!$D$2 &amp; " " &amp; $A463,Pop[#All],4,FALSE))</f>
        <v/>
      </c>
      <c r="L463" s="5" t="str">
        <f t="shared" si="25"/>
        <v/>
      </c>
      <c r="M463" s="7" t="str">
        <f t="shared" ref="M463:M526" ca="1" si="27">IF(A463="Grand Total","",IF(ISNUMBER($O463),$O463*2/SUM($O:$O),""))</f>
        <v/>
      </c>
      <c r="N463" s="17" t="str">
        <f>IF(OR($A463="",$A463="Grand Total"),IF($A463="Grand Total",SUM($N$15:$N462),""),SUMPRODUCT((Table1[County]=SummaryPage!$A463)*(Table1[Status]&lt;&gt;"Complete")))</f>
        <v/>
      </c>
      <c r="O463" s="6" t="str">
        <f ca="1">IF($A463="Grand Total",SUM(INDIRECT(ADDRESS(1,COLUMN())&amp;":"&amp;ADDRESS(ROW()-1,COLUMN()))),IF(OR($A463="State Agencies",IFERROR(AND($L463&gt;='Input Sheet'!$J$2,$A463&lt;&gt;""),0)),$J463,""))</f>
        <v/>
      </c>
      <c r="P463" s="3" t="str">
        <f>IF(OR($A463="",$A463="Grand Total"),"",IF(IFERROR(ROUND($J463/$K463,2),1000)&gt;='Input Sheet'!$J$2,1,""))</f>
        <v/>
      </c>
      <c r="Q463" s="3" t="str">
        <f t="shared" si="26"/>
        <v/>
      </c>
      <c r="R463" s="3" t="str">
        <f>IF(OR($A463="",$A463="Grand Total"),"",AND($J463=0,(SUMPRODUCT((Table1[County]=SummaryPage!$A463)*(Table1[Status]="Not Started"))+SUMPRODUCT((Table1[County]=SummaryPage!$A463)*(Table1[Status]="")))=SUMPRODUCT((Table1[County]=SummaryPage!$A463)*(Table1[Status]&lt;&gt;"Q"))))</f>
        <v/>
      </c>
    </row>
    <row r="464" spans="11:18" x14ac:dyDescent="0.3">
      <c r="K464" s="29" t="str">
        <f>IF($A464="","",VLOOKUP('Input Sheet'!$D$2 &amp; " " &amp; $A464,Pop[#All],4,FALSE))</f>
        <v/>
      </c>
      <c r="L464" s="5" t="str">
        <f t="shared" ref="L464:L527" si="28">IFERROR(IF($A464="","",ROUND($J464/$K464,2)),"")</f>
        <v/>
      </c>
      <c r="M464" s="7" t="str">
        <f t="shared" ca="1" si="27"/>
        <v/>
      </c>
      <c r="N464" s="17" t="str">
        <f>IF(OR($A464="",$A464="Grand Total"),IF($A464="Grand Total",SUM($N$15:$N463),""),SUMPRODUCT((Table1[County]=SummaryPage!$A464)*(Table1[Status]&lt;&gt;"Complete")))</f>
        <v/>
      </c>
      <c r="O464" s="6" t="str">
        <f ca="1">IF($A464="Grand Total",SUM(INDIRECT(ADDRESS(1,COLUMN())&amp;":"&amp;ADDRESS(ROW()-1,COLUMN()))),IF(OR($A464="State Agencies",IFERROR(AND($L464&gt;='Input Sheet'!$J$2,$A464&lt;&gt;""),0)),$J464,""))</f>
        <v/>
      </c>
      <c r="P464" s="3" t="str">
        <f>IF(OR($A464="",$A464="Grand Total"),"",IF(IFERROR(ROUND($J464/$K464,2),1000)&gt;='Input Sheet'!$J$2,1,""))</f>
        <v/>
      </c>
      <c r="Q464" s="3" t="str">
        <f t="shared" ref="Q464:Q527" si="29">IFERROR($L464*$P464,"")</f>
        <v/>
      </c>
      <c r="R464" s="3" t="str">
        <f>IF(OR($A464="",$A464="Grand Total"),"",AND($J464=0,(SUMPRODUCT((Table1[County]=SummaryPage!$A464)*(Table1[Status]="Not Started"))+SUMPRODUCT((Table1[County]=SummaryPage!$A464)*(Table1[Status]="")))=SUMPRODUCT((Table1[County]=SummaryPage!$A464)*(Table1[Status]&lt;&gt;"Q"))))</f>
        <v/>
      </c>
    </row>
    <row r="465" spans="11:18" x14ac:dyDescent="0.3">
      <c r="K465" s="29" t="str">
        <f>IF($A465="","",VLOOKUP('Input Sheet'!$D$2 &amp; " " &amp; $A465,Pop[#All],4,FALSE))</f>
        <v/>
      </c>
      <c r="L465" s="5" t="str">
        <f t="shared" si="28"/>
        <v/>
      </c>
      <c r="M465" s="7" t="str">
        <f t="shared" ca="1" si="27"/>
        <v/>
      </c>
      <c r="N465" s="17" t="str">
        <f>IF(OR($A465="",$A465="Grand Total"),IF($A465="Grand Total",SUM($N$15:$N464),""),SUMPRODUCT((Table1[County]=SummaryPage!$A465)*(Table1[Status]&lt;&gt;"Complete")))</f>
        <v/>
      </c>
      <c r="O465" s="6" t="str">
        <f ca="1">IF($A465="Grand Total",SUM(INDIRECT(ADDRESS(1,COLUMN())&amp;":"&amp;ADDRESS(ROW()-1,COLUMN()))),IF(OR($A465="State Agencies",IFERROR(AND($L465&gt;='Input Sheet'!$J$2,$A465&lt;&gt;""),0)),$J465,""))</f>
        <v/>
      </c>
      <c r="P465" s="3" t="str">
        <f>IF(OR($A465="",$A465="Grand Total"),"",IF(IFERROR(ROUND($J465/$K465,2),1000)&gt;='Input Sheet'!$J$2,1,""))</f>
        <v/>
      </c>
      <c r="Q465" s="3" t="str">
        <f t="shared" si="29"/>
        <v/>
      </c>
      <c r="R465" s="3" t="str">
        <f>IF(OR($A465="",$A465="Grand Total"),"",AND($J465=0,(SUMPRODUCT((Table1[County]=SummaryPage!$A465)*(Table1[Status]="Not Started"))+SUMPRODUCT((Table1[County]=SummaryPage!$A465)*(Table1[Status]="")))=SUMPRODUCT((Table1[County]=SummaryPage!$A465)*(Table1[Status]&lt;&gt;"Q"))))</f>
        <v/>
      </c>
    </row>
    <row r="466" spans="11:18" x14ac:dyDescent="0.3">
      <c r="K466" s="29" t="str">
        <f>IF($A466="","",VLOOKUP('Input Sheet'!$D$2 &amp; " " &amp; $A466,Pop[#All],4,FALSE))</f>
        <v/>
      </c>
      <c r="L466" s="5" t="str">
        <f t="shared" si="28"/>
        <v/>
      </c>
      <c r="M466" s="7" t="str">
        <f t="shared" ca="1" si="27"/>
        <v/>
      </c>
      <c r="N466" s="17" t="str">
        <f>IF(OR($A466="",$A466="Grand Total"),IF($A466="Grand Total",SUM($N$15:$N465),""),SUMPRODUCT((Table1[County]=SummaryPage!$A466)*(Table1[Status]&lt;&gt;"Complete")))</f>
        <v/>
      </c>
      <c r="O466" s="6" t="str">
        <f ca="1">IF($A466="Grand Total",SUM(INDIRECT(ADDRESS(1,COLUMN())&amp;":"&amp;ADDRESS(ROW()-1,COLUMN()))),IF(OR($A466="State Agencies",IFERROR(AND($L466&gt;='Input Sheet'!$J$2,$A466&lt;&gt;""),0)),$J466,""))</f>
        <v/>
      </c>
      <c r="P466" s="3" t="str">
        <f>IF(OR($A466="",$A466="Grand Total"),"",IF(IFERROR(ROUND($J466/$K466,2),1000)&gt;='Input Sheet'!$J$2,1,""))</f>
        <v/>
      </c>
      <c r="Q466" s="3" t="str">
        <f t="shared" si="29"/>
        <v/>
      </c>
      <c r="R466" s="3" t="str">
        <f>IF(OR($A466="",$A466="Grand Total"),"",AND($J466=0,(SUMPRODUCT((Table1[County]=SummaryPage!$A466)*(Table1[Status]="Not Started"))+SUMPRODUCT((Table1[County]=SummaryPage!$A466)*(Table1[Status]="")))=SUMPRODUCT((Table1[County]=SummaryPage!$A466)*(Table1[Status]&lt;&gt;"Q"))))</f>
        <v/>
      </c>
    </row>
    <row r="467" spans="11:18" x14ac:dyDescent="0.3">
      <c r="K467" s="29" t="str">
        <f>IF($A467="","",VLOOKUP('Input Sheet'!$D$2 &amp; " " &amp; $A467,Pop[#All],4,FALSE))</f>
        <v/>
      </c>
      <c r="L467" s="5" t="str">
        <f t="shared" si="28"/>
        <v/>
      </c>
      <c r="M467" s="7" t="str">
        <f t="shared" ca="1" si="27"/>
        <v/>
      </c>
      <c r="N467" s="17" t="str">
        <f>IF(OR($A467="",$A467="Grand Total"),IF($A467="Grand Total",SUM($N$15:$N466),""),SUMPRODUCT((Table1[County]=SummaryPage!$A467)*(Table1[Status]&lt;&gt;"Complete")))</f>
        <v/>
      </c>
      <c r="O467" s="6" t="str">
        <f ca="1">IF($A467="Grand Total",SUM(INDIRECT(ADDRESS(1,COLUMN())&amp;":"&amp;ADDRESS(ROW()-1,COLUMN()))),IF(OR($A467="State Agencies",IFERROR(AND($L467&gt;='Input Sheet'!$J$2,$A467&lt;&gt;""),0)),$J467,""))</f>
        <v/>
      </c>
      <c r="P467" s="3" t="str">
        <f>IF(OR($A467="",$A467="Grand Total"),"",IF(IFERROR(ROUND($J467/$K467,2),1000)&gt;='Input Sheet'!$J$2,1,""))</f>
        <v/>
      </c>
      <c r="Q467" s="3" t="str">
        <f t="shared" si="29"/>
        <v/>
      </c>
      <c r="R467" s="3" t="str">
        <f>IF(OR($A467="",$A467="Grand Total"),"",AND($J467=0,(SUMPRODUCT((Table1[County]=SummaryPage!$A467)*(Table1[Status]="Not Started"))+SUMPRODUCT((Table1[County]=SummaryPage!$A467)*(Table1[Status]="")))=SUMPRODUCT((Table1[County]=SummaryPage!$A467)*(Table1[Status]&lt;&gt;"Q"))))</f>
        <v/>
      </c>
    </row>
    <row r="468" spans="11:18" x14ac:dyDescent="0.3">
      <c r="K468" s="29" t="str">
        <f>IF($A468="","",VLOOKUP('Input Sheet'!$D$2 &amp; " " &amp; $A468,Pop[#All],4,FALSE))</f>
        <v/>
      </c>
      <c r="L468" s="5" t="str">
        <f t="shared" si="28"/>
        <v/>
      </c>
      <c r="M468" s="7" t="str">
        <f t="shared" ca="1" si="27"/>
        <v/>
      </c>
      <c r="N468" s="17" t="str">
        <f>IF(OR($A468="",$A468="Grand Total"),IF($A468="Grand Total",SUM($N$15:$N467),""),SUMPRODUCT((Table1[County]=SummaryPage!$A468)*(Table1[Status]&lt;&gt;"Complete")))</f>
        <v/>
      </c>
      <c r="O468" s="6" t="str">
        <f ca="1">IF($A468="Grand Total",SUM(INDIRECT(ADDRESS(1,COLUMN())&amp;":"&amp;ADDRESS(ROW()-1,COLUMN()))),IF(OR($A468="State Agencies",IFERROR(AND($L468&gt;='Input Sheet'!$J$2,$A468&lt;&gt;""),0)),$J468,""))</f>
        <v/>
      </c>
      <c r="P468" s="3" t="str">
        <f>IF(OR($A468="",$A468="Grand Total"),"",IF(IFERROR(ROUND($J468/$K468,2),1000)&gt;='Input Sheet'!$J$2,1,""))</f>
        <v/>
      </c>
      <c r="Q468" s="3" t="str">
        <f t="shared" si="29"/>
        <v/>
      </c>
      <c r="R468" s="3" t="str">
        <f>IF(OR($A468="",$A468="Grand Total"),"",AND($J468=0,(SUMPRODUCT((Table1[County]=SummaryPage!$A468)*(Table1[Status]="Not Started"))+SUMPRODUCT((Table1[County]=SummaryPage!$A468)*(Table1[Status]="")))=SUMPRODUCT((Table1[County]=SummaryPage!$A468)*(Table1[Status]&lt;&gt;"Q"))))</f>
        <v/>
      </c>
    </row>
    <row r="469" spans="11:18" x14ac:dyDescent="0.3">
      <c r="K469" s="29" t="str">
        <f>IF($A469="","",VLOOKUP('Input Sheet'!$D$2 &amp; " " &amp; $A469,Pop[#All],4,FALSE))</f>
        <v/>
      </c>
      <c r="L469" s="5" t="str">
        <f t="shared" si="28"/>
        <v/>
      </c>
      <c r="M469" s="7" t="str">
        <f t="shared" ca="1" si="27"/>
        <v/>
      </c>
      <c r="N469" s="17" t="str">
        <f>IF(OR($A469="",$A469="Grand Total"),IF($A469="Grand Total",SUM($N$15:$N468),""),SUMPRODUCT((Table1[County]=SummaryPage!$A469)*(Table1[Status]&lt;&gt;"Complete")))</f>
        <v/>
      </c>
      <c r="O469" s="6" t="str">
        <f ca="1">IF($A469="Grand Total",SUM(INDIRECT(ADDRESS(1,COLUMN())&amp;":"&amp;ADDRESS(ROW()-1,COLUMN()))),IF(OR($A469="State Agencies",IFERROR(AND($L469&gt;='Input Sheet'!$J$2,$A469&lt;&gt;""),0)),$J469,""))</f>
        <v/>
      </c>
      <c r="P469" s="3" t="str">
        <f>IF(OR($A469="",$A469="Grand Total"),"",IF(IFERROR(ROUND($J469/$K469,2),1000)&gt;='Input Sheet'!$J$2,1,""))</f>
        <v/>
      </c>
      <c r="Q469" s="3" t="str">
        <f t="shared" si="29"/>
        <v/>
      </c>
      <c r="R469" s="3" t="str">
        <f>IF(OR($A469="",$A469="Grand Total"),"",AND($J469=0,(SUMPRODUCT((Table1[County]=SummaryPage!$A469)*(Table1[Status]="Not Started"))+SUMPRODUCT((Table1[County]=SummaryPage!$A469)*(Table1[Status]="")))=SUMPRODUCT((Table1[County]=SummaryPage!$A469)*(Table1[Status]&lt;&gt;"Q"))))</f>
        <v/>
      </c>
    </row>
    <row r="470" spans="11:18" x14ac:dyDescent="0.3">
      <c r="K470" s="29" t="str">
        <f>IF($A470="","",VLOOKUP('Input Sheet'!$D$2 &amp; " " &amp; $A470,Pop[#All],4,FALSE))</f>
        <v/>
      </c>
      <c r="L470" s="5" t="str">
        <f t="shared" si="28"/>
        <v/>
      </c>
      <c r="M470" s="7" t="str">
        <f t="shared" ca="1" si="27"/>
        <v/>
      </c>
      <c r="N470" s="17" t="str">
        <f>IF(OR($A470="",$A470="Grand Total"),IF($A470="Grand Total",SUM($N$15:$N469),""),SUMPRODUCT((Table1[County]=SummaryPage!$A470)*(Table1[Status]&lt;&gt;"Complete")))</f>
        <v/>
      </c>
      <c r="O470" s="6" t="str">
        <f ca="1">IF($A470="Grand Total",SUM(INDIRECT(ADDRESS(1,COLUMN())&amp;":"&amp;ADDRESS(ROW()-1,COLUMN()))),IF(OR($A470="State Agencies",IFERROR(AND($L470&gt;='Input Sheet'!$J$2,$A470&lt;&gt;""),0)),$J470,""))</f>
        <v/>
      </c>
      <c r="P470" s="3" t="str">
        <f>IF(OR($A470="",$A470="Grand Total"),"",IF(IFERROR(ROUND($J470/$K470,2),1000)&gt;='Input Sheet'!$J$2,1,""))</f>
        <v/>
      </c>
      <c r="Q470" s="3" t="str">
        <f t="shared" si="29"/>
        <v/>
      </c>
      <c r="R470" s="3" t="str">
        <f>IF(OR($A470="",$A470="Grand Total"),"",AND($J470=0,(SUMPRODUCT((Table1[County]=SummaryPage!$A470)*(Table1[Status]="Not Started"))+SUMPRODUCT((Table1[County]=SummaryPage!$A470)*(Table1[Status]="")))=SUMPRODUCT((Table1[County]=SummaryPage!$A470)*(Table1[Status]&lt;&gt;"Q"))))</f>
        <v/>
      </c>
    </row>
    <row r="471" spans="11:18" x14ac:dyDescent="0.3">
      <c r="K471" s="29" t="str">
        <f>IF($A471="","",VLOOKUP('Input Sheet'!$D$2 &amp; " " &amp; $A471,Pop[#All],4,FALSE))</f>
        <v/>
      </c>
      <c r="L471" s="5" t="str">
        <f t="shared" si="28"/>
        <v/>
      </c>
      <c r="M471" s="7" t="str">
        <f t="shared" ca="1" si="27"/>
        <v/>
      </c>
      <c r="N471" s="17" t="str">
        <f>IF(OR($A471="",$A471="Grand Total"),IF($A471="Grand Total",SUM($N$15:$N470),""),SUMPRODUCT((Table1[County]=SummaryPage!$A471)*(Table1[Status]&lt;&gt;"Complete")))</f>
        <v/>
      </c>
      <c r="O471" s="6" t="str">
        <f ca="1">IF($A471="Grand Total",SUM(INDIRECT(ADDRESS(1,COLUMN())&amp;":"&amp;ADDRESS(ROW()-1,COLUMN()))),IF(OR($A471="State Agencies",IFERROR(AND($L471&gt;='Input Sheet'!$J$2,$A471&lt;&gt;""),0)),$J471,""))</f>
        <v/>
      </c>
      <c r="P471" s="3" t="str">
        <f>IF(OR($A471="",$A471="Grand Total"),"",IF(IFERROR(ROUND($J471/$K471,2),1000)&gt;='Input Sheet'!$J$2,1,""))</f>
        <v/>
      </c>
      <c r="Q471" s="3" t="str">
        <f t="shared" si="29"/>
        <v/>
      </c>
      <c r="R471" s="3" t="str">
        <f>IF(OR($A471="",$A471="Grand Total"),"",AND($J471=0,(SUMPRODUCT((Table1[County]=SummaryPage!$A471)*(Table1[Status]="Not Started"))+SUMPRODUCT((Table1[County]=SummaryPage!$A471)*(Table1[Status]="")))=SUMPRODUCT((Table1[County]=SummaryPage!$A471)*(Table1[Status]&lt;&gt;"Q"))))</f>
        <v/>
      </c>
    </row>
    <row r="472" spans="11:18" x14ac:dyDescent="0.3">
      <c r="K472" s="29" t="str">
        <f>IF($A472="","",VLOOKUP('Input Sheet'!$D$2 &amp; " " &amp; $A472,Pop[#All],4,FALSE))</f>
        <v/>
      </c>
      <c r="L472" s="5" t="str">
        <f t="shared" si="28"/>
        <v/>
      </c>
      <c r="M472" s="7" t="str">
        <f t="shared" ca="1" si="27"/>
        <v/>
      </c>
      <c r="N472" s="17" t="str">
        <f>IF(OR($A472="",$A472="Grand Total"),IF($A472="Grand Total",SUM($N$15:$N471),""),SUMPRODUCT((Table1[County]=SummaryPage!$A472)*(Table1[Status]&lt;&gt;"Complete")))</f>
        <v/>
      </c>
      <c r="O472" s="6" t="str">
        <f ca="1">IF($A472="Grand Total",SUM(INDIRECT(ADDRESS(1,COLUMN())&amp;":"&amp;ADDRESS(ROW()-1,COLUMN()))),IF(OR($A472="State Agencies",IFERROR(AND($L472&gt;='Input Sheet'!$J$2,$A472&lt;&gt;""),0)),$J472,""))</f>
        <v/>
      </c>
      <c r="P472" s="3" t="str">
        <f>IF(OR($A472="",$A472="Grand Total"),"",IF(IFERROR(ROUND($J472/$K472,2),1000)&gt;='Input Sheet'!$J$2,1,""))</f>
        <v/>
      </c>
      <c r="Q472" s="3" t="str">
        <f t="shared" si="29"/>
        <v/>
      </c>
      <c r="R472" s="3" t="str">
        <f>IF(OR($A472="",$A472="Grand Total"),"",AND($J472=0,(SUMPRODUCT((Table1[County]=SummaryPage!$A472)*(Table1[Status]="Not Started"))+SUMPRODUCT((Table1[County]=SummaryPage!$A472)*(Table1[Status]="")))=SUMPRODUCT((Table1[County]=SummaryPage!$A472)*(Table1[Status]&lt;&gt;"Q"))))</f>
        <v/>
      </c>
    </row>
    <row r="473" spans="11:18" x14ac:dyDescent="0.3">
      <c r="K473" s="29" t="str">
        <f>IF($A473="","",VLOOKUP('Input Sheet'!$D$2 &amp; " " &amp; $A473,Pop[#All],4,FALSE))</f>
        <v/>
      </c>
      <c r="L473" s="5" t="str">
        <f t="shared" si="28"/>
        <v/>
      </c>
      <c r="M473" s="7" t="str">
        <f t="shared" ca="1" si="27"/>
        <v/>
      </c>
      <c r="N473" s="17" t="str">
        <f>IF(OR($A473="",$A473="Grand Total"),IF($A473="Grand Total",SUM($N$15:$N472),""),SUMPRODUCT((Table1[County]=SummaryPage!$A473)*(Table1[Status]&lt;&gt;"Complete")))</f>
        <v/>
      </c>
      <c r="O473" s="6" t="str">
        <f ca="1">IF($A473="Grand Total",SUM(INDIRECT(ADDRESS(1,COLUMN())&amp;":"&amp;ADDRESS(ROW()-1,COLUMN()))),IF(OR($A473="State Agencies",IFERROR(AND($L473&gt;='Input Sheet'!$J$2,$A473&lt;&gt;""),0)),$J473,""))</f>
        <v/>
      </c>
      <c r="P473" s="3" t="str">
        <f>IF(OR($A473="",$A473="Grand Total"),"",IF(IFERROR(ROUND($J473/$K473,2),1000)&gt;='Input Sheet'!$J$2,1,""))</f>
        <v/>
      </c>
      <c r="Q473" s="3" t="str">
        <f t="shared" si="29"/>
        <v/>
      </c>
      <c r="R473" s="3" t="str">
        <f>IF(OR($A473="",$A473="Grand Total"),"",AND($J473=0,(SUMPRODUCT((Table1[County]=SummaryPage!$A473)*(Table1[Status]="Not Started"))+SUMPRODUCT((Table1[County]=SummaryPage!$A473)*(Table1[Status]="")))=SUMPRODUCT((Table1[County]=SummaryPage!$A473)*(Table1[Status]&lt;&gt;"Q"))))</f>
        <v/>
      </c>
    </row>
    <row r="474" spans="11:18" x14ac:dyDescent="0.3">
      <c r="K474" s="29" t="str">
        <f>IF($A474="","",VLOOKUP('Input Sheet'!$D$2 &amp; " " &amp; $A474,Pop[#All],4,FALSE))</f>
        <v/>
      </c>
      <c r="L474" s="5" t="str">
        <f t="shared" si="28"/>
        <v/>
      </c>
      <c r="M474" s="7" t="str">
        <f t="shared" ca="1" si="27"/>
        <v/>
      </c>
      <c r="N474" s="17" t="str">
        <f>IF(OR($A474="",$A474="Grand Total"),IF($A474="Grand Total",SUM($N$15:$N473),""),SUMPRODUCT((Table1[County]=SummaryPage!$A474)*(Table1[Status]&lt;&gt;"Complete")))</f>
        <v/>
      </c>
      <c r="O474" s="6" t="str">
        <f ca="1">IF($A474="Grand Total",SUM(INDIRECT(ADDRESS(1,COLUMN())&amp;":"&amp;ADDRESS(ROW()-1,COLUMN()))),IF(OR($A474="State Agencies",IFERROR(AND($L474&gt;='Input Sheet'!$J$2,$A474&lt;&gt;""),0)),$J474,""))</f>
        <v/>
      </c>
      <c r="P474" s="3" t="str">
        <f>IF(OR($A474="",$A474="Grand Total"),"",IF(IFERROR(ROUND($J474/$K474,2),1000)&gt;='Input Sheet'!$J$2,1,""))</f>
        <v/>
      </c>
      <c r="Q474" s="3" t="str">
        <f t="shared" si="29"/>
        <v/>
      </c>
      <c r="R474" s="3" t="str">
        <f>IF(OR($A474="",$A474="Grand Total"),"",AND($J474=0,(SUMPRODUCT((Table1[County]=SummaryPage!$A474)*(Table1[Status]="Not Started"))+SUMPRODUCT((Table1[County]=SummaryPage!$A474)*(Table1[Status]="")))=SUMPRODUCT((Table1[County]=SummaryPage!$A474)*(Table1[Status]&lt;&gt;"Q"))))</f>
        <v/>
      </c>
    </row>
    <row r="475" spans="11:18" x14ac:dyDescent="0.3">
      <c r="K475" s="29" t="str">
        <f>IF($A475="","",VLOOKUP('Input Sheet'!$D$2 &amp; " " &amp; $A475,Pop[#All],4,FALSE))</f>
        <v/>
      </c>
      <c r="L475" s="5" t="str">
        <f t="shared" si="28"/>
        <v/>
      </c>
      <c r="M475" s="7" t="str">
        <f t="shared" ca="1" si="27"/>
        <v/>
      </c>
      <c r="N475" s="17" t="str">
        <f>IF(OR($A475="",$A475="Grand Total"),IF($A475="Grand Total",SUM($N$15:$N474),""),SUMPRODUCT((Table1[County]=SummaryPage!$A475)*(Table1[Status]&lt;&gt;"Complete")))</f>
        <v/>
      </c>
      <c r="O475" s="6" t="str">
        <f ca="1">IF($A475="Grand Total",SUM(INDIRECT(ADDRESS(1,COLUMN())&amp;":"&amp;ADDRESS(ROW()-1,COLUMN()))),IF(OR($A475="State Agencies",IFERROR(AND($L475&gt;='Input Sheet'!$J$2,$A475&lt;&gt;""),0)),$J475,""))</f>
        <v/>
      </c>
      <c r="P475" s="3" t="str">
        <f>IF(OR($A475="",$A475="Grand Total"),"",IF(IFERROR(ROUND($J475/$K475,2),1000)&gt;='Input Sheet'!$J$2,1,""))</f>
        <v/>
      </c>
      <c r="Q475" s="3" t="str">
        <f t="shared" si="29"/>
        <v/>
      </c>
      <c r="R475" s="3" t="str">
        <f>IF(OR($A475="",$A475="Grand Total"),"",AND($J475=0,(SUMPRODUCT((Table1[County]=SummaryPage!$A475)*(Table1[Status]="Not Started"))+SUMPRODUCT((Table1[County]=SummaryPage!$A475)*(Table1[Status]="")))=SUMPRODUCT((Table1[County]=SummaryPage!$A475)*(Table1[Status]&lt;&gt;"Q"))))</f>
        <v/>
      </c>
    </row>
    <row r="476" spans="11:18" x14ac:dyDescent="0.3">
      <c r="K476" s="29" t="str">
        <f>IF($A476="","",VLOOKUP('Input Sheet'!$D$2 &amp; " " &amp; $A476,Pop[#All],4,FALSE))</f>
        <v/>
      </c>
      <c r="L476" s="5" t="str">
        <f t="shared" si="28"/>
        <v/>
      </c>
      <c r="M476" s="7" t="str">
        <f t="shared" ca="1" si="27"/>
        <v/>
      </c>
      <c r="N476" s="17" t="str">
        <f>IF(OR($A476="",$A476="Grand Total"),IF($A476="Grand Total",SUM($N$15:$N475),""),SUMPRODUCT((Table1[County]=SummaryPage!$A476)*(Table1[Status]&lt;&gt;"Complete")))</f>
        <v/>
      </c>
      <c r="O476" s="6" t="str">
        <f ca="1">IF($A476="Grand Total",SUM(INDIRECT(ADDRESS(1,COLUMN())&amp;":"&amp;ADDRESS(ROW()-1,COLUMN()))),IF(OR($A476="State Agencies",IFERROR(AND($L476&gt;='Input Sheet'!$J$2,$A476&lt;&gt;""),0)),$J476,""))</f>
        <v/>
      </c>
      <c r="P476" s="3" t="str">
        <f>IF(OR($A476="",$A476="Grand Total"),"",IF(IFERROR(ROUND($J476/$K476,2),1000)&gt;='Input Sheet'!$J$2,1,""))</f>
        <v/>
      </c>
      <c r="Q476" s="3" t="str">
        <f t="shared" si="29"/>
        <v/>
      </c>
      <c r="R476" s="3" t="str">
        <f>IF(OR($A476="",$A476="Grand Total"),"",AND($J476=0,(SUMPRODUCT((Table1[County]=SummaryPage!$A476)*(Table1[Status]="Not Started"))+SUMPRODUCT((Table1[County]=SummaryPage!$A476)*(Table1[Status]="")))=SUMPRODUCT((Table1[County]=SummaryPage!$A476)*(Table1[Status]&lt;&gt;"Q"))))</f>
        <v/>
      </c>
    </row>
    <row r="477" spans="11:18" x14ac:dyDescent="0.3">
      <c r="K477" s="29" t="str">
        <f>IF($A477="","",VLOOKUP('Input Sheet'!$D$2 &amp; " " &amp; $A477,Pop[#All],4,FALSE))</f>
        <v/>
      </c>
      <c r="L477" s="5" t="str">
        <f t="shared" si="28"/>
        <v/>
      </c>
      <c r="M477" s="7" t="str">
        <f t="shared" ca="1" si="27"/>
        <v/>
      </c>
      <c r="N477" s="17" t="str">
        <f>IF(OR($A477="",$A477="Grand Total"),IF($A477="Grand Total",SUM($N$15:$N476),""),SUMPRODUCT((Table1[County]=SummaryPage!$A477)*(Table1[Status]&lt;&gt;"Complete")))</f>
        <v/>
      </c>
      <c r="O477" s="6" t="str">
        <f ca="1">IF($A477="Grand Total",SUM(INDIRECT(ADDRESS(1,COLUMN())&amp;":"&amp;ADDRESS(ROW()-1,COLUMN()))),IF(OR($A477="State Agencies",IFERROR(AND($L477&gt;='Input Sheet'!$J$2,$A477&lt;&gt;""),0)),$J477,""))</f>
        <v/>
      </c>
      <c r="P477" s="3" t="str">
        <f>IF(OR($A477="",$A477="Grand Total"),"",IF(IFERROR(ROUND($J477/$K477,2),1000)&gt;='Input Sheet'!$J$2,1,""))</f>
        <v/>
      </c>
      <c r="Q477" s="3" t="str">
        <f t="shared" si="29"/>
        <v/>
      </c>
      <c r="R477" s="3" t="str">
        <f>IF(OR($A477="",$A477="Grand Total"),"",AND($J477=0,(SUMPRODUCT((Table1[County]=SummaryPage!$A477)*(Table1[Status]="Not Started"))+SUMPRODUCT((Table1[County]=SummaryPage!$A477)*(Table1[Status]="")))=SUMPRODUCT((Table1[County]=SummaryPage!$A477)*(Table1[Status]&lt;&gt;"Q"))))</f>
        <v/>
      </c>
    </row>
    <row r="478" spans="11:18" x14ac:dyDescent="0.3">
      <c r="K478" s="29" t="str">
        <f>IF($A478="","",VLOOKUP('Input Sheet'!$D$2 &amp; " " &amp; $A478,Pop[#All],4,FALSE))</f>
        <v/>
      </c>
      <c r="L478" s="5" t="str">
        <f t="shared" si="28"/>
        <v/>
      </c>
      <c r="M478" s="7" t="str">
        <f t="shared" ca="1" si="27"/>
        <v/>
      </c>
      <c r="N478" s="17" t="str">
        <f>IF(OR($A478="",$A478="Grand Total"),IF($A478="Grand Total",SUM($N$15:$N477),""),SUMPRODUCT((Table1[County]=SummaryPage!$A478)*(Table1[Status]&lt;&gt;"Complete")))</f>
        <v/>
      </c>
      <c r="O478" s="6" t="str">
        <f ca="1">IF($A478="Grand Total",SUM(INDIRECT(ADDRESS(1,COLUMN())&amp;":"&amp;ADDRESS(ROW()-1,COLUMN()))),IF(OR($A478="State Agencies",IFERROR(AND($L478&gt;='Input Sheet'!$J$2,$A478&lt;&gt;""),0)),$J478,""))</f>
        <v/>
      </c>
      <c r="P478" s="3" t="str">
        <f>IF(OR($A478="",$A478="Grand Total"),"",IF(IFERROR(ROUND($J478/$K478,2),1000)&gt;='Input Sheet'!$J$2,1,""))</f>
        <v/>
      </c>
      <c r="Q478" s="3" t="str">
        <f t="shared" si="29"/>
        <v/>
      </c>
      <c r="R478" s="3" t="str">
        <f>IF(OR($A478="",$A478="Grand Total"),"",AND($J478=0,(SUMPRODUCT((Table1[County]=SummaryPage!$A478)*(Table1[Status]="Not Started"))+SUMPRODUCT((Table1[County]=SummaryPage!$A478)*(Table1[Status]="")))=SUMPRODUCT((Table1[County]=SummaryPage!$A478)*(Table1[Status]&lt;&gt;"Q"))))</f>
        <v/>
      </c>
    </row>
    <row r="479" spans="11:18" x14ac:dyDescent="0.3">
      <c r="K479" s="29" t="str">
        <f>IF($A479="","",VLOOKUP('Input Sheet'!$D$2 &amp; " " &amp; $A479,Pop[#All],4,FALSE))</f>
        <v/>
      </c>
      <c r="L479" s="5" t="str">
        <f t="shared" si="28"/>
        <v/>
      </c>
      <c r="M479" s="7" t="str">
        <f t="shared" ca="1" si="27"/>
        <v/>
      </c>
      <c r="N479" s="17" t="str">
        <f>IF(OR($A479="",$A479="Grand Total"),IF($A479="Grand Total",SUM($N$15:$N478),""),SUMPRODUCT((Table1[County]=SummaryPage!$A479)*(Table1[Status]&lt;&gt;"Complete")))</f>
        <v/>
      </c>
      <c r="O479" s="6" t="str">
        <f ca="1">IF($A479="Grand Total",SUM(INDIRECT(ADDRESS(1,COLUMN())&amp;":"&amp;ADDRESS(ROW()-1,COLUMN()))),IF(OR($A479="State Agencies",IFERROR(AND($L479&gt;='Input Sheet'!$J$2,$A479&lt;&gt;""),0)),$J479,""))</f>
        <v/>
      </c>
      <c r="P479" s="3" t="str">
        <f>IF(OR($A479="",$A479="Grand Total"),"",IF(IFERROR(ROUND($J479/$K479,2),1000)&gt;='Input Sheet'!$J$2,1,""))</f>
        <v/>
      </c>
      <c r="Q479" s="3" t="str">
        <f t="shared" si="29"/>
        <v/>
      </c>
      <c r="R479" s="3" t="str">
        <f>IF(OR($A479="",$A479="Grand Total"),"",AND($J479=0,(SUMPRODUCT((Table1[County]=SummaryPage!$A479)*(Table1[Status]="Not Started"))+SUMPRODUCT((Table1[County]=SummaryPage!$A479)*(Table1[Status]="")))=SUMPRODUCT((Table1[County]=SummaryPage!$A479)*(Table1[Status]&lt;&gt;"Q"))))</f>
        <v/>
      </c>
    </row>
    <row r="480" spans="11:18" x14ac:dyDescent="0.3">
      <c r="K480" s="29" t="str">
        <f>IF($A480="","",VLOOKUP('Input Sheet'!$D$2 &amp; " " &amp; $A480,Pop[#All],4,FALSE))</f>
        <v/>
      </c>
      <c r="L480" s="5" t="str">
        <f t="shared" si="28"/>
        <v/>
      </c>
      <c r="M480" s="7" t="str">
        <f t="shared" ca="1" si="27"/>
        <v/>
      </c>
      <c r="N480" s="17" t="str">
        <f>IF(OR($A480="",$A480="Grand Total"),IF($A480="Grand Total",SUM($N$15:$N479),""),SUMPRODUCT((Table1[County]=SummaryPage!$A480)*(Table1[Status]&lt;&gt;"Complete")))</f>
        <v/>
      </c>
      <c r="O480" s="6" t="str">
        <f ca="1">IF($A480="Grand Total",SUM(INDIRECT(ADDRESS(1,COLUMN())&amp;":"&amp;ADDRESS(ROW()-1,COLUMN()))),IF(OR($A480="State Agencies",IFERROR(AND($L480&gt;='Input Sheet'!$J$2,$A480&lt;&gt;""),0)),$J480,""))</f>
        <v/>
      </c>
      <c r="P480" s="3" t="str">
        <f>IF(OR($A480="",$A480="Grand Total"),"",IF(IFERROR(ROUND($J480/$K480,2),1000)&gt;='Input Sheet'!$J$2,1,""))</f>
        <v/>
      </c>
      <c r="Q480" s="3" t="str">
        <f t="shared" si="29"/>
        <v/>
      </c>
      <c r="R480" s="3" t="str">
        <f>IF(OR($A480="",$A480="Grand Total"),"",AND($J480=0,(SUMPRODUCT((Table1[County]=SummaryPage!$A480)*(Table1[Status]="Not Started"))+SUMPRODUCT((Table1[County]=SummaryPage!$A480)*(Table1[Status]="")))=SUMPRODUCT((Table1[County]=SummaryPage!$A480)*(Table1[Status]&lt;&gt;"Q"))))</f>
        <v/>
      </c>
    </row>
    <row r="481" spans="11:18" x14ac:dyDescent="0.3">
      <c r="K481" s="29" t="str">
        <f>IF($A481="","",VLOOKUP('Input Sheet'!$D$2 &amp; " " &amp; $A481,Pop[#All],4,FALSE))</f>
        <v/>
      </c>
      <c r="L481" s="5" t="str">
        <f t="shared" si="28"/>
        <v/>
      </c>
      <c r="M481" s="7" t="str">
        <f t="shared" ca="1" si="27"/>
        <v/>
      </c>
      <c r="N481" s="17" t="str">
        <f>IF(OR($A481="",$A481="Grand Total"),IF($A481="Grand Total",SUM($N$15:$N480),""),SUMPRODUCT((Table1[County]=SummaryPage!$A481)*(Table1[Status]&lt;&gt;"Complete")))</f>
        <v/>
      </c>
      <c r="O481" s="6" t="str">
        <f ca="1">IF($A481="Grand Total",SUM(INDIRECT(ADDRESS(1,COLUMN())&amp;":"&amp;ADDRESS(ROW()-1,COLUMN()))),IF(OR($A481="State Agencies",IFERROR(AND($L481&gt;='Input Sheet'!$J$2,$A481&lt;&gt;""),0)),$J481,""))</f>
        <v/>
      </c>
      <c r="P481" s="3" t="str">
        <f>IF(OR($A481="",$A481="Grand Total"),"",IF(IFERROR(ROUND($J481/$K481,2),1000)&gt;='Input Sheet'!$J$2,1,""))</f>
        <v/>
      </c>
      <c r="Q481" s="3" t="str">
        <f t="shared" si="29"/>
        <v/>
      </c>
      <c r="R481" s="3" t="str">
        <f>IF(OR($A481="",$A481="Grand Total"),"",AND($J481=0,(SUMPRODUCT((Table1[County]=SummaryPage!$A481)*(Table1[Status]="Not Started"))+SUMPRODUCT((Table1[County]=SummaryPage!$A481)*(Table1[Status]="")))=SUMPRODUCT((Table1[County]=SummaryPage!$A481)*(Table1[Status]&lt;&gt;"Q"))))</f>
        <v/>
      </c>
    </row>
    <row r="482" spans="11:18" x14ac:dyDescent="0.3">
      <c r="K482" s="29" t="str">
        <f>IF($A482="","",VLOOKUP('Input Sheet'!$D$2 &amp; " " &amp; $A482,Pop[#All],4,FALSE))</f>
        <v/>
      </c>
      <c r="L482" s="5" t="str">
        <f t="shared" si="28"/>
        <v/>
      </c>
      <c r="M482" s="7" t="str">
        <f t="shared" ca="1" si="27"/>
        <v/>
      </c>
      <c r="N482" s="17" t="str">
        <f>IF(OR($A482="",$A482="Grand Total"),IF($A482="Grand Total",SUM($N$15:$N481),""),SUMPRODUCT((Table1[County]=SummaryPage!$A482)*(Table1[Status]&lt;&gt;"Complete")))</f>
        <v/>
      </c>
      <c r="O482" s="6" t="str">
        <f ca="1">IF($A482="Grand Total",SUM(INDIRECT(ADDRESS(1,COLUMN())&amp;":"&amp;ADDRESS(ROW()-1,COLUMN()))),IF(OR($A482="State Agencies",IFERROR(AND($L482&gt;='Input Sheet'!$J$2,$A482&lt;&gt;""),0)),$J482,""))</f>
        <v/>
      </c>
      <c r="P482" s="3" t="str">
        <f>IF(OR($A482="",$A482="Grand Total"),"",IF(IFERROR(ROUND($J482/$K482,2),1000)&gt;='Input Sheet'!$J$2,1,""))</f>
        <v/>
      </c>
      <c r="Q482" s="3" t="str">
        <f t="shared" si="29"/>
        <v/>
      </c>
      <c r="R482" s="3" t="str">
        <f>IF(OR($A482="",$A482="Grand Total"),"",AND($J482=0,(SUMPRODUCT((Table1[County]=SummaryPage!$A482)*(Table1[Status]="Not Started"))+SUMPRODUCT((Table1[County]=SummaryPage!$A482)*(Table1[Status]="")))=SUMPRODUCT((Table1[County]=SummaryPage!$A482)*(Table1[Status]&lt;&gt;"Q"))))</f>
        <v/>
      </c>
    </row>
    <row r="483" spans="11:18" x14ac:dyDescent="0.3">
      <c r="K483" s="29" t="str">
        <f>IF($A483="","",VLOOKUP('Input Sheet'!$D$2 &amp; " " &amp; $A483,Pop[#All],4,FALSE))</f>
        <v/>
      </c>
      <c r="L483" s="5" t="str">
        <f t="shared" si="28"/>
        <v/>
      </c>
      <c r="M483" s="7" t="str">
        <f t="shared" ca="1" si="27"/>
        <v/>
      </c>
      <c r="N483" s="17" t="str">
        <f>IF(OR($A483="",$A483="Grand Total"),IF($A483="Grand Total",SUM($N$15:$N482),""),SUMPRODUCT((Table1[County]=SummaryPage!$A483)*(Table1[Status]&lt;&gt;"Complete")))</f>
        <v/>
      </c>
      <c r="O483" s="6" t="str">
        <f ca="1">IF($A483="Grand Total",SUM(INDIRECT(ADDRESS(1,COLUMN())&amp;":"&amp;ADDRESS(ROW()-1,COLUMN()))),IF(OR($A483="State Agencies",IFERROR(AND($L483&gt;='Input Sheet'!$J$2,$A483&lt;&gt;""),0)),$J483,""))</f>
        <v/>
      </c>
      <c r="P483" s="3" t="str">
        <f>IF(OR($A483="",$A483="Grand Total"),"",IF(IFERROR(ROUND($J483/$K483,2),1000)&gt;='Input Sheet'!$J$2,1,""))</f>
        <v/>
      </c>
      <c r="Q483" s="3" t="str">
        <f t="shared" si="29"/>
        <v/>
      </c>
      <c r="R483" s="3" t="str">
        <f>IF(OR($A483="",$A483="Grand Total"),"",AND($J483=0,(SUMPRODUCT((Table1[County]=SummaryPage!$A483)*(Table1[Status]="Not Started"))+SUMPRODUCT((Table1[County]=SummaryPage!$A483)*(Table1[Status]="")))=SUMPRODUCT((Table1[County]=SummaryPage!$A483)*(Table1[Status]&lt;&gt;"Q"))))</f>
        <v/>
      </c>
    </row>
    <row r="484" spans="11:18" x14ac:dyDescent="0.3">
      <c r="K484" s="29" t="str">
        <f>IF($A484="","",VLOOKUP('Input Sheet'!$D$2 &amp; " " &amp; $A484,Pop[#All],4,FALSE))</f>
        <v/>
      </c>
      <c r="L484" s="5" t="str">
        <f t="shared" si="28"/>
        <v/>
      </c>
      <c r="M484" s="7" t="str">
        <f t="shared" ca="1" si="27"/>
        <v/>
      </c>
      <c r="N484" s="17" t="str">
        <f>IF(OR($A484="",$A484="Grand Total"),IF($A484="Grand Total",SUM($N$15:$N483),""),SUMPRODUCT((Table1[County]=SummaryPage!$A484)*(Table1[Status]&lt;&gt;"Complete")))</f>
        <v/>
      </c>
      <c r="O484" s="6" t="str">
        <f ca="1">IF($A484="Grand Total",SUM(INDIRECT(ADDRESS(1,COLUMN())&amp;":"&amp;ADDRESS(ROW()-1,COLUMN()))),IF(OR($A484="State Agencies",IFERROR(AND($L484&gt;='Input Sheet'!$J$2,$A484&lt;&gt;""),0)),$J484,""))</f>
        <v/>
      </c>
      <c r="P484" s="3" t="str">
        <f>IF(OR($A484="",$A484="Grand Total"),"",IF(IFERROR(ROUND($J484/$K484,2),1000)&gt;='Input Sheet'!$J$2,1,""))</f>
        <v/>
      </c>
      <c r="Q484" s="3" t="str">
        <f t="shared" si="29"/>
        <v/>
      </c>
      <c r="R484" s="3" t="str">
        <f>IF(OR($A484="",$A484="Grand Total"),"",AND($J484=0,(SUMPRODUCT((Table1[County]=SummaryPage!$A484)*(Table1[Status]="Not Started"))+SUMPRODUCT((Table1[County]=SummaryPage!$A484)*(Table1[Status]="")))=SUMPRODUCT((Table1[County]=SummaryPage!$A484)*(Table1[Status]&lt;&gt;"Q"))))</f>
        <v/>
      </c>
    </row>
    <row r="485" spans="11:18" x14ac:dyDescent="0.3">
      <c r="K485" s="29" t="str">
        <f>IF($A485="","",VLOOKUP('Input Sheet'!$D$2 &amp; " " &amp; $A485,Pop[#All],4,FALSE))</f>
        <v/>
      </c>
      <c r="L485" s="5" t="str">
        <f t="shared" si="28"/>
        <v/>
      </c>
      <c r="M485" s="7" t="str">
        <f t="shared" ca="1" si="27"/>
        <v/>
      </c>
      <c r="N485" s="17" t="str">
        <f>IF(OR($A485="",$A485="Grand Total"),IF($A485="Grand Total",SUM($N$15:$N484),""),SUMPRODUCT((Table1[County]=SummaryPage!$A485)*(Table1[Status]&lt;&gt;"Complete")))</f>
        <v/>
      </c>
      <c r="O485" s="6" t="str">
        <f ca="1">IF($A485="Grand Total",SUM(INDIRECT(ADDRESS(1,COLUMN())&amp;":"&amp;ADDRESS(ROW()-1,COLUMN()))),IF(OR($A485="State Agencies",IFERROR(AND($L485&gt;='Input Sheet'!$J$2,$A485&lt;&gt;""),0)),$J485,""))</f>
        <v/>
      </c>
      <c r="P485" s="3" t="str">
        <f>IF(OR($A485="",$A485="Grand Total"),"",IF(IFERROR(ROUND($J485/$K485,2),1000)&gt;='Input Sheet'!$J$2,1,""))</f>
        <v/>
      </c>
      <c r="Q485" s="3" t="str">
        <f t="shared" si="29"/>
        <v/>
      </c>
      <c r="R485" s="3" t="str">
        <f>IF(OR($A485="",$A485="Grand Total"),"",AND($J485=0,(SUMPRODUCT((Table1[County]=SummaryPage!$A485)*(Table1[Status]="Not Started"))+SUMPRODUCT((Table1[County]=SummaryPage!$A485)*(Table1[Status]="")))=SUMPRODUCT((Table1[County]=SummaryPage!$A485)*(Table1[Status]&lt;&gt;"Q"))))</f>
        <v/>
      </c>
    </row>
    <row r="486" spans="11:18" x14ac:dyDescent="0.3">
      <c r="K486" s="29" t="str">
        <f>IF($A486="","",VLOOKUP('Input Sheet'!$D$2 &amp; " " &amp; $A486,Pop[#All],4,FALSE))</f>
        <v/>
      </c>
      <c r="L486" s="5" t="str">
        <f t="shared" si="28"/>
        <v/>
      </c>
      <c r="M486" s="7" t="str">
        <f t="shared" ca="1" si="27"/>
        <v/>
      </c>
      <c r="N486" s="17" t="str">
        <f>IF(OR($A486="",$A486="Grand Total"),IF($A486="Grand Total",SUM($N$15:$N485),""),SUMPRODUCT((Table1[County]=SummaryPage!$A486)*(Table1[Status]&lt;&gt;"Complete")))</f>
        <v/>
      </c>
      <c r="O486" s="6" t="str">
        <f ca="1">IF($A486="Grand Total",SUM(INDIRECT(ADDRESS(1,COLUMN())&amp;":"&amp;ADDRESS(ROW()-1,COLUMN()))),IF(OR($A486="State Agencies",IFERROR(AND($L486&gt;='Input Sheet'!$J$2,$A486&lt;&gt;""),0)),$J486,""))</f>
        <v/>
      </c>
      <c r="P486" s="3" t="str">
        <f>IF(OR($A486="",$A486="Grand Total"),"",IF(IFERROR(ROUND($J486/$K486,2),1000)&gt;='Input Sheet'!$J$2,1,""))</f>
        <v/>
      </c>
      <c r="Q486" s="3" t="str">
        <f t="shared" si="29"/>
        <v/>
      </c>
      <c r="R486" s="3" t="str">
        <f>IF(OR($A486="",$A486="Grand Total"),"",AND($J486=0,(SUMPRODUCT((Table1[County]=SummaryPage!$A486)*(Table1[Status]="Not Started"))+SUMPRODUCT((Table1[County]=SummaryPage!$A486)*(Table1[Status]="")))=SUMPRODUCT((Table1[County]=SummaryPage!$A486)*(Table1[Status]&lt;&gt;"Q"))))</f>
        <v/>
      </c>
    </row>
    <row r="487" spans="11:18" x14ac:dyDescent="0.3">
      <c r="K487" s="29" t="str">
        <f>IF($A487="","",VLOOKUP('Input Sheet'!$D$2 &amp; " " &amp; $A487,Pop[#All],4,FALSE))</f>
        <v/>
      </c>
      <c r="L487" s="5" t="str">
        <f t="shared" si="28"/>
        <v/>
      </c>
      <c r="M487" s="7" t="str">
        <f t="shared" ca="1" si="27"/>
        <v/>
      </c>
      <c r="N487" s="17" t="str">
        <f>IF(OR($A487="",$A487="Grand Total"),IF($A487="Grand Total",SUM($N$15:$N486),""),SUMPRODUCT((Table1[County]=SummaryPage!$A487)*(Table1[Status]&lt;&gt;"Complete")))</f>
        <v/>
      </c>
      <c r="O487" s="6" t="str">
        <f ca="1">IF($A487="Grand Total",SUM(INDIRECT(ADDRESS(1,COLUMN())&amp;":"&amp;ADDRESS(ROW()-1,COLUMN()))),IF(OR($A487="State Agencies",IFERROR(AND($L487&gt;='Input Sheet'!$J$2,$A487&lt;&gt;""),0)),$J487,""))</f>
        <v/>
      </c>
      <c r="P487" s="3" t="str">
        <f>IF(OR($A487="",$A487="Grand Total"),"",IF(IFERROR(ROUND($J487/$K487,2),1000)&gt;='Input Sheet'!$J$2,1,""))</f>
        <v/>
      </c>
      <c r="Q487" s="3" t="str">
        <f t="shared" si="29"/>
        <v/>
      </c>
      <c r="R487" s="3" t="str">
        <f>IF(OR($A487="",$A487="Grand Total"),"",AND($J487=0,(SUMPRODUCT((Table1[County]=SummaryPage!$A487)*(Table1[Status]="Not Started"))+SUMPRODUCT((Table1[County]=SummaryPage!$A487)*(Table1[Status]="")))=SUMPRODUCT((Table1[County]=SummaryPage!$A487)*(Table1[Status]&lt;&gt;"Q"))))</f>
        <v/>
      </c>
    </row>
    <row r="488" spans="11:18" x14ac:dyDescent="0.3">
      <c r="K488" s="29" t="str">
        <f>IF($A488="","",VLOOKUP('Input Sheet'!$D$2 &amp; " " &amp; $A488,Pop[#All],4,FALSE))</f>
        <v/>
      </c>
      <c r="L488" s="5" t="str">
        <f t="shared" si="28"/>
        <v/>
      </c>
      <c r="M488" s="7" t="str">
        <f t="shared" ca="1" si="27"/>
        <v/>
      </c>
      <c r="N488" s="17" t="str">
        <f>IF(OR($A488="",$A488="Grand Total"),IF($A488="Grand Total",SUM($N$15:$N487),""),SUMPRODUCT((Table1[County]=SummaryPage!$A488)*(Table1[Status]&lt;&gt;"Complete")))</f>
        <v/>
      </c>
      <c r="O488" s="6" t="str">
        <f ca="1">IF($A488="Grand Total",SUM(INDIRECT(ADDRESS(1,COLUMN())&amp;":"&amp;ADDRESS(ROW()-1,COLUMN()))),IF(OR($A488="State Agencies",IFERROR(AND($L488&gt;='Input Sheet'!$J$2,$A488&lt;&gt;""),0)),$J488,""))</f>
        <v/>
      </c>
      <c r="P488" s="3" t="str">
        <f>IF(OR($A488="",$A488="Grand Total"),"",IF(IFERROR(ROUND($J488/$K488,2),1000)&gt;='Input Sheet'!$J$2,1,""))</f>
        <v/>
      </c>
      <c r="Q488" s="3" t="str">
        <f t="shared" si="29"/>
        <v/>
      </c>
      <c r="R488" s="3" t="str">
        <f>IF(OR($A488="",$A488="Grand Total"),"",AND($J488=0,(SUMPRODUCT((Table1[County]=SummaryPage!$A488)*(Table1[Status]="Not Started"))+SUMPRODUCT((Table1[County]=SummaryPage!$A488)*(Table1[Status]="")))=SUMPRODUCT((Table1[County]=SummaryPage!$A488)*(Table1[Status]&lt;&gt;"Q"))))</f>
        <v/>
      </c>
    </row>
    <row r="489" spans="11:18" x14ac:dyDescent="0.3">
      <c r="K489" s="29" t="str">
        <f>IF($A489="","",VLOOKUP('Input Sheet'!$D$2 &amp; " " &amp; $A489,Pop[#All],4,FALSE))</f>
        <v/>
      </c>
      <c r="L489" s="5" t="str">
        <f t="shared" si="28"/>
        <v/>
      </c>
      <c r="M489" s="7" t="str">
        <f t="shared" ca="1" si="27"/>
        <v/>
      </c>
      <c r="N489" s="17" t="str">
        <f>IF(OR($A489="",$A489="Grand Total"),IF($A489="Grand Total",SUM($N$15:$N488),""),SUMPRODUCT((Table1[County]=SummaryPage!$A489)*(Table1[Status]&lt;&gt;"Complete")))</f>
        <v/>
      </c>
      <c r="O489" s="6" t="str">
        <f ca="1">IF($A489="Grand Total",SUM(INDIRECT(ADDRESS(1,COLUMN())&amp;":"&amp;ADDRESS(ROW()-1,COLUMN()))),IF(OR($A489="State Agencies",IFERROR(AND($L489&gt;='Input Sheet'!$J$2,$A489&lt;&gt;""),0)),$J489,""))</f>
        <v/>
      </c>
      <c r="P489" s="3" t="str">
        <f>IF(OR($A489="",$A489="Grand Total"),"",IF(IFERROR(ROUND($J489/$K489,2),1000)&gt;='Input Sheet'!$J$2,1,""))</f>
        <v/>
      </c>
      <c r="Q489" s="3" t="str">
        <f t="shared" si="29"/>
        <v/>
      </c>
      <c r="R489" s="3" t="str">
        <f>IF(OR($A489="",$A489="Grand Total"),"",AND($J489=0,(SUMPRODUCT((Table1[County]=SummaryPage!$A489)*(Table1[Status]="Not Started"))+SUMPRODUCT((Table1[County]=SummaryPage!$A489)*(Table1[Status]="")))=SUMPRODUCT((Table1[County]=SummaryPage!$A489)*(Table1[Status]&lt;&gt;"Q"))))</f>
        <v/>
      </c>
    </row>
    <row r="490" spans="11:18" x14ac:dyDescent="0.3">
      <c r="K490" s="29" t="str">
        <f>IF($A490="","",VLOOKUP('Input Sheet'!$D$2 &amp; " " &amp; $A490,Pop[#All],4,FALSE))</f>
        <v/>
      </c>
      <c r="L490" s="5" t="str">
        <f t="shared" si="28"/>
        <v/>
      </c>
      <c r="M490" s="7" t="str">
        <f t="shared" ca="1" si="27"/>
        <v/>
      </c>
      <c r="N490" s="17" t="str">
        <f>IF(OR($A490="",$A490="Grand Total"),IF($A490="Grand Total",SUM($N$15:$N489),""),SUMPRODUCT((Table1[County]=SummaryPage!$A490)*(Table1[Status]&lt;&gt;"Complete")))</f>
        <v/>
      </c>
      <c r="O490" s="6" t="str">
        <f ca="1">IF($A490="Grand Total",SUM(INDIRECT(ADDRESS(1,COLUMN())&amp;":"&amp;ADDRESS(ROW()-1,COLUMN()))),IF(OR($A490="State Agencies",IFERROR(AND($L490&gt;='Input Sheet'!$J$2,$A490&lt;&gt;""),0)),$J490,""))</f>
        <v/>
      </c>
      <c r="P490" s="3" t="str">
        <f>IF(OR($A490="",$A490="Grand Total"),"",IF(IFERROR(ROUND($J490/$K490,2),1000)&gt;='Input Sheet'!$J$2,1,""))</f>
        <v/>
      </c>
      <c r="Q490" s="3" t="str">
        <f t="shared" si="29"/>
        <v/>
      </c>
      <c r="R490" s="3" t="str">
        <f>IF(OR($A490="",$A490="Grand Total"),"",AND($J490=0,(SUMPRODUCT((Table1[County]=SummaryPage!$A490)*(Table1[Status]="Not Started"))+SUMPRODUCT((Table1[County]=SummaryPage!$A490)*(Table1[Status]="")))=SUMPRODUCT((Table1[County]=SummaryPage!$A490)*(Table1[Status]&lt;&gt;"Q"))))</f>
        <v/>
      </c>
    </row>
    <row r="491" spans="11:18" x14ac:dyDescent="0.3">
      <c r="K491" s="29" t="str">
        <f>IF($A491="","",VLOOKUP('Input Sheet'!$D$2 &amp; " " &amp; $A491,Pop[#All],4,FALSE))</f>
        <v/>
      </c>
      <c r="L491" s="5" t="str">
        <f t="shared" si="28"/>
        <v/>
      </c>
      <c r="M491" s="7" t="str">
        <f t="shared" ca="1" si="27"/>
        <v/>
      </c>
      <c r="N491" s="17" t="str">
        <f>IF(OR($A491="",$A491="Grand Total"),IF($A491="Grand Total",SUM($N$15:$N490),""),SUMPRODUCT((Table1[County]=SummaryPage!$A491)*(Table1[Status]&lt;&gt;"Complete")))</f>
        <v/>
      </c>
      <c r="O491" s="6" t="str">
        <f ca="1">IF($A491="Grand Total",SUM(INDIRECT(ADDRESS(1,COLUMN())&amp;":"&amp;ADDRESS(ROW()-1,COLUMN()))),IF(OR($A491="State Agencies",IFERROR(AND($L491&gt;='Input Sheet'!$J$2,$A491&lt;&gt;""),0)),$J491,""))</f>
        <v/>
      </c>
      <c r="P491" s="3" t="str">
        <f>IF(OR($A491="",$A491="Grand Total"),"",IF(IFERROR(ROUND($J491/$K491,2),1000)&gt;='Input Sheet'!$J$2,1,""))</f>
        <v/>
      </c>
      <c r="Q491" s="3" t="str">
        <f t="shared" si="29"/>
        <v/>
      </c>
      <c r="R491" s="3" t="str">
        <f>IF(OR($A491="",$A491="Grand Total"),"",AND($J491=0,(SUMPRODUCT((Table1[County]=SummaryPage!$A491)*(Table1[Status]="Not Started"))+SUMPRODUCT((Table1[County]=SummaryPage!$A491)*(Table1[Status]="")))=SUMPRODUCT((Table1[County]=SummaryPage!$A491)*(Table1[Status]&lt;&gt;"Q"))))</f>
        <v/>
      </c>
    </row>
    <row r="492" spans="11:18" x14ac:dyDescent="0.3">
      <c r="K492" s="29" t="str">
        <f>IF($A492="","",VLOOKUP('Input Sheet'!$D$2 &amp; " " &amp; $A492,Pop[#All],4,FALSE))</f>
        <v/>
      </c>
      <c r="L492" s="5" t="str">
        <f t="shared" si="28"/>
        <v/>
      </c>
      <c r="M492" s="7" t="str">
        <f t="shared" ca="1" si="27"/>
        <v/>
      </c>
      <c r="N492" s="17" t="str">
        <f>IF(OR($A492="",$A492="Grand Total"),IF($A492="Grand Total",SUM($N$15:$N491),""),SUMPRODUCT((Table1[County]=SummaryPage!$A492)*(Table1[Status]&lt;&gt;"Complete")))</f>
        <v/>
      </c>
      <c r="O492" s="6" t="str">
        <f ca="1">IF($A492="Grand Total",SUM(INDIRECT(ADDRESS(1,COLUMN())&amp;":"&amp;ADDRESS(ROW()-1,COLUMN()))),IF(OR($A492="State Agencies",IFERROR(AND($L492&gt;='Input Sheet'!$J$2,$A492&lt;&gt;""),0)),$J492,""))</f>
        <v/>
      </c>
      <c r="P492" s="3" t="str">
        <f>IF(OR($A492="",$A492="Grand Total"),"",IF(IFERROR(ROUND($J492/$K492,2),1000)&gt;='Input Sheet'!$J$2,1,""))</f>
        <v/>
      </c>
      <c r="Q492" s="3" t="str">
        <f t="shared" si="29"/>
        <v/>
      </c>
      <c r="R492" s="3" t="str">
        <f>IF(OR($A492="",$A492="Grand Total"),"",AND($J492=0,(SUMPRODUCT((Table1[County]=SummaryPage!$A492)*(Table1[Status]="Not Started"))+SUMPRODUCT((Table1[County]=SummaryPage!$A492)*(Table1[Status]="")))=SUMPRODUCT((Table1[County]=SummaryPage!$A492)*(Table1[Status]&lt;&gt;"Q"))))</f>
        <v/>
      </c>
    </row>
    <row r="493" spans="11:18" x14ac:dyDescent="0.3">
      <c r="K493" s="29" t="str">
        <f>IF($A493="","",VLOOKUP('Input Sheet'!$D$2 &amp; " " &amp; $A493,Pop[#All],4,FALSE))</f>
        <v/>
      </c>
      <c r="L493" s="5" t="str">
        <f t="shared" si="28"/>
        <v/>
      </c>
      <c r="M493" s="7" t="str">
        <f t="shared" ca="1" si="27"/>
        <v/>
      </c>
      <c r="N493" s="17" t="str">
        <f>IF(OR($A493="",$A493="Grand Total"),IF($A493="Grand Total",SUM($N$15:$N492),""),SUMPRODUCT((Table1[County]=SummaryPage!$A493)*(Table1[Status]&lt;&gt;"Complete")))</f>
        <v/>
      </c>
      <c r="O493" s="6" t="str">
        <f ca="1">IF($A493="Grand Total",SUM(INDIRECT(ADDRESS(1,COLUMN())&amp;":"&amp;ADDRESS(ROW()-1,COLUMN()))),IF(OR($A493="State Agencies",IFERROR(AND($L493&gt;='Input Sheet'!$J$2,$A493&lt;&gt;""),0)),$J493,""))</f>
        <v/>
      </c>
      <c r="P493" s="3" t="str">
        <f>IF(OR($A493="",$A493="Grand Total"),"",IF(IFERROR(ROUND($J493/$K493,2),1000)&gt;='Input Sheet'!$J$2,1,""))</f>
        <v/>
      </c>
      <c r="Q493" s="3" t="str">
        <f t="shared" si="29"/>
        <v/>
      </c>
      <c r="R493" s="3" t="str">
        <f>IF(OR($A493="",$A493="Grand Total"),"",AND($J493=0,(SUMPRODUCT((Table1[County]=SummaryPage!$A493)*(Table1[Status]="Not Started"))+SUMPRODUCT((Table1[County]=SummaryPage!$A493)*(Table1[Status]="")))=SUMPRODUCT((Table1[County]=SummaryPage!$A493)*(Table1[Status]&lt;&gt;"Q"))))</f>
        <v/>
      </c>
    </row>
    <row r="494" spans="11:18" x14ac:dyDescent="0.3">
      <c r="K494" s="29" t="str">
        <f>IF($A494="","",VLOOKUP('Input Sheet'!$D$2 &amp; " " &amp; $A494,Pop[#All],4,FALSE))</f>
        <v/>
      </c>
      <c r="L494" s="5" t="str">
        <f t="shared" si="28"/>
        <v/>
      </c>
      <c r="M494" s="7" t="str">
        <f t="shared" ca="1" si="27"/>
        <v/>
      </c>
      <c r="N494" s="17" t="str">
        <f>IF(OR($A494="",$A494="Grand Total"),IF($A494="Grand Total",SUM($N$15:$N493),""),SUMPRODUCT((Table1[County]=SummaryPage!$A494)*(Table1[Status]&lt;&gt;"Complete")))</f>
        <v/>
      </c>
      <c r="O494" s="6" t="str">
        <f ca="1">IF($A494="Grand Total",SUM(INDIRECT(ADDRESS(1,COLUMN())&amp;":"&amp;ADDRESS(ROW()-1,COLUMN()))),IF(OR($A494="State Agencies",IFERROR(AND($L494&gt;='Input Sheet'!$J$2,$A494&lt;&gt;""),0)),$J494,""))</f>
        <v/>
      </c>
      <c r="P494" s="3" t="str">
        <f>IF(OR($A494="",$A494="Grand Total"),"",IF(IFERROR(ROUND($J494/$K494,2),1000)&gt;='Input Sheet'!$J$2,1,""))</f>
        <v/>
      </c>
      <c r="Q494" s="3" t="str">
        <f t="shared" si="29"/>
        <v/>
      </c>
      <c r="R494" s="3" t="str">
        <f>IF(OR($A494="",$A494="Grand Total"),"",AND($J494=0,(SUMPRODUCT((Table1[County]=SummaryPage!$A494)*(Table1[Status]="Not Started"))+SUMPRODUCT((Table1[County]=SummaryPage!$A494)*(Table1[Status]="")))=SUMPRODUCT((Table1[County]=SummaryPage!$A494)*(Table1[Status]&lt;&gt;"Q"))))</f>
        <v/>
      </c>
    </row>
    <row r="495" spans="11:18" x14ac:dyDescent="0.3">
      <c r="K495" s="29" t="str">
        <f>IF($A495="","",VLOOKUP('Input Sheet'!$D$2 &amp; " " &amp; $A495,Pop[#All],4,FALSE))</f>
        <v/>
      </c>
      <c r="L495" s="5" t="str">
        <f t="shared" si="28"/>
        <v/>
      </c>
      <c r="M495" s="7" t="str">
        <f t="shared" ca="1" si="27"/>
        <v/>
      </c>
      <c r="N495" s="17" t="str">
        <f>IF(OR($A495="",$A495="Grand Total"),IF($A495="Grand Total",SUM($N$15:$N494),""),SUMPRODUCT((Table1[County]=SummaryPage!$A495)*(Table1[Status]&lt;&gt;"Complete")))</f>
        <v/>
      </c>
      <c r="O495" s="6" t="str">
        <f ca="1">IF($A495="Grand Total",SUM(INDIRECT(ADDRESS(1,COLUMN())&amp;":"&amp;ADDRESS(ROW()-1,COLUMN()))),IF(OR($A495="State Agencies",IFERROR(AND($L495&gt;='Input Sheet'!$J$2,$A495&lt;&gt;""),0)),$J495,""))</f>
        <v/>
      </c>
      <c r="P495" s="3" t="str">
        <f>IF(OR($A495="",$A495="Grand Total"),"",IF(IFERROR(ROUND($J495/$K495,2),1000)&gt;='Input Sheet'!$J$2,1,""))</f>
        <v/>
      </c>
      <c r="Q495" s="3" t="str">
        <f t="shared" si="29"/>
        <v/>
      </c>
      <c r="R495" s="3" t="str">
        <f>IF(OR($A495="",$A495="Grand Total"),"",AND($J495=0,(SUMPRODUCT((Table1[County]=SummaryPage!$A495)*(Table1[Status]="Not Started"))+SUMPRODUCT((Table1[County]=SummaryPage!$A495)*(Table1[Status]="")))=SUMPRODUCT((Table1[County]=SummaryPage!$A495)*(Table1[Status]&lt;&gt;"Q"))))</f>
        <v/>
      </c>
    </row>
    <row r="496" spans="11:18" x14ac:dyDescent="0.3">
      <c r="K496" s="29" t="str">
        <f>IF($A496="","",VLOOKUP('Input Sheet'!$D$2 &amp; " " &amp; $A496,Pop[#All],4,FALSE))</f>
        <v/>
      </c>
      <c r="L496" s="5" t="str">
        <f t="shared" si="28"/>
        <v/>
      </c>
      <c r="M496" s="7" t="str">
        <f t="shared" ca="1" si="27"/>
        <v/>
      </c>
      <c r="N496" s="17" t="str">
        <f>IF(OR($A496="",$A496="Grand Total"),IF($A496="Grand Total",SUM($N$15:$N495),""),SUMPRODUCT((Table1[County]=SummaryPage!$A496)*(Table1[Status]&lt;&gt;"Complete")))</f>
        <v/>
      </c>
      <c r="O496" s="6" t="str">
        <f ca="1">IF($A496="Grand Total",SUM(INDIRECT(ADDRESS(1,COLUMN())&amp;":"&amp;ADDRESS(ROW()-1,COLUMN()))),IF(OR($A496="State Agencies",IFERROR(AND($L496&gt;='Input Sheet'!$J$2,$A496&lt;&gt;""),0)),$J496,""))</f>
        <v/>
      </c>
      <c r="P496" s="3" t="str">
        <f>IF(OR($A496="",$A496="Grand Total"),"",IF(IFERROR(ROUND($J496/$K496,2),1000)&gt;='Input Sheet'!$J$2,1,""))</f>
        <v/>
      </c>
      <c r="Q496" s="3" t="str">
        <f t="shared" si="29"/>
        <v/>
      </c>
      <c r="R496" s="3" t="str">
        <f>IF(OR($A496="",$A496="Grand Total"),"",AND($J496=0,(SUMPRODUCT((Table1[County]=SummaryPage!$A496)*(Table1[Status]="Not Started"))+SUMPRODUCT((Table1[County]=SummaryPage!$A496)*(Table1[Status]="")))=SUMPRODUCT((Table1[County]=SummaryPage!$A496)*(Table1[Status]&lt;&gt;"Q"))))</f>
        <v/>
      </c>
    </row>
    <row r="497" spans="11:18" x14ac:dyDescent="0.3">
      <c r="K497" s="29" t="str">
        <f>IF($A497="","",VLOOKUP('Input Sheet'!$D$2 &amp; " " &amp; $A497,Pop[#All],4,FALSE))</f>
        <v/>
      </c>
      <c r="L497" s="5" t="str">
        <f t="shared" si="28"/>
        <v/>
      </c>
      <c r="M497" s="7" t="str">
        <f t="shared" ca="1" si="27"/>
        <v/>
      </c>
      <c r="N497" s="17" t="str">
        <f>IF(OR($A497="",$A497="Grand Total"),IF($A497="Grand Total",SUM($N$15:$N496),""),SUMPRODUCT((Table1[County]=SummaryPage!$A497)*(Table1[Status]&lt;&gt;"Complete")))</f>
        <v/>
      </c>
      <c r="O497" s="6" t="str">
        <f ca="1">IF($A497="Grand Total",SUM(INDIRECT(ADDRESS(1,COLUMN())&amp;":"&amp;ADDRESS(ROW()-1,COLUMN()))),IF(OR($A497="State Agencies",IFERROR(AND($L497&gt;='Input Sheet'!$J$2,$A497&lt;&gt;""),0)),$J497,""))</f>
        <v/>
      </c>
      <c r="P497" s="3" t="str">
        <f>IF(OR($A497="",$A497="Grand Total"),"",IF(IFERROR(ROUND($J497/$K497,2),1000)&gt;='Input Sheet'!$J$2,1,""))</f>
        <v/>
      </c>
      <c r="Q497" s="3" t="str">
        <f t="shared" si="29"/>
        <v/>
      </c>
      <c r="R497" s="3" t="str">
        <f>IF(OR($A497="",$A497="Grand Total"),"",AND($J497=0,(SUMPRODUCT((Table1[County]=SummaryPage!$A497)*(Table1[Status]="Not Started"))+SUMPRODUCT((Table1[County]=SummaryPage!$A497)*(Table1[Status]="")))=SUMPRODUCT((Table1[County]=SummaryPage!$A497)*(Table1[Status]&lt;&gt;"Q"))))</f>
        <v/>
      </c>
    </row>
    <row r="498" spans="11:18" x14ac:dyDescent="0.3">
      <c r="K498" s="29" t="str">
        <f>IF($A498="","",VLOOKUP('Input Sheet'!$D$2 &amp; " " &amp; $A498,Pop[#All],4,FALSE))</f>
        <v/>
      </c>
      <c r="L498" s="5" t="str">
        <f t="shared" si="28"/>
        <v/>
      </c>
      <c r="M498" s="7" t="str">
        <f t="shared" ca="1" si="27"/>
        <v/>
      </c>
      <c r="N498" s="17" t="str">
        <f>IF(OR($A498="",$A498="Grand Total"),IF($A498="Grand Total",SUM($N$15:$N497),""),SUMPRODUCT((Table1[County]=SummaryPage!$A498)*(Table1[Status]&lt;&gt;"Complete")))</f>
        <v/>
      </c>
      <c r="O498" s="6" t="str">
        <f ca="1">IF($A498="Grand Total",SUM(INDIRECT(ADDRESS(1,COLUMN())&amp;":"&amp;ADDRESS(ROW()-1,COLUMN()))),IF(OR($A498="State Agencies",IFERROR(AND($L498&gt;='Input Sheet'!$J$2,$A498&lt;&gt;""),0)),$J498,""))</f>
        <v/>
      </c>
      <c r="P498" s="3" t="str">
        <f>IF(OR($A498="",$A498="Grand Total"),"",IF(IFERROR(ROUND($J498/$K498,2),1000)&gt;='Input Sheet'!$J$2,1,""))</f>
        <v/>
      </c>
      <c r="Q498" s="3" t="str">
        <f t="shared" si="29"/>
        <v/>
      </c>
      <c r="R498" s="3" t="str">
        <f>IF(OR($A498="",$A498="Grand Total"),"",AND($J498=0,(SUMPRODUCT((Table1[County]=SummaryPage!$A498)*(Table1[Status]="Not Started"))+SUMPRODUCT((Table1[County]=SummaryPage!$A498)*(Table1[Status]="")))=SUMPRODUCT((Table1[County]=SummaryPage!$A498)*(Table1[Status]&lt;&gt;"Q"))))</f>
        <v/>
      </c>
    </row>
    <row r="499" spans="11:18" x14ac:dyDescent="0.3">
      <c r="K499" s="29" t="str">
        <f>IF($A499="","",VLOOKUP('Input Sheet'!$D$2 &amp; " " &amp; $A499,Pop[#All],4,FALSE))</f>
        <v/>
      </c>
      <c r="L499" s="5" t="str">
        <f t="shared" si="28"/>
        <v/>
      </c>
      <c r="M499" s="7" t="str">
        <f t="shared" ca="1" si="27"/>
        <v/>
      </c>
      <c r="N499" s="17" t="str">
        <f>IF(OR($A499="",$A499="Grand Total"),IF($A499="Grand Total",SUM($N$15:$N498),""),SUMPRODUCT((Table1[County]=SummaryPage!$A499)*(Table1[Status]&lt;&gt;"Complete")))</f>
        <v/>
      </c>
      <c r="O499" s="6" t="str">
        <f ca="1">IF($A499="Grand Total",SUM(INDIRECT(ADDRESS(1,COLUMN())&amp;":"&amp;ADDRESS(ROW()-1,COLUMN()))),IF(OR($A499="State Agencies",IFERROR(AND($L499&gt;='Input Sheet'!$J$2,$A499&lt;&gt;""),0)),$J499,""))</f>
        <v/>
      </c>
      <c r="P499" s="3" t="str">
        <f>IF(OR($A499="",$A499="Grand Total"),"",IF(IFERROR(ROUND($J499/$K499,2),1000)&gt;='Input Sheet'!$J$2,1,""))</f>
        <v/>
      </c>
      <c r="Q499" s="3" t="str">
        <f t="shared" si="29"/>
        <v/>
      </c>
      <c r="R499" s="3" t="str">
        <f>IF(OR($A499="",$A499="Grand Total"),"",AND($J499=0,(SUMPRODUCT((Table1[County]=SummaryPage!$A499)*(Table1[Status]="Not Started"))+SUMPRODUCT((Table1[County]=SummaryPage!$A499)*(Table1[Status]="")))=SUMPRODUCT((Table1[County]=SummaryPage!$A499)*(Table1[Status]&lt;&gt;"Q"))))</f>
        <v/>
      </c>
    </row>
    <row r="500" spans="11:18" x14ac:dyDescent="0.3">
      <c r="K500" s="29" t="str">
        <f>IF($A500="","",VLOOKUP('Input Sheet'!$D$2 &amp; " " &amp; $A500,Pop[#All],4,FALSE))</f>
        <v/>
      </c>
      <c r="L500" s="5" t="str">
        <f t="shared" si="28"/>
        <v/>
      </c>
      <c r="M500" s="7" t="str">
        <f t="shared" ca="1" si="27"/>
        <v/>
      </c>
      <c r="N500" s="17" t="str">
        <f>IF(OR($A500="",$A500="Grand Total"),IF($A500="Grand Total",SUM($N$15:$N499),""),SUMPRODUCT((Table1[County]=SummaryPage!$A500)*(Table1[Status]&lt;&gt;"Complete")))</f>
        <v/>
      </c>
      <c r="O500" s="6" t="str">
        <f ca="1">IF($A500="Grand Total",SUM(INDIRECT(ADDRESS(1,COLUMN())&amp;":"&amp;ADDRESS(ROW()-1,COLUMN()))),IF(OR($A500="State Agencies",IFERROR(AND($L500&gt;='Input Sheet'!$J$2,$A500&lt;&gt;""),0)),$J500,""))</f>
        <v/>
      </c>
      <c r="P500" s="3" t="str">
        <f>IF(OR($A500="",$A500="Grand Total"),"",IF(IFERROR(ROUND($J500/$K500,2),1000)&gt;='Input Sheet'!$J$2,1,""))</f>
        <v/>
      </c>
      <c r="Q500" s="3" t="str">
        <f t="shared" si="29"/>
        <v/>
      </c>
      <c r="R500" s="3" t="str">
        <f>IF(OR($A500="",$A500="Grand Total"),"",AND($J500=0,(SUMPRODUCT((Table1[County]=SummaryPage!$A500)*(Table1[Status]="Not Started"))+SUMPRODUCT((Table1[County]=SummaryPage!$A500)*(Table1[Status]="")))=SUMPRODUCT((Table1[County]=SummaryPage!$A500)*(Table1[Status]&lt;&gt;"Q"))))</f>
        <v/>
      </c>
    </row>
    <row r="501" spans="11:18" x14ac:dyDescent="0.3">
      <c r="K501" s="29" t="str">
        <f>IF($A501="","",VLOOKUP('Input Sheet'!$D$2 &amp; " " &amp; $A501,Pop[#All],4,FALSE))</f>
        <v/>
      </c>
      <c r="L501" s="5" t="str">
        <f t="shared" si="28"/>
        <v/>
      </c>
      <c r="M501" s="7" t="str">
        <f t="shared" ca="1" si="27"/>
        <v/>
      </c>
      <c r="N501" s="17" t="str">
        <f>IF(OR($A501="",$A501="Grand Total"),IF($A501="Grand Total",SUM($N$15:$N500),""),SUMPRODUCT((Table1[County]=SummaryPage!$A501)*(Table1[Status]&lt;&gt;"Complete")))</f>
        <v/>
      </c>
      <c r="O501" s="6" t="str">
        <f ca="1">IF($A501="Grand Total",SUM(INDIRECT(ADDRESS(1,COLUMN())&amp;":"&amp;ADDRESS(ROW()-1,COLUMN()))),IF(OR($A501="State Agencies",IFERROR(AND($L501&gt;='Input Sheet'!$J$2,$A501&lt;&gt;""),0)),$J501,""))</f>
        <v/>
      </c>
      <c r="P501" s="3" t="str">
        <f>IF(OR($A501="",$A501="Grand Total"),"",IF(IFERROR(ROUND($J501/$K501,2),1000)&gt;='Input Sheet'!$J$2,1,""))</f>
        <v/>
      </c>
      <c r="Q501" s="3" t="str">
        <f t="shared" si="29"/>
        <v/>
      </c>
      <c r="R501" s="3" t="str">
        <f>IF(OR($A501="",$A501="Grand Total"),"",AND($J501=0,(SUMPRODUCT((Table1[County]=SummaryPage!$A501)*(Table1[Status]="Not Started"))+SUMPRODUCT((Table1[County]=SummaryPage!$A501)*(Table1[Status]="")))=SUMPRODUCT((Table1[County]=SummaryPage!$A501)*(Table1[Status]&lt;&gt;"Q"))))</f>
        <v/>
      </c>
    </row>
    <row r="502" spans="11:18" x14ac:dyDescent="0.3">
      <c r="K502" s="29" t="str">
        <f>IF($A502="","",VLOOKUP('Input Sheet'!$D$2 &amp; " " &amp; $A502,Pop[#All],4,FALSE))</f>
        <v/>
      </c>
      <c r="L502" s="5" t="str">
        <f t="shared" si="28"/>
        <v/>
      </c>
      <c r="M502" s="7" t="str">
        <f t="shared" ca="1" si="27"/>
        <v/>
      </c>
      <c r="N502" s="17" t="str">
        <f>IF(OR($A502="",$A502="Grand Total"),IF($A502="Grand Total",SUM($N$15:$N501),""),SUMPRODUCT((Table1[County]=SummaryPage!$A502)*(Table1[Status]&lt;&gt;"Complete")))</f>
        <v/>
      </c>
      <c r="O502" s="6" t="str">
        <f ca="1">IF($A502="Grand Total",SUM(INDIRECT(ADDRESS(1,COLUMN())&amp;":"&amp;ADDRESS(ROW()-1,COLUMN()))),IF(OR($A502="State Agencies",IFERROR(AND($L502&gt;='Input Sheet'!$J$2,$A502&lt;&gt;""),0)),$J502,""))</f>
        <v/>
      </c>
      <c r="P502" s="3" t="str">
        <f>IF(OR($A502="",$A502="Grand Total"),"",IF(IFERROR(ROUND($J502/$K502,2),1000)&gt;='Input Sheet'!$J$2,1,""))</f>
        <v/>
      </c>
      <c r="Q502" s="3" t="str">
        <f t="shared" si="29"/>
        <v/>
      </c>
      <c r="R502" s="3" t="str">
        <f>IF(OR($A502="",$A502="Grand Total"),"",AND($J502=0,(SUMPRODUCT((Table1[County]=SummaryPage!$A502)*(Table1[Status]="Not Started"))+SUMPRODUCT((Table1[County]=SummaryPage!$A502)*(Table1[Status]="")))=SUMPRODUCT((Table1[County]=SummaryPage!$A502)*(Table1[Status]&lt;&gt;"Q"))))</f>
        <v/>
      </c>
    </row>
    <row r="503" spans="11:18" x14ac:dyDescent="0.3">
      <c r="K503" s="29" t="str">
        <f>IF($A503="","",VLOOKUP('Input Sheet'!$D$2 &amp; " " &amp; $A503,Pop[#All],4,FALSE))</f>
        <v/>
      </c>
      <c r="L503" s="5" t="str">
        <f t="shared" si="28"/>
        <v/>
      </c>
      <c r="M503" s="7" t="str">
        <f t="shared" ca="1" si="27"/>
        <v/>
      </c>
      <c r="N503" s="17" t="str">
        <f>IF(OR($A503="",$A503="Grand Total"),IF($A503="Grand Total",SUM($N$15:$N502),""),SUMPRODUCT((Table1[County]=SummaryPage!$A503)*(Table1[Status]&lt;&gt;"Complete")))</f>
        <v/>
      </c>
      <c r="O503" s="6" t="str">
        <f ca="1">IF($A503="Grand Total",SUM(INDIRECT(ADDRESS(1,COLUMN())&amp;":"&amp;ADDRESS(ROW()-1,COLUMN()))),IF(OR($A503="State Agencies",IFERROR(AND($L503&gt;='Input Sheet'!$J$2,$A503&lt;&gt;""),0)),$J503,""))</f>
        <v/>
      </c>
      <c r="P503" s="3" t="str">
        <f>IF(OR($A503="",$A503="Grand Total"),"",IF(IFERROR(ROUND($J503/$K503,2),1000)&gt;='Input Sheet'!$J$2,1,""))</f>
        <v/>
      </c>
      <c r="Q503" s="3" t="str">
        <f t="shared" si="29"/>
        <v/>
      </c>
      <c r="R503" s="3" t="str">
        <f>IF(OR($A503="",$A503="Grand Total"),"",AND($J503=0,(SUMPRODUCT((Table1[County]=SummaryPage!$A503)*(Table1[Status]="Not Started"))+SUMPRODUCT((Table1[County]=SummaryPage!$A503)*(Table1[Status]="")))=SUMPRODUCT((Table1[County]=SummaryPage!$A503)*(Table1[Status]&lt;&gt;"Q"))))</f>
        <v/>
      </c>
    </row>
    <row r="504" spans="11:18" x14ac:dyDescent="0.3">
      <c r="K504" s="29" t="str">
        <f>IF($A504="","",VLOOKUP('Input Sheet'!$D$2 &amp; " " &amp; $A504,Pop[#All],4,FALSE))</f>
        <v/>
      </c>
      <c r="L504" s="5" t="str">
        <f t="shared" si="28"/>
        <v/>
      </c>
      <c r="M504" s="7" t="str">
        <f t="shared" ca="1" si="27"/>
        <v/>
      </c>
      <c r="N504" s="17" t="str">
        <f>IF(OR($A504="",$A504="Grand Total"),IF($A504="Grand Total",SUM($N$15:$N503),""),SUMPRODUCT((Table1[County]=SummaryPage!$A504)*(Table1[Status]&lt;&gt;"Complete")))</f>
        <v/>
      </c>
      <c r="O504" s="6" t="str">
        <f ca="1">IF($A504="Grand Total",SUM(INDIRECT(ADDRESS(1,COLUMN())&amp;":"&amp;ADDRESS(ROW()-1,COLUMN()))),IF(OR($A504="State Agencies",IFERROR(AND($L504&gt;='Input Sheet'!$J$2,$A504&lt;&gt;""),0)),$J504,""))</f>
        <v/>
      </c>
      <c r="P504" s="3" t="str">
        <f>IF(OR($A504="",$A504="Grand Total"),"",IF(IFERROR(ROUND($J504/$K504,2),1000)&gt;='Input Sheet'!$J$2,1,""))</f>
        <v/>
      </c>
      <c r="Q504" s="3" t="str">
        <f t="shared" si="29"/>
        <v/>
      </c>
      <c r="R504" s="3" t="str">
        <f>IF(OR($A504="",$A504="Grand Total"),"",AND($J504=0,(SUMPRODUCT((Table1[County]=SummaryPage!$A504)*(Table1[Status]="Not Started"))+SUMPRODUCT((Table1[County]=SummaryPage!$A504)*(Table1[Status]="")))=SUMPRODUCT((Table1[County]=SummaryPage!$A504)*(Table1[Status]&lt;&gt;"Q"))))</f>
        <v/>
      </c>
    </row>
    <row r="505" spans="11:18" x14ac:dyDescent="0.3">
      <c r="K505" s="29" t="str">
        <f>IF($A505="","",VLOOKUP('Input Sheet'!$D$2 &amp; " " &amp; $A505,Pop[#All],4,FALSE))</f>
        <v/>
      </c>
      <c r="L505" s="5" t="str">
        <f t="shared" si="28"/>
        <v/>
      </c>
      <c r="M505" s="7" t="str">
        <f t="shared" ca="1" si="27"/>
        <v/>
      </c>
      <c r="N505" s="17" t="str">
        <f>IF(OR($A505="",$A505="Grand Total"),IF($A505="Grand Total",SUM($N$15:$N504),""),SUMPRODUCT((Table1[County]=SummaryPage!$A505)*(Table1[Status]&lt;&gt;"Complete")))</f>
        <v/>
      </c>
      <c r="O505" s="6" t="str">
        <f ca="1">IF($A505="Grand Total",SUM(INDIRECT(ADDRESS(1,COLUMN())&amp;":"&amp;ADDRESS(ROW()-1,COLUMN()))),IF(OR($A505="State Agencies",IFERROR(AND($L505&gt;='Input Sheet'!$J$2,$A505&lt;&gt;""),0)),$J505,""))</f>
        <v/>
      </c>
      <c r="P505" s="3" t="str">
        <f>IF(OR($A505="",$A505="Grand Total"),"",IF(IFERROR(ROUND($J505/$K505,2),1000)&gt;='Input Sheet'!$J$2,1,""))</f>
        <v/>
      </c>
      <c r="Q505" s="3" t="str">
        <f t="shared" si="29"/>
        <v/>
      </c>
      <c r="R505" s="3" t="str">
        <f>IF(OR($A505="",$A505="Grand Total"),"",AND($J505=0,(SUMPRODUCT((Table1[County]=SummaryPage!$A505)*(Table1[Status]="Not Started"))+SUMPRODUCT((Table1[County]=SummaryPage!$A505)*(Table1[Status]="")))=SUMPRODUCT((Table1[County]=SummaryPage!$A505)*(Table1[Status]&lt;&gt;"Q"))))</f>
        <v/>
      </c>
    </row>
    <row r="506" spans="11:18" x14ac:dyDescent="0.3">
      <c r="K506" s="28" t="str">
        <f>IF($A506="","",VLOOKUP('Input Sheet'!$D$2 &amp; " " &amp; $A506,Pop[#All],4,FALSE))</f>
        <v/>
      </c>
      <c r="L506" s="5" t="str">
        <f t="shared" si="28"/>
        <v/>
      </c>
      <c r="M506" s="7" t="str">
        <f t="shared" ca="1" si="27"/>
        <v/>
      </c>
      <c r="N506" s="17" t="str">
        <f>IF(OR($A506="",$A506="Grand Total"),IF($A506="Grand Total",SUM($N$15:$N505),""),SUMPRODUCT((Table1[County]=SummaryPage!$A506)*(Table1[Status]&lt;&gt;"Complete")))</f>
        <v/>
      </c>
      <c r="O506" s="6" t="str">
        <f ca="1">IF($A506="Grand Total",SUM(INDIRECT(ADDRESS(1,COLUMN())&amp;":"&amp;ADDRESS(ROW()-1,COLUMN()))),IF(OR($A506="State Agencies",IFERROR(AND($L506&gt;='Input Sheet'!$J$2,$A506&lt;&gt;""),0)),$J506,""))</f>
        <v/>
      </c>
      <c r="P506" s="3" t="str">
        <f>IF(OR($A506="",$A506="Grand Total"),"",IF(IFERROR(ROUND($J506/$K506,2),1000)&gt;='Input Sheet'!$J$2,1,""))</f>
        <v/>
      </c>
      <c r="Q506" s="3" t="str">
        <f t="shared" si="29"/>
        <v/>
      </c>
      <c r="R506" s="3" t="str">
        <f>IF(OR($A506="",$A506="Grand Total"),"",AND($J506=0,(SUMPRODUCT((Table1[County]=SummaryPage!$A506)*(Table1[Status]="Not Started"))+SUMPRODUCT((Table1[County]=SummaryPage!$A506)*(Table1[Status]="")))=SUMPRODUCT((Table1[County]=SummaryPage!$A506)*(Table1[Status]&lt;&gt;"Q"))))</f>
        <v/>
      </c>
    </row>
    <row r="507" spans="11:18" x14ac:dyDescent="0.3">
      <c r="K507" s="28" t="str">
        <f>IF($A507="","",VLOOKUP('Input Sheet'!$D$2 &amp; " " &amp; $A507,Pop[#All],4,FALSE))</f>
        <v/>
      </c>
      <c r="L507" s="5" t="str">
        <f t="shared" si="28"/>
        <v/>
      </c>
      <c r="M507" s="7" t="str">
        <f t="shared" ca="1" si="27"/>
        <v/>
      </c>
      <c r="N507" s="17" t="str">
        <f>IF(OR($A507="",$A507="Grand Total"),IF($A507="Grand Total",SUM($N$15:$N506),""),SUMPRODUCT((Table1[County]=SummaryPage!$A507)*(Table1[Status]&lt;&gt;"Complete")))</f>
        <v/>
      </c>
      <c r="O507" s="6" t="str">
        <f ca="1">IF($A507="Grand Total",SUM(INDIRECT(ADDRESS(1,COLUMN())&amp;":"&amp;ADDRESS(ROW()-1,COLUMN()))),IF(OR($A507="State Agencies",IFERROR(AND($L507&gt;='Input Sheet'!$J$2,$A507&lt;&gt;""),0)),$J507,""))</f>
        <v/>
      </c>
      <c r="P507" s="3" t="str">
        <f>IF(OR($A507="",$A507="Grand Total"),"",IF(IFERROR(ROUND($J507/$K507,2),1000)&gt;='Input Sheet'!$J$2,1,""))</f>
        <v/>
      </c>
      <c r="Q507" s="3" t="str">
        <f t="shared" si="29"/>
        <v/>
      </c>
      <c r="R507" s="3" t="str">
        <f>IF(OR($A507="",$A507="Grand Total"),"",AND($J507=0,(SUMPRODUCT((Table1[County]=SummaryPage!$A507)*(Table1[Status]="Not Started"))+SUMPRODUCT((Table1[County]=SummaryPage!$A507)*(Table1[Status]="")))=SUMPRODUCT((Table1[County]=SummaryPage!$A507)*(Table1[Status]&lt;&gt;"Q"))))</f>
        <v/>
      </c>
    </row>
    <row r="508" spans="11:18" x14ac:dyDescent="0.3">
      <c r="K508" s="28" t="str">
        <f>IF($A508="","",VLOOKUP('Input Sheet'!$D$2 &amp; " " &amp; $A508,Pop[#All],4,FALSE))</f>
        <v/>
      </c>
      <c r="L508" s="5" t="str">
        <f t="shared" si="28"/>
        <v/>
      </c>
      <c r="M508" s="7" t="str">
        <f t="shared" ca="1" si="27"/>
        <v/>
      </c>
      <c r="N508" s="17" t="str">
        <f>IF(OR($A508="",$A508="Grand Total"),IF($A508="Grand Total",SUM($N$15:$N507),""),SUMPRODUCT((Table1[County]=SummaryPage!$A508)*(Table1[Status]&lt;&gt;"Complete")))</f>
        <v/>
      </c>
      <c r="O508" s="6" t="str">
        <f ca="1">IF($A508="Grand Total",SUM(INDIRECT(ADDRESS(1,COLUMN())&amp;":"&amp;ADDRESS(ROW()-1,COLUMN()))),IF(OR($A508="State Agencies",IFERROR(AND($L508&gt;='Input Sheet'!$J$2,$A508&lt;&gt;""),0)),$J508,""))</f>
        <v/>
      </c>
      <c r="P508" s="3" t="str">
        <f>IF(OR($A508="",$A508="Grand Total"),"",IF(IFERROR(ROUND($J508/$K508,2),1000)&gt;='Input Sheet'!$J$2,1,""))</f>
        <v/>
      </c>
      <c r="Q508" s="3" t="str">
        <f t="shared" si="29"/>
        <v/>
      </c>
      <c r="R508" s="3" t="str">
        <f>IF(OR($A508="",$A508="Grand Total"),"",AND($J508=0,(SUMPRODUCT((Table1[County]=SummaryPage!$A508)*(Table1[Status]="Not Started"))+SUMPRODUCT((Table1[County]=SummaryPage!$A508)*(Table1[Status]="")))=SUMPRODUCT((Table1[County]=SummaryPage!$A508)*(Table1[Status]&lt;&gt;"Q"))))</f>
        <v/>
      </c>
    </row>
    <row r="509" spans="11:18" x14ac:dyDescent="0.3">
      <c r="K509" s="28" t="str">
        <f>IF($A509="","",VLOOKUP('Input Sheet'!$D$2 &amp; " " &amp; $A509,Pop[#All],4,FALSE))</f>
        <v/>
      </c>
      <c r="L509" s="5" t="str">
        <f t="shared" si="28"/>
        <v/>
      </c>
      <c r="M509" s="7" t="str">
        <f t="shared" ca="1" si="27"/>
        <v/>
      </c>
      <c r="N509" s="17" t="str">
        <f>IF(OR($A509="",$A509="Grand Total"),IF($A509="Grand Total",SUM($N$15:$N508),""),SUMPRODUCT((Table1[County]=SummaryPage!$A509)*(Table1[Status]&lt;&gt;"Complete")))</f>
        <v/>
      </c>
      <c r="O509" s="6" t="str">
        <f ca="1">IF($A509="Grand Total",SUM(INDIRECT(ADDRESS(1,COLUMN())&amp;":"&amp;ADDRESS(ROW()-1,COLUMN()))),IF(OR($A509="State Agencies",IFERROR(AND($L509&gt;='Input Sheet'!$J$2,$A509&lt;&gt;""),0)),$J509,""))</f>
        <v/>
      </c>
      <c r="P509" s="3" t="str">
        <f>IF(OR($A509="",$A509="Grand Total"),"",IF(IFERROR(ROUND($J509/$K509,2),1000)&gt;='Input Sheet'!$J$2,1,""))</f>
        <v/>
      </c>
      <c r="Q509" s="3" t="str">
        <f t="shared" si="29"/>
        <v/>
      </c>
      <c r="R509" s="3" t="str">
        <f>IF(OR($A509="",$A509="Grand Total"),"",AND($J509=0,(SUMPRODUCT((Table1[County]=SummaryPage!$A509)*(Table1[Status]="Not Started"))+SUMPRODUCT((Table1[County]=SummaryPage!$A509)*(Table1[Status]="")))=SUMPRODUCT((Table1[County]=SummaryPage!$A509)*(Table1[Status]&lt;&gt;"Q"))))</f>
        <v/>
      </c>
    </row>
    <row r="510" spans="11:18" x14ac:dyDescent="0.3">
      <c r="K510" s="28" t="str">
        <f>IF($A510="","",VLOOKUP('Input Sheet'!$D$2 &amp; " " &amp; $A510,Pop[#All],4,FALSE))</f>
        <v/>
      </c>
      <c r="L510" s="5" t="str">
        <f t="shared" si="28"/>
        <v/>
      </c>
      <c r="M510" s="7" t="str">
        <f t="shared" ca="1" si="27"/>
        <v/>
      </c>
      <c r="N510" s="17" t="str">
        <f>IF(OR($A510="",$A510="Grand Total"),IF($A510="Grand Total",SUM($N$15:$N509),""),SUMPRODUCT((Table1[County]=SummaryPage!$A510)*(Table1[Status]&lt;&gt;"Complete")))</f>
        <v/>
      </c>
      <c r="O510" s="6" t="str">
        <f ca="1">IF($A510="Grand Total",SUM(INDIRECT(ADDRESS(1,COLUMN())&amp;":"&amp;ADDRESS(ROW()-1,COLUMN()))),IF(OR($A510="State Agencies",IFERROR(AND($L510&gt;='Input Sheet'!$J$2,$A510&lt;&gt;""),0)),$J510,""))</f>
        <v/>
      </c>
      <c r="P510" s="3" t="str">
        <f>IF(OR($A510="",$A510="Grand Total"),"",IF(IFERROR(ROUND($J510/$K510,2),1000)&gt;='Input Sheet'!$J$2,1,""))</f>
        <v/>
      </c>
      <c r="Q510" s="3" t="str">
        <f t="shared" si="29"/>
        <v/>
      </c>
      <c r="R510" s="3" t="str">
        <f>IF(OR($A510="",$A510="Grand Total"),"",AND($J510=0,(SUMPRODUCT((Table1[County]=SummaryPage!$A510)*(Table1[Status]="Not Started"))+SUMPRODUCT((Table1[County]=SummaryPage!$A510)*(Table1[Status]="")))=SUMPRODUCT((Table1[County]=SummaryPage!$A510)*(Table1[Status]&lt;&gt;"Q"))))</f>
        <v/>
      </c>
    </row>
    <row r="511" spans="11:18" x14ac:dyDescent="0.3">
      <c r="K511" s="28" t="str">
        <f>IF($A511="","",VLOOKUP('Input Sheet'!$D$2 &amp; " " &amp; $A511,Pop[#All],4,FALSE))</f>
        <v/>
      </c>
      <c r="L511" s="5" t="str">
        <f t="shared" si="28"/>
        <v/>
      </c>
      <c r="M511" s="7" t="str">
        <f t="shared" ca="1" si="27"/>
        <v/>
      </c>
      <c r="N511" s="17" t="str">
        <f>IF(OR($A511="",$A511="Grand Total"),IF($A511="Grand Total",SUM($N$15:$N510),""),SUMPRODUCT((Table1[County]=SummaryPage!$A511)*(Table1[Status]&lt;&gt;"Complete")))</f>
        <v/>
      </c>
      <c r="O511" s="6" t="str">
        <f ca="1">IF($A511="Grand Total",SUM(INDIRECT(ADDRESS(1,COLUMN())&amp;":"&amp;ADDRESS(ROW()-1,COLUMN()))),IF(OR($A511="State Agencies",IFERROR(AND($L511&gt;='Input Sheet'!$J$2,$A511&lt;&gt;""),0)),$J511,""))</f>
        <v/>
      </c>
      <c r="P511" s="3" t="str">
        <f>IF(OR($A511="",$A511="Grand Total"),"",IF(IFERROR(ROUND($J511/$K511,2),1000)&gt;='Input Sheet'!$J$2,1,""))</f>
        <v/>
      </c>
      <c r="Q511" s="3" t="str">
        <f t="shared" si="29"/>
        <v/>
      </c>
      <c r="R511" s="3" t="str">
        <f>IF(OR($A511="",$A511="Grand Total"),"",AND($J511=0,(SUMPRODUCT((Table1[County]=SummaryPage!$A511)*(Table1[Status]="Not Started"))+SUMPRODUCT((Table1[County]=SummaryPage!$A511)*(Table1[Status]="")))=SUMPRODUCT((Table1[County]=SummaryPage!$A511)*(Table1[Status]&lt;&gt;"Q"))))</f>
        <v/>
      </c>
    </row>
    <row r="512" spans="11:18" x14ac:dyDescent="0.3">
      <c r="K512" s="28" t="str">
        <f>IF($A512="","",VLOOKUP('Input Sheet'!$D$2 &amp; " " &amp; $A512,Pop[#All],4,FALSE))</f>
        <v/>
      </c>
      <c r="L512" s="5" t="str">
        <f t="shared" si="28"/>
        <v/>
      </c>
      <c r="M512" s="7" t="str">
        <f t="shared" ca="1" si="27"/>
        <v/>
      </c>
      <c r="N512" s="17" t="str">
        <f>IF(OR($A512="",$A512="Grand Total"),IF($A512="Grand Total",SUM($N$15:$N511),""),SUMPRODUCT((Table1[County]=SummaryPage!$A512)*(Table1[Status]&lt;&gt;"Complete")))</f>
        <v/>
      </c>
      <c r="O512" s="6" t="str">
        <f ca="1">IF($A512="Grand Total",SUM(INDIRECT(ADDRESS(1,COLUMN())&amp;":"&amp;ADDRESS(ROW()-1,COLUMN()))),IF(OR($A512="State Agencies",IFERROR(AND($L512&gt;='Input Sheet'!$J$2,$A512&lt;&gt;""),0)),$J512,""))</f>
        <v/>
      </c>
      <c r="P512" s="3" t="str">
        <f>IF(OR($A512="",$A512="Grand Total"),"",IF(IFERROR(ROUND($J512/$K512,2),1000)&gt;='Input Sheet'!$J$2,1,""))</f>
        <v/>
      </c>
      <c r="Q512" s="3" t="str">
        <f t="shared" si="29"/>
        <v/>
      </c>
      <c r="R512" s="3" t="str">
        <f>IF(OR($A512="",$A512="Grand Total"),"",AND($J512=0,(SUMPRODUCT((Table1[County]=SummaryPage!$A512)*(Table1[Status]="Not Started"))+SUMPRODUCT((Table1[County]=SummaryPage!$A512)*(Table1[Status]="")))=SUMPRODUCT((Table1[County]=SummaryPage!$A512)*(Table1[Status]&lt;&gt;"Q"))))</f>
        <v/>
      </c>
    </row>
    <row r="513" spans="11:18" x14ac:dyDescent="0.3">
      <c r="K513" s="28" t="str">
        <f>IF($A513="","",VLOOKUP('Input Sheet'!$D$2 &amp; " " &amp; $A513,Pop[#All],4,FALSE))</f>
        <v/>
      </c>
      <c r="L513" s="5" t="str">
        <f t="shared" si="28"/>
        <v/>
      </c>
      <c r="M513" s="7" t="str">
        <f t="shared" ca="1" si="27"/>
        <v/>
      </c>
      <c r="N513" s="17" t="str">
        <f>IF(OR($A513="",$A513="Grand Total"),IF($A513="Grand Total",SUM($N$15:$N512),""),SUMPRODUCT((Table1[County]=SummaryPage!$A513)*(Table1[Status]&lt;&gt;"Complete")))</f>
        <v/>
      </c>
      <c r="O513" s="6" t="str">
        <f ca="1">IF($A513="Grand Total",SUM(INDIRECT(ADDRESS(1,COLUMN())&amp;":"&amp;ADDRESS(ROW()-1,COLUMN()))),IF(OR($A513="State Agencies",IFERROR(AND($L513&gt;='Input Sheet'!$J$2,$A513&lt;&gt;""),0)),$J513,""))</f>
        <v/>
      </c>
      <c r="P513" s="3" t="str">
        <f>IF(OR($A513="",$A513="Grand Total"),"",IF(IFERROR(ROUND($J513/$K513,2),1000)&gt;='Input Sheet'!$J$2,1,""))</f>
        <v/>
      </c>
      <c r="Q513" s="3" t="str">
        <f t="shared" si="29"/>
        <v/>
      </c>
      <c r="R513" s="3" t="str">
        <f>IF(OR($A513="",$A513="Grand Total"),"",AND($J513=0,(SUMPRODUCT((Table1[County]=SummaryPage!$A513)*(Table1[Status]="Not Started"))+SUMPRODUCT((Table1[County]=SummaryPage!$A513)*(Table1[Status]="")))=SUMPRODUCT((Table1[County]=SummaryPage!$A513)*(Table1[Status]&lt;&gt;"Q"))))</f>
        <v/>
      </c>
    </row>
    <row r="514" spans="11:18" x14ac:dyDescent="0.3">
      <c r="K514" s="28" t="str">
        <f>IF($A514="","",VLOOKUP('Input Sheet'!$D$2 &amp; " " &amp; $A514,Pop[#All],4,FALSE))</f>
        <v/>
      </c>
      <c r="L514" s="5" t="str">
        <f t="shared" si="28"/>
        <v/>
      </c>
      <c r="M514" s="7" t="str">
        <f t="shared" ca="1" si="27"/>
        <v/>
      </c>
      <c r="N514" s="17" t="str">
        <f>IF(OR($A514="",$A514="Grand Total"),IF($A514="Grand Total",SUM($N$15:$N513),""),SUMPRODUCT((Table1[County]=SummaryPage!$A514)*(Table1[Status]&lt;&gt;"Complete")))</f>
        <v/>
      </c>
      <c r="O514" s="6" t="str">
        <f ca="1">IF($A514="Grand Total",SUM(INDIRECT(ADDRESS(1,COLUMN())&amp;":"&amp;ADDRESS(ROW()-1,COLUMN()))),IF(OR($A514="State Agencies",IFERROR(AND($L514&gt;='Input Sheet'!$J$2,$A514&lt;&gt;""),0)),$J514,""))</f>
        <v/>
      </c>
      <c r="P514" s="3" t="str">
        <f>IF(OR($A514="",$A514="Grand Total"),"",IF(IFERROR(ROUND($J514/$K514,2),1000)&gt;='Input Sheet'!$J$2,1,""))</f>
        <v/>
      </c>
      <c r="Q514" s="3" t="str">
        <f t="shared" si="29"/>
        <v/>
      </c>
      <c r="R514" s="3" t="str">
        <f>IF(OR($A514="",$A514="Grand Total"),"",AND($J514=0,(SUMPRODUCT((Table1[County]=SummaryPage!$A514)*(Table1[Status]="Not Started"))+SUMPRODUCT((Table1[County]=SummaryPage!$A514)*(Table1[Status]="")))=SUMPRODUCT((Table1[County]=SummaryPage!$A514)*(Table1[Status]&lt;&gt;"Q"))))</f>
        <v/>
      </c>
    </row>
    <row r="515" spans="11:18" x14ac:dyDescent="0.3">
      <c r="K515" s="28" t="str">
        <f>IF($A515="","",VLOOKUP('Input Sheet'!$D$2 &amp; " " &amp; $A515,Pop[#All],4,FALSE))</f>
        <v/>
      </c>
      <c r="L515" s="5" t="str">
        <f t="shared" si="28"/>
        <v/>
      </c>
      <c r="M515" s="7" t="str">
        <f t="shared" ca="1" si="27"/>
        <v/>
      </c>
      <c r="N515" s="17" t="str">
        <f>IF(OR($A515="",$A515="Grand Total"),IF($A515="Grand Total",SUM($N$15:$N514),""),SUMPRODUCT((Table1[County]=SummaryPage!$A515)*(Table1[Status]&lt;&gt;"Complete")))</f>
        <v/>
      </c>
      <c r="O515" s="6" t="str">
        <f ca="1">IF($A515="Grand Total",SUM(INDIRECT(ADDRESS(1,COLUMN())&amp;":"&amp;ADDRESS(ROW()-1,COLUMN()))),IF(OR($A515="State Agencies",IFERROR(AND($L515&gt;='Input Sheet'!$J$2,$A515&lt;&gt;""),0)),$J515,""))</f>
        <v/>
      </c>
      <c r="P515" s="3" t="str">
        <f>IF(OR($A515="",$A515="Grand Total"),"",IF(IFERROR(ROUND($J515/$K515,2),1000)&gt;='Input Sheet'!$J$2,1,""))</f>
        <v/>
      </c>
      <c r="Q515" s="3" t="str">
        <f t="shared" si="29"/>
        <v/>
      </c>
      <c r="R515" s="3" t="str">
        <f>IF(OR($A515="",$A515="Grand Total"),"",AND($J515=0,(SUMPRODUCT((Table1[County]=SummaryPage!$A515)*(Table1[Status]="Not Started"))+SUMPRODUCT((Table1[County]=SummaryPage!$A515)*(Table1[Status]="")))=SUMPRODUCT((Table1[County]=SummaryPage!$A515)*(Table1[Status]&lt;&gt;"Q"))))</f>
        <v/>
      </c>
    </row>
    <row r="516" spans="11:18" x14ac:dyDescent="0.3">
      <c r="K516" s="28" t="str">
        <f>IF($A516="","",VLOOKUP('Input Sheet'!$D$2 &amp; " " &amp; $A516,Pop[#All],4,FALSE))</f>
        <v/>
      </c>
      <c r="L516" s="5" t="str">
        <f t="shared" si="28"/>
        <v/>
      </c>
      <c r="M516" s="7" t="str">
        <f t="shared" ca="1" si="27"/>
        <v/>
      </c>
      <c r="N516" s="17" t="str">
        <f>IF(OR($A516="",$A516="Grand Total"),IF($A516="Grand Total",SUM($N$15:$N515),""),SUMPRODUCT((Table1[County]=SummaryPage!$A516)*(Table1[Status]&lt;&gt;"Complete")))</f>
        <v/>
      </c>
      <c r="O516" s="6" t="str">
        <f ca="1">IF($A516="Grand Total",SUM(INDIRECT(ADDRESS(1,COLUMN())&amp;":"&amp;ADDRESS(ROW()-1,COLUMN()))),IF(OR($A516="State Agencies",IFERROR(AND($L516&gt;='Input Sheet'!$J$2,$A516&lt;&gt;""),0)),$J516,""))</f>
        <v/>
      </c>
      <c r="P516" s="3" t="str">
        <f>IF(OR($A516="",$A516="Grand Total"),"",IF(IFERROR(ROUND($J516/$K516,2),1000)&gt;='Input Sheet'!$J$2,1,""))</f>
        <v/>
      </c>
      <c r="Q516" s="3" t="str">
        <f t="shared" si="29"/>
        <v/>
      </c>
      <c r="R516" s="3" t="str">
        <f>IF(OR($A516="",$A516="Grand Total"),"",AND($J516=0,(SUMPRODUCT((Table1[County]=SummaryPage!$A516)*(Table1[Status]="Not Started"))+SUMPRODUCT((Table1[County]=SummaryPage!$A516)*(Table1[Status]="")))=SUMPRODUCT((Table1[County]=SummaryPage!$A516)*(Table1[Status]&lt;&gt;"Q"))))</f>
        <v/>
      </c>
    </row>
    <row r="517" spans="11:18" x14ac:dyDescent="0.3">
      <c r="K517" s="28" t="str">
        <f>IF($A517="","",VLOOKUP('Input Sheet'!$D$2 &amp; " " &amp; $A517,Pop[#All],4,FALSE))</f>
        <v/>
      </c>
      <c r="L517" s="5" t="str">
        <f t="shared" si="28"/>
        <v/>
      </c>
      <c r="M517" s="7" t="str">
        <f t="shared" ca="1" si="27"/>
        <v/>
      </c>
      <c r="N517" s="17" t="str">
        <f>IF(OR($A517="",$A517="Grand Total"),IF($A517="Grand Total",SUM($N$15:$N516),""),SUMPRODUCT((Table1[County]=SummaryPage!$A517)*(Table1[Status]&lt;&gt;"Complete")))</f>
        <v/>
      </c>
      <c r="O517" s="6" t="str">
        <f ca="1">IF($A517="Grand Total",SUM(INDIRECT(ADDRESS(1,COLUMN())&amp;":"&amp;ADDRESS(ROW()-1,COLUMN()))),IF(OR($A517="State Agencies",IFERROR(AND($L517&gt;='Input Sheet'!$J$2,$A517&lt;&gt;""),0)),$J517,""))</f>
        <v/>
      </c>
      <c r="P517" s="3" t="str">
        <f>IF(OR($A517="",$A517="Grand Total"),"",IF(IFERROR(ROUND($J517/$K517,2),1000)&gt;='Input Sheet'!$J$2,1,""))</f>
        <v/>
      </c>
      <c r="Q517" s="3" t="str">
        <f t="shared" si="29"/>
        <v/>
      </c>
      <c r="R517" s="3" t="str">
        <f>IF(OR($A517="",$A517="Grand Total"),"",AND($J517=0,(SUMPRODUCT((Table1[County]=SummaryPage!$A517)*(Table1[Status]="Not Started"))+SUMPRODUCT((Table1[County]=SummaryPage!$A517)*(Table1[Status]="")))=SUMPRODUCT((Table1[County]=SummaryPage!$A517)*(Table1[Status]&lt;&gt;"Q"))))</f>
        <v/>
      </c>
    </row>
    <row r="518" spans="11:18" x14ac:dyDescent="0.3">
      <c r="K518" s="28" t="str">
        <f>IF($A518="","",VLOOKUP('Input Sheet'!$D$2 &amp; " " &amp; $A518,Pop[#All],4,FALSE))</f>
        <v/>
      </c>
      <c r="L518" s="5" t="str">
        <f t="shared" si="28"/>
        <v/>
      </c>
      <c r="M518" s="7" t="str">
        <f t="shared" ca="1" si="27"/>
        <v/>
      </c>
      <c r="N518" s="17" t="str">
        <f>IF(OR($A518="",$A518="Grand Total"),IF($A518="Grand Total",SUM($N$15:$N517),""),SUMPRODUCT((Table1[County]=SummaryPage!$A518)*(Table1[Status]&lt;&gt;"Complete")))</f>
        <v/>
      </c>
      <c r="O518" s="6" t="str">
        <f ca="1">IF($A518="Grand Total",SUM(INDIRECT(ADDRESS(1,COLUMN())&amp;":"&amp;ADDRESS(ROW()-1,COLUMN()))),IF(OR($A518="State Agencies",IFERROR(AND($L518&gt;='Input Sheet'!$J$2,$A518&lt;&gt;""),0)),$J518,""))</f>
        <v/>
      </c>
      <c r="P518" s="3" t="str">
        <f>IF(OR($A518="",$A518="Grand Total"),"",IF(IFERROR(ROUND($J518/$K518,2),1000)&gt;='Input Sheet'!$J$2,1,""))</f>
        <v/>
      </c>
      <c r="Q518" s="3" t="str">
        <f t="shared" si="29"/>
        <v/>
      </c>
      <c r="R518" s="3" t="str">
        <f>IF(OR($A518="",$A518="Grand Total"),"",AND($J518=0,(SUMPRODUCT((Table1[County]=SummaryPage!$A518)*(Table1[Status]="Not Started"))+SUMPRODUCT((Table1[County]=SummaryPage!$A518)*(Table1[Status]="")))=SUMPRODUCT((Table1[County]=SummaryPage!$A518)*(Table1[Status]&lt;&gt;"Q"))))</f>
        <v/>
      </c>
    </row>
    <row r="519" spans="11:18" x14ac:dyDescent="0.3">
      <c r="K519" s="28" t="str">
        <f>IF($A519="","",VLOOKUP('Input Sheet'!$D$2 &amp; " " &amp; $A519,Pop[#All],4,FALSE))</f>
        <v/>
      </c>
      <c r="L519" s="5" t="str">
        <f t="shared" si="28"/>
        <v/>
      </c>
      <c r="M519" s="7" t="str">
        <f t="shared" ca="1" si="27"/>
        <v/>
      </c>
      <c r="N519" s="17" t="str">
        <f>IF(OR($A519="",$A519="Grand Total"),IF($A519="Grand Total",SUM($N$15:$N518),""),SUMPRODUCT((Table1[County]=SummaryPage!$A519)*(Table1[Status]&lt;&gt;"Complete")))</f>
        <v/>
      </c>
      <c r="O519" s="6" t="str">
        <f ca="1">IF($A519="Grand Total",SUM(INDIRECT(ADDRESS(1,COLUMN())&amp;":"&amp;ADDRESS(ROW()-1,COLUMN()))),IF(OR($A519="State Agencies",IFERROR(AND($L519&gt;='Input Sheet'!$J$2,$A519&lt;&gt;""),0)),$J519,""))</f>
        <v/>
      </c>
      <c r="P519" s="3" t="str">
        <f>IF(OR($A519="",$A519="Grand Total"),"",IF(IFERROR(ROUND($J519/$K519,2),1000)&gt;='Input Sheet'!$J$2,1,""))</f>
        <v/>
      </c>
      <c r="Q519" s="3" t="str">
        <f t="shared" si="29"/>
        <v/>
      </c>
      <c r="R519" s="3" t="str">
        <f>IF(OR($A519="",$A519="Grand Total"),"",AND($J519=0,(SUMPRODUCT((Table1[County]=SummaryPage!$A519)*(Table1[Status]="Not Started"))+SUMPRODUCT((Table1[County]=SummaryPage!$A519)*(Table1[Status]="")))=SUMPRODUCT((Table1[County]=SummaryPage!$A519)*(Table1[Status]&lt;&gt;"Q"))))</f>
        <v/>
      </c>
    </row>
    <row r="520" spans="11:18" x14ac:dyDescent="0.3">
      <c r="K520" s="28" t="str">
        <f>IF($A520="","",VLOOKUP('Input Sheet'!$D$2 &amp; " " &amp; $A520,Pop[#All],4,FALSE))</f>
        <v/>
      </c>
      <c r="L520" s="5" t="str">
        <f t="shared" si="28"/>
        <v/>
      </c>
      <c r="M520" s="7" t="str">
        <f t="shared" ca="1" si="27"/>
        <v/>
      </c>
      <c r="N520" s="17" t="str">
        <f>IF(OR($A520="",$A520="Grand Total"),IF($A520="Grand Total",SUM($N$15:$N519),""),SUMPRODUCT((Table1[County]=SummaryPage!$A520)*(Table1[Status]&lt;&gt;"Complete")))</f>
        <v/>
      </c>
      <c r="O520" s="6" t="str">
        <f ca="1">IF($A520="Grand Total",SUM(INDIRECT(ADDRESS(1,COLUMN())&amp;":"&amp;ADDRESS(ROW()-1,COLUMN()))),IF(OR($A520="State Agencies",IFERROR(AND($L520&gt;='Input Sheet'!$J$2,$A520&lt;&gt;""),0)),$J520,""))</f>
        <v/>
      </c>
      <c r="P520" s="3" t="str">
        <f>IF(OR($A520="",$A520="Grand Total"),"",IF(IFERROR(ROUND($J520/$K520,2),1000)&gt;='Input Sheet'!$J$2,1,""))</f>
        <v/>
      </c>
      <c r="Q520" s="3" t="str">
        <f t="shared" si="29"/>
        <v/>
      </c>
      <c r="R520" s="3" t="str">
        <f>IF(OR($A520="",$A520="Grand Total"),"",AND($J520=0,(SUMPRODUCT((Table1[County]=SummaryPage!$A520)*(Table1[Status]="Not Started"))+SUMPRODUCT((Table1[County]=SummaryPage!$A520)*(Table1[Status]="")))=SUMPRODUCT((Table1[County]=SummaryPage!$A520)*(Table1[Status]&lt;&gt;"Q"))))</f>
        <v/>
      </c>
    </row>
    <row r="521" spans="11:18" x14ac:dyDescent="0.3">
      <c r="K521" s="28" t="str">
        <f>IF($A521="","",VLOOKUP('Input Sheet'!$D$2 &amp; " " &amp; $A521,Pop[#All],4,FALSE))</f>
        <v/>
      </c>
      <c r="L521" s="5" t="str">
        <f t="shared" si="28"/>
        <v/>
      </c>
      <c r="M521" s="7" t="str">
        <f t="shared" ca="1" si="27"/>
        <v/>
      </c>
      <c r="N521" s="17" t="str">
        <f>IF(OR($A521="",$A521="Grand Total"),IF($A521="Grand Total",SUM($N$15:$N520),""),SUMPRODUCT((Table1[County]=SummaryPage!$A521)*(Table1[Status]&lt;&gt;"Complete")))</f>
        <v/>
      </c>
      <c r="O521" s="6" t="str">
        <f ca="1">IF($A521="Grand Total",SUM(INDIRECT(ADDRESS(1,COLUMN())&amp;":"&amp;ADDRESS(ROW()-1,COLUMN()))),IF(OR($A521="State Agencies",IFERROR(AND($L521&gt;='Input Sheet'!$J$2,$A521&lt;&gt;""),0)),$J521,""))</f>
        <v/>
      </c>
      <c r="P521" s="3" t="str">
        <f>IF(OR($A521="",$A521="Grand Total"),"",IF(IFERROR(ROUND($J521/$K521,2),1000)&gt;='Input Sheet'!$J$2,1,""))</f>
        <v/>
      </c>
      <c r="Q521" s="3" t="str">
        <f t="shared" si="29"/>
        <v/>
      </c>
      <c r="R521" s="3" t="str">
        <f>IF(OR($A521="",$A521="Grand Total"),"",AND($J521=0,(SUMPRODUCT((Table1[County]=SummaryPage!$A521)*(Table1[Status]="Not Started"))+SUMPRODUCT((Table1[County]=SummaryPage!$A521)*(Table1[Status]="")))=SUMPRODUCT((Table1[County]=SummaryPage!$A521)*(Table1[Status]&lt;&gt;"Q"))))</f>
        <v/>
      </c>
    </row>
    <row r="522" spans="11:18" x14ac:dyDescent="0.3">
      <c r="K522" s="28" t="str">
        <f>IF($A522="","",VLOOKUP('Input Sheet'!$D$2 &amp; " " &amp; $A522,Pop[#All],4,FALSE))</f>
        <v/>
      </c>
      <c r="L522" s="5" t="str">
        <f t="shared" si="28"/>
        <v/>
      </c>
      <c r="M522" s="7" t="str">
        <f t="shared" ca="1" si="27"/>
        <v/>
      </c>
      <c r="N522" s="17" t="str">
        <f>IF(OR($A522="",$A522="Grand Total"),IF($A522="Grand Total",SUM($N$15:$N521),""),SUMPRODUCT((Table1[County]=SummaryPage!$A522)*(Table1[Status]&lt;&gt;"Complete")))</f>
        <v/>
      </c>
      <c r="O522" s="6" t="str">
        <f ca="1">IF($A522="Grand Total",SUM(INDIRECT(ADDRESS(1,COLUMN())&amp;":"&amp;ADDRESS(ROW()-1,COLUMN()))),IF(OR($A522="State Agencies",IFERROR(AND($L522&gt;='Input Sheet'!$J$2,$A522&lt;&gt;""),0)),$J522,""))</f>
        <v/>
      </c>
      <c r="P522" s="3" t="str">
        <f>IF(OR($A522="",$A522="Grand Total"),"",IF(IFERROR(ROUND($J522/$K522,2),1000)&gt;='Input Sheet'!$J$2,1,""))</f>
        <v/>
      </c>
      <c r="Q522" s="3" t="str">
        <f t="shared" si="29"/>
        <v/>
      </c>
      <c r="R522" s="3" t="str">
        <f>IF(OR($A522="",$A522="Grand Total"),"",AND($J522=0,(SUMPRODUCT((Table1[County]=SummaryPage!$A522)*(Table1[Status]="Not Started"))+SUMPRODUCT((Table1[County]=SummaryPage!$A522)*(Table1[Status]="")))=SUMPRODUCT((Table1[County]=SummaryPage!$A522)*(Table1[Status]&lt;&gt;"Q"))))</f>
        <v/>
      </c>
    </row>
    <row r="523" spans="11:18" x14ac:dyDescent="0.3">
      <c r="K523" s="28" t="str">
        <f>IF($A523="","",VLOOKUP('Input Sheet'!$D$2 &amp; " " &amp; $A523,Pop[#All],4,FALSE))</f>
        <v/>
      </c>
      <c r="L523" s="5" t="str">
        <f t="shared" si="28"/>
        <v/>
      </c>
      <c r="M523" s="7" t="str">
        <f t="shared" ca="1" si="27"/>
        <v/>
      </c>
      <c r="N523" s="17" t="str">
        <f>IF(OR($A523="",$A523="Grand Total"),IF($A523="Grand Total",SUM($N$15:$N522),""),SUMPRODUCT((Table1[County]=SummaryPage!$A523)*(Table1[Status]&lt;&gt;"Complete")))</f>
        <v/>
      </c>
      <c r="O523" s="6" t="str">
        <f ca="1">IF($A523="Grand Total",SUM(INDIRECT(ADDRESS(1,COLUMN())&amp;":"&amp;ADDRESS(ROW()-1,COLUMN()))),IF(OR($A523="State Agencies",IFERROR(AND($L523&gt;='Input Sheet'!$J$2,$A523&lt;&gt;""),0)),$J523,""))</f>
        <v/>
      </c>
      <c r="P523" s="3" t="str">
        <f>IF(OR($A523="",$A523="Grand Total"),"",IF(IFERROR(ROUND($J523/$K523,2),1000)&gt;='Input Sheet'!$J$2,1,""))</f>
        <v/>
      </c>
      <c r="Q523" s="3" t="str">
        <f t="shared" si="29"/>
        <v/>
      </c>
      <c r="R523" s="3" t="str">
        <f>IF(OR($A523="",$A523="Grand Total"),"",AND($J523=0,(SUMPRODUCT((Table1[County]=SummaryPage!$A523)*(Table1[Status]="Not Started"))+SUMPRODUCT((Table1[County]=SummaryPage!$A523)*(Table1[Status]="")))=SUMPRODUCT((Table1[County]=SummaryPage!$A523)*(Table1[Status]&lt;&gt;"Q"))))</f>
        <v/>
      </c>
    </row>
    <row r="524" spans="11:18" x14ac:dyDescent="0.3">
      <c r="K524" s="28" t="str">
        <f>IF($A524="","",VLOOKUP('Input Sheet'!$D$2 &amp; " " &amp; $A524,Pop[#All],4,FALSE))</f>
        <v/>
      </c>
      <c r="L524" s="5" t="str">
        <f t="shared" si="28"/>
        <v/>
      </c>
      <c r="M524" s="7" t="str">
        <f t="shared" ca="1" si="27"/>
        <v/>
      </c>
      <c r="N524" s="17" t="str">
        <f>IF(OR($A524="",$A524="Grand Total"),IF($A524="Grand Total",SUM($N$15:$N523),""),SUMPRODUCT((Table1[County]=SummaryPage!$A524)*(Table1[Status]&lt;&gt;"Complete")))</f>
        <v/>
      </c>
      <c r="O524" s="6" t="str">
        <f ca="1">IF($A524="Grand Total",SUM(INDIRECT(ADDRESS(1,COLUMN())&amp;":"&amp;ADDRESS(ROW()-1,COLUMN()))),IF(OR($A524="State Agencies",IFERROR(AND($L524&gt;='Input Sheet'!$J$2,$A524&lt;&gt;""),0)),$J524,""))</f>
        <v/>
      </c>
      <c r="P524" s="3" t="str">
        <f>IF(OR($A524="",$A524="Grand Total"),"",IF(IFERROR(ROUND($J524/$K524,2),1000)&gt;='Input Sheet'!$J$2,1,""))</f>
        <v/>
      </c>
      <c r="Q524" s="3" t="str">
        <f t="shared" si="29"/>
        <v/>
      </c>
      <c r="R524" s="3" t="str">
        <f>IF(OR($A524="",$A524="Grand Total"),"",AND($J524=0,(SUMPRODUCT((Table1[County]=SummaryPage!$A524)*(Table1[Status]="Not Started"))+SUMPRODUCT((Table1[County]=SummaryPage!$A524)*(Table1[Status]="")))=SUMPRODUCT((Table1[County]=SummaryPage!$A524)*(Table1[Status]&lt;&gt;"Q"))))</f>
        <v/>
      </c>
    </row>
    <row r="525" spans="11:18" x14ac:dyDescent="0.3">
      <c r="K525" s="28" t="str">
        <f>IF($A525="","",VLOOKUP('Input Sheet'!$D$2 &amp; " " &amp; $A525,Pop[#All],4,FALSE))</f>
        <v/>
      </c>
      <c r="L525" s="5" t="str">
        <f t="shared" si="28"/>
        <v/>
      </c>
      <c r="M525" s="7" t="str">
        <f t="shared" ca="1" si="27"/>
        <v/>
      </c>
      <c r="N525" s="17" t="str">
        <f>IF(OR($A525="",$A525="Grand Total"),IF($A525="Grand Total",SUM($N$15:$N524),""),SUMPRODUCT((Table1[County]=SummaryPage!$A525)*(Table1[Status]&lt;&gt;"Complete")))</f>
        <v/>
      </c>
      <c r="O525" s="6" t="str">
        <f ca="1">IF($A525="Grand Total",SUM(INDIRECT(ADDRESS(1,COLUMN())&amp;":"&amp;ADDRESS(ROW()-1,COLUMN()))),IF(OR($A525="State Agencies",IFERROR(AND($L525&gt;='Input Sheet'!$J$2,$A525&lt;&gt;""),0)),$J525,""))</f>
        <v/>
      </c>
      <c r="P525" s="3" t="str">
        <f>IF(OR($A525="",$A525="Grand Total"),"",IF(IFERROR(ROUND($J525/$K525,2),1000)&gt;='Input Sheet'!$J$2,1,""))</f>
        <v/>
      </c>
      <c r="Q525" s="3" t="str">
        <f t="shared" si="29"/>
        <v/>
      </c>
      <c r="R525" s="3" t="str">
        <f>IF(OR($A525="",$A525="Grand Total"),"",AND($J525=0,(SUMPRODUCT((Table1[County]=SummaryPage!$A525)*(Table1[Status]="Not Started"))+SUMPRODUCT((Table1[County]=SummaryPage!$A525)*(Table1[Status]="")))=SUMPRODUCT((Table1[County]=SummaryPage!$A525)*(Table1[Status]&lt;&gt;"Q"))))</f>
        <v/>
      </c>
    </row>
    <row r="526" spans="11:18" x14ac:dyDescent="0.3">
      <c r="K526" s="28" t="str">
        <f>IF($A526="","",VLOOKUP('Input Sheet'!$D$2 &amp; " " &amp; $A526,Pop[#All],4,FALSE))</f>
        <v/>
      </c>
      <c r="L526" s="5" t="str">
        <f t="shared" si="28"/>
        <v/>
      </c>
      <c r="M526" s="7" t="str">
        <f t="shared" ca="1" si="27"/>
        <v/>
      </c>
      <c r="N526" s="17" t="str">
        <f>IF(OR($A526="",$A526="Grand Total"),IF($A526="Grand Total",SUM($N$15:$N525),""),SUMPRODUCT((Table1[County]=SummaryPage!$A526)*(Table1[Status]&lt;&gt;"Complete")))</f>
        <v/>
      </c>
      <c r="O526" s="6" t="str">
        <f ca="1">IF($A526="Grand Total",SUM(INDIRECT(ADDRESS(1,COLUMN())&amp;":"&amp;ADDRESS(ROW()-1,COLUMN()))),IF(OR($A526="State Agencies",IFERROR(AND($L526&gt;='Input Sheet'!$J$2,$A526&lt;&gt;""),0)),$J526,""))</f>
        <v/>
      </c>
      <c r="P526" s="3" t="str">
        <f>IF(OR($A526="",$A526="Grand Total"),"",IF(IFERROR(ROUND($J526/$K526,2),1000)&gt;='Input Sheet'!$J$2,1,""))</f>
        <v/>
      </c>
      <c r="Q526" s="3" t="str">
        <f t="shared" si="29"/>
        <v/>
      </c>
      <c r="R526" s="3" t="str">
        <f>IF(OR($A526="",$A526="Grand Total"),"",AND($J526=0,(SUMPRODUCT((Table1[County]=SummaryPage!$A526)*(Table1[Status]="Not Started"))+SUMPRODUCT((Table1[County]=SummaryPage!$A526)*(Table1[Status]="")))=SUMPRODUCT((Table1[County]=SummaryPage!$A526)*(Table1[Status]&lt;&gt;"Q"))))</f>
        <v/>
      </c>
    </row>
    <row r="527" spans="11:18" x14ac:dyDescent="0.3">
      <c r="K527" s="28" t="str">
        <f>IF($A527="","",VLOOKUP('Input Sheet'!$D$2 &amp; " " &amp; $A527,Pop[#All],4,FALSE))</f>
        <v/>
      </c>
      <c r="L527" s="5" t="str">
        <f t="shared" si="28"/>
        <v/>
      </c>
      <c r="M527" s="7" t="str">
        <f t="shared" ref="M527:M590" ca="1" si="30">IF(A527="Grand Total","",IF(ISNUMBER($O527),$O527*2/SUM($O:$O),""))</f>
        <v/>
      </c>
      <c r="N527" s="17" t="str">
        <f>IF(OR($A527="",$A527="Grand Total"),IF($A527="Grand Total",SUM($N$15:$N526),""),SUMPRODUCT((Table1[County]=SummaryPage!$A527)*(Table1[Status]&lt;&gt;"Complete")))</f>
        <v/>
      </c>
      <c r="O527" s="6" t="str">
        <f ca="1">IF($A527="Grand Total",SUM(INDIRECT(ADDRESS(1,COLUMN())&amp;":"&amp;ADDRESS(ROW()-1,COLUMN()))),IF(OR($A527="State Agencies",IFERROR(AND($L527&gt;='Input Sheet'!$J$2,$A527&lt;&gt;""),0)),$J527,""))</f>
        <v/>
      </c>
      <c r="P527" s="3" t="str">
        <f>IF(OR($A527="",$A527="Grand Total"),"",IF(IFERROR(ROUND($J527/$K527,2),1000)&gt;='Input Sheet'!$J$2,1,""))</f>
        <v/>
      </c>
      <c r="Q527" s="3" t="str">
        <f t="shared" si="29"/>
        <v/>
      </c>
      <c r="R527" s="3" t="str">
        <f>IF(OR($A527="",$A527="Grand Total"),"",AND($J527=0,(SUMPRODUCT((Table1[County]=SummaryPage!$A527)*(Table1[Status]="Not Started"))+SUMPRODUCT((Table1[County]=SummaryPage!$A527)*(Table1[Status]="")))=SUMPRODUCT((Table1[County]=SummaryPage!$A527)*(Table1[Status]&lt;&gt;"Q"))))</f>
        <v/>
      </c>
    </row>
    <row r="528" spans="11:18" x14ac:dyDescent="0.3">
      <c r="K528" s="28" t="str">
        <f>IF($A528="","",VLOOKUP('Input Sheet'!$D$2 &amp; " " &amp; $A528,Pop[#All],4,FALSE))</f>
        <v/>
      </c>
      <c r="L528" s="5" t="str">
        <f t="shared" ref="L528:L591" si="31">IFERROR(IF($A528="","",ROUND($J528/$K528,2)),"")</f>
        <v/>
      </c>
      <c r="M528" s="7" t="str">
        <f t="shared" ca="1" si="30"/>
        <v/>
      </c>
      <c r="N528" s="17" t="str">
        <f>IF(OR($A528="",$A528="Grand Total"),IF($A528="Grand Total",SUM($N$15:$N527),""),SUMPRODUCT((Table1[County]=SummaryPage!$A528)*(Table1[Status]&lt;&gt;"Complete")))</f>
        <v/>
      </c>
      <c r="O528" s="6" t="str">
        <f ca="1">IF($A528="Grand Total",SUM(INDIRECT(ADDRESS(1,COLUMN())&amp;":"&amp;ADDRESS(ROW()-1,COLUMN()))),IF(OR($A528="State Agencies",IFERROR(AND($L528&gt;='Input Sheet'!$J$2,$A528&lt;&gt;""),0)),$J528,""))</f>
        <v/>
      </c>
      <c r="P528" s="3" t="str">
        <f>IF(OR($A528="",$A528="Grand Total"),"",IF(IFERROR(ROUND($J528/$K528,2),1000)&gt;='Input Sheet'!$J$2,1,""))</f>
        <v/>
      </c>
      <c r="Q528" s="3" t="str">
        <f t="shared" ref="Q528:Q591" si="32">IFERROR($L528*$P528,"")</f>
        <v/>
      </c>
      <c r="R528" s="3" t="str">
        <f>IF(OR($A528="",$A528="Grand Total"),"",AND($J528=0,(SUMPRODUCT((Table1[County]=SummaryPage!$A528)*(Table1[Status]="Not Started"))+SUMPRODUCT((Table1[County]=SummaryPage!$A528)*(Table1[Status]="")))=SUMPRODUCT((Table1[County]=SummaryPage!$A528)*(Table1[Status]&lt;&gt;"Q"))))</f>
        <v/>
      </c>
    </row>
    <row r="529" spans="11:18" x14ac:dyDescent="0.3">
      <c r="K529" s="28" t="str">
        <f>IF($A529="","",VLOOKUP('Input Sheet'!$D$2 &amp; " " &amp; $A529,Pop[#All],4,FALSE))</f>
        <v/>
      </c>
      <c r="L529" s="5" t="str">
        <f t="shared" si="31"/>
        <v/>
      </c>
      <c r="M529" s="7" t="str">
        <f t="shared" ca="1" si="30"/>
        <v/>
      </c>
      <c r="N529" s="17" t="str">
        <f>IF(OR($A529="",$A529="Grand Total"),IF($A529="Grand Total",SUM($N$15:$N528),""),SUMPRODUCT((Table1[County]=SummaryPage!$A529)*(Table1[Status]&lt;&gt;"Complete")))</f>
        <v/>
      </c>
      <c r="O529" s="6" t="str">
        <f ca="1">IF($A529="Grand Total",SUM(INDIRECT(ADDRESS(1,COLUMN())&amp;":"&amp;ADDRESS(ROW()-1,COLUMN()))),IF(OR($A529="State Agencies",IFERROR(AND($L529&gt;='Input Sheet'!$J$2,$A529&lt;&gt;""),0)),$J529,""))</f>
        <v/>
      </c>
      <c r="P529" s="3" t="str">
        <f>IF(OR($A529="",$A529="Grand Total"),"",IF(IFERROR(ROUND($J529/$K529,2),1000)&gt;='Input Sheet'!$J$2,1,""))</f>
        <v/>
      </c>
      <c r="Q529" s="3" t="str">
        <f t="shared" si="32"/>
        <v/>
      </c>
      <c r="R529" s="3" t="str">
        <f>IF(OR($A529="",$A529="Grand Total"),"",AND($J529=0,(SUMPRODUCT((Table1[County]=SummaryPage!$A529)*(Table1[Status]="Not Started"))+SUMPRODUCT((Table1[County]=SummaryPage!$A529)*(Table1[Status]="")))=SUMPRODUCT((Table1[County]=SummaryPage!$A529)*(Table1[Status]&lt;&gt;"Q"))))</f>
        <v/>
      </c>
    </row>
    <row r="530" spans="11:18" x14ac:dyDescent="0.3">
      <c r="K530" s="28" t="str">
        <f>IF($A530="","",VLOOKUP('Input Sheet'!$D$2 &amp; " " &amp; $A530,Pop[#All],4,FALSE))</f>
        <v/>
      </c>
      <c r="L530" s="5" t="str">
        <f t="shared" si="31"/>
        <v/>
      </c>
      <c r="M530" s="7" t="str">
        <f t="shared" ca="1" si="30"/>
        <v/>
      </c>
      <c r="N530" s="17" t="str">
        <f>IF(OR($A530="",$A530="Grand Total"),IF($A530="Grand Total",SUM($N$15:$N529),""),SUMPRODUCT((Table1[County]=SummaryPage!$A530)*(Table1[Status]&lt;&gt;"Complete")))</f>
        <v/>
      </c>
      <c r="O530" s="6" t="str">
        <f ca="1">IF($A530="Grand Total",SUM(INDIRECT(ADDRESS(1,COLUMN())&amp;":"&amp;ADDRESS(ROW()-1,COLUMN()))),IF(OR($A530="State Agencies",IFERROR(AND($L530&gt;='Input Sheet'!$J$2,$A530&lt;&gt;""),0)),$J530,""))</f>
        <v/>
      </c>
      <c r="P530" s="3" t="str">
        <f>IF(OR($A530="",$A530="Grand Total"),"",IF(IFERROR(ROUND($J530/$K530,2),1000)&gt;='Input Sheet'!$J$2,1,""))</f>
        <v/>
      </c>
      <c r="Q530" s="3" t="str">
        <f t="shared" si="32"/>
        <v/>
      </c>
      <c r="R530" s="3" t="str">
        <f>IF(OR($A530="",$A530="Grand Total"),"",AND($J530=0,(SUMPRODUCT((Table1[County]=SummaryPage!$A530)*(Table1[Status]="Not Started"))+SUMPRODUCT((Table1[County]=SummaryPage!$A530)*(Table1[Status]="")))=SUMPRODUCT((Table1[County]=SummaryPage!$A530)*(Table1[Status]&lt;&gt;"Q"))))</f>
        <v/>
      </c>
    </row>
    <row r="531" spans="11:18" x14ac:dyDescent="0.3">
      <c r="K531" s="28" t="str">
        <f>IF($A531="","",VLOOKUP('Input Sheet'!$D$2 &amp; " " &amp; $A531,Pop[#All],4,FALSE))</f>
        <v/>
      </c>
      <c r="L531" s="5" t="str">
        <f t="shared" si="31"/>
        <v/>
      </c>
      <c r="M531" s="7" t="str">
        <f t="shared" ca="1" si="30"/>
        <v/>
      </c>
      <c r="N531" s="17" t="str">
        <f>IF(OR($A531="",$A531="Grand Total"),IF($A531="Grand Total",SUM($N$15:$N530),""),SUMPRODUCT((Table1[County]=SummaryPage!$A531)*(Table1[Status]&lt;&gt;"Complete")))</f>
        <v/>
      </c>
      <c r="O531" s="6" t="str">
        <f ca="1">IF($A531="Grand Total",SUM(INDIRECT(ADDRESS(1,COLUMN())&amp;":"&amp;ADDRESS(ROW()-1,COLUMN()))),IF(OR($A531="State Agencies",IFERROR(AND($L531&gt;='Input Sheet'!$J$2,$A531&lt;&gt;""),0)),$J531,""))</f>
        <v/>
      </c>
      <c r="P531" s="3" t="str">
        <f>IF(OR($A531="",$A531="Grand Total"),"",IF(IFERROR(ROUND($J531/$K531,2),1000)&gt;='Input Sheet'!$J$2,1,""))</f>
        <v/>
      </c>
      <c r="Q531" s="3" t="str">
        <f t="shared" si="32"/>
        <v/>
      </c>
      <c r="R531" s="3" t="str">
        <f>IF(OR($A531="",$A531="Grand Total"),"",AND($J531=0,(SUMPRODUCT((Table1[County]=SummaryPage!$A531)*(Table1[Status]="Not Started"))+SUMPRODUCT((Table1[County]=SummaryPage!$A531)*(Table1[Status]="")))=SUMPRODUCT((Table1[County]=SummaryPage!$A531)*(Table1[Status]&lt;&gt;"Q"))))</f>
        <v/>
      </c>
    </row>
    <row r="532" spans="11:18" x14ac:dyDescent="0.3">
      <c r="K532" s="28" t="str">
        <f>IF($A532="","",VLOOKUP('Input Sheet'!$D$2 &amp; " " &amp; $A532,Pop[#All],4,FALSE))</f>
        <v/>
      </c>
      <c r="L532" s="5" t="str">
        <f t="shared" si="31"/>
        <v/>
      </c>
      <c r="M532" s="7" t="str">
        <f t="shared" ca="1" si="30"/>
        <v/>
      </c>
      <c r="N532" s="17" t="str">
        <f>IF(OR($A532="",$A532="Grand Total"),IF($A532="Grand Total",SUM($N$15:$N531),""),SUMPRODUCT((Table1[County]=SummaryPage!$A532)*(Table1[Status]&lt;&gt;"Complete")))</f>
        <v/>
      </c>
      <c r="O532" s="6" t="str">
        <f ca="1">IF($A532="Grand Total",SUM(INDIRECT(ADDRESS(1,COLUMN())&amp;":"&amp;ADDRESS(ROW()-1,COLUMN()))),IF(OR($A532="State Agencies",IFERROR(AND($L532&gt;='Input Sheet'!$J$2,$A532&lt;&gt;""),0)),$J532,""))</f>
        <v/>
      </c>
      <c r="P532" s="3" t="str">
        <f>IF(OR($A532="",$A532="Grand Total"),"",IF(IFERROR(ROUND($J532/$K532,2),1000)&gt;='Input Sheet'!$J$2,1,""))</f>
        <v/>
      </c>
      <c r="Q532" s="3" t="str">
        <f t="shared" si="32"/>
        <v/>
      </c>
      <c r="R532" s="3" t="str">
        <f>IF(OR($A532="",$A532="Grand Total"),"",AND($J532=0,(SUMPRODUCT((Table1[County]=SummaryPage!$A532)*(Table1[Status]="Not Started"))+SUMPRODUCT((Table1[County]=SummaryPage!$A532)*(Table1[Status]="")))=SUMPRODUCT((Table1[County]=SummaryPage!$A532)*(Table1[Status]&lt;&gt;"Q"))))</f>
        <v/>
      </c>
    </row>
    <row r="533" spans="11:18" x14ac:dyDescent="0.3">
      <c r="K533" s="28" t="str">
        <f>IF($A533="","",VLOOKUP('Input Sheet'!$D$2 &amp; " " &amp; $A533,Pop[#All],4,FALSE))</f>
        <v/>
      </c>
      <c r="L533" s="5" t="str">
        <f t="shared" si="31"/>
        <v/>
      </c>
      <c r="M533" s="7" t="str">
        <f t="shared" ca="1" si="30"/>
        <v/>
      </c>
      <c r="N533" s="17" t="str">
        <f>IF(OR($A533="",$A533="Grand Total"),IF($A533="Grand Total",SUM($N$15:$N532),""),SUMPRODUCT((Table1[County]=SummaryPage!$A533)*(Table1[Status]&lt;&gt;"Complete")))</f>
        <v/>
      </c>
      <c r="O533" s="6" t="str">
        <f ca="1">IF($A533="Grand Total",SUM(INDIRECT(ADDRESS(1,COLUMN())&amp;":"&amp;ADDRESS(ROW()-1,COLUMN()))),IF(OR($A533="State Agencies",IFERROR(AND($L533&gt;='Input Sheet'!$J$2,$A533&lt;&gt;""),0)),$J533,""))</f>
        <v/>
      </c>
      <c r="P533" s="3" t="str">
        <f>IF(OR($A533="",$A533="Grand Total"),"",IF(IFERROR(ROUND($J533/$K533,2),1000)&gt;='Input Sheet'!$J$2,1,""))</f>
        <v/>
      </c>
      <c r="Q533" s="3" t="str">
        <f t="shared" si="32"/>
        <v/>
      </c>
      <c r="R533" s="3" t="str">
        <f>IF(OR($A533="",$A533="Grand Total"),"",AND($J533=0,(SUMPRODUCT((Table1[County]=SummaryPage!$A533)*(Table1[Status]="Not Started"))+SUMPRODUCT((Table1[County]=SummaryPage!$A533)*(Table1[Status]="")))=SUMPRODUCT((Table1[County]=SummaryPage!$A533)*(Table1[Status]&lt;&gt;"Q"))))</f>
        <v/>
      </c>
    </row>
    <row r="534" spans="11:18" x14ac:dyDescent="0.3">
      <c r="K534" s="28" t="str">
        <f>IF($A534="","",VLOOKUP('Input Sheet'!$D$2 &amp; " " &amp; $A534,Pop[#All],4,FALSE))</f>
        <v/>
      </c>
      <c r="L534" s="5" t="str">
        <f t="shared" si="31"/>
        <v/>
      </c>
      <c r="M534" s="7" t="str">
        <f t="shared" ca="1" si="30"/>
        <v/>
      </c>
      <c r="N534" s="17" t="str">
        <f>IF(OR($A534="",$A534="Grand Total"),IF($A534="Grand Total",SUM($N$15:$N533),""),SUMPRODUCT((Table1[County]=SummaryPage!$A534)*(Table1[Status]&lt;&gt;"Complete")))</f>
        <v/>
      </c>
      <c r="O534" s="6" t="str">
        <f ca="1">IF($A534="Grand Total",SUM(INDIRECT(ADDRESS(1,COLUMN())&amp;":"&amp;ADDRESS(ROW()-1,COLUMN()))),IF(OR($A534="State Agencies",IFERROR(AND($L534&gt;='Input Sheet'!$J$2,$A534&lt;&gt;""),0)),$J534,""))</f>
        <v/>
      </c>
      <c r="P534" s="3" t="str">
        <f>IF(OR($A534="",$A534="Grand Total"),"",IF(IFERROR(ROUND($J534/$K534,2),1000)&gt;='Input Sheet'!$J$2,1,""))</f>
        <v/>
      </c>
      <c r="Q534" s="3" t="str">
        <f t="shared" si="32"/>
        <v/>
      </c>
      <c r="R534" s="3" t="str">
        <f>IF(OR($A534="",$A534="Grand Total"),"",AND($J534=0,(SUMPRODUCT((Table1[County]=SummaryPage!$A534)*(Table1[Status]="Not Started"))+SUMPRODUCT((Table1[County]=SummaryPage!$A534)*(Table1[Status]="")))=SUMPRODUCT((Table1[County]=SummaryPage!$A534)*(Table1[Status]&lt;&gt;"Q"))))</f>
        <v/>
      </c>
    </row>
    <row r="535" spans="11:18" x14ac:dyDescent="0.3">
      <c r="K535" s="28" t="str">
        <f>IF($A535="","",VLOOKUP('Input Sheet'!$D$2 &amp; " " &amp; $A535,Pop[#All],4,FALSE))</f>
        <v/>
      </c>
      <c r="L535" s="5" t="str">
        <f t="shared" si="31"/>
        <v/>
      </c>
      <c r="M535" s="7" t="str">
        <f t="shared" ca="1" si="30"/>
        <v/>
      </c>
      <c r="N535" s="17" t="str">
        <f>IF(OR($A535="",$A535="Grand Total"),IF($A535="Grand Total",SUM($N$15:$N534),""),SUMPRODUCT((Table1[County]=SummaryPage!$A535)*(Table1[Status]&lt;&gt;"Complete")))</f>
        <v/>
      </c>
      <c r="O535" s="6" t="str">
        <f ca="1">IF($A535="Grand Total",SUM(INDIRECT(ADDRESS(1,COLUMN())&amp;":"&amp;ADDRESS(ROW()-1,COLUMN()))),IF(OR($A535="State Agencies",IFERROR(AND($L535&gt;='Input Sheet'!$J$2,$A535&lt;&gt;""),0)),$J535,""))</f>
        <v/>
      </c>
      <c r="P535" s="3" t="str">
        <f>IF(OR($A535="",$A535="Grand Total"),"",IF(IFERROR(ROUND($J535/$K535,2),1000)&gt;='Input Sheet'!$J$2,1,""))</f>
        <v/>
      </c>
      <c r="Q535" s="3" t="str">
        <f t="shared" si="32"/>
        <v/>
      </c>
      <c r="R535" s="3" t="str">
        <f>IF(OR($A535="",$A535="Grand Total"),"",AND($J535=0,(SUMPRODUCT((Table1[County]=SummaryPage!$A535)*(Table1[Status]="Not Started"))+SUMPRODUCT((Table1[County]=SummaryPage!$A535)*(Table1[Status]="")))=SUMPRODUCT((Table1[County]=SummaryPage!$A535)*(Table1[Status]&lt;&gt;"Q"))))</f>
        <v/>
      </c>
    </row>
    <row r="536" spans="11:18" x14ac:dyDescent="0.3">
      <c r="K536" s="28" t="str">
        <f>IF($A536="","",VLOOKUP('Input Sheet'!$D$2 &amp; " " &amp; $A536,Pop[#All],4,FALSE))</f>
        <v/>
      </c>
      <c r="L536" s="5" t="str">
        <f t="shared" si="31"/>
        <v/>
      </c>
      <c r="M536" s="7" t="str">
        <f t="shared" ca="1" si="30"/>
        <v/>
      </c>
      <c r="N536" s="17" t="str">
        <f>IF(OR($A536="",$A536="Grand Total"),IF($A536="Grand Total",SUM($N$15:$N535),""),SUMPRODUCT((Table1[County]=SummaryPage!$A536)*(Table1[Status]&lt;&gt;"Complete")))</f>
        <v/>
      </c>
      <c r="O536" s="6" t="str">
        <f ca="1">IF($A536="Grand Total",SUM(INDIRECT(ADDRESS(1,COLUMN())&amp;":"&amp;ADDRESS(ROW()-1,COLUMN()))),IF(OR($A536="State Agencies",IFERROR(AND($L536&gt;='Input Sheet'!$J$2,$A536&lt;&gt;""),0)),$J536,""))</f>
        <v/>
      </c>
      <c r="P536" s="3" t="str">
        <f>IF(OR($A536="",$A536="Grand Total"),"",IF(IFERROR(ROUND($J536/$K536,2),1000)&gt;='Input Sheet'!$J$2,1,""))</f>
        <v/>
      </c>
      <c r="Q536" s="3" t="str">
        <f t="shared" si="32"/>
        <v/>
      </c>
      <c r="R536" s="3" t="str">
        <f>IF(OR($A536="",$A536="Grand Total"),"",AND($J536=0,(SUMPRODUCT((Table1[County]=SummaryPage!$A536)*(Table1[Status]="Not Started"))+SUMPRODUCT((Table1[County]=SummaryPage!$A536)*(Table1[Status]="")))=SUMPRODUCT((Table1[County]=SummaryPage!$A536)*(Table1[Status]&lt;&gt;"Q"))))</f>
        <v/>
      </c>
    </row>
    <row r="537" spans="11:18" x14ac:dyDescent="0.3">
      <c r="K537" s="28" t="str">
        <f>IF($A537="","",VLOOKUP('Input Sheet'!$D$2 &amp; " " &amp; $A537,Pop[#All],4,FALSE))</f>
        <v/>
      </c>
      <c r="L537" s="5" t="str">
        <f t="shared" si="31"/>
        <v/>
      </c>
      <c r="M537" s="7" t="str">
        <f t="shared" ca="1" si="30"/>
        <v/>
      </c>
      <c r="N537" s="17" t="str">
        <f>IF(OR($A537="",$A537="Grand Total"),IF($A537="Grand Total",SUM($N$15:$N536),""),SUMPRODUCT((Table1[County]=SummaryPage!$A537)*(Table1[Status]&lt;&gt;"Complete")))</f>
        <v/>
      </c>
      <c r="O537" s="6" t="str">
        <f ca="1">IF($A537="Grand Total",SUM(INDIRECT(ADDRESS(1,COLUMN())&amp;":"&amp;ADDRESS(ROW()-1,COLUMN()))),IF(OR($A537="State Agencies",IFERROR(AND($L537&gt;='Input Sheet'!$J$2,$A537&lt;&gt;""),0)),$J537,""))</f>
        <v/>
      </c>
      <c r="P537" s="3" t="str">
        <f>IF(OR($A537="",$A537="Grand Total"),"",IF(IFERROR(ROUND($J537/$K537,2),1000)&gt;='Input Sheet'!$J$2,1,""))</f>
        <v/>
      </c>
      <c r="Q537" s="3" t="str">
        <f t="shared" si="32"/>
        <v/>
      </c>
      <c r="R537" s="3" t="str">
        <f>IF(OR($A537="",$A537="Grand Total"),"",AND($J537=0,(SUMPRODUCT((Table1[County]=SummaryPage!$A537)*(Table1[Status]="Not Started"))+SUMPRODUCT((Table1[County]=SummaryPage!$A537)*(Table1[Status]="")))=SUMPRODUCT((Table1[County]=SummaryPage!$A537)*(Table1[Status]&lt;&gt;"Q"))))</f>
        <v/>
      </c>
    </row>
    <row r="538" spans="11:18" x14ac:dyDescent="0.3">
      <c r="K538" s="28" t="str">
        <f>IF($A538="","",VLOOKUP('Input Sheet'!$D$2 &amp; " " &amp; $A538,Pop[#All],4,FALSE))</f>
        <v/>
      </c>
      <c r="L538" s="5" t="str">
        <f t="shared" si="31"/>
        <v/>
      </c>
      <c r="M538" s="7" t="str">
        <f t="shared" ca="1" si="30"/>
        <v/>
      </c>
      <c r="N538" s="17" t="str">
        <f>IF(OR($A538="",$A538="Grand Total"),IF($A538="Grand Total",SUM($N$15:$N537),""),SUMPRODUCT((Table1[County]=SummaryPage!$A538)*(Table1[Status]&lt;&gt;"Complete")))</f>
        <v/>
      </c>
      <c r="O538" s="6" t="str">
        <f ca="1">IF($A538="Grand Total",SUM(INDIRECT(ADDRESS(1,COLUMN())&amp;":"&amp;ADDRESS(ROW()-1,COLUMN()))),IF(OR($A538="State Agencies",IFERROR(AND($L538&gt;='Input Sheet'!$J$2,$A538&lt;&gt;""),0)),$J538,""))</f>
        <v/>
      </c>
      <c r="P538" s="3" t="str">
        <f>IF(OR($A538="",$A538="Grand Total"),"",IF(IFERROR(ROUND($J538/$K538,2),1000)&gt;='Input Sheet'!$J$2,1,""))</f>
        <v/>
      </c>
      <c r="Q538" s="3" t="str">
        <f t="shared" si="32"/>
        <v/>
      </c>
      <c r="R538" s="3" t="str">
        <f>IF(OR($A538="",$A538="Grand Total"),"",AND($J538=0,(SUMPRODUCT((Table1[County]=SummaryPage!$A538)*(Table1[Status]="Not Started"))+SUMPRODUCT((Table1[County]=SummaryPage!$A538)*(Table1[Status]="")))=SUMPRODUCT((Table1[County]=SummaryPage!$A538)*(Table1[Status]&lt;&gt;"Q"))))</f>
        <v/>
      </c>
    </row>
    <row r="539" spans="11:18" x14ac:dyDescent="0.3">
      <c r="K539" s="28" t="str">
        <f>IF($A539="","",VLOOKUP('Input Sheet'!$D$2 &amp; " " &amp; $A539,Pop[#All],4,FALSE))</f>
        <v/>
      </c>
      <c r="L539" s="5" t="str">
        <f t="shared" si="31"/>
        <v/>
      </c>
      <c r="M539" s="7" t="str">
        <f t="shared" ca="1" si="30"/>
        <v/>
      </c>
      <c r="N539" s="17" t="str">
        <f>IF(OR($A539="",$A539="Grand Total"),IF($A539="Grand Total",SUM($N$15:$N538),""),SUMPRODUCT((Table1[County]=SummaryPage!$A539)*(Table1[Status]&lt;&gt;"Complete")))</f>
        <v/>
      </c>
      <c r="O539" s="6" t="str">
        <f ca="1">IF($A539="Grand Total",SUM(INDIRECT(ADDRESS(1,COLUMN())&amp;":"&amp;ADDRESS(ROW()-1,COLUMN()))),IF(OR($A539="State Agencies",IFERROR(AND($L539&gt;='Input Sheet'!$J$2,$A539&lt;&gt;""),0)),$J539,""))</f>
        <v/>
      </c>
      <c r="P539" s="3" t="str">
        <f>IF(OR($A539="",$A539="Grand Total"),"",IF(IFERROR(ROUND($J539/$K539,2),1000)&gt;='Input Sheet'!$J$2,1,""))</f>
        <v/>
      </c>
      <c r="Q539" s="3" t="str">
        <f t="shared" si="32"/>
        <v/>
      </c>
      <c r="R539" s="3" t="str">
        <f>IF(OR($A539="",$A539="Grand Total"),"",AND($J539=0,(SUMPRODUCT((Table1[County]=SummaryPage!$A539)*(Table1[Status]="Not Started"))+SUMPRODUCT((Table1[County]=SummaryPage!$A539)*(Table1[Status]="")))=SUMPRODUCT((Table1[County]=SummaryPage!$A539)*(Table1[Status]&lt;&gt;"Q"))))</f>
        <v/>
      </c>
    </row>
    <row r="540" spans="11:18" x14ac:dyDescent="0.3">
      <c r="K540" s="28" t="str">
        <f>IF($A540="","",VLOOKUP('Input Sheet'!$D$2 &amp; " " &amp; $A540,Pop[#All],4,FALSE))</f>
        <v/>
      </c>
      <c r="L540" s="5" t="str">
        <f t="shared" si="31"/>
        <v/>
      </c>
      <c r="M540" s="7" t="str">
        <f t="shared" ca="1" si="30"/>
        <v/>
      </c>
      <c r="N540" s="17" t="str">
        <f>IF(OR($A540="",$A540="Grand Total"),IF($A540="Grand Total",SUM($N$15:$N539),""),SUMPRODUCT((Table1[County]=SummaryPage!$A540)*(Table1[Status]&lt;&gt;"Complete")))</f>
        <v/>
      </c>
      <c r="O540" s="6" t="str">
        <f ca="1">IF($A540="Grand Total",SUM(INDIRECT(ADDRESS(1,COLUMN())&amp;":"&amp;ADDRESS(ROW()-1,COLUMN()))),IF(OR($A540="State Agencies",IFERROR(AND($L540&gt;='Input Sheet'!$J$2,$A540&lt;&gt;""),0)),$J540,""))</f>
        <v/>
      </c>
      <c r="P540" s="3" t="str">
        <f>IF(OR($A540="",$A540="Grand Total"),"",IF(IFERROR(ROUND($J540/$K540,2),1000)&gt;='Input Sheet'!$J$2,1,""))</f>
        <v/>
      </c>
      <c r="Q540" s="3" t="str">
        <f t="shared" si="32"/>
        <v/>
      </c>
      <c r="R540" s="3" t="str">
        <f>IF(OR($A540="",$A540="Grand Total"),"",AND($J540=0,(SUMPRODUCT((Table1[County]=SummaryPage!$A540)*(Table1[Status]="Not Started"))+SUMPRODUCT((Table1[County]=SummaryPage!$A540)*(Table1[Status]="")))=SUMPRODUCT((Table1[County]=SummaryPage!$A540)*(Table1[Status]&lt;&gt;"Q"))))</f>
        <v/>
      </c>
    </row>
    <row r="541" spans="11:18" x14ac:dyDescent="0.3">
      <c r="K541" s="28" t="str">
        <f>IF($A541="","",VLOOKUP('Input Sheet'!$D$2 &amp; " " &amp; $A541,Pop[#All],4,FALSE))</f>
        <v/>
      </c>
      <c r="L541" s="5" t="str">
        <f t="shared" si="31"/>
        <v/>
      </c>
      <c r="M541" s="7" t="str">
        <f t="shared" ca="1" si="30"/>
        <v/>
      </c>
      <c r="N541" s="17" t="str">
        <f>IF(OR($A541="",$A541="Grand Total"),IF($A541="Grand Total",SUM($N$15:$N540),""),SUMPRODUCT((Table1[County]=SummaryPage!$A541)*(Table1[Status]&lt;&gt;"Complete")))</f>
        <v/>
      </c>
      <c r="O541" s="6" t="str">
        <f ca="1">IF($A541="Grand Total",SUM(INDIRECT(ADDRESS(1,COLUMN())&amp;":"&amp;ADDRESS(ROW()-1,COLUMN()))),IF(OR($A541="State Agencies",IFERROR(AND($L541&gt;='Input Sheet'!$J$2,$A541&lt;&gt;""),0)),$J541,""))</f>
        <v/>
      </c>
      <c r="P541" s="3" t="str">
        <f>IF(OR($A541="",$A541="Grand Total"),"",IF(IFERROR(ROUND($J541/$K541,2),1000)&gt;='Input Sheet'!$J$2,1,""))</f>
        <v/>
      </c>
      <c r="Q541" s="3" t="str">
        <f t="shared" si="32"/>
        <v/>
      </c>
      <c r="R541" s="3" t="str">
        <f>IF(OR($A541="",$A541="Grand Total"),"",AND($J541=0,(SUMPRODUCT((Table1[County]=SummaryPage!$A541)*(Table1[Status]="Not Started"))+SUMPRODUCT((Table1[County]=SummaryPage!$A541)*(Table1[Status]="")))=SUMPRODUCT((Table1[County]=SummaryPage!$A541)*(Table1[Status]&lt;&gt;"Q"))))</f>
        <v/>
      </c>
    </row>
    <row r="542" spans="11:18" x14ac:dyDescent="0.3">
      <c r="K542" s="28" t="str">
        <f>IF($A542="","",VLOOKUP('Input Sheet'!$D$2 &amp; " " &amp; $A542,Pop[#All],4,FALSE))</f>
        <v/>
      </c>
      <c r="L542" s="5" t="str">
        <f t="shared" si="31"/>
        <v/>
      </c>
      <c r="M542" s="7" t="str">
        <f t="shared" ca="1" si="30"/>
        <v/>
      </c>
      <c r="N542" s="17" t="str">
        <f>IF(OR($A542="",$A542="Grand Total"),IF($A542="Grand Total",SUM($N$15:$N541),""),SUMPRODUCT((Table1[County]=SummaryPage!$A542)*(Table1[Status]&lt;&gt;"Complete")))</f>
        <v/>
      </c>
      <c r="O542" s="6" t="str">
        <f ca="1">IF($A542="Grand Total",SUM(INDIRECT(ADDRESS(1,COLUMN())&amp;":"&amp;ADDRESS(ROW()-1,COLUMN()))),IF(OR($A542="State Agencies",IFERROR(AND($L542&gt;='Input Sheet'!$J$2,$A542&lt;&gt;""),0)),$J542,""))</f>
        <v/>
      </c>
      <c r="P542" s="3" t="str">
        <f>IF(OR($A542="",$A542="Grand Total"),"",IF(IFERROR(ROUND($J542/$K542,2),1000)&gt;='Input Sheet'!$J$2,1,""))</f>
        <v/>
      </c>
      <c r="Q542" s="3" t="str">
        <f t="shared" si="32"/>
        <v/>
      </c>
      <c r="R542" s="3" t="str">
        <f>IF(OR($A542="",$A542="Grand Total"),"",AND($J542=0,(SUMPRODUCT((Table1[County]=SummaryPage!$A542)*(Table1[Status]="Not Started"))+SUMPRODUCT((Table1[County]=SummaryPage!$A542)*(Table1[Status]="")))=SUMPRODUCT((Table1[County]=SummaryPage!$A542)*(Table1[Status]&lt;&gt;"Q"))))</f>
        <v/>
      </c>
    </row>
    <row r="543" spans="11:18" x14ac:dyDescent="0.3">
      <c r="K543" s="28" t="str">
        <f>IF($A543="","",VLOOKUP('Input Sheet'!$D$2 &amp; " " &amp; $A543,Pop[#All],4,FALSE))</f>
        <v/>
      </c>
      <c r="L543" s="5" t="str">
        <f t="shared" si="31"/>
        <v/>
      </c>
      <c r="M543" s="7" t="str">
        <f t="shared" ca="1" si="30"/>
        <v/>
      </c>
      <c r="N543" s="17" t="str">
        <f>IF(OR($A543="",$A543="Grand Total"),IF($A543="Grand Total",SUM($N$15:$N542),""),SUMPRODUCT((Table1[County]=SummaryPage!$A543)*(Table1[Status]&lt;&gt;"Complete")))</f>
        <v/>
      </c>
      <c r="O543" s="6" t="str">
        <f ca="1">IF($A543="Grand Total",SUM(INDIRECT(ADDRESS(1,COLUMN())&amp;":"&amp;ADDRESS(ROW()-1,COLUMN()))),IF(OR($A543="State Agencies",IFERROR(AND($L543&gt;='Input Sheet'!$J$2,$A543&lt;&gt;""),0)),$J543,""))</f>
        <v/>
      </c>
      <c r="P543" s="3" t="str">
        <f>IF(OR($A543="",$A543="Grand Total"),"",IF(IFERROR(ROUND($J543/$K543,2),1000)&gt;='Input Sheet'!$J$2,1,""))</f>
        <v/>
      </c>
      <c r="Q543" s="3" t="str">
        <f t="shared" si="32"/>
        <v/>
      </c>
      <c r="R543" s="3" t="str">
        <f>IF(OR($A543="",$A543="Grand Total"),"",AND($J543=0,(SUMPRODUCT((Table1[County]=SummaryPage!$A543)*(Table1[Status]="Not Started"))+SUMPRODUCT((Table1[County]=SummaryPage!$A543)*(Table1[Status]="")))=SUMPRODUCT((Table1[County]=SummaryPage!$A543)*(Table1[Status]&lt;&gt;"Q"))))</f>
        <v/>
      </c>
    </row>
    <row r="544" spans="11:18" x14ac:dyDescent="0.3">
      <c r="K544" s="28" t="str">
        <f>IF($A544="","",VLOOKUP('Input Sheet'!$D$2 &amp; " " &amp; $A544,Pop[#All],4,FALSE))</f>
        <v/>
      </c>
      <c r="L544" s="5" t="str">
        <f t="shared" si="31"/>
        <v/>
      </c>
      <c r="M544" s="7" t="str">
        <f t="shared" ca="1" si="30"/>
        <v/>
      </c>
      <c r="N544" s="17" t="str">
        <f>IF(OR($A544="",$A544="Grand Total"),IF($A544="Grand Total",SUM($N$15:$N543),""),SUMPRODUCT((Table1[County]=SummaryPage!$A544)*(Table1[Status]&lt;&gt;"Complete")))</f>
        <v/>
      </c>
      <c r="O544" s="6" t="str">
        <f ca="1">IF($A544="Grand Total",SUM(INDIRECT(ADDRESS(1,COLUMN())&amp;":"&amp;ADDRESS(ROW()-1,COLUMN()))),IF(OR($A544="State Agencies",IFERROR(AND($L544&gt;='Input Sheet'!$J$2,$A544&lt;&gt;""),0)),$J544,""))</f>
        <v/>
      </c>
      <c r="P544" s="3" t="str">
        <f>IF(OR($A544="",$A544="Grand Total"),"",IF(IFERROR(ROUND($J544/$K544,2),1000)&gt;='Input Sheet'!$J$2,1,""))</f>
        <v/>
      </c>
      <c r="Q544" s="3" t="str">
        <f t="shared" si="32"/>
        <v/>
      </c>
      <c r="R544" s="3" t="str">
        <f>IF(OR($A544="",$A544="Grand Total"),"",AND($J544=0,(SUMPRODUCT((Table1[County]=SummaryPage!$A544)*(Table1[Status]="Not Started"))+SUMPRODUCT((Table1[County]=SummaryPage!$A544)*(Table1[Status]="")))=SUMPRODUCT((Table1[County]=SummaryPage!$A544)*(Table1[Status]&lt;&gt;"Q"))))</f>
        <v/>
      </c>
    </row>
    <row r="545" spans="11:18" x14ac:dyDescent="0.3">
      <c r="K545" s="28" t="str">
        <f>IF($A545="","",VLOOKUP('Input Sheet'!$D$2 &amp; " " &amp; $A545,Pop[#All],4,FALSE))</f>
        <v/>
      </c>
      <c r="L545" s="5" t="str">
        <f t="shared" si="31"/>
        <v/>
      </c>
      <c r="M545" s="7" t="str">
        <f t="shared" ca="1" si="30"/>
        <v/>
      </c>
      <c r="N545" s="17" t="str">
        <f>IF(OR($A545="",$A545="Grand Total"),IF($A545="Grand Total",SUM($N$15:$N544),""),SUMPRODUCT((Table1[County]=SummaryPage!$A545)*(Table1[Status]&lt;&gt;"Complete")))</f>
        <v/>
      </c>
      <c r="O545" s="6" t="str">
        <f ca="1">IF($A545="Grand Total",SUM(INDIRECT(ADDRESS(1,COLUMN())&amp;":"&amp;ADDRESS(ROW()-1,COLUMN()))),IF(OR($A545="State Agencies",IFERROR(AND($L545&gt;='Input Sheet'!$J$2,$A545&lt;&gt;""),0)),$J545,""))</f>
        <v/>
      </c>
      <c r="P545" s="3" t="str">
        <f>IF(OR($A545="",$A545="Grand Total"),"",IF(IFERROR(ROUND($J545/$K545,2),1000)&gt;='Input Sheet'!$J$2,1,""))</f>
        <v/>
      </c>
      <c r="Q545" s="3" t="str">
        <f t="shared" si="32"/>
        <v/>
      </c>
      <c r="R545" s="3" t="str">
        <f>IF(OR($A545="",$A545="Grand Total"),"",AND($J545=0,(SUMPRODUCT((Table1[County]=SummaryPage!$A545)*(Table1[Status]="Not Started"))+SUMPRODUCT((Table1[County]=SummaryPage!$A545)*(Table1[Status]="")))=SUMPRODUCT((Table1[County]=SummaryPage!$A545)*(Table1[Status]&lt;&gt;"Q"))))</f>
        <v/>
      </c>
    </row>
    <row r="546" spans="11:18" x14ac:dyDescent="0.3">
      <c r="K546" s="28" t="str">
        <f>IF($A546="","",VLOOKUP('Input Sheet'!$D$2 &amp; " " &amp; $A546,Pop[#All],4,FALSE))</f>
        <v/>
      </c>
      <c r="L546" s="5" t="str">
        <f t="shared" si="31"/>
        <v/>
      </c>
      <c r="M546" s="7" t="str">
        <f t="shared" ca="1" si="30"/>
        <v/>
      </c>
      <c r="N546" s="17" t="str">
        <f>IF(OR($A546="",$A546="Grand Total"),IF($A546="Grand Total",SUM($N$15:$N545),""),SUMPRODUCT((Table1[County]=SummaryPage!$A546)*(Table1[Status]&lt;&gt;"Complete")))</f>
        <v/>
      </c>
      <c r="O546" s="6" t="str">
        <f ca="1">IF($A546="Grand Total",SUM(INDIRECT(ADDRESS(1,COLUMN())&amp;":"&amp;ADDRESS(ROW()-1,COLUMN()))),IF(OR($A546="State Agencies",IFERROR(AND($L546&gt;='Input Sheet'!$J$2,$A546&lt;&gt;""),0)),$J546,""))</f>
        <v/>
      </c>
      <c r="P546" s="3" t="str">
        <f>IF(OR($A546="",$A546="Grand Total"),"",IF(IFERROR(ROUND($J546/$K546,2),1000)&gt;='Input Sheet'!$J$2,1,""))</f>
        <v/>
      </c>
      <c r="Q546" s="3" t="str">
        <f t="shared" si="32"/>
        <v/>
      </c>
      <c r="R546" s="3" t="str">
        <f>IF(OR($A546="",$A546="Grand Total"),"",AND($J546=0,(SUMPRODUCT((Table1[County]=SummaryPage!$A546)*(Table1[Status]="Not Started"))+SUMPRODUCT((Table1[County]=SummaryPage!$A546)*(Table1[Status]="")))=SUMPRODUCT((Table1[County]=SummaryPage!$A546)*(Table1[Status]&lt;&gt;"Q"))))</f>
        <v/>
      </c>
    </row>
    <row r="547" spans="11:18" x14ac:dyDescent="0.3">
      <c r="K547" s="28" t="str">
        <f>IF($A547="","",VLOOKUP('Input Sheet'!$D$2 &amp; " " &amp; $A547,Pop[#All],4,FALSE))</f>
        <v/>
      </c>
      <c r="L547" s="5" t="str">
        <f t="shared" si="31"/>
        <v/>
      </c>
      <c r="M547" s="7" t="str">
        <f t="shared" ca="1" si="30"/>
        <v/>
      </c>
      <c r="N547" s="17" t="str">
        <f>IF(OR($A547="",$A547="Grand Total"),IF($A547="Grand Total",SUM($N$15:$N546),""),SUMPRODUCT((Table1[County]=SummaryPage!$A547)*(Table1[Status]&lt;&gt;"Complete")))</f>
        <v/>
      </c>
      <c r="O547" s="6" t="str">
        <f ca="1">IF($A547="Grand Total",SUM(INDIRECT(ADDRESS(1,COLUMN())&amp;":"&amp;ADDRESS(ROW()-1,COLUMN()))),IF(OR($A547="State Agencies",IFERROR(AND($L547&gt;='Input Sheet'!$J$2,$A547&lt;&gt;""),0)),$J547,""))</f>
        <v/>
      </c>
      <c r="P547" s="3" t="str">
        <f>IF(OR($A547="",$A547="Grand Total"),"",IF(IFERROR(ROUND($J547/$K547,2),1000)&gt;='Input Sheet'!$J$2,1,""))</f>
        <v/>
      </c>
      <c r="Q547" s="3" t="str">
        <f t="shared" si="32"/>
        <v/>
      </c>
      <c r="R547" s="3" t="str">
        <f>IF(OR($A547="",$A547="Grand Total"),"",AND($J547=0,(SUMPRODUCT((Table1[County]=SummaryPage!$A547)*(Table1[Status]="Not Started"))+SUMPRODUCT((Table1[County]=SummaryPage!$A547)*(Table1[Status]="")))=SUMPRODUCT((Table1[County]=SummaryPage!$A547)*(Table1[Status]&lt;&gt;"Q"))))</f>
        <v/>
      </c>
    </row>
    <row r="548" spans="11:18" x14ac:dyDescent="0.3">
      <c r="K548" s="28" t="str">
        <f>IF($A548="","",VLOOKUP('Input Sheet'!$D$2 &amp; " " &amp; $A548,Pop[#All],4,FALSE))</f>
        <v/>
      </c>
      <c r="L548" s="5" t="str">
        <f t="shared" si="31"/>
        <v/>
      </c>
      <c r="M548" s="7" t="str">
        <f t="shared" ca="1" si="30"/>
        <v/>
      </c>
      <c r="N548" s="17" t="str">
        <f>IF(OR($A548="",$A548="Grand Total"),IF($A548="Grand Total",SUM($N$15:$N547),""),SUMPRODUCT((Table1[County]=SummaryPage!$A548)*(Table1[Status]&lt;&gt;"Complete")))</f>
        <v/>
      </c>
      <c r="O548" s="6" t="str">
        <f ca="1">IF($A548="Grand Total",SUM(INDIRECT(ADDRESS(1,COLUMN())&amp;":"&amp;ADDRESS(ROW()-1,COLUMN()))),IF(OR($A548="State Agencies",IFERROR(AND($L548&gt;='Input Sheet'!$J$2,$A548&lt;&gt;""),0)),$J548,""))</f>
        <v/>
      </c>
      <c r="P548" s="3" t="str">
        <f>IF(OR($A548="",$A548="Grand Total"),"",IF(IFERROR(ROUND($J548/$K548,2),1000)&gt;='Input Sheet'!$J$2,1,""))</f>
        <v/>
      </c>
      <c r="Q548" s="3" t="str">
        <f t="shared" si="32"/>
        <v/>
      </c>
      <c r="R548" s="3" t="str">
        <f>IF(OR($A548="",$A548="Grand Total"),"",AND($J548=0,(SUMPRODUCT((Table1[County]=SummaryPage!$A548)*(Table1[Status]="Not Started"))+SUMPRODUCT((Table1[County]=SummaryPage!$A548)*(Table1[Status]="")))=SUMPRODUCT((Table1[County]=SummaryPage!$A548)*(Table1[Status]&lt;&gt;"Q"))))</f>
        <v/>
      </c>
    </row>
    <row r="549" spans="11:18" x14ac:dyDescent="0.3">
      <c r="K549" s="28" t="str">
        <f>IF($A549="","",VLOOKUP('Input Sheet'!$D$2 &amp; " " &amp; $A549,Pop[#All],4,FALSE))</f>
        <v/>
      </c>
      <c r="L549" s="5" t="str">
        <f t="shared" si="31"/>
        <v/>
      </c>
      <c r="M549" s="7" t="str">
        <f t="shared" ca="1" si="30"/>
        <v/>
      </c>
      <c r="N549" s="17" t="str">
        <f>IF(OR($A549="",$A549="Grand Total"),IF($A549="Grand Total",SUM($N$15:$N548),""),SUMPRODUCT((Table1[County]=SummaryPage!$A549)*(Table1[Status]&lt;&gt;"Complete")))</f>
        <v/>
      </c>
      <c r="O549" s="6" t="str">
        <f ca="1">IF($A549="Grand Total",SUM(INDIRECT(ADDRESS(1,COLUMN())&amp;":"&amp;ADDRESS(ROW()-1,COLUMN()))),IF(OR($A549="State Agencies",IFERROR(AND($L549&gt;='Input Sheet'!$J$2,$A549&lt;&gt;""),0)),$J549,""))</f>
        <v/>
      </c>
      <c r="P549" s="3" t="str">
        <f>IF(OR($A549="",$A549="Grand Total"),"",IF(IFERROR(ROUND($J549/$K549,2),1000)&gt;='Input Sheet'!$J$2,1,""))</f>
        <v/>
      </c>
      <c r="Q549" s="3" t="str">
        <f t="shared" si="32"/>
        <v/>
      </c>
      <c r="R549" s="3" t="str">
        <f>IF(OR($A549="",$A549="Grand Total"),"",AND($J549=0,(SUMPRODUCT((Table1[County]=SummaryPage!$A549)*(Table1[Status]="Not Started"))+SUMPRODUCT((Table1[County]=SummaryPage!$A549)*(Table1[Status]="")))=SUMPRODUCT((Table1[County]=SummaryPage!$A549)*(Table1[Status]&lt;&gt;"Q"))))</f>
        <v/>
      </c>
    </row>
    <row r="550" spans="11:18" x14ac:dyDescent="0.3">
      <c r="K550" s="28" t="str">
        <f>IF($A550="","",VLOOKUP('Input Sheet'!$D$2 &amp; " " &amp; $A550,Pop[#All],4,FALSE))</f>
        <v/>
      </c>
      <c r="L550" s="5" t="str">
        <f t="shared" si="31"/>
        <v/>
      </c>
      <c r="M550" s="7" t="str">
        <f t="shared" ca="1" si="30"/>
        <v/>
      </c>
      <c r="N550" s="17" t="str">
        <f>IF(OR($A550="",$A550="Grand Total"),IF($A550="Grand Total",SUM($N$15:$N549),""),SUMPRODUCT((Table1[County]=SummaryPage!$A550)*(Table1[Status]&lt;&gt;"Complete")))</f>
        <v/>
      </c>
      <c r="O550" s="6" t="str">
        <f ca="1">IF($A550="Grand Total",SUM(INDIRECT(ADDRESS(1,COLUMN())&amp;":"&amp;ADDRESS(ROW()-1,COLUMN()))),IF(OR($A550="State Agencies",IFERROR(AND($L550&gt;='Input Sheet'!$J$2,$A550&lt;&gt;""),0)),$J550,""))</f>
        <v/>
      </c>
      <c r="P550" s="3" t="str">
        <f>IF(OR($A550="",$A550="Grand Total"),"",IF(IFERROR(ROUND($J550/$K550,2),1000)&gt;='Input Sheet'!$J$2,1,""))</f>
        <v/>
      </c>
      <c r="Q550" s="3" t="str">
        <f t="shared" si="32"/>
        <v/>
      </c>
      <c r="R550" s="3" t="str">
        <f>IF(OR($A550="",$A550="Grand Total"),"",AND($J550=0,(SUMPRODUCT((Table1[County]=SummaryPage!$A550)*(Table1[Status]="Not Started"))+SUMPRODUCT((Table1[County]=SummaryPage!$A550)*(Table1[Status]="")))=SUMPRODUCT((Table1[County]=SummaryPage!$A550)*(Table1[Status]&lt;&gt;"Q"))))</f>
        <v/>
      </c>
    </row>
    <row r="551" spans="11:18" x14ac:dyDescent="0.3">
      <c r="K551" s="28" t="str">
        <f>IF($A551="","",VLOOKUP('Input Sheet'!$D$2 &amp; " " &amp; $A551,Pop[#All],4,FALSE))</f>
        <v/>
      </c>
      <c r="L551" s="5" t="str">
        <f t="shared" si="31"/>
        <v/>
      </c>
      <c r="M551" s="7" t="str">
        <f t="shared" ca="1" si="30"/>
        <v/>
      </c>
      <c r="N551" s="17" t="str">
        <f>IF(OR($A551="",$A551="Grand Total"),IF($A551="Grand Total",SUM($N$15:$N550),""),SUMPRODUCT((Table1[County]=SummaryPage!$A551)*(Table1[Status]&lt;&gt;"Complete")))</f>
        <v/>
      </c>
      <c r="O551" s="6" t="str">
        <f ca="1">IF($A551="Grand Total",SUM(INDIRECT(ADDRESS(1,COLUMN())&amp;":"&amp;ADDRESS(ROW()-1,COLUMN()))),IF(OR($A551="State Agencies",IFERROR(AND($L551&gt;='Input Sheet'!$J$2,$A551&lt;&gt;""),0)),$J551,""))</f>
        <v/>
      </c>
      <c r="P551" s="3" t="str">
        <f>IF(OR($A551="",$A551="Grand Total"),"",IF(IFERROR(ROUND($J551/$K551,2),1000)&gt;='Input Sheet'!$J$2,1,""))</f>
        <v/>
      </c>
      <c r="Q551" s="3" t="str">
        <f t="shared" si="32"/>
        <v/>
      </c>
      <c r="R551" s="3" t="str">
        <f>IF(OR($A551="",$A551="Grand Total"),"",AND($J551=0,(SUMPRODUCT((Table1[County]=SummaryPage!$A551)*(Table1[Status]="Not Started"))+SUMPRODUCT((Table1[County]=SummaryPage!$A551)*(Table1[Status]="")))=SUMPRODUCT((Table1[County]=SummaryPage!$A551)*(Table1[Status]&lt;&gt;"Q"))))</f>
        <v/>
      </c>
    </row>
    <row r="552" spans="11:18" x14ac:dyDescent="0.3">
      <c r="K552" s="28" t="str">
        <f>IF($A552="","",VLOOKUP('Input Sheet'!$D$2 &amp; " " &amp; $A552,Pop[#All],4,FALSE))</f>
        <v/>
      </c>
      <c r="L552" s="5" t="str">
        <f t="shared" si="31"/>
        <v/>
      </c>
      <c r="M552" s="7" t="str">
        <f t="shared" ca="1" si="30"/>
        <v/>
      </c>
      <c r="N552" s="17" t="str">
        <f>IF(OR($A552="",$A552="Grand Total"),IF($A552="Grand Total",SUM($N$15:$N551),""),SUMPRODUCT((Table1[County]=SummaryPage!$A552)*(Table1[Status]&lt;&gt;"Complete")))</f>
        <v/>
      </c>
      <c r="O552" s="6" t="str">
        <f ca="1">IF($A552="Grand Total",SUM(INDIRECT(ADDRESS(1,COLUMN())&amp;":"&amp;ADDRESS(ROW()-1,COLUMN()))),IF(OR($A552="State Agencies",IFERROR(AND($L552&gt;='Input Sheet'!$J$2,$A552&lt;&gt;""),0)),$J552,""))</f>
        <v/>
      </c>
      <c r="P552" s="3" t="str">
        <f>IF(OR($A552="",$A552="Grand Total"),"",IF(IFERROR(ROUND($J552/$K552,2),1000)&gt;='Input Sheet'!$J$2,1,""))</f>
        <v/>
      </c>
      <c r="Q552" s="3" t="str">
        <f t="shared" si="32"/>
        <v/>
      </c>
      <c r="R552" s="3" t="str">
        <f>IF(OR($A552="",$A552="Grand Total"),"",AND($J552=0,(SUMPRODUCT((Table1[County]=SummaryPage!$A552)*(Table1[Status]="Not Started"))+SUMPRODUCT((Table1[County]=SummaryPage!$A552)*(Table1[Status]="")))=SUMPRODUCT((Table1[County]=SummaryPage!$A552)*(Table1[Status]&lt;&gt;"Q"))))</f>
        <v/>
      </c>
    </row>
    <row r="553" spans="11:18" x14ac:dyDescent="0.3">
      <c r="K553" s="28" t="str">
        <f>IF($A553="","",VLOOKUP('Input Sheet'!$D$2 &amp; " " &amp; $A553,Pop[#All],4,FALSE))</f>
        <v/>
      </c>
      <c r="L553" s="5" t="str">
        <f t="shared" si="31"/>
        <v/>
      </c>
      <c r="M553" s="7" t="str">
        <f t="shared" ca="1" si="30"/>
        <v/>
      </c>
      <c r="N553" s="17" t="str">
        <f>IF(OR($A553="",$A553="Grand Total"),IF($A553="Grand Total",SUM($N$15:$N552),""),SUMPRODUCT((Table1[County]=SummaryPage!$A553)*(Table1[Status]&lt;&gt;"Complete")))</f>
        <v/>
      </c>
      <c r="O553" s="6" t="str">
        <f ca="1">IF($A553="Grand Total",SUM(INDIRECT(ADDRESS(1,COLUMN())&amp;":"&amp;ADDRESS(ROW()-1,COLUMN()))),IF(OR($A553="State Agencies",IFERROR(AND($L553&gt;='Input Sheet'!$J$2,$A553&lt;&gt;""),0)),$J553,""))</f>
        <v/>
      </c>
      <c r="P553" s="3" t="str">
        <f>IF(OR($A553="",$A553="Grand Total"),"",IF(IFERROR(ROUND($J553/$K553,2),1000)&gt;='Input Sheet'!$J$2,1,""))</f>
        <v/>
      </c>
      <c r="Q553" s="3" t="str">
        <f t="shared" si="32"/>
        <v/>
      </c>
      <c r="R553" s="3" t="str">
        <f>IF(OR($A553="",$A553="Grand Total"),"",AND($J553=0,(SUMPRODUCT((Table1[County]=SummaryPage!$A553)*(Table1[Status]="Not Started"))+SUMPRODUCT((Table1[County]=SummaryPage!$A553)*(Table1[Status]="")))=SUMPRODUCT((Table1[County]=SummaryPage!$A553)*(Table1[Status]&lt;&gt;"Q"))))</f>
        <v/>
      </c>
    </row>
    <row r="554" spans="11:18" x14ac:dyDescent="0.3">
      <c r="K554" s="28" t="str">
        <f>IF($A554="","",VLOOKUP('Input Sheet'!$D$2 &amp; " " &amp; $A554,Pop[#All],4,FALSE))</f>
        <v/>
      </c>
      <c r="L554" s="5" t="str">
        <f t="shared" si="31"/>
        <v/>
      </c>
      <c r="M554" s="7" t="str">
        <f t="shared" ca="1" si="30"/>
        <v/>
      </c>
      <c r="N554" s="17" t="str">
        <f>IF(OR($A554="",$A554="Grand Total"),IF($A554="Grand Total",SUM($N$15:$N553),""),SUMPRODUCT((Table1[County]=SummaryPage!$A554)*(Table1[Status]&lt;&gt;"Complete")))</f>
        <v/>
      </c>
      <c r="O554" s="6" t="str">
        <f ca="1">IF($A554="Grand Total",SUM(INDIRECT(ADDRESS(1,COLUMN())&amp;":"&amp;ADDRESS(ROW()-1,COLUMN()))),IF(OR($A554="State Agencies",IFERROR(AND($L554&gt;='Input Sheet'!$J$2,$A554&lt;&gt;""),0)),$J554,""))</f>
        <v/>
      </c>
      <c r="P554" s="3" t="str">
        <f>IF(OR($A554="",$A554="Grand Total"),"",IF(IFERROR(ROUND($J554/$K554,2),1000)&gt;='Input Sheet'!$J$2,1,""))</f>
        <v/>
      </c>
      <c r="Q554" s="3" t="str">
        <f t="shared" si="32"/>
        <v/>
      </c>
      <c r="R554" s="3" t="str">
        <f>IF(OR($A554="",$A554="Grand Total"),"",AND($J554=0,(SUMPRODUCT((Table1[County]=SummaryPage!$A554)*(Table1[Status]="Not Started"))+SUMPRODUCT((Table1[County]=SummaryPage!$A554)*(Table1[Status]="")))=SUMPRODUCT((Table1[County]=SummaryPage!$A554)*(Table1[Status]&lt;&gt;"Q"))))</f>
        <v/>
      </c>
    </row>
    <row r="555" spans="11:18" x14ac:dyDescent="0.3">
      <c r="K555" s="28" t="str">
        <f>IF($A555="","",VLOOKUP('Input Sheet'!$D$2 &amp; " " &amp; $A555,Pop[#All],4,FALSE))</f>
        <v/>
      </c>
      <c r="L555" s="5" t="str">
        <f t="shared" si="31"/>
        <v/>
      </c>
      <c r="M555" s="7" t="str">
        <f t="shared" ca="1" si="30"/>
        <v/>
      </c>
      <c r="N555" s="17" t="str">
        <f>IF(OR($A555="",$A555="Grand Total"),IF($A555="Grand Total",SUM($N$15:$N554),""),SUMPRODUCT((Table1[County]=SummaryPage!$A555)*(Table1[Status]&lt;&gt;"Complete")))</f>
        <v/>
      </c>
      <c r="O555" s="6" t="str">
        <f ca="1">IF($A555="Grand Total",SUM(INDIRECT(ADDRESS(1,COLUMN())&amp;":"&amp;ADDRESS(ROW()-1,COLUMN()))),IF(OR($A555="State Agencies",IFERROR(AND($L555&gt;='Input Sheet'!$J$2,$A555&lt;&gt;""),0)),$J555,""))</f>
        <v/>
      </c>
      <c r="P555" s="3" t="str">
        <f>IF(OR($A555="",$A555="Grand Total"),"",IF(IFERROR(ROUND($J555/$K555,2),1000)&gt;='Input Sheet'!$J$2,1,""))</f>
        <v/>
      </c>
      <c r="Q555" s="3" t="str">
        <f t="shared" si="32"/>
        <v/>
      </c>
      <c r="R555" s="3" t="str">
        <f>IF(OR($A555="",$A555="Grand Total"),"",AND($J555=0,(SUMPRODUCT((Table1[County]=SummaryPage!$A555)*(Table1[Status]="Not Started"))+SUMPRODUCT((Table1[County]=SummaryPage!$A555)*(Table1[Status]="")))=SUMPRODUCT((Table1[County]=SummaryPage!$A555)*(Table1[Status]&lt;&gt;"Q"))))</f>
        <v/>
      </c>
    </row>
    <row r="556" spans="11:18" x14ac:dyDescent="0.3">
      <c r="K556" s="28" t="str">
        <f>IF($A556="","",VLOOKUP('Input Sheet'!$D$2 &amp; " " &amp; $A556,Pop[#All],4,FALSE))</f>
        <v/>
      </c>
      <c r="L556" s="5" t="str">
        <f t="shared" si="31"/>
        <v/>
      </c>
      <c r="M556" s="7" t="str">
        <f t="shared" ca="1" si="30"/>
        <v/>
      </c>
      <c r="N556" s="17" t="str">
        <f>IF(OR($A556="",$A556="Grand Total"),IF($A556="Grand Total",SUM($N$15:$N555),""),SUMPRODUCT((Table1[County]=SummaryPage!$A556)*(Table1[Status]&lt;&gt;"Complete")))</f>
        <v/>
      </c>
      <c r="O556" s="6" t="str">
        <f ca="1">IF($A556="Grand Total",SUM(INDIRECT(ADDRESS(1,COLUMN())&amp;":"&amp;ADDRESS(ROW()-1,COLUMN()))),IF(OR($A556="State Agencies",IFERROR(AND($L556&gt;='Input Sheet'!$J$2,$A556&lt;&gt;""),0)),$J556,""))</f>
        <v/>
      </c>
      <c r="P556" s="3" t="str">
        <f>IF(OR($A556="",$A556="Grand Total"),"",IF(IFERROR(ROUND($J556/$K556,2),1000)&gt;='Input Sheet'!$J$2,1,""))</f>
        <v/>
      </c>
      <c r="Q556" s="3" t="str">
        <f t="shared" si="32"/>
        <v/>
      </c>
      <c r="R556" s="3" t="str">
        <f>IF(OR($A556="",$A556="Grand Total"),"",AND($J556=0,(SUMPRODUCT((Table1[County]=SummaryPage!$A556)*(Table1[Status]="Not Started"))+SUMPRODUCT((Table1[County]=SummaryPage!$A556)*(Table1[Status]="")))=SUMPRODUCT((Table1[County]=SummaryPage!$A556)*(Table1[Status]&lt;&gt;"Q"))))</f>
        <v/>
      </c>
    </row>
    <row r="557" spans="11:18" x14ac:dyDescent="0.3">
      <c r="K557" s="28" t="str">
        <f>IF($A557="","",VLOOKUP('Input Sheet'!$D$2 &amp; " " &amp; $A557,Pop[#All],4,FALSE))</f>
        <v/>
      </c>
      <c r="L557" s="5" t="str">
        <f t="shared" si="31"/>
        <v/>
      </c>
      <c r="M557" s="7" t="str">
        <f t="shared" ca="1" si="30"/>
        <v/>
      </c>
      <c r="N557" s="17" t="str">
        <f>IF(OR($A557="",$A557="Grand Total"),IF($A557="Grand Total",SUM($N$15:$N556),""),SUMPRODUCT((Table1[County]=SummaryPage!$A557)*(Table1[Status]&lt;&gt;"Complete")))</f>
        <v/>
      </c>
      <c r="O557" s="6" t="str">
        <f ca="1">IF($A557="Grand Total",SUM(INDIRECT(ADDRESS(1,COLUMN())&amp;":"&amp;ADDRESS(ROW()-1,COLUMN()))),IF(OR($A557="State Agencies",IFERROR(AND($L557&gt;='Input Sheet'!$J$2,$A557&lt;&gt;""),0)),$J557,""))</f>
        <v/>
      </c>
      <c r="P557" s="3" t="str">
        <f>IF(OR($A557="",$A557="Grand Total"),"",IF(IFERROR(ROUND($J557/$K557,2),1000)&gt;='Input Sheet'!$J$2,1,""))</f>
        <v/>
      </c>
      <c r="Q557" s="3" t="str">
        <f t="shared" si="32"/>
        <v/>
      </c>
      <c r="R557" s="3" t="str">
        <f>IF(OR($A557="",$A557="Grand Total"),"",AND($J557=0,(SUMPRODUCT((Table1[County]=SummaryPage!$A557)*(Table1[Status]="Not Started"))+SUMPRODUCT((Table1[County]=SummaryPage!$A557)*(Table1[Status]="")))=SUMPRODUCT((Table1[County]=SummaryPage!$A557)*(Table1[Status]&lt;&gt;"Q"))))</f>
        <v/>
      </c>
    </row>
    <row r="558" spans="11:18" x14ac:dyDescent="0.3">
      <c r="K558" s="28" t="str">
        <f>IF($A558="","",VLOOKUP('Input Sheet'!$D$2 &amp; " " &amp; $A558,Pop[#All],4,FALSE))</f>
        <v/>
      </c>
      <c r="L558" s="5" t="str">
        <f t="shared" si="31"/>
        <v/>
      </c>
      <c r="M558" s="7" t="str">
        <f t="shared" ca="1" si="30"/>
        <v/>
      </c>
      <c r="N558" s="17" t="str">
        <f>IF(OR($A558="",$A558="Grand Total"),IF($A558="Grand Total",SUM($N$15:$N557),""),SUMPRODUCT((Table1[County]=SummaryPage!$A558)*(Table1[Status]&lt;&gt;"Complete")))</f>
        <v/>
      </c>
      <c r="O558" s="6" t="str">
        <f ca="1">IF($A558="Grand Total",SUM(INDIRECT(ADDRESS(1,COLUMN())&amp;":"&amp;ADDRESS(ROW()-1,COLUMN()))),IF(OR($A558="State Agencies",IFERROR(AND($L558&gt;='Input Sheet'!$J$2,$A558&lt;&gt;""),0)),$J558,""))</f>
        <v/>
      </c>
      <c r="P558" s="3" t="str">
        <f>IF(OR($A558="",$A558="Grand Total"),"",IF(IFERROR(ROUND($J558/$K558,2),1000)&gt;='Input Sheet'!$J$2,1,""))</f>
        <v/>
      </c>
      <c r="Q558" s="3" t="str">
        <f t="shared" si="32"/>
        <v/>
      </c>
      <c r="R558" s="3" t="str">
        <f>IF(OR($A558="",$A558="Grand Total"),"",AND($J558=0,(SUMPRODUCT((Table1[County]=SummaryPage!$A558)*(Table1[Status]="Not Started"))+SUMPRODUCT((Table1[County]=SummaryPage!$A558)*(Table1[Status]="")))=SUMPRODUCT((Table1[County]=SummaryPage!$A558)*(Table1[Status]&lt;&gt;"Q"))))</f>
        <v/>
      </c>
    </row>
    <row r="559" spans="11:18" x14ac:dyDescent="0.3">
      <c r="K559" s="28" t="str">
        <f>IF($A559="","",VLOOKUP('Input Sheet'!$D$2 &amp; " " &amp; $A559,Pop[#All],4,FALSE))</f>
        <v/>
      </c>
      <c r="L559" s="5" t="str">
        <f t="shared" si="31"/>
        <v/>
      </c>
      <c r="M559" s="7" t="str">
        <f t="shared" ca="1" si="30"/>
        <v/>
      </c>
      <c r="N559" s="17" t="str">
        <f>IF(OR($A559="",$A559="Grand Total"),IF($A559="Grand Total",SUM($N$15:$N558),""),SUMPRODUCT((Table1[County]=SummaryPage!$A559)*(Table1[Status]&lt;&gt;"Complete")))</f>
        <v/>
      </c>
      <c r="O559" s="6" t="str">
        <f ca="1">IF($A559="Grand Total",SUM(INDIRECT(ADDRESS(1,COLUMN())&amp;":"&amp;ADDRESS(ROW()-1,COLUMN()))),IF(OR($A559="State Agencies",IFERROR(AND($L559&gt;='Input Sheet'!$J$2,$A559&lt;&gt;""),0)),$J559,""))</f>
        <v/>
      </c>
      <c r="P559" s="3" t="str">
        <f>IF(OR($A559="",$A559="Grand Total"),"",IF(IFERROR(ROUND($J559/$K559,2),1000)&gt;='Input Sheet'!$J$2,1,""))</f>
        <v/>
      </c>
      <c r="Q559" s="3" t="str">
        <f t="shared" si="32"/>
        <v/>
      </c>
      <c r="R559" s="3" t="str">
        <f>IF(OR($A559="",$A559="Grand Total"),"",AND($J559=0,(SUMPRODUCT((Table1[County]=SummaryPage!$A559)*(Table1[Status]="Not Started"))+SUMPRODUCT((Table1[County]=SummaryPage!$A559)*(Table1[Status]="")))=SUMPRODUCT((Table1[County]=SummaryPage!$A559)*(Table1[Status]&lt;&gt;"Q"))))</f>
        <v/>
      </c>
    </row>
    <row r="560" spans="11:18" x14ac:dyDescent="0.3">
      <c r="K560" s="28" t="str">
        <f>IF($A560="","",VLOOKUP('Input Sheet'!$D$2 &amp; " " &amp; $A560,Pop[#All],4,FALSE))</f>
        <v/>
      </c>
      <c r="L560" s="5" t="str">
        <f t="shared" si="31"/>
        <v/>
      </c>
      <c r="M560" s="7" t="str">
        <f t="shared" ca="1" si="30"/>
        <v/>
      </c>
      <c r="N560" s="17" t="str">
        <f>IF(OR($A560="",$A560="Grand Total"),IF($A560="Grand Total",SUM($N$15:$N559),""),SUMPRODUCT((Table1[County]=SummaryPage!$A560)*(Table1[Status]&lt;&gt;"Complete")))</f>
        <v/>
      </c>
      <c r="O560" s="6" t="str">
        <f ca="1">IF($A560="Grand Total",SUM(INDIRECT(ADDRESS(1,COLUMN())&amp;":"&amp;ADDRESS(ROW()-1,COLUMN()))),IF(OR($A560="State Agencies",IFERROR(AND($L560&gt;='Input Sheet'!$J$2,$A560&lt;&gt;""),0)),$J560,""))</f>
        <v/>
      </c>
      <c r="P560" s="3" t="str">
        <f>IF(OR($A560="",$A560="Grand Total"),"",IF(IFERROR(ROUND($J560/$K560,2),1000)&gt;='Input Sheet'!$J$2,1,""))</f>
        <v/>
      </c>
      <c r="Q560" s="3" t="str">
        <f t="shared" si="32"/>
        <v/>
      </c>
      <c r="R560" s="3" t="str">
        <f>IF(OR($A560="",$A560="Grand Total"),"",AND($J560=0,(SUMPRODUCT((Table1[County]=SummaryPage!$A560)*(Table1[Status]="Not Started"))+SUMPRODUCT((Table1[County]=SummaryPage!$A560)*(Table1[Status]="")))=SUMPRODUCT((Table1[County]=SummaryPage!$A560)*(Table1[Status]&lt;&gt;"Q"))))</f>
        <v/>
      </c>
    </row>
    <row r="561" spans="11:18" x14ac:dyDescent="0.3">
      <c r="K561" s="28" t="str">
        <f>IF($A561="","",VLOOKUP('Input Sheet'!$D$2 &amp; " " &amp; $A561,Pop[#All],4,FALSE))</f>
        <v/>
      </c>
      <c r="L561" s="5" t="str">
        <f t="shared" si="31"/>
        <v/>
      </c>
      <c r="M561" s="7" t="str">
        <f t="shared" ca="1" si="30"/>
        <v/>
      </c>
      <c r="N561" s="17" t="str">
        <f>IF(OR($A561="",$A561="Grand Total"),IF($A561="Grand Total",SUM($N$15:$N560),""),SUMPRODUCT((Table1[County]=SummaryPage!$A561)*(Table1[Status]&lt;&gt;"Complete")))</f>
        <v/>
      </c>
      <c r="O561" s="6" t="str">
        <f ca="1">IF($A561="Grand Total",SUM(INDIRECT(ADDRESS(1,COLUMN())&amp;":"&amp;ADDRESS(ROW()-1,COLUMN()))),IF(OR($A561="State Agencies",IFERROR(AND($L561&gt;='Input Sheet'!$J$2,$A561&lt;&gt;""),0)),$J561,""))</f>
        <v/>
      </c>
      <c r="P561" s="3" t="str">
        <f>IF(OR($A561="",$A561="Grand Total"),"",IF(IFERROR(ROUND($J561/$K561,2),1000)&gt;='Input Sheet'!$J$2,1,""))</f>
        <v/>
      </c>
      <c r="Q561" s="3" t="str">
        <f t="shared" si="32"/>
        <v/>
      </c>
      <c r="R561" s="3" t="str">
        <f>IF(OR($A561="",$A561="Grand Total"),"",AND($J561=0,(SUMPRODUCT((Table1[County]=SummaryPage!$A561)*(Table1[Status]="Not Started"))+SUMPRODUCT((Table1[County]=SummaryPage!$A561)*(Table1[Status]="")))=SUMPRODUCT((Table1[County]=SummaryPage!$A561)*(Table1[Status]&lt;&gt;"Q"))))</f>
        <v/>
      </c>
    </row>
    <row r="562" spans="11:18" x14ac:dyDescent="0.3">
      <c r="K562" s="28" t="str">
        <f>IF($A562="","",VLOOKUP('Input Sheet'!$D$2 &amp; " " &amp; $A562,Pop[#All],4,FALSE))</f>
        <v/>
      </c>
      <c r="L562" s="5" t="str">
        <f t="shared" si="31"/>
        <v/>
      </c>
      <c r="M562" s="7" t="str">
        <f t="shared" ca="1" si="30"/>
        <v/>
      </c>
      <c r="N562" s="17" t="str">
        <f>IF(OR($A562="",$A562="Grand Total"),IF($A562="Grand Total",SUM($N$15:$N561),""),SUMPRODUCT((Table1[County]=SummaryPage!$A562)*(Table1[Status]&lt;&gt;"Complete")))</f>
        <v/>
      </c>
      <c r="O562" s="6" t="str">
        <f ca="1">IF($A562="Grand Total",SUM(INDIRECT(ADDRESS(1,COLUMN())&amp;":"&amp;ADDRESS(ROW()-1,COLUMN()))),IF(OR($A562="State Agencies",IFERROR(AND($L562&gt;='Input Sheet'!$J$2,$A562&lt;&gt;""),0)),$J562,""))</f>
        <v/>
      </c>
      <c r="P562" s="3" t="str">
        <f>IF(OR($A562="",$A562="Grand Total"),"",IF(IFERROR(ROUND($J562/$K562,2),1000)&gt;='Input Sheet'!$J$2,1,""))</f>
        <v/>
      </c>
      <c r="Q562" s="3" t="str">
        <f t="shared" si="32"/>
        <v/>
      </c>
      <c r="R562" s="3" t="str">
        <f>IF(OR($A562="",$A562="Grand Total"),"",AND($J562=0,(SUMPRODUCT((Table1[County]=SummaryPage!$A562)*(Table1[Status]="Not Started"))+SUMPRODUCT((Table1[County]=SummaryPage!$A562)*(Table1[Status]="")))=SUMPRODUCT((Table1[County]=SummaryPage!$A562)*(Table1[Status]&lt;&gt;"Q"))))</f>
        <v/>
      </c>
    </row>
    <row r="563" spans="11:18" x14ac:dyDescent="0.3">
      <c r="K563" s="28" t="str">
        <f>IF($A563="","",VLOOKUP('Input Sheet'!$D$2 &amp; " " &amp; $A563,Pop[#All],4,FALSE))</f>
        <v/>
      </c>
      <c r="L563" s="5" t="str">
        <f t="shared" si="31"/>
        <v/>
      </c>
      <c r="M563" s="7" t="str">
        <f t="shared" ca="1" si="30"/>
        <v/>
      </c>
      <c r="N563" s="17" t="str">
        <f>IF(OR($A563="",$A563="Grand Total"),IF($A563="Grand Total",SUM($N$15:$N562),""),SUMPRODUCT((Table1[County]=SummaryPage!$A563)*(Table1[Status]&lt;&gt;"Complete")))</f>
        <v/>
      </c>
      <c r="O563" s="6" t="str">
        <f ca="1">IF($A563="Grand Total",SUM(INDIRECT(ADDRESS(1,COLUMN())&amp;":"&amp;ADDRESS(ROW()-1,COLUMN()))),IF(OR($A563="State Agencies",IFERROR(AND($L563&gt;='Input Sheet'!$J$2,$A563&lt;&gt;""),0)),$J563,""))</f>
        <v/>
      </c>
      <c r="P563" s="3" t="str">
        <f>IF(OR($A563="",$A563="Grand Total"),"",IF(IFERROR(ROUND($J563/$K563,2),1000)&gt;='Input Sheet'!$J$2,1,""))</f>
        <v/>
      </c>
      <c r="Q563" s="3" t="str">
        <f t="shared" si="32"/>
        <v/>
      </c>
      <c r="R563" s="3" t="str">
        <f>IF(OR($A563="",$A563="Grand Total"),"",AND($J563=0,(SUMPRODUCT((Table1[County]=SummaryPage!$A563)*(Table1[Status]="Not Started"))+SUMPRODUCT((Table1[County]=SummaryPage!$A563)*(Table1[Status]="")))=SUMPRODUCT((Table1[County]=SummaryPage!$A563)*(Table1[Status]&lt;&gt;"Q"))))</f>
        <v/>
      </c>
    </row>
    <row r="564" spans="11:18" x14ac:dyDescent="0.3">
      <c r="K564" s="28" t="str">
        <f>IF($A564="","",VLOOKUP('Input Sheet'!$D$2 &amp; " " &amp; $A564,Pop[#All],4,FALSE))</f>
        <v/>
      </c>
      <c r="L564" s="5" t="str">
        <f t="shared" si="31"/>
        <v/>
      </c>
      <c r="M564" s="7" t="str">
        <f t="shared" ca="1" si="30"/>
        <v/>
      </c>
      <c r="N564" s="17" t="str">
        <f>IF(OR($A564="",$A564="Grand Total"),IF($A564="Grand Total",SUM($N$15:$N563),""),SUMPRODUCT((Table1[County]=SummaryPage!$A564)*(Table1[Status]&lt;&gt;"Complete")))</f>
        <v/>
      </c>
      <c r="O564" s="6" t="str">
        <f ca="1">IF($A564="Grand Total",SUM(INDIRECT(ADDRESS(1,COLUMN())&amp;":"&amp;ADDRESS(ROW()-1,COLUMN()))),IF(OR($A564="State Agencies",IFERROR(AND($L564&gt;='Input Sheet'!$J$2,$A564&lt;&gt;""),0)),$J564,""))</f>
        <v/>
      </c>
      <c r="P564" s="3" t="str">
        <f>IF(OR($A564="",$A564="Grand Total"),"",IF(IFERROR(ROUND($J564/$K564,2),1000)&gt;='Input Sheet'!$J$2,1,""))</f>
        <v/>
      </c>
      <c r="Q564" s="3" t="str">
        <f t="shared" si="32"/>
        <v/>
      </c>
      <c r="R564" s="3" t="str">
        <f>IF(OR($A564="",$A564="Grand Total"),"",AND($J564=0,(SUMPRODUCT((Table1[County]=SummaryPage!$A564)*(Table1[Status]="Not Started"))+SUMPRODUCT((Table1[County]=SummaryPage!$A564)*(Table1[Status]="")))=SUMPRODUCT((Table1[County]=SummaryPage!$A564)*(Table1[Status]&lt;&gt;"Q"))))</f>
        <v/>
      </c>
    </row>
    <row r="565" spans="11:18" x14ac:dyDescent="0.3">
      <c r="K565" s="28" t="str">
        <f>IF($A565="","",VLOOKUP('Input Sheet'!$D$2 &amp; " " &amp; $A565,Pop[#All],4,FALSE))</f>
        <v/>
      </c>
      <c r="L565" s="5" t="str">
        <f t="shared" si="31"/>
        <v/>
      </c>
      <c r="M565" s="7" t="str">
        <f t="shared" ca="1" si="30"/>
        <v/>
      </c>
      <c r="N565" s="17" t="str">
        <f>IF(OR($A565="",$A565="Grand Total"),IF($A565="Grand Total",SUM($N$15:$N564),""),SUMPRODUCT((Table1[County]=SummaryPage!$A565)*(Table1[Status]&lt;&gt;"Complete")))</f>
        <v/>
      </c>
      <c r="O565" s="6" t="str">
        <f ca="1">IF($A565="Grand Total",SUM(INDIRECT(ADDRESS(1,COLUMN())&amp;":"&amp;ADDRESS(ROW()-1,COLUMN()))),IF(OR($A565="State Agencies",IFERROR(AND($L565&gt;='Input Sheet'!$J$2,$A565&lt;&gt;""),0)),$J565,""))</f>
        <v/>
      </c>
      <c r="P565" s="3" t="str">
        <f>IF(OR($A565="",$A565="Grand Total"),"",IF(IFERROR(ROUND($J565/$K565,2),1000)&gt;='Input Sheet'!$J$2,1,""))</f>
        <v/>
      </c>
      <c r="Q565" s="3" t="str">
        <f t="shared" si="32"/>
        <v/>
      </c>
      <c r="R565" s="3" t="str">
        <f>IF(OR($A565="",$A565="Grand Total"),"",AND($J565=0,(SUMPRODUCT((Table1[County]=SummaryPage!$A565)*(Table1[Status]="Not Started"))+SUMPRODUCT((Table1[County]=SummaryPage!$A565)*(Table1[Status]="")))=SUMPRODUCT((Table1[County]=SummaryPage!$A565)*(Table1[Status]&lt;&gt;"Q"))))</f>
        <v/>
      </c>
    </row>
    <row r="566" spans="11:18" x14ac:dyDescent="0.3">
      <c r="K566" s="28" t="str">
        <f>IF($A566="","",VLOOKUP('Input Sheet'!$D$2 &amp; " " &amp; $A566,Pop[#All],4,FALSE))</f>
        <v/>
      </c>
      <c r="L566" s="5" t="str">
        <f t="shared" si="31"/>
        <v/>
      </c>
      <c r="M566" s="7" t="str">
        <f t="shared" ca="1" si="30"/>
        <v/>
      </c>
      <c r="N566" s="17" t="str">
        <f>IF(OR($A566="",$A566="Grand Total"),IF($A566="Grand Total",SUM($N$15:$N565),""),SUMPRODUCT((Table1[County]=SummaryPage!$A566)*(Table1[Status]&lt;&gt;"Complete")))</f>
        <v/>
      </c>
      <c r="O566" s="6" t="str">
        <f ca="1">IF($A566="Grand Total",SUM(INDIRECT(ADDRESS(1,COLUMN())&amp;":"&amp;ADDRESS(ROW()-1,COLUMN()))),IF(OR($A566="State Agencies",IFERROR(AND($L566&gt;='Input Sheet'!$J$2,$A566&lt;&gt;""),0)),$J566,""))</f>
        <v/>
      </c>
      <c r="P566" s="3" t="str">
        <f>IF(OR($A566="",$A566="Grand Total"),"",IF(IFERROR(ROUND($J566/$K566,2),1000)&gt;='Input Sheet'!$J$2,1,""))</f>
        <v/>
      </c>
      <c r="Q566" s="3" t="str">
        <f t="shared" si="32"/>
        <v/>
      </c>
      <c r="R566" s="3" t="str">
        <f>IF(OR($A566="",$A566="Grand Total"),"",AND($J566=0,(SUMPRODUCT((Table1[County]=SummaryPage!$A566)*(Table1[Status]="Not Started"))+SUMPRODUCT((Table1[County]=SummaryPage!$A566)*(Table1[Status]="")))=SUMPRODUCT((Table1[County]=SummaryPage!$A566)*(Table1[Status]&lt;&gt;"Q"))))</f>
        <v/>
      </c>
    </row>
    <row r="567" spans="11:18" x14ac:dyDescent="0.3">
      <c r="K567" s="28" t="str">
        <f>IF($A567="","",VLOOKUP('Input Sheet'!$D$2 &amp; " " &amp; $A567,Pop[#All],4,FALSE))</f>
        <v/>
      </c>
      <c r="L567" s="5" t="str">
        <f t="shared" si="31"/>
        <v/>
      </c>
      <c r="M567" s="7" t="str">
        <f t="shared" ca="1" si="30"/>
        <v/>
      </c>
      <c r="N567" s="17" t="str">
        <f>IF(OR($A567="",$A567="Grand Total"),IF($A567="Grand Total",SUM($N$15:$N566),""),SUMPRODUCT((Table1[County]=SummaryPage!$A567)*(Table1[Status]&lt;&gt;"Complete")))</f>
        <v/>
      </c>
      <c r="O567" s="6" t="str">
        <f ca="1">IF($A567="Grand Total",SUM(INDIRECT(ADDRESS(1,COLUMN())&amp;":"&amp;ADDRESS(ROW()-1,COLUMN()))),IF(OR($A567="State Agencies",IFERROR(AND($L567&gt;='Input Sheet'!$J$2,$A567&lt;&gt;""),0)),$J567,""))</f>
        <v/>
      </c>
      <c r="P567" s="3" t="str">
        <f>IF(OR($A567="",$A567="Grand Total"),"",IF(IFERROR(ROUND($J567/$K567,2),1000)&gt;='Input Sheet'!$J$2,1,""))</f>
        <v/>
      </c>
      <c r="Q567" s="3" t="str">
        <f t="shared" si="32"/>
        <v/>
      </c>
      <c r="R567" s="3" t="str">
        <f>IF(OR($A567="",$A567="Grand Total"),"",AND($J567=0,(SUMPRODUCT((Table1[County]=SummaryPage!$A567)*(Table1[Status]="Not Started"))+SUMPRODUCT((Table1[County]=SummaryPage!$A567)*(Table1[Status]="")))=SUMPRODUCT((Table1[County]=SummaryPage!$A567)*(Table1[Status]&lt;&gt;"Q"))))</f>
        <v/>
      </c>
    </row>
    <row r="568" spans="11:18" x14ac:dyDescent="0.3">
      <c r="K568" s="28" t="str">
        <f>IF($A568="","",VLOOKUP('Input Sheet'!$D$2 &amp; " " &amp; $A568,Pop[#All],4,FALSE))</f>
        <v/>
      </c>
      <c r="L568" s="5" t="str">
        <f t="shared" si="31"/>
        <v/>
      </c>
      <c r="M568" s="7" t="str">
        <f t="shared" ca="1" si="30"/>
        <v/>
      </c>
      <c r="N568" s="17" t="str">
        <f>IF(OR($A568="",$A568="Grand Total"),IF($A568="Grand Total",SUM($N$15:$N567),""),SUMPRODUCT((Table1[County]=SummaryPage!$A568)*(Table1[Status]&lt;&gt;"Complete")))</f>
        <v/>
      </c>
      <c r="O568" s="6" t="str">
        <f ca="1">IF($A568="Grand Total",SUM(INDIRECT(ADDRESS(1,COLUMN())&amp;":"&amp;ADDRESS(ROW()-1,COLUMN()))),IF(OR($A568="State Agencies",IFERROR(AND($L568&gt;='Input Sheet'!$J$2,$A568&lt;&gt;""),0)),$J568,""))</f>
        <v/>
      </c>
      <c r="P568" s="3" t="str">
        <f>IF(OR($A568="",$A568="Grand Total"),"",IF(IFERROR(ROUND($J568/$K568,2),1000)&gt;='Input Sheet'!$J$2,1,""))</f>
        <v/>
      </c>
      <c r="Q568" s="3" t="str">
        <f t="shared" si="32"/>
        <v/>
      </c>
      <c r="R568" s="3" t="str">
        <f>IF(OR($A568="",$A568="Grand Total"),"",AND($J568=0,(SUMPRODUCT((Table1[County]=SummaryPage!$A568)*(Table1[Status]="Not Started"))+SUMPRODUCT((Table1[County]=SummaryPage!$A568)*(Table1[Status]="")))=SUMPRODUCT((Table1[County]=SummaryPage!$A568)*(Table1[Status]&lt;&gt;"Q"))))</f>
        <v/>
      </c>
    </row>
    <row r="569" spans="11:18" x14ac:dyDescent="0.3">
      <c r="K569" s="28" t="str">
        <f>IF($A569="","",VLOOKUP('Input Sheet'!$D$2 &amp; " " &amp; $A569,Pop[#All],4,FALSE))</f>
        <v/>
      </c>
      <c r="L569" s="5" t="str">
        <f t="shared" si="31"/>
        <v/>
      </c>
      <c r="M569" s="7" t="str">
        <f t="shared" ca="1" si="30"/>
        <v/>
      </c>
      <c r="N569" s="17" t="str">
        <f>IF(OR($A569="",$A569="Grand Total"),IF($A569="Grand Total",SUM($N$15:$N568),""),SUMPRODUCT((Table1[County]=SummaryPage!$A569)*(Table1[Status]&lt;&gt;"Complete")))</f>
        <v/>
      </c>
      <c r="O569" s="6" t="str">
        <f ca="1">IF($A569="Grand Total",SUM(INDIRECT(ADDRESS(1,COLUMN())&amp;":"&amp;ADDRESS(ROW()-1,COLUMN()))),IF(OR($A569="State Agencies",IFERROR(AND($L569&gt;='Input Sheet'!$J$2,$A569&lt;&gt;""),0)),$J569,""))</f>
        <v/>
      </c>
      <c r="P569" s="3" t="str">
        <f>IF(OR($A569="",$A569="Grand Total"),"",IF(IFERROR(ROUND($J569/$K569,2),1000)&gt;='Input Sheet'!$J$2,1,""))</f>
        <v/>
      </c>
      <c r="Q569" s="3" t="str">
        <f t="shared" si="32"/>
        <v/>
      </c>
      <c r="R569" s="3" t="str">
        <f>IF(OR($A569="",$A569="Grand Total"),"",AND($J569=0,(SUMPRODUCT((Table1[County]=SummaryPage!$A569)*(Table1[Status]="Not Started"))+SUMPRODUCT((Table1[County]=SummaryPage!$A569)*(Table1[Status]="")))=SUMPRODUCT((Table1[County]=SummaryPage!$A569)*(Table1[Status]&lt;&gt;"Q"))))</f>
        <v/>
      </c>
    </row>
    <row r="570" spans="11:18" x14ac:dyDescent="0.3">
      <c r="K570" s="28" t="str">
        <f>IF($A570="","",VLOOKUP('Input Sheet'!$D$2 &amp; " " &amp; $A570,Pop[#All],4,FALSE))</f>
        <v/>
      </c>
      <c r="L570" s="5" t="str">
        <f t="shared" si="31"/>
        <v/>
      </c>
      <c r="M570" s="7" t="str">
        <f t="shared" ca="1" si="30"/>
        <v/>
      </c>
      <c r="N570" s="17" t="str">
        <f>IF(OR($A570="",$A570="Grand Total"),IF($A570="Grand Total",SUM($N$15:$N569),""),SUMPRODUCT((Table1[County]=SummaryPage!$A570)*(Table1[Status]&lt;&gt;"Complete")))</f>
        <v/>
      </c>
      <c r="O570" s="6" t="str">
        <f ca="1">IF($A570="Grand Total",SUM(INDIRECT(ADDRESS(1,COLUMN())&amp;":"&amp;ADDRESS(ROW()-1,COLUMN()))),IF(OR($A570="State Agencies",IFERROR(AND($L570&gt;='Input Sheet'!$J$2,$A570&lt;&gt;""),0)),$J570,""))</f>
        <v/>
      </c>
      <c r="P570" s="3" t="str">
        <f>IF(OR($A570="",$A570="Grand Total"),"",IF(IFERROR(ROUND($J570/$K570,2),1000)&gt;='Input Sheet'!$J$2,1,""))</f>
        <v/>
      </c>
      <c r="Q570" s="3" t="str">
        <f t="shared" si="32"/>
        <v/>
      </c>
      <c r="R570" s="3" t="str">
        <f>IF(OR($A570="",$A570="Grand Total"),"",AND($J570=0,(SUMPRODUCT((Table1[County]=SummaryPage!$A570)*(Table1[Status]="Not Started"))+SUMPRODUCT((Table1[County]=SummaryPage!$A570)*(Table1[Status]="")))=SUMPRODUCT((Table1[County]=SummaryPage!$A570)*(Table1[Status]&lt;&gt;"Q"))))</f>
        <v/>
      </c>
    </row>
    <row r="571" spans="11:18" x14ac:dyDescent="0.3">
      <c r="K571" s="28" t="str">
        <f>IF($A571="","",VLOOKUP('Input Sheet'!$D$2 &amp; " " &amp; $A571,Pop[#All],4,FALSE))</f>
        <v/>
      </c>
      <c r="L571" s="5" t="str">
        <f t="shared" si="31"/>
        <v/>
      </c>
      <c r="M571" s="7" t="str">
        <f t="shared" ca="1" si="30"/>
        <v/>
      </c>
      <c r="N571" s="17" t="str">
        <f>IF(OR($A571="",$A571="Grand Total"),IF($A571="Grand Total",SUM($N$15:$N570),""),SUMPRODUCT((Table1[County]=SummaryPage!$A571)*(Table1[Status]&lt;&gt;"Complete")))</f>
        <v/>
      </c>
      <c r="O571" s="6" t="str">
        <f ca="1">IF($A571="Grand Total",SUM(INDIRECT(ADDRESS(1,COLUMN())&amp;":"&amp;ADDRESS(ROW()-1,COLUMN()))),IF(OR($A571="State Agencies",IFERROR(AND($L571&gt;='Input Sheet'!$J$2,$A571&lt;&gt;""),0)),$J571,""))</f>
        <v/>
      </c>
      <c r="P571" s="3" t="str">
        <f>IF(OR($A571="",$A571="Grand Total"),"",IF(IFERROR(ROUND($J571/$K571,2),1000)&gt;='Input Sheet'!$J$2,1,""))</f>
        <v/>
      </c>
      <c r="Q571" s="3" t="str">
        <f t="shared" si="32"/>
        <v/>
      </c>
      <c r="R571" s="3" t="str">
        <f>IF(OR($A571="",$A571="Grand Total"),"",AND($J571=0,(SUMPRODUCT((Table1[County]=SummaryPage!$A571)*(Table1[Status]="Not Started"))+SUMPRODUCT((Table1[County]=SummaryPage!$A571)*(Table1[Status]="")))=SUMPRODUCT((Table1[County]=SummaryPage!$A571)*(Table1[Status]&lt;&gt;"Q"))))</f>
        <v/>
      </c>
    </row>
    <row r="572" spans="11:18" x14ac:dyDescent="0.3">
      <c r="K572" s="28" t="str">
        <f>IF($A572="","",VLOOKUP('Input Sheet'!$D$2 &amp; " " &amp; $A572,Pop[#All],4,FALSE))</f>
        <v/>
      </c>
      <c r="L572" s="5" t="str">
        <f t="shared" si="31"/>
        <v/>
      </c>
      <c r="M572" s="7" t="str">
        <f t="shared" ca="1" si="30"/>
        <v/>
      </c>
      <c r="N572" s="17" t="str">
        <f>IF(OR($A572="",$A572="Grand Total"),IF($A572="Grand Total",SUM($N$15:$N571),""),SUMPRODUCT((Table1[County]=SummaryPage!$A572)*(Table1[Status]&lt;&gt;"Complete")))</f>
        <v/>
      </c>
      <c r="O572" s="6" t="str">
        <f ca="1">IF($A572="Grand Total",SUM(INDIRECT(ADDRESS(1,COLUMN())&amp;":"&amp;ADDRESS(ROW()-1,COLUMN()))),IF(OR($A572="State Agencies",IFERROR(AND($L572&gt;='Input Sheet'!$J$2,$A572&lt;&gt;""),0)),$J572,""))</f>
        <v/>
      </c>
      <c r="P572" s="3" t="str">
        <f>IF(OR($A572="",$A572="Grand Total"),"",IF(IFERROR(ROUND($J572/$K572,2),1000)&gt;='Input Sheet'!$J$2,1,""))</f>
        <v/>
      </c>
      <c r="Q572" s="3" t="str">
        <f t="shared" si="32"/>
        <v/>
      </c>
      <c r="R572" s="3" t="str">
        <f>IF(OR($A572="",$A572="Grand Total"),"",AND($J572=0,(SUMPRODUCT((Table1[County]=SummaryPage!$A572)*(Table1[Status]="Not Started"))+SUMPRODUCT((Table1[County]=SummaryPage!$A572)*(Table1[Status]="")))=SUMPRODUCT((Table1[County]=SummaryPage!$A572)*(Table1[Status]&lt;&gt;"Q"))))</f>
        <v/>
      </c>
    </row>
    <row r="573" spans="11:18" x14ac:dyDescent="0.3">
      <c r="K573" s="28" t="str">
        <f>IF($A573="","",VLOOKUP('Input Sheet'!$D$2 &amp; " " &amp; $A573,Pop[#All],4,FALSE))</f>
        <v/>
      </c>
      <c r="L573" s="5" t="str">
        <f t="shared" si="31"/>
        <v/>
      </c>
      <c r="M573" s="7" t="str">
        <f t="shared" ca="1" si="30"/>
        <v/>
      </c>
      <c r="N573" s="17" t="str">
        <f>IF(OR($A573="",$A573="Grand Total"),IF($A573="Grand Total",SUM($N$15:$N572),""),SUMPRODUCT((Table1[County]=SummaryPage!$A573)*(Table1[Status]&lt;&gt;"Complete")))</f>
        <v/>
      </c>
      <c r="O573" s="6" t="str">
        <f ca="1">IF($A573="Grand Total",SUM(INDIRECT(ADDRESS(1,COLUMN())&amp;":"&amp;ADDRESS(ROW()-1,COLUMN()))),IF(OR($A573="State Agencies",IFERROR(AND($L573&gt;='Input Sheet'!$J$2,$A573&lt;&gt;""),0)),$J573,""))</f>
        <v/>
      </c>
      <c r="P573" s="3" t="str">
        <f>IF(OR($A573="",$A573="Grand Total"),"",IF(IFERROR(ROUND($J573/$K573,2),1000)&gt;='Input Sheet'!$J$2,1,""))</f>
        <v/>
      </c>
      <c r="Q573" s="3" t="str">
        <f t="shared" si="32"/>
        <v/>
      </c>
      <c r="R573" s="3" t="str">
        <f>IF(OR($A573="",$A573="Grand Total"),"",AND($J573=0,(SUMPRODUCT((Table1[County]=SummaryPage!$A573)*(Table1[Status]="Not Started"))+SUMPRODUCT((Table1[County]=SummaryPage!$A573)*(Table1[Status]="")))=SUMPRODUCT((Table1[County]=SummaryPage!$A573)*(Table1[Status]&lt;&gt;"Q"))))</f>
        <v/>
      </c>
    </row>
    <row r="574" spans="11:18" x14ac:dyDescent="0.3">
      <c r="K574" s="28" t="str">
        <f>IF($A574="","",VLOOKUP('Input Sheet'!$D$2 &amp; " " &amp; $A574,Pop[#All],4,FALSE))</f>
        <v/>
      </c>
      <c r="L574" s="5" t="str">
        <f t="shared" si="31"/>
        <v/>
      </c>
      <c r="M574" s="7" t="str">
        <f t="shared" ca="1" si="30"/>
        <v/>
      </c>
      <c r="N574" s="17" t="str">
        <f>IF(OR($A574="",$A574="Grand Total"),IF($A574="Grand Total",SUM($N$15:$N573),""),SUMPRODUCT((Table1[County]=SummaryPage!$A574)*(Table1[Status]&lt;&gt;"Complete")))</f>
        <v/>
      </c>
      <c r="O574" s="6" t="str">
        <f ca="1">IF($A574="Grand Total",SUM(INDIRECT(ADDRESS(1,COLUMN())&amp;":"&amp;ADDRESS(ROW()-1,COLUMN()))),IF(OR($A574="State Agencies",IFERROR(AND($L574&gt;='Input Sheet'!$J$2,$A574&lt;&gt;""),0)),$J574,""))</f>
        <v/>
      </c>
      <c r="P574" s="3" t="str">
        <f>IF(OR($A574="",$A574="Grand Total"),"",IF(IFERROR(ROUND($J574/$K574,2),1000)&gt;='Input Sheet'!$J$2,1,""))</f>
        <v/>
      </c>
      <c r="Q574" s="3" t="str">
        <f t="shared" si="32"/>
        <v/>
      </c>
      <c r="R574" s="3" t="str">
        <f>IF(OR($A574="",$A574="Grand Total"),"",AND($J574=0,(SUMPRODUCT((Table1[County]=SummaryPage!$A574)*(Table1[Status]="Not Started"))+SUMPRODUCT((Table1[County]=SummaryPage!$A574)*(Table1[Status]="")))=SUMPRODUCT((Table1[County]=SummaryPage!$A574)*(Table1[Status]&lt;&gt;"Q"))))</f>
        <v/>
      </c>
    </row>
    <row r="575" spans="11:18" x14ac:dyDescent="0.3">
      <c r="K575" s="28" t="str">
        <f>IF($A575="","",VLOOKUP('Input Sheet'!$D$2 &amp; " " &amp; $A575,Pop[#All],4,FALSE))</f>
        <v/>
      </c>
      <c r="L575" s="5" t="str">
        <f t="shared" si="31"/>
        <v/>
      </c>
      <c r="M575" s="7" t="str">
        <f t="shared" ca="1" si="30"/>
        <v/>
      </c>
      <c r="N575" s="17" t="str">
        <f>IF(OR($A575="",$A575="Grand Total"),IF($A575="Grand Total",SUM($N$15:$N574),""),SUMPRODUCT((Table1[County]=SummaryPage!$A575)*(Table1[Status]&lt;&gt;"Complete")))</f>
        <v/>
      </c>
      <c r="O575" s="6" t="str">
        <f ca="1">IF($A575="Grand Total",SUM(INDIRECT(ADDRESS(1,COLUMN())&amp;":"&amp;ADDRESS(ROW()-1,COLUMN()))),IF(OR($A575="State Agencies",IFERROR(AND($L575&gt;='Input Sheet'!$J$2,$A575&lt;&gt;""),0)),$J575,""))</f>
        <v/>
      </c>
      <c r="P575" s="3" t="str">
        <f>IF(OR($A575="",$A575="Grand Total"),"",IF(IFERROR(ROUND($J575/$K575,2),1000)&gt;='Input Sheet'!$J$2,1,""))</f>
        <v/>
      </c>
      <c r="Q575" s="3" t="str">
        <f t="shared" si="32"/>
        <v/>
      </c>
      <c r="R575" s="3" t="str">
        <f>IF(OR($A575="",$A575="Grand Total"),"",AND($J575=0,(SUMPRODUCT((Table1[County]=SummaryPage!$A575)*(Table1[Status]="Not Started"))+SUMPRODUCT((Table1[County]=SummaryPage!$A575)*(Table1[Status]="")))=SUMPRODUCT((Table1[County]=SummaryPage!$A575)*(Table1[Status]&lt;&gt;"Q"))))</f>
        <v/>
      </c>
    </row>
    <row r="576" spans="11:18" x14ac:dyDescent="0.3">
      <c r="K576" s="28" t="str">
        <f>IF($A576="","",VLOOKUP('Input Sheet'!$D$2 &amp; " " &amp; $A576,Pop[#All],4,FALSE))</f>
        <v/>
      </c>
      <c r="L576" s="5" t="str">
        <f t="shared" si="31"/>
        <v/>
      </c>
      <c r="M576" s="7" t="str">
        <f t="shared" ca="1" si="30"/>
        <v/>
      </c>
      <c r="N576" s="17" t="str">
        <f>IF(OR($A576="",$A576="Grand Total"),IF($A576="Grand Total",SUM($N$15:$N575),""),SUMPRODUCT((Table1[County]=SummaryPage!$A576)*(Table1[Status]&lt;&gt;"Complete")))</f>
        <v/>
      </c>
      <c r="O576" s="6" t="str">
        <f ca="1">IF($A576="Grand Total",SUM(INDIRECT(ADDRESS(1,COLUMN())&amp;":"&amp;ADDRESS(ROW()-1,COLUMN()))),IF(OR($A576="State Agencies",IFERROR(AND($L576&gt;='Input Sheet'!$J$2,$A576&lt;&gt;""),0)),$J576,""))</f>
        <v/>
      </c>
      <c r="P576" s="3" t="str">
        <f>IF(OR($A576="",$A576="Grand Total"),"",IF(IFERROR(ROUND($J576/$K576,2),1000)&gt;='Input Sheet'!$J$2,1,""))</f>
        <v/>
      </c>
      <c r="Q576" s="3" t="str">
        <f t="shared" si="32"/>
        <v/>
      </c>
      <c r="R576" s="3" t="str">
        <f>IF(OR($A576="",$A576="Grand Total"),"",AND($J576=0,(SUMPRODUCT((Table1[County]=SummaryPage!$A576)*(Table1[Status]="Not Started"))+SUMPRODUCT((Table1[County]=SummaryPage!$A576)*(Table1[Status]="")))=SUMPRODUCT((Table1[County]=SummaryPage!$A576)*(Table1[Status]&lt;&gt;"Q"))))</f>
        <v/>
      </c>
    </row>
    <row r="577" spans="11:18" x14ac:dyDescent="0.3">
      <c r="K577" s="28" t="str">
        <f>IF($A577="","",VLOOKUP('Input Sheet'!$D$2 &amp; " " &amp; $A577,Pop[#All],4,FALSE))</f>
        <v/>
      </c>
      <c r="L577" s="5" t="str">
        <f t="shared" si="31"/>
        <v/>
      </c>
      <c r="M577" s="7" t="str">
        <f t="shared" ca="1" si="30"/>
        <v/>
      </c>
      <c r="N577" s="17" t="str">
        <f>IF(OR($A577="",$A577="Grand Total"),IF($A577="Grand Total",SUM($N$15:$N576),""),SUMPRODUCT((Table1[County]=SummaryPage!$A577)*(Table1[Status]&lt;&gt;"Complete")))</f>
        <v/>
      </c>
      <c r="O577" s="6" t="str">
        <f ca="1">IF($A577="Grand Total",SUM(INDIRECT(ADDRESS(1,COLUMN())&amp;":"&amp;ADDRESS(ROW()-1,COLUMN()))),IF(OR($A577="State Agencies",IFERROR(AND($L577&gt;='Input Sheet'!$J$2,$A577&lt;&gt;""),0)),$J577,""))</f>
        <v/>
      </c>
      <c r="P577" s="3" t="str">
        <f>IF(OR($A577="",$A577="Grand Total"),"",IF(IFERROR(ROUND($J577/$K577,2),1000)&gt;='Input Sheet'!$J$2,1,""))</f>
        <v/>
      </c>
      <c r="Q577" s="3" t="str">
        <f t="shared" si="32"/>
        <v/>
      </c>
      <c r="R577" s="3" t="str">
        <f>IF(OR($A577="",$A577="Grand Total"),"",AND($J577=0,(SUMPRODUCT((Table1[County]=SummaryPage!$A577)*(Table1[Status]="Not Started"))+SUMPRODUCT((Table1[County]=SummaryPage!$A577)*(Table1[Status]="")))=SUMPRODUCT((Table1[County]=SummaryPage!$A577)*(Table1[Status]&lt;&gt;"Q"))))</f>
        <v/>
      </c>
    </row>
    <row r="578" spans="11:18" x14ac:dyDescent="0.3">
      <c r="K578" s="28" t="str">
        <f>IF($A578="","",VLOOKUP('Input Sheet'!$D$2 &amp; " " &amp; $A578,Pop[#All],4,FALSE))</f>
        <v/>
      </c>
      <c r="L578" s="5" t="str">
        <f t="shared" si="31"/>
        <v/>
      </c>
      <c r="M578" s="7" t="str">
        <f t="shared" ca="1" si="30"/>
        <v/>
      </c>
      <c r="N578" s="17" t="str">
        <f>IF(OR($A578="",$A578="Grand Total"),IF($A578="Grand Total",SUM($N$15:$N577),""),SUMPRODUCT((Table1[County]=SummaryPage!$A578)*(Table1[Status]&lt;&gt;"Complete")))</f>
        <v/>
      </c>
      <c r="O578" s="6" t="str">
        <f ca="1">IF($A578="Grand Total",SUM(INDIRECT(ADDRESS(1,COLUMN())&amp;":"&amp;ADDRESS(ROW()-1,COLUMN()))),IF(OR($A578="State Agencies",IFERROR(AND($L578&gt;='Input Sheet'!$J$2,$A578&lt;&gt;""),0)),$J578,""))</f>
        <v/>
      </c>
      <c r="P578" s="3" t="str">
        <f>IF(OR($A578="",$A578="Grand Total"),"",IF(IFERROR(ROUND($J578/$K578,2),1000)&gt;='Input Sheet'!$J$2,1,""))</f>
        <v/>
      </c>
      <c r="Q578" s="3" t="str">
        <f t="shared" si="32"/>
        <v/>
      </c>
      <c r="R578" s="3" t="str">
        <f>IF(OR($A578="",$A578="Grand Total"),"",AND($J578=0,(SUMPRODUCT((Table1[County]=SummaryPage!$A578)*(Table1[Status]="Not Started"))+SUMPRODUCT((Table1[County]=SummaryPage!$A578)*(Table1[Status]="")))=SUMPRODUCT((Table1[County]=SummaryPage!$A578)*(Table1[Status]&lt;&gt;"Q"))))</f>
        <v/>
      </c>
    </row>
    <row r="579" spans="11:18" x14ac:dyDescent="0.3">
      <c r="K579" s="28" t="str">
        <f>IF($A579="","",VLOOKUP('Input Sheet'!$D$2 &amp; " " &amp; $A579,Pop[#All],4,FALSE))</f>
        <v/>
      </c>
      <c r="L579" s="5" t="str">
        <f t="shared" si="31"/>
        <v/>
      </c>
      <c r="M579" s="7" t="str">
        <f t="shared" ca="1" si="30"/>
        <v/>
      </c>
      <c r="N579" s="17" t="str">
        <f>IF(OR($A579="",$A579="Grand Total"),IF($A579="Grand Total",SUM($N$15:$N578),""),SUMPRODUCT((Table1[County]=SummaryPage!$A579)*(Table1[Status]&lt;&gt;"Complete")))</f>
        <v/>
      </c>
      <c r="O579" s="6" t="str">
        <f ca="1">IF($A579="Grand Total",SUM(INDIRECT(ADDRESS(1,COLUMN())&amp;":"&amp;ADDRESS(ROW()-1,COLUMN()))),IF(OR($A579="State Agencies",IFERROR(AND($L579&gt;='Input Sheet'!$J$2,$A579&lt;&gt;""),0)),$J579,""))</f>
        <v/>
      </c>
      <c r="P579" s="3" t="str">
        <f>IF(OR($A579="",$A579="Grand Total"),"",IF(IFERROR(ROUND($J579/$K579,2),1000)&gt;='Input Sheet'!$J$2,1,""))</f>
        <v/>
      </c>
      <c r="Q579" s="3" t="str">
        <f t="shared" si="32"/>
        <v/>
      </c>
      <c r="R579" s="3" t="str">
        <f>IF(OR($A579="",$A579="Grand Total"),"",AND($J579=0,(SUMPRODUCT((Table1[County]=SummaryPage!$A579)*(Table1[Status]="Not Started"))+SUMPRODUCT((Table1[County]=SummaryPage!$A579)*(Table1[Status]="")))=SUMPRODUCT((Table1[County]=SummaryPage!$A579)*(Table1[Status]&lt;&gt;"Q"))))</f>
        <v/>
      </c>
    </row>
    <row r="580" spans="11:18" x14ac:dyDescent="0.3">
      <c r="K580" s="28" t="str">
        <f>IF($A580="","",VLOOKUP('Input Sheet'!$D$2 &amp; " " &amp; $A580,Pop[#All],4,FALSE))</f>
        <v/>
      </c>
      <c r="L580" s="5" t="str">
        <f t="shared" si="31"/>
        <v/>
      </c>
      <c r="M580" s="7" t="str">
        <f t="shared" ca="1" si="30"/>
        <v/>
      </c>
      <c r="N580" s="17" t="str">
        <f>IF(OR($A580="",$A580="Grand Total"),IF($A580="Grand Total",SUM($N$15:$N579),""),SUMPRODUCT((Table1[County]=SummaryPage!$A580)*(Table1[Status]&lt;&gt;"Complete")))</f>
        <v/>
      </c>
      <c r="O580" s="6" t="str">
        <f ca="1">IF($A580="Grand Total",SUM(INDIRECT(ADDRESS(1,COLUMN())&amp;":"&amp;ADDRESS(ROW()-1,COLUMN()))),IF(OR($A580="State Agencies",IFERROR(AND($L580&gt;='Input Sheet'!$J$2,$A580&lt;&gt;""),0)),$J580,""))</f>
        <v/>
      </c>
      <c r="P580" s="3" t="str">
        <f>IF(OR($A580="",$A580="Grand Total"),"",IF(IFERROR(ROUND($J580/$K580,2),1000)&gt;='Input Sheet'!$J$2,1,""))</f>
        <v/>
      </c>
      <c r="Q580" s="3" t="str">
        <f t="shared" si="32"/>
        <v/>
      </c>
      <c r="R580" s="3" t="str">
        <f>IF(OR($A580="",$A580="Grand Total"),"",AND($J580=0,(SUMPRODUCT((Table1[County]=SummaryPage!$A580)*(Table1[Status]="Not Started"))+SUMPRODUCT((Table1[County]=SummaryPage!$A580)*(Table1[Status]="")))=SUMPRODUCT((Table1[County]=SummaryPage!$A580)*(Table1[Status]&lt;&gt;"Q"))))</f>
        <v/>
      </c>
    </row>
    <row r="581" spans="11:18" x14ac:dyDescent="0.3">
      <c r="K581" s="28" t="str">
        <f>IF($A581="","",VLOOKUP('Input Sheet'!$D$2 &amp; " " &amp; $A581,Pop[#All],4,FALSE))</f>
        <v/>
      </c>
      <c r="L581" s="5" t="str">
        <f t="shared" si="31"/>
        <v/>
      </c>
      <c r="M581" s="7" t="str">
        <f t="shared" ca="1" si="30"/>
        <v/>
      </c>
      <c r="N581" s="17" t="str">
        <f>IF(OR($A581="",$A581="Grand Total"),IF($A581="Grand Total",SUM($N$15:$N580),""),SUMPRODUCT((Table1[County]=SummaryPage!$A581)*(Table1[Status]&lt;&gt;"Complete")))</f>
        <v/>
      </c>
      <c r="O581" s="6" t="str">
        <f ca="1">IF($A581="Grand Total",SUM(INDIRECT(ADDRESS(1,COLUMN())&amp;":"&amp;ADDRESS(ROW()-1,COLUMN()))),IF(OR($A581="State Agencies",IFERROR(AND($L581&gt;='Input Sheet'!$J$2,$A581&lt;&gt;""),0)),$J581,""))</f>
        <v/>
      </c>
      <c r="P581" s="3" t="str">
        <f>IF(OR($A581="",$A581="Grand Total"),"",IF(IFERROR(ROUND($J581/$K581,2),1000)&gt;='Input Sheet'!$J$2,1,""))</f>
        <v/>
      </c>
      <c r="Q581" s="3" t="str">
        <f t="shared" si="32"/>
        <v/>
      </c>
      <c r="R581" s="3" t="str">
        <f>IF(OR($A581="",$A581="Grand Total"),"",AND($J581=0,(SUMPRODUCT((Table1[County]=SummaryPage!$A581)*(Table1[Status]="Not Started"))+SUMPRODUCT((Table1[County]=SummaryPage!$A581)*(Table1[Status]="")))=SUMPRODUCT((Table1[County]=SummaryPage!$A581)*(Table1[Status]&lt;&gt;"Q"))))</f>
        <v/>
      </c>
    </row>
    <row r="582" spans="11:18" x14ac:dyDescent="0.3">
      <c r="K582" s="28" t="str">
        <f>IF($A582="","",VLOOKUP('Input Sheet'!$D$2 &amp; " " &amp; $A582,Pop[#All],4,FALSE))</f>
        <v/>
      </c>
      <c r="L582" s="5" t="str">
        <f t="shared" si="31"/>
        <v/>
      </c>
      <c r="M582" s="7" t="str">
        <f t="shared" ca="1" si="30"/>
        <v/>
      </c>
      <c r="N582" s="17" t="str">
        <f>IF(OR($A582="",$A582="Grand Total"),IF($A582="Grand Total",SUM($N$15:$N581),""),SUMPRODUCT((Table1[County]=SummaryPage!$A582)*(Table1[Status]&lt;&gt;"Complete")))</f>
        <v/>
      </c>
      <c r="O582" s="6" t="str">
        <f ca="1">IF($A582="Grand Total",SUM(INDIRECT(ADDRESS(1,COLUMN())&amp;":"&amp;ADDRESS(ROW()-1,COLUMN()))),IF(OR($A582="State Agencies",IFERROR(AND($L582&gt;='Input Sheet'!$J$2,$A582&lt;&gt;""),0)),$J582,""))</f>
        <v/>
      </c>
      <c r="P582" s="3" t="str">
        <f>IF(OR($A582="",$A582="Grand Total"),"",IF(IFERROR(ROUND($J582/$K582,2),1000)&gt;='Input Sheet'!$J$2,1,""))</f>
        <v/>
      </c>
      <c r="Q582" s="3" t="str">
        <f t="shared" si="32"/>
        <v/>
      </c>
      <c r="R582" s="3" t="str">
        <f>IF(OR($A582="",$A582="Grand Total"),"",AND($J582=0,(SUMPRODUCT((Table1[County]=SummaryPage!$A582)*(Table1[Status]="Not Started"))+SUMPRODUCT((Table1[County]=SummaryPage!$A582)*(Table1[Status]="")))=SUMPRODUCT((Table1[County]=SummaryPage!$A582)*(Table1[Status]&lt;&gt;"Q"))))</f>
        <v/>
      </c>
    </row>
    <row r="583" spans="11:18" x14ac:dyDescent="0.3">
      <c r="K583" s="28" t="str">
        <f>IF($A583="","",VLOOKUP('Input Sheet'!$D$2 &amp; " " &amp; $A583,Pop[#All],4,FALSE))</f>
        <v/>
      </c>
      <c r="L583" s="5" t="str">
        <f t="shared" si="31"/>
        <v/>
      </c>
      <c r="M583" s="7" t="str">
        <f t="shared" ca="1" si="30"/>
        <v/>
      </c>
      <c r="N583" s="17" t="str">
        <f>IF(OR($A583="",$A583="Grand Total"),IF($A583="Grand Total",SUM($N$15:$N582),""),SUMPRODUCT((Table1[County]=SummaryPage!$A583)*(Table1[Status]&lt;&gt;"Complete")))</f>
        <v/>
      </c>
      <c r="O583" s="6" t="str">
        <f ca="1">IF($A583="Grand Total",SUM(INDIRECT(ADDRESS(1,COLUMN())&amp;":"&amp;ADDRESS(ROW()-1,COLUMN()))),IF(OR($A583="State Agencies",IFERROR(AND($L583&gt;='Input Sheet'!$J$2,$A583&lt;&gt;""),0)),$J583,""))</f>
        <v/>
      </c>
      <c r="P583" s="3" t="str">
        <f>IF(OR($A583="",$A583="Grand Total"),"",IF(IFERROR(ROUND($J583/$K583,2),1000)&gt;='Input Sheet'!$J$2,1,""))</f>
        <v/>
      </c>
      <c r="Q583" s="3" t="str">
        <f t="shared" si="32"/>
        <v/>
      </c>
      <c r="R583" s="3" t="str">
        <f>IF(OR($A583="",$A583="Grand Total"),"",AND($J583=0,(SUMPRODUCT((Table1[County]=SummaryPage!$A583)*(Table1[Status]="Not Started"))+SUMPRODUCT((Table1[County]=SummaryPage!$A583)*(Table1[Status]="")))=SUMPRODUCT((Table1[County]=SummaryPage!$A583)*(Table1[Status]&lt;&gt;"Q"))))</f>
        <v/>
      </c>
    </row>
    <row r="584" spans="11:18" x14ac:dyDescent="0.3">
      <c r="K584" s="28" t="str">
        <f>IF($A584="","",VLOOKUP('Input Sheet'!$D$2 &amp; " " &amp; $A584,Pop[#All],4,FALSE))</f>
        <v/>
      </c>
      <c r="L584" s="5" t="str">
        <f t="shared" si="31"/>
        <v/>
      </c>
      <c r="M584" s="7" t="str">
        <f t="shared" ca="1" si="30"/>
        <v/>
      </c>
      <c r="N584" s="17" t="str">
        <f>IF(OR($A584="",$A584="Grand Total"),IF($A584="Grand Total",SUM($N$15:$N583),""),SUMPRODUCT((Table1[County]=SummaryPage!$A584)*(Table1[Status]&lt;&gt;"Complete")))</f>
        <v/>
      </c>
      <c r="O584" s="6" t="str">
        <f ca="1">IF($A584="Grand Total",SUM(INDIRECT(ADDRESS(1,COLUMN())&amp;":"&amp;ADDRESS(ROW()-1,COLUMN()))),IF(OR($A584="State Agencies",IFERROR(AND($L584&gt;='Input Sheet'!$J$2,$A584&lt;&gt;""),0)),$J584,""))</f>
        <v/>
      </c>
      <c r="P584" s="3" t="str">
        <f>IF(OR($A584="",$A584="Grand Total"),"",IF(IFERROR(ROUND($J584/$K584,2),1000)&gt;='Input Sheet'!$J$2,1,""))</f>
        <v/>
      </c>
      <c r="Q584" s="3" t="str">
        <f t="shared" si="32"/>
        <v/>
      </c>
      <c r="R584" s="3" t="str">
        <f>IF(OR($A584="",$A584="Grand Total"),"",AND($J584=0,(SUMPRODUCT((Table1[County]=SummaryPage!$A584)*(Table1[Status]="Not Started"))+SUMPRODUCT((Table1[County]=SummaryPage!$A584)*(Table1[Status]="")))=SUMPRODUCT((Table1[County]=SummaryPage!$A584)*(Table1[Status]&lt;&gt;"Q"))))</f>
        <v/>
      </c>
    </row>
    <row r="585" spans="11:18" x14ac:dyDescent="0.3">
      <c r="K585" s="28" t="str">
        <f>IF($A585="","",VLOOKUP('Input Sheet'!$D$2 &amp; " " &amp; $A585,Pop[#All],4,FALSE))</f>
        <v/>
      </c>
      <c r="L585" s="5" t="str">
        <f t="shared" si="31"/>
        <v/>
      </c>
      <c r="M585" s="7" t="str">
        <f t="shared" ca="1" si="30"/>
        <v/>
      </c>
      <c r="N585" s="17" t="str">
        <f>IF(OR($A585="",$A585="Grand Total"),IF($A585="Grand Total",SUM($N$15:$N584),""),SUMPRODUCT((Table1[County]=SummaryPage!$A585)*(Table1[Status]&lt;&gt;"Complete")))</f>
        <v/>
      </c>
      <c r="O585" s="6" t="str">
        <f ca="1">IF($A585="Grand Total",SUM(INDIRECT(ADDRESS(1,COLUMN())&amp;":"&amp;ADDRESS(ROW()-1,COLUMN()))),IF(OR($A585="State Agencies",IFERROR(AND($L585&gt;='Input Sheet'!$J$2,$A585&lt;&gt;""),0)),$J585,""))</f>
        <v/>
      </c>
      <c r="P585" s="3" t="str">
        <f>IF(OR($A585="",$A585="Grand Total"),"",IF(IFERROR(ROUND($J585/$K585,2),1000)&gt;='Input Sheet'!$J$2,1,""))</f>
        <v/>
      </c>
      <c r="Q585" s="3" t="str">
        <f t="shared" si="32"/>
        <v/>
      </c>
      <c r="R585" s="3" t="str">
        <f>IF(OR($A585="",$A585="Grand Total"),"",AND($J585=0,(SUMPRODUCT((Table1[County]=SummaryPage!$A585)*(Table1[Status]="Not Started"))+SUMPRODUCT((Table1[County]=SummaryPage!$A585)*(Table1[Status]="")))=SUMPRODUCT((Table1[County]=SummaryPage!$A585)*(Table1[Status]&lt;&gt;"Q"))))</f>
        <v/>
      </c>
    </row>
    <row r="586" spans="11:18" x14ac:dyDescent="0.3">
      <c r="K586" s="28" t="str">
        <f>IF($A586="","",VLOOKUP('Input Sheet'!$D$2 &amp; " " &amp; $A586,Pop[#All],4,FALSE))</f>
        <v/>
      </c>
      <c r="L586" s="5" t="str">
        <f t="shared" si="31"/>
        <v/>
      </c>
      <c r="M586" s="7" t="str">
        <f t="shared" ca="1" si="30"/>
        <v/>
      </c>
      <c r="N586" s="17" t="str">
        <f>IF(OR($A586="",$A586="Grand Total"),IF($A586="Grand Total",SUM($N$15:$N585),""),SUMPRODUCT((Table1[County]=SummaryPage!$A586)*(Table1[Status]&lt;&gt;"Complete")))</f>
        <v/>
      </c>
      <c r="O586" s="6" t="str">
        <f ca="1">IF($A586="Grand Total",SUM(INDIRECT(ADDRESS(1,COLUMN())&amp;":"&amp;ADDRESS(ROW()-1,COLUMN()))),IF(OR($A586="State Agencies",IFERROR(AND($L586&gt;='Input Sheet'!$J$2,$A586&lt;&gt;""),0)),$J586,""))</f>
        <v/>
      </c>
      <c r="P586" s="3" t="str">
        <f>IF(OR($A586="",$A586="Grand Total"),"",IF(IFERROR(ROUND($J586/$K586,2),1000)&gt;='Input Sheet'!$J$2,1,""))</f>
        <v/>
      </c>
      <c r="Q586" s="3" t="str">
        <f t="shared" si="32"/>
        <v/>
      </c>
      <c r="R586" s="3" t="str">
        <f>IF(OR($A586="",$A586="Grand Total"),"",AND($J586=0,(SUMPRODUCT((Table1[County]=SummaryPage!$A586)*(Table1[Status]="Not Started"))+SUMPRODUCT((Table1[County]=SummaryPage!$A586)*(Table1[Status]="")))=SUMPRODUCT((Table1[County]=SummaryPage!$A586)*(Table1[Status]&lt;&gt;"Q"))))</f>
        <v/>
      </c>
    </row>
    <row r="587" spans="11:18" x14ac:dyDescent="0.3">
      <c r="K587" s="28" t="str">
        <f>IF($A587="","",VLOOKUP('Input Sheet'!$D$2 &amp; " " &amp; $A587,Pop[#All],4,FALSE))</f>
        <v/>
      </c>
      <c r="L587" s="5" t="str">
        <f t="shared" si="31"/>
        <v/>
      </c>
      <c r="M587" s="7" t="str">
        <f t="shared" ca="1" si="30"/>
        <v/>
      </c>
      <c r="N587" s="17" t="str">
        <f>IF(OR($A587="",$A587="Grand Total"),IF($A587="Grand Total",SUM($N$15:$N586),""),SUMPRODUCT((Table1[County]=SummaryPage!$A587)*(Table1[Status]&lt;&gt;"Complete")))</f>
        <v/>
      </c>
      <c r="O587" s="6" t="str">
        <f ca="1">IF($A587="Grand Total",SUM(INDIRECT(ADDRESS(1,COLUMN())&amp;":"&amp;ADDRESS(ROW()-1,COLUMN()))),IF(OR($A587="State Agencies",IFERROR(AND($L587&gt;='Input Sheet'!$J$2,$A587&lt;&gt;""),0)),$J587,""))</f>
        <v/>
      </c>
      <c r="P587" s="3" t="str">
        <f>IF(OR($A587="",$A587="Grand Total"),"",IF(IFERROR(ROUND($J587/$K587,2),1000)&gt;='Input Sheet'!$J$2,1,""))</f>
        <v/>
      </c>
      <c r="Q587" s="3" t="str">
        <f t="shared" si="32"/>
        <v/>
      </c>
      <c r="R587" s="3" t="str">
        <f>IF(OR($A587="",$A587="Grand Total"),"",AND($J587=0,(SUMPRODUCT((Table1[County]=SummaryPage!$A587)*(Table1[Status]="Not Started"))+SUMPRODUCT((Table1[County]=SummaryPage!$A587)*(Table1[Status]="")))=SUMPRODUCT((Table1[County]=SummaryPage!$A587)*(Table1[Status]&lt;&gt;"Q"))))</f>
        <v/>
      </c>
    </row>
    <row r="588" spans="11:18" x14ac:dyDescent="0.3">
      <c r="K588" s="28" t="str">
        <f>IF($A588="","",VLOOKUP('Input Sheet'!$D$2 &amp; " " &amp; $A588,Pop[#All],4,FALSE))</f>
        <v/>
      </c>
      <c r="L588" s="5" t="str">
        <f t="shared" si="31"/>
        <v/>
      </c>
      <c r="M588" s="7" t="str">
        <f t="shared" ca="1" si="30"/>
        <v/>
      </c>
      <c r="N588" s="17" t="str">
        <f>IF(OR($A588="",$A588="Grand Total"),IF($A588="Grand Total",SUM($N$15:$N587),""),SUMPRODUCT((Table1[County]=SummaryPage!$A588)*(Table1[Status]&lt;&gt;"Complete")))</f>
        <v/>
      </c>
      <c r="O588" s="6" t="str">
        <f ca="1">IF($A588="Grand Total",SUM(INDIRECT(ADDRESS(1,COLUMN())&amp;":"&amp;ADDRESS(ROW()-1,COLUMN()))),IF(OR($A588="State Agencies",IFERROR(AND($L588&gt;='Input Sheet'!$J$2,$A588&lt;&gt;""),0)),$J588,""))</f>
        <v/>
      </c>
      <c r="P588" s="3" t="str">
        <f>IF(OR($A588="",$A588="Grand Total"),"",IF(IFERROR(ROUND($J588/$K588,2),1000)&gt;='Input Sheet'!$J$2,1,""))</f>
        <v/>
      </c>
      <c r="Q588" s="3" t="str">
        <f t="shared" si="32"/>
        <v/>
      </c>
      <c r="R588" s="3" t="str">
        <f>IF(OR($A588="",$A588="Grand Total"),"",AND($J588=0,(SUMPRODUCT((Table1[County]=SummaryPage!$A588)*(Table1[Status]="Not Started"))+SUMPRODUCT((Table1[County]=SummaryPage!$A588)*(Table1[Status]="")))=SUMPRODUCT((Table1[County]=SummaryPage!$A588)*(Table1[Status]&lt;&gt;"Q"))))</f>
        <v/>
      </c>
    </row>
    <row r="589" spans="11:18" x14ac:dyDescent="0.3">
      <c r="K589" s="28" t="str">
        <f>IF($A589="","",VLOOKUP('Input Sheet'!$D$2 &amp; " " &amp; $A589,Pop[#All],4,FALSE))</f>
        <v/>
      </c>
      <c r="L589" s="5" t="str">
        <f t="shared" si="31"/>
        <v/>
      </c>
      <c r="M589" s="7" t="str">
        <f t="shared" ca="1" si="30"/>
        <v/>
      </c>
      <c r="N589" s="17" t="str">
        <f>IF(OR($A589="",$A589="Grand Total"),IF($A589="Grand Total",SUM($N$15:$N588),""),SUMPRODUCT((Table1[County]=SummaryPage!$A589)*(Table1[Status]&lt;&gt;"Complete")))</f>
        <v/>
      </c>
      <c r="O589" s="6" t="str">
        <f ca="1">IF($A589="Grand Total",SUM(INDIRECT(ADDRESS(1,COLUMN())&amp;":"&amp;ADDRESS(ROW()-1,COLUMN()))),IF(OR($A589="State Agencies",IFERROR(AND($L589&gt;='Input Sheet'!$J$2,$A589&lt;&gt;""),0)),$J589,""))</f>
        <v/>
      </c>
      <c r="P589" s="3" t="str">
        <f>IF(OR($A589="",$A589="Grand Total"),"",IF(IFERROR(ROUND($J589/$K589,2),1000)&gt;='Input Sheet'!$J$2,1,""))</f>
        <v/>
      </c>
      <c r="Q589" s="3" t="str">
        <f t="shared" si="32"/>
        <v/>
      </c>
      <c r="R589" s="3" t="str">
        <f>IF(OR($A589="",$A589="Grand Total"),"",AND($J589=0,(SUMPRODUCT((Table1[County]=SummaryPage!$A589)*(Table1[Status]="Not Started"))+SUMPRODUCT((Table1[County]=SummaryPage!$A589)*(Table1[Status]="")))=SUMPRODUCT((Table1[County]=SummaryPage!$A589)*(Table1[Status]&lt;&gt;"Q"))))</f>
        <v/>
      </c>
    </row>
    <row r="590" spans="11:18" x14ac:dyDescent="0.3">
      <c r="K590" s="28" t="str">
        <f>IF($A590="","",VLOOKUP('Input Sheet'!$D$2 &amp; " " &amp; $A590,Pop[#All],4,FALSE))</f>
        <v/>
      </c>
      <c r="L590" s="5" t="str">
        <f t="shared" si="31"/>
        <v/>
      </c>
      <c r="M590" s="7" t="str">
        <f t="shared" ca="1" si="30"/>
        <v/>
      </c>
      <c r="N590" s="17" t="str">
        <f>IF(OR($A590="",$A590="Grand Total"),IF($A590="Grand Total",SUM($N$15:$N589),""),SUMPRODUCT((Table1[County]=SummaryPage!$A590)*(Table1[Status]&lt;&gt;"Complete")))</f>
        <v/>
      </c>
      <c r="O590" s="6" t="str">
        <f ca="1">IF($A590="Grand Total",SUM(INDIRECT(ADDRESS(1,COLUMN())&amp;":"&amp;ADDRESS(ROW()-1,COLUMN()))),IF(OR($A590="State Agencies",IFERROR(AND($L590&gt;='Input Sheet'!$J$2,$A590&lt;&gt;""),0)),$J590,""))</f>
        <v/>
      </c>
      <c r="P590" s="3" t="str">
        <f>IF(OR($A590="",$A590="Grand Total"),"",IF(IFERROR(ROUND($J590/$K590,2),1000)&gt;='Input Sheet'!$J$2,1,""))</f>
        <v/>
      </c>
      <c r="Q590" s="3" t="str">
        <f t="shared" si="32"/>
        <v/>
      </c>
      <c r="R590" s="3" t="str">
        <f>IF(OR($A590="",$A590="Grand Total"),"",AND($J590=0,(SUMPRODUCT((Table1[County]=SummaryPage!$A590)*(Table1[Status]="Not Started"))+SUMPRODUCT((Table1[County]=SummaryPage!$A590)*(Table1[Status]="")))=SUMPRODUCT((Table1[County]=SummaryPage!$A590)*(Table1[Status]&lt;&gt;"Q"))))</f>
        <v/>
      </c>
    </row>
    <row r="591" spans="11:18" x14ac:dyDescent="0.3">
      <c r="K591" s="28" t="str">
        <f>IF($A591="","",VLOOKUP('Input Sheet'!$D$2 &amp; " " &amp; $A591,Pop[#All],4,FALSE))</f>
        <v/>
      </c>
      <c r="L591" s="5" t="str">
        <f t="shared" si="31"/>
        <v/>
      </c>
      <c r="M591" s="7" t="str">
        <f t="shared" ref="M591:M654" ca="1" si="33">IF(A591="Grand Total","",IF(ISNUMBER($O591),$O591*2/SUM($O:$O),""))</f>
        <v/>
      </c>
      <c r="N591" s="17" t="str">
        <f>IF(OR($A591="",$A591="Grand Total"),IF($A591="Grand Total",SUM($N$15:$N590),""),SUMPRODUCT((Table1[County]=SummaryPage!$A591)*(Table1[Status]&lt;&gt;"Complete")))</f>
        <v/>
      </c>
      <c r="O591" s="6" t="str">
        <f ca="1">IF($A591="Grand Total",SUM(INDIRECT(ADDRESS(1,COLUMN())&amp;":"&amp;ADDRESS(ROW()-1,COLUMN()))),IF(OR($A591="State Agencies",IFERROR(AND($L591&gt;='Input Sheet'!$J$2,$A591&lt;&gt;""),0)),$J591,""))</f>
        <v/>
      </c>
      <c r="P591" s="3" t="str">
        <f>IF(OR($A591="",$A591="Grand Total"),"",IF(IFERROR(ROUND($J591/$K591,2),1000)&gt;='Input Sheet'!$J$2,1,""))</f>
        <v/>
      </c>
      <c r="Q591" s="3" t="str">
        <f t="shared" si="32"/>
        <v/>
      </c>
      <c r="R591" s="3" t="str">
        <f>IF(OR($A591="",$A591="Grand Total"),"",AND($J591=0,(SUMPRODUCT((Table1[County]=SummaryPage!$A591)*(Table1[Status]="Not Started"))+SUMPRODUCT((Table1[County]=SummaryPage!$A591)*(Table1[Status]="")))=SUMPRODUCT((Table1[County]=SummaryPage!$A591)*(Table1[Status]&lt;&gt;"Q"))))</f>
        <v/>
      </c>
    </row>
    <row r="592" spans="11:18" x14ac:dyDescent="0.3">
      <c r="K592" s="28" t="str">
        <f>IF($A592="","",VLOOKUP('Input Sheet'!$D$2 &amp; " " &amp; $A592,Pop[#All],4,FALSE))</f>
        <v/>
      </c>
      <c r="L592" s="5" t="str">
        <f t="shared" ref="L592:L655" si="34">IFERROR(IF($A592="","",ROUND($J592/$K592,2)),"")</f>
        <v/>
      </c>
      <c r="M592" s="7" t="str">
        <f t="shared" ca="1" si="33"/>
        <v/>
      </c>
      <c r="N592" s="17" t="str">
        <f>IF(OR($A592="",$A592="Grand Total"),IF($A592="Grand Total",SUM($N$15:$N591),""),SUMPRODUCT((Table1[County]=SummaryPage!$A592)*(Table1[Status]&lt;&gt;"Complete")))</f>
        <v/>
      </c>
      <c r="O592" s="6" t="str">
        <f ca="1">IF($A592="Grand Total",SUM(INDIRECT(ADDRESS(1,COLUMN())&amp;":"&amp;ADDRESS(ROW()-1,COLUMN()))),IF(OR($A592="State Agencies",IFERROR(AND($L592&gt;='Input Sheet'!$J$2,$A592&lt;&gt;""),0)),$J592,""))</f>
        <v/>
      </c>
      <c r="P592" s="3" t="str">
        <f>IF(OR($A592="",$A592="Grand Total"),"",IF(IFERROR(ROUND($J592/$K592,2),1000)&gt;='Input Sheet'!$J$2,1,""))</f>
        <v/>
      </c>
      <c r="Q592" s="3" t="str">
        <f t="shared" ref="Q592:Q655" si="35">IFERROR($L592*$P592,"")</f>
        <v/>
      </c>
      <c r="R592" s="3" t="str">
        <f>IF(OR($A592="",$A592="Grand Total"),"",AND($J592=0,(SUMPRODUCT((Table1[County]=SummaryPage!$A592)*(Table1[Status]="Not Started"))+SUMPRODUCT((Table1[County]=SummaryPage!$A592)*(Table1[Status]="")))=SUMPRODUCT((Table1[County]=SummaryPage!$A592)*(Table1[Status]&lt;&gt;"Q"))))</f>
        <v/>
      </c>
    </row>
    <row r="593" spans="11:18" x14ac:dyDescent="0.3">
      <c r="K593" s="28" t="str">
        <f>IF($A593="","",VLOOKUP('Input Sheet'!$D$2 &amp; " " &amp; $A593,Pop[#All],4,FALSE))</f>
        <v/>
      </c>
      <c r="L593" s="5" t="str">
        <f t="shared" si="34"/>
        <v/>
      </c>
      <c r="M593" s="7" t="str">
        <f t="shared" ca="1" si="33"/>
        <v/>
      </c>
      <c r="N593" s="17" t="str">
        <f>IF(OR($A593="",$A593="Grand Total"),IF($A593="Grand Total",SUM($N$15:$N592),""),SUMPRODUCT((Table1[County]=SummaryPage!$A593)*(Table1[Status]&lt;&gt;"Complete")))</f>
        <v/>
      </c>
      <c r="O593" s="6" t="str">
        <f ca="1">IF($A593="Grand Total",SUM(INDIRECT(ADDRESS(1,COLUMN())&amp;":"&amp;ADDRESS(ROW()-1,COLUMN()))),IF(OR($A593="State Agencies",IFERROR(AND($L593&gt;='Input Sheet'!$J$2,$A593&lt;&gt;""),0)),$J593,""))</f>
        <v/>
      </c>
      <c r="P593" s="3" t="str">
        <f>IF(OR($A593="",$A593="Grand Total"),"",IF(IFERROR(ROUND($J593/$K593,2),1000)&gt;='Input Sheet'!$J$2,1,""))</f>
        <v/>
      </c>
      <c r="Q593" s="3" t="str">
        <f t="shared" si="35"/>
        <v/>
      </c>
      <c r="R593" s="3" t="str">
        <f>IF(OR($A593="",$A593="Grand Total"),"",AND($J593=0,(SUMPRODUCT((Table1[County]=SummaryPage!$A593)*(Table1[Status]="Not Started"))+SUMPRODUCT((Table1[County]=SummaryPage!$A593)*(Table1[Status]="")))=SUMPRODUCT((Table1[County]=SummaryPage!$A593)*(Table1[Status]&lt;&gt;"Q"))))</f>
        <v/>
      </c>
    </row>
    <row r="594" spans="11:18" x14ac:dyDescent="0.3">
      <c r="K594" s="28" t="str">
        <f>IF($A594="","",VLOOKUP('Input Sheet'!$D$2 &amp; " " &amp; $A594,Pop[#All],4,FALSE))</f>
        <v/>
      </c>
      <c r="L594" s="5" t="str">
        <f t="shared" si="34"/>
        <v/>
      </c>
      <c r="M594" s="7" t="str">
        <f t="shared" ca="1" si="33"/>
        <v/>
      </c>
      <c r="N594" s="17" t="str">
        <f>IF(OR($A594="",$A594="Grand Total"),IF($A594="Grand Total",SUM($N$15:$N593),""),SUMPRODUCT((Table1[County]=SummaryPage!$A594)*(Table1[Status]&lt;&gt;"Complete")))</f>
        <v/>
      </c>
      <c r="O594" s="6" t="str">
        <f ca="1">IF($A594="Grand Total",SUM(INDIRECT(ADDRESS(1,COLUMN())&amp;":"&amp;ADDRESS(ROW()-1,COLUMN()))),IF(OR($A594="State Agencies",IFERROR(AND($L594&gt;='Input Sheet'!$J$2,$A594&lt;&gt;""),0)),$J594,""))</f>
        <v/>
      </c>
      <c r="P594" s="3" t="str">
        <f>IF(OR($A594="",$A594="Grand Total"),"",IF(IFERROR(ROUND($J594/$K594,2),1000)&gt;='Input Sheet'!$J$2,1,""))</f>
        <v/>
      </c>
      <c r="Q594" s="3" t="str">
        <f t="shared" si="35"/>
        <v/>
      </c>
      <c r="R594" s="3" t="str">
        <f>IF(OR($A594="",$A594="Grand Total"),"",AND($J594=0,(SUMPRODUCT((Table1[County]=SummaryPage!$A594)*(Table1[Status]="Not Started"))+SUMPRODUCT((Table1[County]=SummaryPage!$A594)*(Table1[Status]="")))=SUMPRODUCT((Table1[County]=SummaryPage!$A594)*(Table1[Status]&lt;&gt;"Q"))))</f>
        <v/>
      </c>
    </row>
    <row r="595" spans="11:18" x14ac:dyDescent="0.3">
      <c r="K595" s="28" t="str">
        <f>IF($A595="","",VLOOKUP('Input Sheet'!$D$2 &amp; " " &amp; $A595,Pop[#All],4,FALSE))</f>
        <v/>
      </c>
      <c r="L595" s="5" t="str">
        <f t="shared" si="34"/>
        <v/>
      </c>
      <c r="M595" s="7" t="str">
        <f t="shared" ca="1" si="33"/>
        <v/>
      </c>
      <c r="N595" s="17" t="str">
        <f>IF(OR($A595="",$A595="Grand Total"),IF($A595="Grand Total",SUM($N$15:$N594),""),SUMPRODUCT((Table1[County]=SummaryPage!$A595)*(Table1[Status]&lt;&gt;"Complete")))</f>
        <v/>
      </c>
      <c r="O595" s="6" t="str">
        <f ca="1">IF($A595="Grand Total",SUM(INDIRECT(ADDRESS(1,COLUMN())&amp;":"&amp;ADDRESS(ROW()-1,COLUMN()))),IF(OR($A595="State Agencies",IFERROR(AND($L595&gt;='Input Sheet'!$J$2,$A595&lt;&gt;""),0)),$J595,""))</f>
        <v/>
      </c>
      <c r="P595" s="3" t="str">
        <f>IF(OR($A595="",$A595="Grand Total"),"",IF(IFERROR(ROUND($J595/$K595,2),1000)&gt;='Input Sheet'!$J$2,1,""))</f>
        <v/>
      </c>
      <c r="Q595" s="3" t="str">
        <f t="shared" si="35"/>
        <v/>
      </c>
      <c r="R595" s="3" t="str">
        <f>IF(OR($A595="",$A595="Grand Total"),"",AND($J595=0,(SUMPRODUCT((Table1[County]=SummaryPage!$A595)*(Table1[Status]="Not Started"))+SUMPRODUCT((Table1[County]=SummaryPage!$A595)*(Table1[Status]="")))=SUMPRODUCT((Table1[County]=SummaryPage!$A595)*(Table1[Status]&lt;&gt;"Q"))))</f>
        <v/>
      </c>
    </row>
    <row r="596" spans="11:18" x14ac:dyDescent="0.3">
      <c r="K596" s="28" t="str">
        <f>IF($A596="","",VLOOKUP('Input Sheet'!$D$2 &amp; " " &amp; $A596,Pop[#All],4,FALSE))</f>
        <v/>
      </c>
      <c r="L596" s="5" t="str">
        <f t="shared" si="34"/>
        <v/>
      </c>
      <c r="M596" s="7" t="str">
        <f t="shared" ca="1" si="33"/>
        <v/>
      </c>
      <c r="N596" s="17" t="str">
        <f>IF(OR($A596="",$A596="Grand Total"),IF($A596="Grand Total",SUM($N$15:$N595),""),SUMPRODUCT((Table1[County]=SummaryPage!$A596)*(Table1[Status]&lt;&gt;"Complete")))</f>
        <v/>
      </c>
      <c r="O596" s="6" t="str">
        <f ca="1">IF($A596="Grand Total",SUM(INDIRECT(ADDRESS(1,COLUMN())&amp;":"&amp;ADDRESS(ROW()-1,COLUMN()))),IF(OR($A596="State Agencies",IFERROR(AND($L596&gt;='Input Sheet'!$J$2,$A596&lt;&gt;""),0)),$J596,""))</f>
        <v/>
      </c>
      <c r="P596" s="3" t="str">
        <f>IF(OR($A596="",$A596="Grand Total"),"",IF(IFERROR(ROUND($J596/$K596,2),1000)&gt;='Input Sheet'!$J$2,1,""))</f>
        <v/>
      </c>
      <c r="Q596" s="3" t="str">
        <f t="shared" si="35"/>
        <v/>
      </c>
      <c r="R596" s="3" t="str">
        <f>IF(OR($A596="",$A596="Grand Total"),"",AND($J596=0,(SUMPRODUCT((Table1[County]=SummaryPage!$A596)*(Table1[Status]="Not Started"))+SUMPRODUCT((Table1[County]=SummaryPage!$A596)*(Table1[Status]="")))=SUMPRODUCT((Table1[County]=SummaryPage!$A596)*(Table1[Status]&lt;&gt;"Q"))))</f>
        <v/>
      </c>
    </row>
    <row r="597" spans="11:18" x14ac:dyDescent="0.3">
      <c r="K597" s="28" t="str">
        <f>IF($A597="","",VLOOKUP('Input Sheet'!$D$2 &amp; " " &amp; $A597,Pop[#All],4,FALSE))</f>
        <v/>
      </c>
      <c r="L597" s="5" t="str">
        <f t="shared" si="34"/>
        <v/>
      </c>
      <c r="M597" s="7" t="str">
        <f t="shared" ca="1" si="33"/>
        <v/>
      </c>
      <c r="N597" s="17" t="str">
        <f>IF(OR($A597="",$A597="Grand Total"),IF($A597="Grand Total",SUM($N$15:$N596),""),SUMPRODUCT((Table1[County]=SummaryPage!$A597)*(Table1[Status]&lt;&gt;"Complete")))</f>
        <v/>
      </c>
      <c r="O597" s="6" t="str">
        <f ca="1">IF($A597="Grand Total",SUM(INDIRECT(ADDRESS(1,COLUMN())&amp;":"&amp;ADDRESS(ROW()-1,COLUMN()))),IF(OR($A597="State Agencies",IFERROR(AND($L597&gt;='Input Sheet'!$J$2,$A597&lt;&gt;""),0)),$J597,""))</f>
        <v/>
      </c>
      <c r="P597" s="3" t="str">
        <f>IF(OR($A597="",$A597="Grand Total"),"",IF(IFERROR(ROUND($J597/$K597,2),1000)&gt;='Input Sheet'!$J$2,1,""))</f>
        <v/>
      </c>
      <c r="Q597" s="3" t="str">
        <f t="shared" si="35"/>
        <v/>
      </c>
      <c r="R597" s="3" t="str">
        <f>IF(OR($A597="",$A597="Grand Total"),"",AND($J597=0,(SUMPRODUCT((Table1[County]=SummaryPage!$A597)*(Table1[Status]="Not Started"))+SUMPRODUCT((Table1[County]=SummaryPage!$A597)*(Table1[Status]="")))=SUMPRODUCT((Table1[County]=SummaryPage!$A597)*(Table1[Status]&lt;&gt;"Q"))))</f>
        <v/>
      </c>
    </row>
    <row r="598" spans="11:18" x14ac:dyDescent="0.3">
      <c r="K598" s="28" t="str">
        <f>IF($A598="","",VLOOKUP('Input Sheet'!$D$2 &amp; " " &amp; $A598,Pop[#All],4,FALSE))</f>
        <v/>
      </c>
      <c r="L598" s="5" t="str">
        <f t="shared" si="34"/>
        <v/>
      </c>
      <c r="M598" s="7" t="str">
        <f t="shared" ca="1" si="33"/>
        <v/>
      </c>
      <c r="N598" s="17" t="str">
        <f>IF(OR($A598="",$A598="Grand Total"),IF($A598="Grand Total",SUM($N$15:$N597),""),SUMPRODUCT((Table1[County]=SummaryPage!$A598)*(Table1[Status]&lt;&gt;"Complete")))</f>
        <v/>
      </c>
      <c r="O598" s="6" t="str">
        <f ca="1">IF($A598="Grand Total",SUM(INDIRECT(ADDRESS(1,COLUMN())&amp;":"&amp;ADDRESS(ROW()-1,COLUMN()))),IF(OR($A598="State Agencies",IFERROR(AND($L598&gt;='Input Sheet'!$J$2,$A598&lt;&gt;""),0)),$J598,""))</f>
        <v/>
      </c>
      <c r="P598" s="3" t="str">
        <f>IF(OR($A598="",$A598="Grand Total"),"",IF(IFERROR(ROUND($J598/$K598,2),1000)&gt;='Input Sheet'!$J$2,1,""))</f>
        <v/>
      </c>
      <c r="Q598" s="3" t="str">
        <f t="shared" si="35"/>
        <v/>
      </c>
      <c r="R598" s="3" t="str">
        <f>IF(OR($A598="",$A598="Grand Total"),"",AND($J598=0,(SUMPRODUCT((Table1[County]=SummaryPage!$A598)*(Table1[Status]="Not Started"))+SUMPRODUCT((Table1[County]=SummaryPage!$A598)*(Table1[Status]="")))=SUMPRODUCT((Table1[County]=SummaryPage!$A598)*(Table1[Status]&lt;&gt;"Q"))))</f>
        <v/>
      </c>
    </row>
    <row r="599" spans="11:18" x14ac:dyDescent="0.3">
      <c r="K599" s="28" t="str">
        <f>IF($A599="","",VLOOKUP('Input Sheet'!$D$2 &amp; " " &amp; $A599,Pop[#All],4,FALSE))</f>
        <v/>
      </c>
      <c r="L599" s="5" t="str">
        <f t="shared" si="34"/>
        <v/>
      </c>
      <c r="M599" s="7" t="str">
        <f t="shared" ca="1" si="33"/>
        <v/>
      </c>
      <c r="N599" s="17" t="str">
        <f>IF(OR($A599="",$A599="Grand Total"),IF($A599="Grand Total",SUM($N$15:$N598),""),SUMPRODUCT((Table1[County]=SummaryPage!$A599)*(Table1[Status]&lt;&gt;"Complete")))</f>
        <v/>
      </c>
      <c r="O599" s="6" t="str">
        <f ca="1">IF($A599="Grand Total",SUM(INDIRECT(ADDRESS(1,COLUMN())&amp;":"&amp;ADDRESS(ROW()-1,COLUMN()))),IF(OR($A599="State Agencies",IFERROR(AND($L599&gt;='Input Sheet'!$J$2,$A599&lt;&gt;""),0)),$J599,""))</f>
        <v/>
      </c>
      <c r="P599" s="3" t="str">
        <f>IF(OR($A599="",$A599="Grand Total"),"",IF(IFERROR(ROUND($J599/$K599,2),1000)&gt;='Input Sheet'!$J$2,1,""))</f>
        <v/>
      </c>
      <c r="Q599" s="3" t="str">
        <f t="shared" si="35"/>
        <v/>
      </c>
      <c r="R599" s="3" t="str">
        <f>IF(OR($A599="",$A599="Grand Total"),"",AND($J599=0,(SUMPRODUCT((Table1[County]=SummaryPage!$A599)*(Table1[Status]="Not Started"))+SUMPRODUCT((Table1[County]=SummaryPage!$A599)*(Table1[Status]="")))=SUMPRODUCT((Table1[County]=SummaryPage!$A599)*(Table1[Status]&lt;&gt;"Q"))))</f>
        <v/>
      </c>
    </row>
    <row r="600" spans="11:18" x14ac:dyDescent="0.3">
      <c r="K600" s="28" t="str">
        <f>IF($A600="","",VLOOKUP('Input Sheet'!$D$2 &amp; " " &amp; $A600,Pop[#All],4,FALSE))</f>
        <v/>
      </c>
      <c r="L600" s="5" t="str">
        <f t="shared" si="34"/>
        <v/>
      </c>
      <c r="M600" s="7" t="str">
        <f t="shared" ca="1" si="33"/>
        <v/>
      </c>
      <c r="N600" s="17" t="str">
        <f>IF(OR($A600="",$A600="Grand Total"),IF($A600="Grand Total",SUM($N$15:$N599),""),SUMPRODUCT((Table1[County]=SummaryPage!$A600)*(Table1[Status]&lt;&gt;"Complete")))</f>
        <v/>
      </c>
      <c r="O600" s="6" t="str">
        <f ca="1">IF($A600="Grand Total",SUM(INDIRECT(ADDRESS(1,COLUMN())&amp;":"&amp;ADDRESS(ROW()-1,COLUMN()))),IF(OR($A600="State Agencies",IFERROR(AND($L600&gt;='Input Sheet'!$J$2,$A600&lt;&gt;""),0)),$J600,""))</f>
        <v/>
      </c>
      <c r="P600" s="3" t="str">
        <f>IF(OR($A600="",$A600="Grand Total"),"",IF(IFERROR(ROUND($J600/$K600,2),1000)&gt;='Input Sheet'!$J$2,1,""))</f>
        <v/>
      </c>
      <c r="Q600" s="3" t="str">
        <f t="shared" si="35"/>
        <v/>
      </c>
      <c r="R600" s="3" t="str">
        <f>IF(OR($A600="",$A600="Grand Total"),"",AND($J600=0,(SUMPRODUCT((Table1[County]=SummaryPage!$A600)*(Table1[Status]="Not Started"))+SUMPRODUCT((Table1[County]=SummaryPage!$A600)*(Table1[Status]="")))=SUMPRODUCT((Table1[County]=SummaryPage!$A600)*(Table1[Status]&lt;&gt;"Q"))))</f>
        <v/>
      </c>
    </row>
    <row r="601" spans="11:18" x14ac:dyDescent="0.3">
      <c r="K601" s="28" t="str">
        <f>IF($A601="","",VLOOKUP('Input Sheet'!$D$2 &amp; " " &amp; $A601,Pop[#All],4,FALSE))</f>
        <v/>
      </c>
      <c r="L601" s="5" t="str">
        <f t="shared" si="34"/>
        <v/>
      </c>
      <c r="M601" s="7" t="str">
        <f t="shared" ca="1" si="33"/>
        <v/>
      </c>
      <c r="N601" s="17" t="str">
        <f>IF(OR($A601="",$A601="Grand Total"),IF($A601="Grand Total",SUM($N$15:$N600),""),SUMPRODUCT((Table1[County]=SummaryPage!$A601)*(Table1[Status]&lt;&gt;"Complete")))</f>
        <v/>
      </c>
      <c r="O601" s="6" t="str">
        <f ca="1">IF($A601="Grand Total",SUM(INDIRECT(ADDRESS(1,COLUMN())&amp;":"&amp;ADDRESS(ROW()-1,COLUMN()))),IF(OR($A601="State Agencies",IFERROR(AND($L601&gt;='Input Sheet'!$J$2,$A601&lt;&gt;""),0)),$J601,""))</f>
        <v/>
      </c>
      <c r="P601" s="3" t="str">
        <f>IF(OR($A601="",$A601="Grand Total"),"",IF(IFERROR(ROUND($J601/$K601,2),1000)&gt;='Input Sheet'!$J$2,1,""))</f>
        <v/>
      </c>
      <c r="Q601" s="3" t="str">
        <f t="shared" si="35"/>
        <v/>
      </c>
      <c r="R601" s="3" t="str">
        <f>IF(OR($A601="",$A601="Grand Total"),"",AND($J601=0,(SUMPRODUCT((Table1[County]=SummaryPage!$A601)*(Table1[Status]="Not Started"))+SUMPRODUCT((Table1[County]=SummaryPage!$A601)*(Table1[Status]="")))=SUMPRODUCT((Table1[County]=SummaryPage!$A601)*(Table1[Status]&lt;&gt;"Q"))))</f>
        <v/>
      </c>
    </row>
    <row r="602" spans="11:18" x14ac:dyDescent="0.3">
      <c r="K602" s="28" t="str">
        <f>IF($A602="","",VLOOKUP('Input Sheet'!$D$2 &amp; " " &amp; $A602,Pop[#All],4,FALSE))</f>
        <v/>
      </c>
      <c r="L602" s="5" t="str">
        <f t="shared" si="34"/>
        <v/>
      </c>
      <c r="M602" s="7" t="str">
        <f t="shared" ca="1" si="33"/>
        <v/>
      </c>
      <c r="N602" s="17" t="str">
        <f>IF(OR($A602="",$A602="Grand Total"),IF($A602="Grand Total",SUM($N$15:$N601),""),SUMPRODUCT((Table1[County]=SummaryPage!$A602)*(Table1[Status]&lt;&gt;"Complete")))</f>
        <v/>
      </c>
      <c r="O602" s="6" t="str">
        <f ca="1">IF($A602="Grand Total",SUM(INDIRECT(ADDRESS(1,COLUMN())&amp;":"&amp;ADDRESS(ROW()-1,COLUMN()))),IF(OR($A602="State Agencies",IFERROR(AND($L602&gt;='Input Sheet'!$J$2,$A602&lt;&gt;""),0)),$J602,""))</f>
        <v/>
      </c>
      <c r="P602" s="3" t="str">
        <f>IF(OR($A602="",$A602="Grand Total"),"",IF(IFERROR(ROUND($J602/$K602,2),1000)&gt;='Input Sheet'!$J$2,1,""))</f>
        <v/>
      </c>
      <c r="Q602" s="3" t="str">
        <f t="shared" si="35"/>
        <v/>
      </c>
      <c r="R602" s="3" t="str">
        <f>IF(OR($A602="",$A602="Grand Total"),"",AND($J602=0,(SUMPRODUCT((Table1[County]=SummaryPage!$A602)*(Table1[Status]="Not Started"))+SUMPRODUCT((Table1[County]=SummaryPage!$A602)*(Table1[Status]="")))=SUMPRODUCT((Table1[County]=SummaryPage!$A602)*(Table1[Status]&lt;&gt;"Q"))))</f>
        <v/>
      </c>
    </row>
    <row r="603" spans="11:18" x14ac:dyDescent="0.3">
      <c r="K603" s="28" t="str">
        <f>IF($A603="","",VLOOKUP('Input Sheet'!$D$2 &amp; " " &amp; $A603,Pop[#All],4,FALSE))</f>
        <v/>
      </c>
      <c r="L603" s="5" t="str">
        <f t="shared" si="34"/>
        <v/>
      </c>
      <c r="M603" s="7" t="str">
        <f t="shared" ca="1" si="33"/>
        <v/>
      </c>
      <c r="N603" s="17" t="str">
        <f>IF(OR($A603="",$A603="Grand Total"),IF($A603="Grand Total",SUM($N$15:$N602),""),SUMPRODUCT((Table1[County]=SummaryPage!$A603)*(Table1[Status]&lt;&gt;"Complete")))</f>
        <v/>
      </c>
      <c r="O603" s="6" t="str">
        <f ca="1">IF($A603="Grand Total",SUM(INDIRECT(ADDRESS(1,COLUMN())&amp;":"&amp;ADDRESS(ROW()-1,COLUMN()))),IF(OR($A603="State Agencies",IFERROR(AND($L603&gt;='Input Sheet'!$J$2,$A603&lt;&gt;""),0)),$J603,""))</f>
        <v/>
      </c>
      <c r="P603" s="3" t="str">
        <f>IF(OR($A603="",$A603="Grand Total"),"",IF(IFERROR(ROUND($J603/$K603,2),1000)&gt;='Input Sheet'!$J$2,1,""))</f>
        <v/>
      </c>
      <c r="Q603" s="3" t="str">
        <f t="shared" si="35"/>
        <v/>
      </c>
      <c r="R603" s="3" t="str">
        <f>IF(OR($A603="",$A603="Grand Total"),"",AND($J603=0,(SUMPRODUCT((Table1[County]=SummaryPage!$A603)*(Table1[Status]="Not Started"))+SUMPRODUCT((Table1[County]=SummaryPage!$A603)*(Table1[Status]="")))=SUMPRODUCT((Table1[County]=SummaryPage!$A603)*(Table1[Status]&lt;&gt;"Q"))))</f>
        <v/>
      </c>
    </row>
    <row r="604" spans="11:18" x14ac:dyDescent="0.3">
      <c r="K604" s="28" t="str">
        <f>IF($A604="","",VLOOKUP('Input Sheet'!$D$2 &amp; " " &amp; $A604,Pop[#All],4,FALSE))</f>
        <v/>
      </c>
      <c r="L604" s="5" t="str">
        <f t="shared" si="34"/>
        <v/>
      </c>
      <c r="M604" s="7" t="str">
        <f t="shared" ca="1" si="33"/>
        <v/>
      </c>
      <c r="N604" s="17" t="str">
        <f>IF(OR($A604="",$A604="Grand Total"),IF($A604="Grand Total",SUM($N$15:$N603),""),SUMPRODUCT((Table1[County]=SummaryPage!$A604)*(Table1[Status]&lt;&gt;"Complete")))</f>
        <v/>
      </c>
      <c r="O604" s="6" t="str">
        <f ca="1">IF($A604="Grand Total",SUM(INDIRECT(ADDRESS(1,COLUMN())&amp;":"&amp;ADDRESS(ROW()-1,COLUMN()))),IF(OR($A604="State Agencies",IFERROR(AND($L604&gt;='Input Sheet'!$J$2,$A604&lt;&gt;""),0)),$J604,""))</f>
        <v/>
      </c>
      <c r="P604" s="3" t="str">
        <f>IF(OR($A604="",$A604="Grand Total"),"",IF(IFERROR(ROUND($J604/$K604,2),1000)&gt;='Input Sheet'!$J$2,1,""))</f>
        <v/>
      </c>
      <c r="Q604" s="3" t="str">
        <f t="shared" si="35"/>
        <v/>
      </c>
      <c r="R604" s="3" t="str">
        <f>IF(OR($A604="",$A604="Grand Total"),"",AND($J604=0,(SUMPRODUCT((Table1[County]=SummaryPage!$A604)*(Table1[Status]="Not Started"))+SUMPRODUCT((Table1[County]=SummaryPage!$A604)*(Table1[Status]="")))=SUMPRODUCT((Table1[County]=SummaryPage!$A604)*(Table1[Status]&lt;&gt;"Q"))))</f>
        <v/>
      </c>
    </row>
    <row r="605" spans="11:18" x14ac:dyDescent="0.3">
      <c r="K605" s="28" t="str">
        <f>IF($A605="","",VLOOKUP('Input Sheet'!$D$2 &amp; " " &amp; $A605,Pop[#All],4,FALSE))</f>
        <v/>
      </c>
      <c r="L605" s="5" t="str">
        <f t="shared" si="34"/>
        <v/>
      </c>
      <c r="M605" s="7" t="str">
        <f t="shared" ca="1" si="33"/>
        <v/>
      </c>
      <c r="N605" s="17" t="str">
        <f>IF(OR($A605="",$A605="Grand Total"),IF($A605="Grand Total",SUM($N$15:$N604),""),SUMPRODUCT((Table1[County]=SummaryPage!$A605)*(Table1[Status]&lt;&gt;"Complete")))</f>
        <v/>
      </c>
      <c r="O605" s="6" t="str">
        <f ca="1">IF($A605="Grand Total",SUM(INDIRECT(ADDRESS(1,COLUMN())&amp;":"&amp;ADDRESS(ROW()-1,COLUMN()))),IF(OR($A605="State Agencies",IFERROR(AND($L605&gt;='Input Sheet'!$J$2,$A605&lt;&gt;""),0)),$J605,""))</f>
        <v/>
      </c>
      <c r="P605" s="3" t="str">
        <f>IF(OR($A605="",$A605="Grand Total"),"",IF(IFERROR(ROUND($J605/$K605,2),1000)&gt;='Input Sheet'!$J$2,1,""))</f>
        <v/>
      </c>
      <c r="Q605" s="3" t="str">
        <f t="shared" si="35"/>
        <v/>
      </c>
      <c r="R605" s="3" t="str">
        <f>IF(OR($A605="",$A605="Grand Total"),"",AND($J605=0,(SUMPRODUCT((Table1[County]=SummaryPage!$A605)*(Table1[Status]="Not Started"))+SUMPRODUCT((Table1[County]=SummaryPage!$A605)*(Table1[Status]="")))=SUMPRODUCT((Table1[County]=SummaryPage!$A605)*(Table1[Status]&lt;&gt;"Q"))))</f>
        <v/>
      </c>
    </row>
    <row r="606" spans="11:18" x14ac:dyDescent="0.3">
      <c r="K606" s="28" t="str">
        <f>IF($A606="","",VLOOKUP('Input Sheet'!$D$2 &amp; " " &amp; $A606,Pop[#All],4,FALSE))</f>
        <v/>
      </c>
      <c r="L606" s="5" t="str">
        <f t="shared" si="34"/>
        <v/>
      </c>
      <c r="M606" s="7" t="str">
        <f t="shared" ca="1" si="33"/>
        <v/>
      </c>
      <c r="N606" s="17" t="str">
        <f>IF(OR($A606="",$A606="Grand Total"),IF($A606="Grand Total",SUM($N$15:$N605),""),SUMPRODUCT((Table1[County]=SummaryPage!$A606)*(Table1[Status]&lt;&gt;"Complete")))</f>
        <v/>
      </c>
      <c r="O606" s="6" t="str">
        <f ca="1">IF($A606="Grand Total",SUM(INDIRECT(ADDRESS(1,COLUMN())&amp;":"&amp;ADDRESS(ROW()-1,COLUMN()))),IF(OR($A606="State Agencies",IFERROR(AND($L606&gt;='Input Sheet'!$J$2,$A606&lt;&gt;""),0)),$J606,""))</f>
        <v/>
      </c>
      <c r="P606" s="3" t="str">
        <f>IF(OR($A606="",$A606="Grand Total"),"",IF(IFERROR(ROUND($J606/$K606,2),1000)&gt;='Input Sheet'!$J$2,1,""))</f>
        <v/>
      </c>
      <c r="Q606" s="3" t="str">
        <f t="shared" si="35"/>
        <v/>
      </c>
      <c r="R606" s="3" t="str">
        <f>IF(OR($A606="",$A606="Grand Total"),"",AND($J606=0,(SUMPRODUCT((Table1[County]=SummaryPage!$A606)*(Table1[Status]="Not Started"))+SUMPRODUCT((Table1[County]=SummaryPage!$A606)*(Table1[Status]="")))=SUMPRODUCT((Table1[County]=SummaryPage!$A606)*(Table1[Status]&lt;&gt;"Q"))))</f>
        <v/>
      </c>
    </row>
    <row r="607" spans="11:18" x14ac:dyDescent="0.3">
      <c r="K607" s="28" t="str">
        <f>IF($A607="","",VLOOKUP('Input Sheet'!$D$2 &amp; " " &amp; $A607,Pop[#All],4,FALSE))</f>
        <v/>
      </c>
      <c r="L607" s="5" t="str">
        <f t="shared" si="34"/>
        <v/>
      </c>
      <c r="M607" s="7" t="str">
        <f t="shared" ca="1" si="33"/>
        <v/>
      </c>
      <c r="N607" s="17" t="str">
        <f>IF(OR($A607="",$A607="Grand Total"),IF($A607="Grand Total",SUM($N$15:$N606),""),SUMPRODUCT((Table1[County]=SummaryPage!$A607)*(Table1[Status]&lt;&gt;"Complete")))</f>
        <v/>
      </c>
      <c r="O607" s="6" t="str">
        <f ca="1">IF($A607="Grand Total",SUM(INDIRECT(ADDRESS(1,COLUMN())&amp;":"&amp;ADDRESS(ROW()-1,COLUMN()))),IF(OR($A607="State Agencies",IFERROR(AND($L607&gt;='Input Sheet'!$J$2,$A607&lt;&gt;""),0)),$J607,""))</f>
        <v/>
      </c>
      <c r="P607" s="3" t="str">
        <f>IF(OR($A607="",$A607="Grand Total"),"",IF(IFERROR(ROUND($J607/$K607,2),1000)&gt;='Input Sheet'!$J$2,1,""))</f>
        <v/>
      </c>
      <c r="Q607" s="3" t="str">
        <f t="shared" si="35"/>
        <v/>
      </c>
      <c r="R607" s="3" t="str">
        <f>IF(OR($A607="",$A607="Grand Total"),"",AND($J607=0,(SUMPRODUCT((Table1[County]=SummaryPage!$A607)*(Table1[Status]="Not Started"))+SUMPRODUCT((Table1[County]=SummaryPage!$A607)*(Table1[Status]="")))=SUMPRODUCT((Table1[County]=SummaryPage!$A607)*(Table1[Status]&lt;&gt;"Q"))))</f>
        <v/>
      </c>
    </row>
    <row r="608" spans="11:18" x14ac:dyDescent="0.3">
      <c r="K608" s="28" t="str">
        <f>IF($A608="","",VLOOKUP('Input Sheet'!$D$2 &amp; " " &amp; $A608,Pop[#All],4,FALSE))</f>
        <v/>
      </c>
      <c r="L608" s="5" t="str">
        <f t="shared" si="34"/>
        <v/>
      </c>
      <c r="M608" s="7" t="str">
        <f t="shared" ca="1" si="33"/>
        <v/>
      </c>
      <c r="N608" s="17" t="str">
        <f>IF(OR($A608="",$A608="Grand Total"),IF($A608="Grand Total",SUM($N$15:$N607),""),SUMPRODUCT((Table1[County]=SummaryPage!$A608)*(Table1[Status]&lt;&gt;"Complete")))</f>
        <v/>
      </c>
      <c r="O608" s="6" t="str">
        <f ca="1">IF($A608="Grand Total",SUM(INDIRECT(ADDRESS(1,COLUMN())&amp;":"&amp;ADDRESS(ROW()-1,COLUMN()))),IF(OR($A608="State Agencies",IFERROR(AND($L608&gt;='Input Sheet'!$J$2,$A608&lt;&gt;""),0)),$J608,""))</f>
        <v/>
      </c>
      <c r="P608" s="3" t="str">
        <f>IF(OR($A608="",$A608="Grand Total"),"",IF(IFERROR(ROUND($J608/$K608,2),1000)&gt;='Input Sheet'!$J$2,1,""))</f>
        <v/>
      </c>
      <c r="Q608" s="3" t="str">
        <f t="shared" si="35"/>
        <v/>
      </c>
      <c r="R608" s="3" t="str">
        <f>IF(OR($A608="",$A608="Grand Total"),"",AND($J608=0,(SUMPRODUCT((Table1[County]=SummaryPage!$A608)*(Table1[Status]="Not Started"))+SUMPRODUCT((Table1[County]=SummaryPage!$A608)*(Table1[Status]="")))=SUMPRODUCT((Table1[County]=SummaryPage!$A608)*(Table1[Status]&lt;&gt;"Q"))))</f>
        <v/>
      </c>
    </row>
    <row r="609" spans="11:18" x14ac:dyDescent="0.3">
      <c r="K609" s="28" t="str">
        <f>IF($A609="","",VLOOKUP('Input Sheet'!$D$2 &amp; " " &amp; $A609,Pop[#All],4,FALSE))</f>
        <v/>
      </c>
      <c r="L609" s="5" t="str">
        <f t="shared" si="34"/>
        <v/>
      </c>
      <c r="M609" s="7" t="str">
        <f t="shared" ca="1" si="33"/>
        <v/>
      </c>
      <c r="N609" s="17" t="str">
        <f>IF(OR($A609="",$A609="Grand Total"),IF($A609="Grand Total",SUM($N$15:$N608),""),SUMPRODUCT((Table1[County]=SummaryPage!$A609)*(Table1[Status]&lt;&gt;"Complete")))</f>
        <v/>
      </c>
      <c r="O609" s="6" t="str">
        <f ca="1">IF($A609="Grand Total",SUM(INDIRECT(ADDRESS(1,COLUMN())&amp;":"&amp;ADDRESS(ROW()-1,COLUMN()))),IF(OR($A609="State Agencies",IFERROR(AND($L609&gt;='Input Sheet'!$J$2,$A609&lt;&gt;""),0)),$J609,""))</f>
        <v/>
      </c>
      <c r="P609" s="3" t="str">
        <f>IF(OR($A609="",$A609="Grand Total"),"",IF(IFERROR(ROUND($J609/$K609,2),1000)&gt;='Input Sheet'!$J$2,1,""))</f>
        <v/>
      </c>
      <c r="Q609" s="3" t="str">
        <f t="shared" si="35"/>
        <v/>
      </c>
      <c r="R609" s="3" t="str">
        <f>IF(OR($A609="",$A609="Grand Total"),"",AND($J609=0,(SUMPRODUCT((Table1[County]=SummaryPage!$A609)*(Table1[Status]="Not Started"))+SUMPRODUCT((Table1[County]=SummaryPage!$A609)*(Table1[Status]="")))=SUMPRODUCT((Table1[County]=SummaryPage!$A609)*(Table1[Status]&lt;&gt;"Q"))))</f>
        <v/>
      </c>
    </row>
    <row r="610" spans="11:18" x14ac:dyDescent="0.3">
      <c r="K610" s="28" t="str">
        <f>IF($A610="","",VLOOKUP('Input Sheet'!$D$2 &amp; " " &amp; $A610,Pop[#All],4,FALSE))</f>
        <v/>
      </c>
      <c r="L610" s="5" t="str">
        <f t="shared" si="34"/>
        <v/>
      </c>
      <c r="M610" s="7" t="str">
        <f t="shared" ca="1" si="33"/>
        <v/>
      </c>
      <c r="N610" s="17" t="str">
        <f>IF(OR($A610="",$A610="Grand Total"),IF($A610="Grand Total",SUM($N$15:$N609),""),SUMPRODUCT((Table1[County]=SummaryPage!$A610)*(Table1[Status]&lt;&gt;"Complete")))</f>
        <v/>
      </c>
      <c r="O610" s="6" t="str">
        <f ca="1">IF($A610="Grand Total",SUM(INDIRECT(ADDRESS(1,COLUMN())&amp;":"&amp;ADDRESS(ROW()-1,COLUMN()))),IF(OR($A610="State Agencies",IFERROR(AND($L610&gt;='Input Sheet'!$J$2,$A610&lt;&gt;""),0)),$J610,""))</f>
        <v/>
      </c>
      <c r="P610" s="3" t="str">
        <f>IF(OR($A610="",$A610="Grand Total"),"",IF(IFERROR(ROUND($J610/$K610,2),1000)&gt;='Input Sheet'!$J$2,1,""))</f>
        <v/>
      </c>
      <c r="Q610" s="3" t="str">
        <f t="shared" si="35"/>
        <v/>
      </c>
      <c r="R610" s="3" t="str">
        <f>IF(OR($A610="",$A610="Grand Total"),"",AND($J610=0,(SUMPRODUCT((Table1[County]=SummaryPage!$A610)*(Table1[Status]="Not Started"))+SUMPRODUCT((Table1[County]=SummaryPage!$A610)*(Table1[Status]="")))=SUMPRODUCT((Table1[County]=SummaryPage!$A610)*(Table1[Status]&lt;&gt;"Q"))))</f>
        <v/>
      </c>
    </row>
    <row r="611" spans="11:18" x14ac:dyDescent="0.3">
      <c r="K611" s="28" t="str">
        <f>IF($A611="","",VLOOKUP('Input Sheet'!$D$2 &amp; " " &amp; $A611,Pop[#All],4,FALSE))</f>
        <v/>
      </c>
      <c r="L611" s="5" t="str">
        <f t="shared" si="34"/>
        <v/>
      </c>
      <c r="M611" s="7" t="str">
        <f t="shared" ca="1" si="33"/>
        <v/>
      </c>
      <c r="N611" s="17" t="str">
        <f>IF(OR($A611="",$A611="Grand Total"),IF($A611="Grand Total",SUM($N$15:$N610),""),SUMPRODUCT((Table1[County]=SummaryPage!$A611)*(Table1[Status]&lt;&gt;"Complete")))</f>
        <v/>
      </c>
      <c r="O611" s="6" t="str">
        <f ca="1">IF($A611="Grand Total",SUM(INDIRECT(ADDRESS(1,COLUMN())&amp;":"&amp;ADDRESS(ROW()-1,COLUMN()))),IF(OR($A611="State Agencies",IFERROR(AND($L611&gt;='Input Sheet'!$J$2,$A611&lt;&gt;""),0)),$J611,""))</f>
        <v/>
      </c>
      <c r="P611" s="3" t="str">
        <f>IF(OR($A611="",$A611="Grand Total"),"",IF(IFERROR(ROUND($J611/$K611,2),1000)&gt;='Input Sheet'!$J$2,1,""))</f>
        <v/>
      </c>
      <c r="Q611" s="3" t="str">
        <f t="shared" si="35"/>
        <v/>
      </c>
      <c r="R611" s="3" t="str">
        <f>IF(OR($A611="",$A611="Grand Total"),"",AND($J611=0,(SUMPRODUCT((Table1[County]=SummaryPage!$A611)*(Table1[Status]="Not Started"))+SUMPRODUCT((Table1[County]=SummaryPage!$A611)*(Table1[Status]="")))=SUMPRODUCT((Table1[County]=SummaryPage!$A611)*(Table1[Status]&lt;&gt;"Q"))))</f>
        <v/>
      </c>
    </row>
    <row r="612" spans="11:18" x14ac:dyDescent="0.3">
      <c r="K612" s="28" t="str">
        <f>IF($A612="","",VLOOKUP('Input Sheet'!$D$2 &amp; " " &amp; $A612,Pop[#All],4,FALSE))</f>
        <v/>
      </c>
      <c r="L612" s="5" t="str">
        <f t="shared" si="34"/>
        <v/>
      </c>
      <c r="M612" s="7" t="str">
        <f t="shared" ca="1" si="33"/>
        <v/>
      </c>
      <c r="N612" s="17" t="str">
        <f>IF(OR($A612="",$A612="Grand Total"),IF($A612="Grand Total",SUM($N$15:$N611),""),SUMPRODUCT((Table1[County]=SummaryPage!$A612)*(Table1[Status]&lt;&gt;"Complete")))</f>
        <v/>
      </c>
      <c r="O612" s="6" t="str">
        <f ca="1">IF($A612="Grand Total",SUM(INDIRECT(ADDRESS(1,COLUMN())&amp;":"&amp;ADDRESS(ROW()-1,COLUMN()))),IF(OR($A612="State Agencies",IFERROR(AND($L612&gt;='Input Sheet'!$J$2,$A612&lt;&gt;""),0)),$J612,""))</f>
        <v/>
      </c>
      <c r="P612" s="3" t="str">
        <f>IF(OR($A612="",$A612="Grand Total"),"",IF(IFERROR(ROUND($J612/$K612,2),1000)&gt;='Input Sheet'!$J$2,1,""))</f>
        <v/>
      </c>
      <c r="Q612" s="3" t="str">
        <f t="shared" si="35"/>
        <v/>
      </c>
      <c r="R612" s="3" t="str">
        <f>IF(OR($A612="",$A612="Grand Total"),"",AND($J612=0,(SUMPRODUCT((Table1[County]=SummaryPage!$A612)*(Table1[Status]="Not Started"))+SUMPRODUCT((Table1[County]=SummaryPage!$A612)*(Table1[Status]="")))=SUMPRODUCT((Table1[County]=SummaryPage!$A612)*(Table1[Status]&lt;&gt;"Q"))))</f>
        <v/>
      </c>
    </row>
    <row r="613" spans="11:18" x14ac:dyDescent="0.3">
      <c r="K613" s="28" t="str">
        <f>IF($A613="","",VLOOKUP('Input Sheet'!$D$2 &amp; " " &amp; $A613,Pop[#All],4,FALSE))</f>
        <v/>
      </c>
      <c r="L613" s="5" t="str">
        <f t="shared" si="34"/>
        <v/>
      </c>
      <c r="M613" s="7" t="str">
        <f t="shared" ca="1" si="33"/>
        <v/>
      </c>
      <c r="N613" s="17" t="str">
        <f>IF(OR($A613="",$A613="Grand Total"),IF($A613="Grand Total",SUM($N$15:$N612),""),SUMPRODUCT((Table1[County]=SummaryPage!$A613)*(Table1[Status]&lt;&gt;"Complete")))</f>
        <v/>
      </c>
      <c r="O613" s="6" t="str">
        <f ca="1">IF($A613="Grand Total",SUM(INDIRECT(ADDRESS(1,COLUMN())&amp;":"&amp;ADDRESS(ROW()-1,COLUMN()))),IF(OR($A613="State Agencies",IFERROR(AND($L613&gt;='Input Sheet'!$J$2,$A613&lt;&gt;""),0)),$J613,""))</f>
        <v/>
      </c>
      <c r="P613" s="3" t="str">
        <f>IF(OR($A613="",$A613="Grand Total"),"",IF(IFERROR(ROUND($J613/$K613,2),1000)&gt;='Input Sheet'!$J$2,1,""))</f>
        <v/>
      </c>
      <c r="Q613" s="3" t="str">
        <f t="shared" si="35"/>
        <v/>
      </c>
      <c r="R613" s="3" t="str">
        <f>IF(OR($A613="",$A613="Grand Total"),"",AND($J613=0,(SUMPRODUCT((Table1[County]=SummaryPage!$A613)*(Table1[Status]="Not Started"))+SUMPRODUCT((Table1[County]=SummaryPage!$A613)*(Table1[Status]="")))=SUMPRODUCT((Table1[County]=SummaryPage!$A613)*(Table1[Status]&lt;&gt;"Q"))))</f>
        <v/>
      </c>
    </row>
    <row r="614" spans="11:18" x14ac:dyDescent="0.3">
      <c r="K614" s="28" t="str">
        <f>IF($A614="","",VLOOKUP('Input Sheet'!$D$2 &amp; " " &amp; $A614,Pop[#All],4,FALSE))</f>
        <v/>
      </c>
      <c r="L614" s="5" t="str">
        <f t="shared" si="34"/>
        <v/>
      </c>
      <c r="M614" s="7" t="str">
        <f t="shared" ca="1" si="33"/>
        <v/>
      </c>
      <c r="N614" s="17" t="str">
        <f>IF(OR($A614="",$A614="Grand Total"),IF($A614="Grand Total",SUM($N$15:$N613),""),SUMPRODUCT((Table1[County]=SummaryPage!$A614)*(Table1[Status]&lt;&gt;"Complete")))</f>
        <v/>
      </c>
      <c r="O614" s="6" t="str">
        <f ca="1">IF($A614="Grand Total",SUM(INDIRECT(ADDRESS(1,COLUMN())&amp;":"&amp;ADDRESS(ROW()-1,COLUMN()))),IF(OR($A614="State Agencies",IFERROR(AND($L614&gt;='Input Sheet'!$J$2,$A614&lt;&gt;""),0)),$J614,""))</f>
        <v/>
      </c>
      <c r="P614" s="3" t="str">
        <f>IF(OR($A614="",$A614="Grand Total"),"",IF(IFERROR(ROUND($J614/$K614,2),1000)&gt;='Input Sheet'!$J$2,1,""))</f>
        <v/>
      </c>
      <c r="Q614" s="3" t="str">
        <f t="shared" si="35"/>
        <v/>
      </c>
      <c r="R614" s="3" t="str">
        <f>IF(OR($A614="",$A614="Grand Total"),"",AND($J614=0,(SUMPRODUCT((Table1[County]=SummaryPage!$A614)*(Table1[Status]="Not Started"))+SUMPRODUCT((Table1[County]=SummaryPage!$A614)*(Table1[Status]="")))=SUMPRODUCT((Table1[County]=SummaryPage!$A614)*(Table1[Status]&lt;&gt;"Q"))))</f>
        <v/>
      </c>
    </row>
    <row r="615" spans="11:18" x14ac:dyDescent="0.3">
      <c r="K615" s="28" t="str">
        <f>IF($A615="","",VLOOKUP('Input Sheet'!$D$2 &amp; " " &amp; $A615,Pop[#All],4,FALSE))</f>
        <v/>
      </c>
      <c r="L615" s="5" t="str">
        <f t="shared" si="34"/>
        <v/>
      </c>
      <c r="M615" s="7" t="str">
        <f t="shared" ca="1" si="33"/>
        <v/>
      </c>
      <c r="N615" s="17" t="str">
        <f>IF(OR($A615="",$A615="Grand Total"),IF($A615="Grand Total",SUM($N$15:$N614),""),SUMPRODUCT((Table1[County]=SummaryPage!$A615)*(Table1[Status]&lt;&gt;"Complete")))</f>
        <v/>
      </c>
      <c r="O615" s="6" t="str">
        <f ca="1">IF($A615="Grand Total",SUM(INDIRECT(ADDRESS(1,COLUMN())&amp;":"&amp;ADDRESS(ROW()-1,COLUMN()))),IF(OR($A615="State Agencies",IFERROR(AND($L615&gt;='Input Sheet'!$J$2,$A615&lt;&gt;""),0)),$J615,""))</f>
        <v/>
      </c>
      <c r="P615" s="3" t="str">
        <f>IF(OR($A615="",$A615="Grand Total"),"",IF(IFERROR(ROUND($J615/$K615,2),1000)&gt;='Input Sheet'!$J$2,1,""))</f>
        <v/>
      </c>
      <c r="Q615" s="3" t="str">
        <f t="shared" si="35"/>
        <v/>
      </c>
      <c r="R615" s="3" t="str">
        <f>IF(OR($A615="",$A615="Grand Total"),"",AND($J615=0,(SUMPRODUCT((Table1[County]=SummaryPage!$A615)*(Table1[Status]="Not Started"))+SUMPRODUCT((Table1[County]=SummaryPage!$A615)*(Table1[Status]="")))=SUMPRODUCT((Table1[County]=SummaryPage!$A615)*(Table1[Status]&lt;&gt;"Q"))))</f>
        <v/>
      </c>
    </row>
    <row r="616" spans="11:18" x14ac:dyDescent="0.3">
      <c r="K616" s="28" t="str">
        <f>IF($A616="","",VLOOKUP('Input Sheet'!$D$2 &amp; " " &amp; $A616,Pop[#All],4,FALSE))</f>
        <v/>
      </c>
      <c r="L616" s="5" t="str">
        <f t="shared" si="34"/>
        <v/>
      </c>
      <c r="M616" s="7" t="str">
        <f t="shared" ca="1" si="33"/>
        <v/>
      </c>
      <c r="N616" s="17" t="str">
        <f>IF(OR($A616="",$A616="Grand Total"),IF($A616="Grand Total",SUM($N$15:$N615),""),SUMPRODUCT((Table1[County]=SummaryPage!$A616)*(Table1[Status]&lt;&gt;"Complete")))</f>
        <v/>
      </c>
      <c r="O616" s="6" t="str">
        <f ca="1">IF($A616="Grand Total",SUM(INDIRECT(ADDRESS(1,COLUMN())&amp;":"&amp;ADDRESS(ROW()-1,COLUMN()))),IF(OR($A616="State Agencies",IFERROR(AND($L616&gt;='Input Sheet'!$J$2,$A616&lt;&gt;""),0)),$J616,""))</f>
        <v/>
      </c>
      <c r="P616" s="3" t="str">
        <f>IF(OR($A616="",$A616="Grand Total"),"",IF(IFERROR(ROUND($J616/$K616,2),1000)&gt;='Input Sheet'!$J$2,1,""))</f>
        <v/>
      </c>
      <c r="Q616" s="3" t="str">
        <f t="shared" si="35"/>
        <v/>
      </c>
      <c r="R616" s="3" t="str">
        <f>IF(OR($A616="",$A616="Grand Total"),"",AND($J616=0,(SUMPRODUCT((Table1[County]=SummaryPage!$A616)*(Table1[Status]="Not Started"))+SUMPRODUCT((Table1[County]=SummaryPage!$A616)*(Table1[Status]="")))=SUMPRODUCT((Table1[County]=SummaryPage!$A616)*(Table1[Status]&lt;&gt;"Q"))))</f>
        <v/>
      </c>
    </row>
    <row r="617" spans="11:18" x14ac:dyDescent="0.3">
      <c r="K617" s="28" t="str">
        <f>IF($A617="","",VLOOKUP('Input Sheet'!$D$2 &amp; " " &amp; $A617,Pop[#All],4,FALSE))</f>
        <v/>
      </c>
      <c r="L617" s="5" t="str">
        <f t="shared" si="34"/>
        <v/>
      </c>
      <c r="M617" s="7" t="str">
        <f t="shared" ca="1" si="33"/>
        <v/>
      </c>
      <c r="N617" s="17" t="str">
        <f>IF(OR($A617="",$A617="Grand Total"),IF($A617="Grand Total",SUM($N$15:$N616),""),SUMPRODUCT((Table1[County]=SummaryPage!$A617)*(Table1[Status]&lt;&gt;"Complete")))</f>
        <v/>
      </c>
      <c r="O617" s="6" t="str">
        <f ca="1">IF($A617="Grand Total",SUM(INDIRECT(ADDRESS(1,COLUMN())&amp;":"&amp;ADDRESS(ROW()-1,COLUMN()))),IF(OR($A617="State Agencies",IFERROR(AND($L617&gt;='Input Sheet'!$J$2,$A617&lt;&gt;""),0)),$J617,""))</f>
        <v/>
      </c>
      <c r="P617" s="3" t="str">
        <f>IF(OR($A617="",$A617="Grand Total"),"",IF(IFERROR(ROUND($J617/$K617,2),1000)&gt;='Input Sheet'!$J$2,1,""))</f>
        <v/>
      </c>
      <c r="Q617" s="3" t="str">
        <f t="shared" si="35"/>
        <v/>
      </c>
      <c r="R617" s="3" t="str">
        <f>IF(OR($A617="",$A617="Grand Total"),"",AND($J617=0,(SUMPRODUCT((Table1[County]=SummaryPage!$A617)*(Table1[Status]="Not Started"))+SUMPRODUCT((Table1[County]=SummaryPage!$A617)*(Table1[Status]="")))=SUMPRODUCT((Table1[County]=SummaryPage!$A617)*(Table1[Status]&lt;&gt;"Q"))))</f>
        <v/>
      </c>
    </row>
    <row r="618" spans="11:18" x14ac:dyDescent="0.3">
      <c r="K618" s="28" t="str">
        <f>IF($A618="","",VLOOKUP('Input Sheet'!$D$2 &amp; " " &amp; $A618,Pop[#All],4,FALSE))</f>
        <v/>
      </c>
      <c r="L618" s="5" t="str">
        <f t="shared" si="34"/>
        <v/>
      </c>
      <c r="M618" s="7" t="str">
        <f t="shared" ca="1" si="33"/>
        <v/>
      </c>
      <c r="N618" s="17" t="str">
        <f>IF(OR($A618="",$A618="Grand Total"),IF($A618="Grand Total",SUM($N$15:$N617),""),SUMPRODUCT((Table1[County]=SummaryPage!$A618)*(Table1[Status]&lt;&gt;"Complete")))</f>
        <v/>
      </c>
      <c r="O618" s="6" t="str">
        <f ca="1">IF($A618="Grand Total",SUM(INDIRECT(ADDRESS(1,COLUMN())&amp;":"&amp;ADDRESS(ROW()-1,COLUMN()))),IF(OR($A618="State Agencies",IFERROR(AND($L618&gt;='Input Sheet'!$J$2,$A618&lt;&gt;""),0)),$J618,""))</f>
        <v/>
      </c>
      <c r="P618" s="3" t="str">
        <f>IF(OR($A618="",$A618="Grand Total"),"",IF(IFERROR(ROUND($J618/$K618,2),1000)&gt;='Input Sheet'!$J$2,1,""))</f>
        <v/>
      </c>
      <c r="Q618" s="3" t="str">
        <f t="shared" si="35"/>
        <v/>
      </c>
      <c r="R618" s="3" t="str">
        <f>IF(OR($A618="",$A618="Grand Total"),"",AND($J618=0,(SUMPRODUCT((Table1[County]=SummaryPage!$A618)*(Table1[Status]="Not Started"))+SUMPRODUCT((Table1[County]=SummaryPage!$A618)*(Table1[Status]="")))=SUMPRODUCT((Table1[County]=SummaryPage!$A618)*(Table1[Status]&lt;&gt;"Q"))))</f>
        <v/>
      </c>
    </row>
    <row r="619" spans="11:18" x14ac:dyDescent="0.3">
      <c r="K619" s="28" t="str">
        <f>IF($A619="","",VLOOKUP('Input Sheet'!$D$2 &amp; " " &amp; $A619,Pop[#All],4,FALSE))</f>
        <v/>
      </c>
      <c r="L619" s="5" t="str">
        <f t="shared" si="34"/>
        <v/>
      </c>
      <c r="M619" s="7" t="str">
        <f t="shared" ca="1" si="33"/>
        <v/>
      </c>
      <c r="N619" s="17" t="str">
        <f>IF(OR($A619="",$A619="Grand Total"),IF($A619="Grand Total",SUM($N$15:$N618),""),SUMPRODUCT((Table1[County]=SummaryPage!$A619)*(Table1[Status]&lt;&gt;"Complete")))</f>
        <v/>
      </c>
      <c r="O619" s="6" t="str">
        <f ca="1">IF($A619="Grand Total",SUM(INDIRECT(ADDRESS(1,COLUMN())&amp;":"&amp;ADDRESS(ROW()-1,COLUMN()))),IF(OR($A619="State Agencies",IFERROR(AND($L619&gt;='Input Sheet'!$J$2,$A619&lt;&gt;""),0)),$J619,""))</f>
        <v/>
      </c>
      <c r="P619" s="3" t="str">
        <f>IF(OR($A619="",$A619="Grand Total"),"",IF(IFERROR(ROUND($J619/$K619,2),1000)&gt;='Input Sheet'!$J$2,1,""))</f>
        <v/>
      </c>
      <c r="Q619" s="3" t="str">
        <f t="shared" si="35"/>
        <v/>
      </c>
      <c r="R619" s="3" t="str">
        <f>IF(OR($A619="",$A619="Grand Total"),"",AND($J619=0,(SUMPRODUCT((Table1[County]=SummaryPage!$A619)*(Table1[Status]="Not Started"))+SUMPRODUCT((Table1[County]=SummaryPage!$A619)*(Table1[Status]="")))=SUMPRODUCT((Table1[County]=SummaryPage!$A619)*(Table1[Status]&lt;&gt;"Q"))))</f>
        <v/>
      </c>
    </row>
    <row r="620" spans="11:18" x14ac:dyDescent="0.3">
      <c r="K620" s="28" t="str">
        <f>IF($A620="","",VLOOKUP('Input Sheet'!$D$2 &amp; " " &amp; $A620,Pop[#All],4,FALSE))</f>
        <v/>
      </c>
      <c r="L620" s="5" t="str">
        <f t="shared" si="34"/>
        <v/>
      </c>
      <c r="M620" s="7" t="str">
        <f t="shared" ca="1" si="33"/>
        <v/>
      </c>
      <c r="N620" s="17" t="str">
        <f>IF(OR($A620="",$A620="Grand Total"),IF($A620="Grand Total",SUM($N$15:$N619),""),SUMPRODUCT((Table1[County]=SummaryPage!$A620)*(Table1[Status]&lt;&gt;"Complete")))</f>
        <v/>
      </c>
      <c r="O620" s="6" t="str">
        <f ca="1">IF($A620="Grand Total",SUM(INDIRECT(ADDRESS(1,COLUMN())&amp;":"&amp;ADDRESS(ROW()-1,COLUMN()))),IF(OR($A620="State Agencies",IFERROR(AND($L620&gt;='Input Sheet'!$J$2,$A620&lt;&gt;""),0)),$J620,""))</f>
        <v/>
      </c>
      <c r="P620" s="3" t="str">
        <f>IF(OR($A620="",$A620="Grand Total"),"",IF(IFERROR(ROUND($J620/$K620,2),1000)&gt;='Input Sheet'!$J$2,1,""))</f>
        <v/>
      </c>
      <c r="Q620" s="3" t="str">
        <f t="shared" si="35"/>
        <v/>
      </c>
      <c r="R620" s="3" t="str">
        <f>IF(OR($A620="",$A620="Grand Total"),"",AND($J620=0,(SUMPRODUCT((Table1[County]=SummaryPage!$A620)*(Table1[Status]="Not Started"))+SUMPRODUCT((Table1[County]=SummaryPage!$A620)*(Table1[Status]="")))=SUMPRODUCT((Table1[County]=SummaryPage!$A620)*(Table1[Status]&lt;&gt;"Q"))))</f>
        <v/>
      </c>
    </row>
    <row r="621" spans="11:18" x14ac:dyDescent="0.3">
      <c r="K621" s="28" t="str">
        <f>IF($A621="","",VLOOKUP('Input Sheet'!$D$2 &amp; " " &amp; $A621,Pop[#All],4,FALSE))</f>
        <v/>
      </c>
      <c r="L621" s="5" t="str">
        <f t="shared" si="34"/>
        <v/>
      </c>
      <c r="M621" s="7" t="str">
        <f t="shared" ca="1" si="33"/>
        <v/>
      </c>
      <c r="N621" s="17" t="str">
        <f>IF(OR($A621="",$A621="Grand Total"),IF($A621="Grand Total",SUM($N$15:$N620),""),SUMPRODUCT((Table1[County]=SummaryPage!$A621)*(Table1[Status]&lt;&gt;"Complete")))</f>
        <v/>
      </c>
      <c r="O621" s="6" t="str">
        <f ca="1">IF($A621="Grand Total",SUM(INDIRECT(ADDRESS(1,COLUMN())&amp;":"&amp;ADDRESS(ROW()-1,COLUMN()))),IF(OR($A621="State Agencies",IFERROR(AND($L621&gt;='Input Sheet'!$J$2,$A621&lt;&gt;""),0)),$J621,""))</f>
        <v/>
      </c>
      <c r="P621" s="3" t="str">
        <f>IF(OR($A621="",$A621="Grand Total"),"",IF(IFERROR(ROUND($J621/$K621,2),1000)&gt;='Input Sheet'!$J$2,1,""))</f>
        <v/>
      </c>
      <c r="Q621" s="3" t="str">
        <f t="shared" si="35"/>
        <v/>
      </c>
      <c r="R621" s="3" t="str">
        <f>IF(OR($A621="",$A621="Grand Total"),"",AND($J621=0,(SUMPRODUCT((Table1[County]=SummaryPage!$A621)*(Table1[Status]="Not Started"))+SUMPRODUCT((Table1[County]=SummaryPage!$A621)*(Table1[Status]="")))=SUMPRODUCT((Table1[County]=SummaryPage!$A621)*(Table1[Status]&lt;&gt;"Q"))))</f>
        <v/>
      </c>
    </row>
    <row r="622" spans="11:18" x14ac:dyDescent="0.3">
      <c r="K622" s="28" t="str">
        <f>IF($A622="","",VLOOKUP('Input Sheet'!$D$2 &amp; " " &amp; $A622,Pop[#All],4,FALSE))</f>
        <v/>
      </c>
      <c r="L622" s="5" t="str">
        <f t="shared" si="34"/>
        <v/>
      </c>
      <c r="M622" s="7" t="str">
        <f t="shared" ca="1" si="33"/>
        <v/>
      </c>
      <c r="N622" s="17" t="str">
        <f>IF(OR($A622="",$A622="Grand Total"),IF($A622="Grand Total",SUM($N$15:$N621),""),SUMPRODUCT((Table1[County]=SummaryPage!$A622)*(Table1[Status]&lt;&gt;"Complete")))</f>
        <v/>
      </c>
      <c r="O622" s="6" t="str">
        <f ca="1">IF($A622="Grand Total",SUM(INDIRECT(ADDRESS(1,COLUMN())&amp;":"&amp;ADDRESS(ROW()-1,COLUMN()))),IF(OR($A622="State Agencies",IFERROR(AND($L622&gt;='Input Sheet'!$J$2,$A622&lt;&gt;""),0)),$J622,""))</f>
        <v/>
      </c>
      <c r="P622" s="3" t="str">
        <f>IF(OR($A622="",$A622="Grand Total"),"",IF(IFERROR(ROUND($J622/$K622,2),1000)&gt;='Input Sheet'!$J$2,1,""))</f>
        <v/>
      </c>
      <c r="Q622" s="3" t="str">
        <f t="shared" si="35"/>
        <v/>
      </c>
      <c r="R622" s="3" t="str">
        <f>IF(OR($A622="",$A622="Grand Total"),"",AND($J622=0,(SUMPRODUCT((Table1[County]=SummaryPage!$A622)*(Table1[Status]="Not Started"))+SUMPRODUCT((Table1[County]=SummaryPage!$A622)*(Table1[Status]="")))=SUMPRODUCT((Table1[County]=SummaryPage!$A622)*(Table1[Status]&lt;&gt;"Q"))))</f>
        <v/>
      </c>
    </row>
    <row r="623" spans="11:18" x14ac:dyDescent="0.3">
      <c r="K623" s="28" t="str">
        <f>IF($A623="","",VLOOKUP('Input Sheet'!$D$2 &amp; " " &amp; $A623,Pop[#All],4,FALSE))</f>
        <v/>
      </c>
      <c r="L623" s="5" t="str">
        <f t="shared" si="34"/>
        <v/>
      </c>
      <c r="M623" s="7" t="str">
        <f t="shared" ca="1" si="33"/>
        <v/>
      </c>
      <c r="N623" s="17" t="str">
        <f>IF(OR($A623="",$A623="Grand Total"),IF($A623="Grand Total",SUM($N$15:$N622),""),SUMPRODUCT((Table1[County]=SummaryPage!$A623)*(Table1[Status]&lt;&gt;"Complete")))</f>
        <v/>
      </c>
      <c r="O623" s="6" t="str">
        <f ca="1">IF($A623="Grand Total",SUM(INDIRECT(ADDRESS(1,COLUMN())&amp;":"&amp;ADDRESS(ROW()-1,COLUMN()))),IF(OR($A623="State Agencies",IFERROR(AND($L623&gt;='Input Sheet'!$J$2,$A623&lt;&gt;""),0)),$J623,""))</f>
        <v/>
      </c>
      <c r="P623" s="3" t="str">
        <f>IF(OR($A623="",$A623="Grand Total"),"",IF(IFERROR(ROUND($J623/$K623,2),1000)&gt;='Input Sheet'!$J$2,1,""))</f>
        <v/>
      </c>
      <c r="Q623" s="3" t="str">
        <f t="shared" si="35"/>
        <v/>
      </c>
      <c r="R623" s="3" t="str">
        <f>IF(OR($A623="",$A623="Grand Total"),"",AND($J623=0,(SUMPRODUCT((Table1[County]=SummaryPage!$A623)*(Table1[Status]="Not Started"))+SUMPRODUCT((Table1[County]=SummaryPage!$A623)*(Table1[Status]="")))=SUMPRODUCT((Table1[County]=SummaryPage!$A623)*(Table1[Status]&lt;&gt;"Q"))))</f>
        <v/>
      </c>
    </row>
    <row r="624" spans="11:18" x14ac:dyDescent="0.3">
      <c r="K624" s="28" t="str">
        <f>IF($A624="","",VLOOKUP('Input Sheet'!$D$2 &amp; " " &amp; $A624,Pop[#All],4,FALSE))</f>
        <v/>
      </c>
      <c r="L624" s="5" t="str">
        <f t="shared" si="34"/>
        <v/>
      </c>
      <c r="M624" s="7" t="str">
        <f t="shared" ca="1" si="33"/>
        <v/>
      </c>
      <c r="N624" s="17" t="str">
        <f>IF(OR($A624="",$A624="Grand Total"),IF($A624="Grand Total",SUM($N$15:$N623),""),SUMPRODUCT((Table1[County]=SummaryPage!$A624)*(Table1[Status]&lt;&gt;"Complete")))</f>
        <v/>
      </c>
      <c r="O624" s="6" t="str">
        <f ca="1">IF($A624="Grand Total",SUM(INDIRECT(ADDRESS(1,COLUMN())&amp;":"&amp;ADDRESS(ROW()-1,COLUMN()))),IF(OR($A624="State Agencies",IFERROR(AND($L624&gt;='Input Sheet'!$J$2,$A624&lt;&gt;""),0)),$J624,""))</f>
        <v/>
      </c>
      <c r="P624" s="3" t="str">
        <f>IF(OR($A624="",$A624="Grand Total"),"",IF(IFERROR(ROUND($J624/$K624,2),1000)&gt;='Input Sheet'!$J$2,1,""))</f>
        <v/>
      </c>
      <c r="Q624" s="3" t="str">
        <f t="shared" si="35"/>
        <v/>
      </c>
      <c r="R624" s="3" t="str">
        <f>IF(OR($A624="",$A624="Grand Total"),"",AND($J624=0,(SUMPRODUCT((Table1[County]=SummaryPage!$A624)*(Table1[Status]="Not Started"))+SUMPRODUCT((Table1[County]=SummaryPage!$A624)*(Table1[Status]="")))=SUMPRODUCT((Table1[County]=SummaryPage!$A624)*(Table1[Status]&lt;&gt;"Q"))))</f>
        <v/>
      </c>
    </row>
    <row r="625" spans="11:18" x14ac:dyDescent="0.3">
      <c r="K625" s="28" t="str">
        <f>IF($A625="","",VLOOKUP('Input Sheet'!$D$2 &amp; " " &amp; $A625,Pop[#All],4,FALSE))</f>
        <v/>
      </c>
      <c r="L625" s="5" t="str">
        <f t="shared" si="34"/>
        <v/>
      </c>
      <c r="M625" s="7" t="str">
        <f t="shared" ca="1" si="33"/>
        <v/>
      </c>
      <c r="N625" s="17" t="str">
        <f>IF(OR($A625="",$A625="Grand Total"),IF($A625="Grand Total",SUM($N$15:$N624),""),SUMPRODUCT((Table1[County]=SummaryPage!$A625)*(Table1[Status]&lt;&gt;"Complete")))</f>
        <v/>
      </c>
      <c r="O625" s="6" t="str">
        <f ca="1">IF($A625="Grand Total",SUM(INDIRECT(ADDRESS(1,COLUMN())&amp;":"&amp;ADDRESS(ROW()-1,COLUMN()))),IF(OR($A625="State Agencies",IFERROR(AND($L625&gt;='Input Sheet'!$J$2,$A625&lt;&gt;""),0)),$J625,""))</f>
        <v/>
      </c>
      <c r="P625" s="3" t="str">
        <f>IF(OR($A625="",$A625="Grand Total"),"",IF(IFERROR(ROUND($J625/$K625,2),1000)&gt;='Input Sheet'!$J$2,1,""))</f>
        <v/>
      </c>
      <c r="Q625" s="3" t="str">
        <f t="shared" si="35"/>
        <v/>
      </c>
      <c r="R625" s="3" t="str">
        <f>IF(OR($A625="",$A625="Grand Total"),"",AND($J625=0,(SUMPRODUCT((Table1[County]=SummaryPage!$A625)*(Table1[Status]="Not Started"))+SUMPRODUCT((Table1[County]=SummaryPage!$A625)*(Table1[Status]="")))=SUMPRODUCT((Table1[County]=SummaryPage!$A625)*(Table1[Status]&lt;&gt;"Q"))))</f>
        <v/>
      </c>
    </row>
    <row r="626" spans="11:18" x14ac:dyDescent="0.3">
      <c r="K626" s="28" t="str">
        <f>IF($A626="","",VLOOKUP('Input Sheet'!$D$2 &amp; " " &amp; $A626,Pop[#All],4,FALSE))</f>
        <v/>
      </c>
      <c r="L626" s="5" t="str">
        <f t="shared" si="34"/>
        <v/>
      </c>
      <c r="M626" s="7" t="str">
        <f t="shared" ca="1" si="33"/>
        <v/>
      </c>
      <c r="N626" s="17" t="str">
        <f>IF(OR($A626="",$A626="Grand Total"),IF($A626="Grand Total",SUM($N$15:$N625),""),SUMPRODUCT((Table1[County]=SummaryPage!$A626)*(Table1[Status]&lt;&gt;"Complete")))</f>
        <v/>
      </c>
      <c r="O626" s="6" t="str">
        <f ca="1">IF($A626="Grand Total",SUM(INDIRECT(ADDRESS(1,COLUMN())&amp;":"&amp;ADDRESS(ROW()-1,COLUMN()))),IF(OR($A626="State Agencies",IFERROR(AND($L626&gt;='Input Sheet'!$J$2,$A626&lt;&gt;""),0)),$J626,""))</f>
        <v/>
      </c>
      <c r="P626" s="3" t="str">
        <f>IF(OR($A626="",$A626="Grand Total"),"",IF(IFERROR(ROUND($J626/$K626,2),1000)&gt;='Input Sheet'!$J$2,1,""))</f>
        <v/>
      </c>
      <c r="Q626" s="3" t="str">
        <f t="shared" si="35"/>
        <v/>
      </c>
      <c r="R626" s="3" t="str">
        <f>IF(OR($A626="",$A626="Grand Total"),"",AND($J626=0,(SUMPRODUCT((Table1[County]=SummaryPage!$A626)*(Table1[Status]="Not Started"))+SUMPRODUCT((Table1[County]=SummaryPage!$A626)*(Table1[Status]="")))=SUMPRODUCT((Table1[County]=SummaryPage!$A626)*(Table1[Status]&lt;&gt;"Q"))))</f>
        <v/>
      </c>
    </row>
    <row r="627" spans="11:18" x14ac:dyDescent="0.3">
      <c r="K627" s="28" t="str">
        <f>IF($A627="","",VLOOKUP('Input Sheet'!$D$2 &amp; " " &amp; $A627,Pop[#All],4,FALSE))</f>
        <v/>
      </c>
      <c r="L627" s="5" t="str">
        <f t="shared" si="34"/>
        <v/>
      </c>
      <c r="M627" s="7" t="str">
        <f t="shared" ca="1" si="33"/>
        <v/>
      </c>
      <c r="N627" s="17" t="str">
        <f>IF(OR($A627="",$A627="Grand Total"),IF($A627="Grand Total",SUM($N$15:$N626),""),SUMPRODUCT((Table1[County]=SummaryPage!$A627)*(Table1[Status]&lt;&gt;"Complete")))</f>
        <v/>
      </c>
      <c r="O627" s="6" t="str">
        <f ca="1">IF($A627="Grand Total",SUM(INDIRECT(ADDRESS(1,COLUMN())&amp;":"&amp;ADDRESS(ROW()-1,COLUMN()))),IF(OR($A627="State Agencies",IFERROR(AND($L627&gt;='Input Sheet'!$J$2,$A627&lt;&gt;""),0)),$J627,""))</f>
        <v/>
      </c>
      <c r="P627" s="3" t="str">
        <f>IF(OR($A627="",$A627="Grand Total"),"",IF(IFERROR(ROUND($J627/$K627,2),1000)&gt;='Input Sheet'!$J$2,1,""))</f>
        <v/>
      </c>
      <c r="Q627" s="3" t="str">
        <f t="shared" si="35"/>
        <v/>
      </c>
      <c r="R627" s="3" t="str">
        <f>IF(OR($A627="",$A627="Grand Total"),"",AND($J627=0,(SUMPRODUCT((Table1[County]=SummaryPage!$A627)*(Table1[Status]="Not Started"))+SUMPRODUCT((Table1[County]=SummaryPage!$A627)*(Table1[Status]="")))=SUMPRODUCT((Table1[County]=SummaryPage!$A627)*(Table1[Status]&lt;&gt;"Q"))))</f>
        <v/>
      </c>
    </row>
    <row r="628" spans="11:18" x14ac:dyDescent="0.3">
      <c r="K628" s="28" t="str">
        <f>IF($A628="","",VLOOKUP('Input Sheet'!$D$2 &amp; " " &amp; $A628,Pop[#All],4,FALSE))</f>
        <v/>
      </c>
      <c r="L628" s="5" t="str">
        <f t="shared" si="34"/>
        <v/>
      </c>
      <c r="M628" s="7" t="str">
        <f t="shared" ca="1" si="33"/>
        <v/>
      </c>
      <c r="N628" s="17" t="str">
        <f>IF(OR($A628="",$A628="Grand Total"),IF($A628="Grand Total",SUM($N$15:$N627),""),SUMPRODUCT((Table1[County]=SummaryPage!$A628)*(Table1[Status]&lt;&gt;"Complete")))</f>
        <v/>
      </c>
      <c r="O628" s="6" t="str">
        <f ca="1">IF($A628="Grand Total",SUM(INDIRECT(ADDRESS(1,COLUMN())&amp;":"&amp;ADDRESS(ROW()-1,COLUMN()))),IF(OR($A628="State Agencies",IFERROR(AND($L628&gt;='Input Sheet'!$J$2,$A628&lt;&gt;""),0)),$J628,""))</f>
        <v/>
      </c>
      <c r="P628" s="3" t="str">
        <f>IF(OR($A628="",$A628="Grand Total"),"",IF(IFERROR(ROUND($J628/$K628,2),1000)&gt;='Input Sheet'!$J$2,1,""))</f>
        <v/>
      </c>
      <c r="Q628" s="3" t="str">
        <f t="shared" si="35"/>
        <v/>
      </c>
      <c r="R628" s="3" t="str">
        <f>IF(OR($A628="",$A628="Grand Total"),"",AND($J628=0,(SUMPRODUCT((Table1[County]=SummaryPage!$A628)*(Table1[Status]="Not Started"))+SUMPRODUCT((Table1[County]=SummaryPage!$A628)*(Table1[Status]="")))=SUMPRODUCT((Table1[County]=SummaryPage!$A628)*(Table1[Status]&lt;&gt;"Q"))))</f>
        <v/>
      </c>
    </row>
    <row r="629" spans="11:18" x14ac:dyDescent="0.3">
      <c r="K629" s="28" t="str">
        <f>IF($A629="","",VLOOKUP('Input Sheet'!$D$2 &amp; " " &amp; $A629,Pop[#All],4,FALSE))</f>
        <v/>
      </c>
      <c r="L629" s="5" t="str">
        <f t="shared" si="34"/>
        <v/>
      </c>
      <c r="M629" s="7" t="str">
        <f t="shared" ca="1" si="33"/>
        <v/>
      </c>
      <c r="N629" s="17" t="str">
        <f>IF(OR($A629="",$A629="Grand Total"),IF($A629="Grand Total",SUM($N$15:$N628),""),SUMPRODUCT((Table1[County]=SummaryPage!$A629)*(Table1[Status]&lt;&gt;"Complete")))</f>
        <v/>
      </c>
      <c r="O629" s="6" t="str">
        <f ca="1">IF($A629="Grand Total",SUM(INDIRECT(ADDRESS(1,COLUMN())&amp;":"&amp;ADDRESS(ROW()-1,COLUMN()))),IF(OR($A629="State Agencies",IFERROR(AND($L629&gt;='Input Sheet'!$J$2,$A629&lt;&gt;""),0)),$J629,""))</f>
        <v/>
      </c>
      <c r="P629" s="3" t="str">
        <f>IF(OR($A629="",$A629="Grand Total"),"",IF(IFERROR(ROUND($J629/$K629,2),1000)&gt;='Input Sheet'!$J$2,1,""))</f>
        <v/>
      </c>
      <c r="Q629" s="3" t="str">
        <f t="shared" si="35"/>
        <v/>
      </c>
      <c r="R629" s="3" t="str">
        <f>IF(OR($A629="",$A629="Grand Total"),"",AND($J629=0,(SUMPRODUCT((Table1[County]=SummaryPage!$A629)*(Table1[Status]="Not Started"))+SUMPRODUCT((Table1[County]=SummaryPage!$A629)*(Table1[Status]="")))=SUMPRODUCT((Table1[County]=SummaryPage!$A629)*(Table1[Status]&lt;&gt;"Q"))))</f>
        <v/>
      </c>
    </row>
    <row r="630" spans="11:18" x14ac:dyDescent="0.3">
      <c r="K630" s="28" t="str">
        <f>IF($A630="","",VLOOKUP('Input Sheet'!$D$2 &amp; " " &amp; $A630,Pop[#All],4,FALSE))</f>
        <v/>
      </c>
      <c r="L630" s="5" t="str">
        <f t="shared" si="34"/>
        <v/>
      </c>
      <c r="M630" s="7" t="str">
        <f t="shared" ca="1" si="33"/>
        <v/>
      </c>
      <c r="N630" s="17" t="str">
        <f>IF(OR($A630="",$A630="Grand Total"),IF($A630="Grand Total",SUM($N$15:$N629),""),SUMPRODUCT((Table1[County]=SummaryPage!$A630)*(Table1[Status]&lt;&gt;"Complete")))</f>
        <v/>
      </c>
      <c r="O630" s="6" t="str">
        <f ca="1">IF($A630="Grand Total",SUM(INDIRECT(ADDRESS(1,COLUMN())&amp;":"&amp;ADDRESS(ROW()-1,COLUMN()))),IF(OR($A630="State Agencies",IFERROR(AND($L630&gt;='Input Sheet'!$J$2,$A630&lt;&gt;""),0)),$J630,""))</f>
        <v/>
      </c>
      <c r="P630" s="3" t="str">
        <f>IF(OR($A630="",$A630="Grand Total"),"",IF(IFERROR(ROUND($J630/$K630,2),1000)&gt;='Input Sheet'!$J$2,1,""))</f>
        <v/>
      </c>
      <c r="Q630" s="3" t="str">
        <f t="shared" si="35"/>
        <v/>
      </c>
      <c r="R630" s="3" t="str">
        <f>IF(OR($A630="",$A630="Grand Total"),"",AND($J630=0,(SUMPRODUCT((Table1[County]=SummaryPage!$A630)*(Table1[Status]="Not Started"))+SUMPRODUCT((Table1[County]=SummaryPage!$A630)*(Table1[Status]="")))=SUMPRODUCT((Table1[County]=SummaryPage!$A630)*(Table1[Status]&lt;&gt;"Q"))))</f>
        <v/>
      </c>
    </row>
    <row r="631" spans="11:18" x14ac:dyDescent="0.3">
      <c r="K631" s="28" t="str">
        <f>IF($A631="","",VLOOKUP('Input Sheet'!$D$2 &amp; " " &amp; $A631,Pop[#All],4,FALSE))</f>
        <v/>
      </c>
      <c r="L631" s="5" t="str">
        <f t="shared" si="34"/>
        <v/>
      </c>
      <c r="M631" s="7" t="str">
        <f t="shared" ca="1" si="33"/>
        <v/>
      </c>
      <c r="N631" s="17" t="str">
        <f>IF(OR($A631="",$A631="Grand Total"),IF($A631="Grand Total",SUM($N$15:$N630),""),SUMPRODUCT((Table1[County]=SummaryPage!$A631)*(Table1[Status]&lt;&gt;"Complete")))</f>
        <v/>
      </c>
      <c r="O631" s="6" t="str">
        <f ca="1">IF($A631="Grand Total",SUM(INDIRECT(ADDRESS(1,COLUMN())&amp;":"&amp;ADDRESS(ROW()-1,COLUMN()))),IF(OR($A631="State Agencies",IFERROR(AND($L631&gt;='Input Sheet'!$J$2,$A631&lt;&gt;""),0)),$J631,""))</f>
        <v/>
      </c>
      <c r="P631" s="3" t="str">
        <f>IF(OR($A631="",$A631="Grand Total"),"",IF(IFERROR(ROUND($J631/$K631,2),1000)&gt;='Input Sheet'!$J$2,1,""))</f>
        <v/>
      </c>
      <c r="Q631" s="3" t="str">
        <f t="shared" si="35"/>
        <v/>
      </c>
      <c r="R631" s="3" t="str">
        <f>IF(OR($A631="",$A631="Grand Total"),"",AND($J631=0,(SUMPRODUCT((Table1[County]=SummaryPage!$A631)*(Table1[Status]="Not Started"))+SUMPRODUCT((Table1[County]=SummaryPage!$A631)*(Table1[Status]="")))=SUMPRODUCT((Table1[County]=SummaryPage!$A631)*(Table1[Status]&lt;&gt;"Q"))))</f>
        <v/>
      </c>
    </row>
    <row r="632" spans="11:18" x14ac:dyDescent="0.3">
      <c r="K632" s="28" t="str">
        <f>IF($A632="","",VLOOKUP('Input Sheet'!$D$2 &amp; " " &amp; $A632,Pop[#All],4,FALSE))</f>
        <v/>
      </c>
      <c r="L632" s="5" t="str">
        <f t="shared" si="34"/>
        <v/>
      </c>
      <c r="M632" s="7" t="str">
        <f t="shared" ca="1" si="33"/>
        <v/>
      </c>
      <c r="N632" s="17" t="str">
        <f>IF(OR($A632="",$A632="Grand Total"),IF($A632="Grand Total",SUM($N$15:$N631),""),SUMPRODUCT((Table1[County]=SummaryPage!$A632)*(Table1[Status]&lt;&gt;"Complete")))</f>
        <v/>
      </c>
      <c r="O632" s="6" t="str">
        <f ca="1">IF($A632="Grand Total",SUM(INDIRECT(ADDRESS(1,COLUMN())&amp;":"&amp;ADDRESS(ROW()-1,COLUMN()))),IF(OR($A632="State Agencies",IFERROR(AND($L632&gt;='Input Sheet'!$J$2,$A632&lt;&gt;""),0)),$J632,""))</f>
        <v/>
      </c>
      <c r="P632" s="3" t="str">
        <f>IF(OR($A632="",$A632="Grand Total"),"",IF(IFERROR(ROUND($J632/$K632,2),1000)&gt;='Input Sheet'!$J$2,1,""))</f>
        <v/>
      </c>
      <c r="Q632" s="3" t="str">
        <f t="shared" si="35"/>
        <v/>
      </c>
      <c r="R632" s="3" t="str">
        <f>IF(OR($A632="",$A632="Grand Total"),"",AND($J632=0,(SUMPRODUCT((Table1[County]=SummaryPage!$A632)*(Table1[Status]="Not Started"))+SUMPRODUCT((Table1[County]=SummaryPage!$A632)*(Table1[Status]="")))=SUMPRODUCT((Table1[County]=SummaryPage!$A632)*(Table1[Status]&lt;&gt;"Q"))))</f>
        <v/>
      </c>
    </row>
    <row r="633" spans="11:18" x14ac:dyDescent="0.3">
      <c r="K633" s="28" t="str">
        <f>IF($A633="","",VLOOKUP('Input Sheet'!$D$2 &amp; " " &amp; $A633,Pop[#All],4,FALSE))</f>
        <v/>
      </c>
      <c r="L633" s="5" t="str">
        <f t="shared" si="34"/>
        <v/>
      </c>
      <c r="M633" s="7" t="str">
        <f t="shared" ca="1" si="33"/>
        <v/>
      </c>
      <c r="N633" s="17" t="str">
        <f>IF(OR($A633="",$A633="Grand Total"),IF($A633="Grand Total",SUM($N$15:$N632),""),SUMPRODUCT((Table1[County]=SummaryPage!$A633)*(Table1[Status]&lt;&gt;"Complete")))</f>
        <v/>
      </c>
      <c r="O633" s="6" t="str">
        <f ca="1">IF($A633="Grand Total",SUM(INDIRECT(ADDRESS(1,COLUMN())&amp;":"&amp;ADDRESS(ROW()-1,COLUMN()))),IF(OR($A633="State Agencies",IFERROR(AND($L633&gt;='Input Sheet'!$J$2,$A633&lt;&gt;""),0)),$J633,""))</f>
        <v/>
      </c>
      <c r="P633" s="3" t="str">
        <f>IF(OR($A633="",$A633="Grand Total"),"",IF(IFERROR(ROUND($J633/$K633,2),1000)&gt;='Input Sheet'!$J$2,1,""))</f>
        <v/>
      </c>
      <c r="Q633" s="3" t="str">
        <f t="shared" si="35"/>
        <v/>
      </c>
      <c r="R633" s="3" t="str">
        <f>IF(OR($A633="",$A633="Grand Total"),"",AND($J633=0,(SUMPRODUCT((Table1[County]=SummaryPage!$A633)*(Table1[Status]="Not Started"))+SUMPRODUCT((Table1[County]=SummaryPage!$A633)*(Table1[Status]="")))=SUMPRODUCT((Table1[County]=SummaryPage!$A633)*(Table1[Status]&lt;&gt;"Q"))))</f>
        <v/>
      </c>
    </row>
    <row r="634" spans="11:18" x14ac:dyDescent="0.3">
      <c r="K634" s="28" t="str">
        <f>IF($A634="","",VLOOKUP('Input Sheet'!$D$2 &amp; " " &amp; $A634,Pop[#All],4,FALSE))</f>
        <v/>
      </c>
      <c r="L634" s="5" t="str">
        <f t="shared" si="34"/>
        <v/>
      </c>
      <c r="M634" s="7" t="str">
        <f t="shared" ca="1" si="33"/>
        <v/>
      </c>
      <c r="N634" s="17" t="str">
        <f>IF(OR($A634="",$A634="Grand Total"),IF($A634="Grand Total",SUM($N$15:$N633),""),SUMPRODUCT((Table1[County]=SummaryPage!$A634)*(Table1[Status]&lt;&gt;"Complete")))</f>
        <v/>
      </c>
      <c r="O634" s="6" t="str">
        <f ca="1">IF($A634="Grand Total",SUM(INDIRECT(ADDRESS(1,COLUMN())&amp;":"&amp;ADDRESS(ROW()-1,COLUMN()))),IF(OR($A634="State Agencies",IFERROR(AND($L634&gt;='Input Sheet'!$J$2,$A634&lt;&gt;""),0)),$J634,""))</f>
        <v/>
      </c>
      <c r="P634" s="3" t="str">
        <f>IF(OR($A634="",$A634="Grand Total"),"",IF(IFERROR(ROUND($J634/$K634,2),1000)&gt;='Input Sheet'!$J$2,1,""))</f>
        <v/>
      </c>
      <c r="Q634" s="3" t="str">
        <f t="shared" si="35"/>
        <v/>
      </c>
      <c r="R634" s="3" t="str">
        <f>IF(OR($A634="",$A634="Grand Total"),"",AND($J634=0,(SUMPRODUCT((Table1[County]=SummaryPage!$A634)*(Table1[Status]="Not Started"))+SUMPRODUCT((Table1[County]=SummaryPage!$A634)*(Table1[Status]="")))=SUMPRODUCT((Table1[County]=SummaryPage!$A634)*(Table1[Status]&lt;&gt;"Q"))))</f>
        <v/>
      </c>
    </row>
    <row r="635" spans="11:18" x14ac:dyDescent="0.3">
      <c r="K635" s="28" t="str">
        <f>IF($A635="","",VLOOKUP('Input Sheet'!$D$2 &amp; " " &amp; $A635,Pop[#All],4,FALSE))</f>
        <v/>
      </c>
      <c r="L635" s="5" t="str">
        <f t="shared" si="34"/>
        <v/>
      </c>
      <c r="M635" s="7" t="str">
        <f t="shared" ca="1" si="33"/>
        <v/>
      </c>
      <c r="N635" s="17" t="str">
        <f>IF(OR($A635="",$A635="Grand Total"),IF($A635="Grand Total",SUM($N$15:$N634),""),SUMPRODUCT((Table1[County]=SummaryPage!$A635)*(Table1[Status]&lt;&gt;"Complete")))</f>
        <v/>
      </c>
      <c r="O635" s="6" t="str">
        <f ca="1">IF($A635="Grand Total",SUM(INDIRECT(ADDRESS(1,COLUMN())&amp;":"&amp;ADDRESS(ROW()-1,COLUMN()))),IF(OR($A635="State Agencies",IFERROR(AND($L635&gt;='Input Sheet'!$J$2,$A635&lt;&gt;""),0)),$J635,""))</f>
        <v/>
      </c>
      <c r="P635" s="3" t="str">
        <f>IF(OR($A635="",$A635="Grand Total"),"",IF(IFERROR(ROUND($J635/$K635,2),1000)&gt;='Input Sheet'!$J$2,1,""))</f>
        <v/>
      </c>
      <c r="Q635" s="3" t="str">
        <f t="shared" si="35"/>
        <v/>
      </c>
      <c r="R635" s="3" t="str">
        <f>IF(OR($A635="",$A635="Grand Total"),"",AND($J635=0,(SUMPRODUCT((Table1[County]=SummaryPage!$A635)*(Table1[Status]="Not Started"))+SUMPRODUCT((Table1[County]=SummaryPage!$A635)*(Table1[Status]="")))=SUMPRODUCT((Table1[County]=SummaryPage!$A635)*(Table1[Status]&lt;&gt;"Q"))))</f>
        <v/>
      </c>
    </row>
    <row r="636" spans="11:18" x14ac:dyDescent="0.3">
      <c r="K636" s="28" t="str">
        <f>IF($A636="","",VLOOKUP('Input Sheet'!$D$2 &amp; " " &amp; $A636,Pop[#All],4,FALSE))</f>
        <v/>
      </c>
      <c r="L636" s="5" t="str">
        <f t="shared" si="34"/>
        <v/>
      </c>
      <c r="M636" s="7" t="str">
        <f t="shared" ca="1" si="33"/>
        <v/>
      </c>
      <c r="N636" s="17" t="str">
        <f>IF(OR($A636="",$A636="Grand Total"),IF($A636="Grand Total",SUM($N$15:$N635),""),SUMPRODUCT((Table1[County]=SummaryPage!$A636)*(Table1[Status]&lt;&gt;"Complete")))</f>
        <v/>
      </c>
      <c r="O636" s="6" t="str">
        <f ca="1">IF($A636="Grand Total",SUM(INDIRECT(ADDRESS(1,COLUMN())&amp;":"&amp;ADDRESS(ROW()-1,COLUMN()))),IF(OR($A636="State Agencies",IFERROR(AND($L636&gt;='Input Sheet'!$J$2,$A636&lt;&gt;""),0)),$J636,""))</f>
        <v/>
      </c>
      <c r="P636" s="3" t="str">
        <f>IF(OR($A636="",$A636="Grand Total"),"",IF(IFERROR(ROUND($J636/$K636,2),1000)&gt;='Input Sheet'!$J$2,1,""))</f>
        <v/>
      </c>
      <c r="Q636" s="3" t="str">
        <f t="shared" si="35"/>
        <v/>
      </c>
      <c r="R636" s="3" t="str">
        <f>IF(OR($A636="",$A636="Grand Total"),"",AND($J636=0,(SUMPRODUCT((Table1[County]=SummaryPage!$A636)*(Table1[Status]="Not Started"))+SUMPRODUCT((Table1[County]=SummaryPage!$A636)*(Table1[Status]="")))=SUMPRODUCT((Table1[County]=SummaryPage!$A636)*(Table1[Status]&lt;&gt;"Q"))))</f>
        <v/>
      </c>
    </row>
    <row r="637" spans="11:18" x14ac:dyDescent="0.3">
      <c r="K637" s="28" t="str">
        <f>IF($A637="","",VLOOKUP('Input Sheet'!$D$2 &amp; " " &amp; $A637,Pop[#All],4,FALSE))</f>
        <v/>
      </c>
      <c r="L637" s="5" t="str">
        <f t="shared" si="34"/>
        <v/>
      </c>
      <c r="M637" s="7" t="str">
        <f t="shared" ca="1" si="33"/>
        <v/>
      </c>
      <c r="N637" s="17" t="str">
        <f>IF(OR($A637="",$A637="Grand Total"),IF($A637="Grand Total",SUM($N$15:$N636),""),SUMPRODUCT((Table1[County]=SummaryPage!$A637)*(Table1[Status]&lt;&gt;"Complete")))</f>
        <v/>
      </c>
      <c r="O637" s="6" t="str">
        <f ca="1">IF($A637="Grand Total",SUM(INDIRECT(ADDRESS(1,COLUMN())&amp;":"&amp;ADDRESS(ROW()-1,COLUMN()))),IF(OR($A637="State Agencies",IFERROR(AND($L637&gt;='Input Sheet'!$J$2,$A637&lt;&gt;""),0)),$J637,""))</f>
        <v/>
      </c>
      <c r="P637" s="3" t="str">
        <f>IF(OR($A637="",$A637="Grand Total"),"",IF(IFERROR(ROUND($J637/$K637,2),1000)&gt;='Input Sheet'!$J$2,1,""))</f>
        <v/>
      </c>
      <c r="Q637" s="3" t="str">
        <f t="shared" si="35"/>
        <v/>
      </c>
      <c r="R637" s="3" t="str">
        <f>IF(OR($A637="",$A637="Grand Total"),"",AND($J637=0,(SUMPRODUCT((Table1[County]=SummaryPage!$A637)*(Table1[Status]="Not Started"))+SUMPRODUCT((Table1[County]=SummaryPage!$A637)*(Table1[Status]="")))=SUMPRODUCT((Table1[County]=SummaryPage!$A637)*(Table1[Status]&lt;&gt;"Q"))))</f>
        <v/>
      </c>
    </row>
    <row r="638" spans="11:18" x14ac:dyDescent="0.3">
      <c r="K638" s="28" t="str">
        <f>IF($A638="","",VLOOKUP('Input Sheet'!$D$2 &amp; " " &amp; $A638,Pop[#All],4,FALSE))</f>
        <v/>
      </c>
      <c r="L638" s="5" t="str">
        <f t="shared" si="34"/>
        <v/>
      </c>
      <c r="M638" s="7" t="str">
        <f t="shared" ca="1" si="33"/>
        <v/>
      </c>
      <c r="N638" s="17" t="str">
        <f>IF(OR($A638="",$A638="Grand Total"),IF($A638="Grand Total",SUM($N$15:$N637),""),SUMPRODUCT((Table1[County]=SummaryPage!$A638)*(Table1[Status]&lt;&gt;"Complete")))</f>
        <v/>
      </c>
      <c r="O638" s="6" t="str">
        <f ca="1">IF($A638="Grand Total",SUM(INDIRECT(ADDRESS(1,COLUMN())&amp;":"&amp;ADDRESS(ROW()-1,COLUMN()))),IF(OR($A638="State Agencies",IFERROR(AND($L638&gt;='Input Sheet'!$J$2,$A638&lt;&gt;""),0)),$J638,""))</f>
        <v/>
      </c>
      <c r="P638" s="3" t="str">
        <f>IF(OR($A638="",$A638="Grand Total"),"",IF(IFERROR(ROUND($J638/$K638,2),1000)&gt;='Input Sheet'!$J$2,1,""))</f>
        <v/>
      </c>
      <c r="Q638" s="3" t="str">
        <f t="shared" si="35"/>
        <v/>
      </c>
      <c r="R638" s="3" t="str">
        <f>IF(OR($A638="",$A638="Grand Total"),"",AND($J638=0,(SUMPRODUCT((Table1[County]=SummaryPage!$A638)*(Table1[Status]="Not Started"))+SUMPRODUCT((Table1[County]=SummaryPage!$A638)*(Table1[Status]="")))=SUMPRODUCT((Table1[County]=SummaryPage!$A638)*(Table1[Status]&lt;&gt;"Q"))))</f>
        <v/>
      </c>
    </row>
    <row r="639" spans="11:18" x14ac:dyDescent="0.3">
      <c r="K639" s="28" t="str">
        <f>IF($A639="","",VLOOKUP('Input Sheet'!$D$2 &amp; " " &amp; $A639,Pop[#All],4,FALSE))</f>
        <v/>
      </c>
      <c r="L639" s="5" t="str">
        <f t="shared" si="34"/>
        <v/>
      </c>
      <c r="M639" s="7" t="str">
        <f t="shared" ca="1" si="33"/>
        <v/>
      </c>
      <c r="N639" s="17" t="str">
        <f>IF(OR($A639="",$A639="Grand Total"),IF($A639="Grand Total",SUM($N$15:$N638),""),SUMPRODUCT((Table1[County]=SummaryPage!$A639)*(Table1[Status]&lt;&gt;"Complete")))</f>
        <v/>
      </c>
      <c r="O639" s="6" t="str">
        <f ca="1">IF($A639="Grand Total",SUM(INDIRECT(ADDRESS(1,COLUMN())&amp;":"&amp;ADDRESS(ROW()-1,COLUMN()))),IF(OR($A639="State Agencies",IFERROR(AND($L639&gt;='Input Sheet'!$J$2,$A639&lt;&gt;""),0)),$J639,""))</f>
        <v/>
      </c>
      <c r="P639" s="3" t="str">
        <f>IF(OR($A639="",$A639="Grand Total"),"",IF(IFERROR(ROUND($J639/$K639,2),1000)&gt;='Input Sheet'!$J$2,1,""))</f>
        <v/>
      </c>
      <c r="Q639" s="3" t="str">
        <f t="shared" si="35"/>
        <v/>
      </c>
      <c r="R639" s="3" t="str">
        <f>IF(OR($A639="",$A639="Grand Total"),"",AND($J639=0,(SUMPRODUCT((Table1[County]=SummaryPage!$A639)*(Table1[Status]="Not Started"))+SUMPRODUCT((Table1[County]=SummaryPage!$A639)*(Table1[Status]="")))=SUMPRODUCT((Table1[County]=SummaryPage!$A639)*(Table1[Status]&lt;&gt;"Q"))))</f>
        <v/>
      </c>
    </row>
    <row r="640" spans="11:18" x14ac:dyDescent="0.3">
      <c r="K640" s="28" t="str">
        <f>IF($A640="","",VLOOKUP('Input Sheet'!$D$2 &amp; " " &amp; $A640,Pop[#All],4,FALSE))</f>
        <v/>
      </c>
      <c r="L640" s="5" t="str">
        <f t="shared" si="34"/>
        <v/>
      </c>
      <c r="M640" s="7" t="str">
        <f t="shared" ca="1" si="33"/>
        <v/>
      </c>
      <c r="N640" s="17" t="str">
        <f>IF(OR($A640="",$A640="Grand Total"),IF($A640="Grand Total",SUM($N$15:$N639),""),SUMPRODUCT((Table1[County]=SummaryPage!$A640)*(Table1[Status]&lt;&gt;"Complete")))</f>
        <v/>
      </c>
      <c r="O640" s="6" t="str">
        <f ca="1">IF($A640="Grand Total",SUM(INDIRECT(ADDRESS(1,COLUMN())&amp;":"&amp;ADDRESS(ROW()-1,COLUMN()))),IF(OR($A640="State Agencies",IFERROR(AND($L640&gt;='Input Sheet'!$J$2,$A640&lt;&gt;""),0)),$J640,""))</f>
        <v/>
      </c>
      <c r="P640" s="3" t="str">
        <f>IF(OR($A640="",$A640="Grand Total"),"",IF(IFERROR(ROUND($J640/$K640,2),1000)&gt;='Input Sheet'!$J$2,1,""))</f>
        <v/>
      </c>
      <c r="Q640" s="3" t="str">
        <f t="shared" si="35"/>
        <v/>
      </c>
      <c r="R640" s="3" t="str">
        <f>IF(OR($A640="",$A640="Grand Total"),"",AND($J640=0,(SUMPRODUCT((Table1[County]=SummaryPage!$A640)*(Table1[Status]="Not Started"))+SUMPRODUCT((Table1[County]=SummaryPage!$A640)*(Table1[Status]="")))=SUMPRODUCT((Table1[County]=SummaryPage!$A640)*(Table1[Status]&lt;&gt;"Q"))))</f>
        <v/>
      </c>
    </row>
    <row r="641" spans="11:18" x14ac:dyDescent="0.3">
      <c r="K641" s="28" t="str">
        <f>IF($A641="","",VLOOKUP('Input Sheet'!$D$2 &amp; " " &amp; $A641,Pop[#All],4,FALSE))</f>
        <v/>
      </c>
      <c r="L641" s="5" t="str">
        <f t="shared" si="34"/>
        <v/>
      </c>
      <c r="M641" s="7" t="str">
        <f t="shared" ca="1" si="33"/>
        <v/>
      </c>
      <c r="N641" s="17" t="str">
        <f>IF(OR($A641="",$A641="Grand Total"),IF($A641="Grand Total",SUM($N$15:$N640),""),SUMPRODUCT((Table1[County]=SummaryPage!$A641)*(Table1[Status]&lt;&gt;"Complete")))</f>
        <v/>
      </c>
      <c r="O641" s="6" t="str">
        <f ca="1">IF($A641="Grand Total",SUM(INDIRECT(ADDRESS(1,COLUMN())&amp;":"&amp;ADDRESS(ROW()-1,COLUMN()))),IF(OR($A641="State Agencies",IFERROR(AND($L641&gt;='Input Sheet'!$J$2,$A641&lt;&gt;""),0)),$J641,""))</f>
        <v/>
      </c>
      <c r="P641" s="3" t="str">
        <f>IF(OR($A641="",$A641="Grand Total"),"",IF(IFERROR(ROUND($J641/$K641,2),1000)&gt;='Input Sheet'!$J$2,1,""))</f>
        <v/>
      </c>
      <c r="Q641" s="3" t="str">
        <f t="shared" si="35"/>
        <v/>
      </c>
      <c r="R641" s="3" t="str">
        <f>IF(OR($A641="",$A641="Grand Total"),"",AND($J641=0,(SUMPRODUCT((Table1[County]=SummaryPage!$A641)*(Table1[Status]="Not Started"))+SUMPRODUCT((Table1[County]=SummaryPage!$A641)*(Table1[Status]="")))=SUMPRODUCT((Table1[County]=SummaryPage!$A641)*(Table1[Status]&lt;&gt;"Q"))))</f>
        <v/>
      </c>
    </row>
    <row r="642" spans="11:18" x14ac:dyDescent="0.3">
      <c r="K642" s="28" t="str">
        <f>IF($A642="","",VLOOKUP('Input Sheet'!$D$2 &amp; " " &amp; $A642,Pop[#All],4,FALSE))</f>
        <v/>
      </c>
      <c r="L642" s="5" t="str">
        <f t="shared" si="34"/>
        <v/>
      </c>
      <c r="M642" s="7" t="str">
        <f t="shared" ca="1" si="33"/>
        <v/>
      </c>
      <c r="N642" s="17" t="str">
        <f>IF(OR($A642="",$A642="Grand Total"),IF($A642="Grand Total",SUM($N$15:$N641),""),SUMPRODUCT((Table1[County]=SummaryPage!$A642)*(Table1[Status]&lt;&gt;"Complete")))</f>
        <v/>
      </c>
      <c r="O642" s="6" t="str">
        <f ca="1">IF($A642="Grand Total",SUM(INDIRECT(ADDRESS(1,COLUMN())&amp;":"&amp;ADDRESS(ROW()-1,COLUMN()))),IF(OR($A642="State Agencies",IFERROR(AND($L642&gt;='Input Sheet'!$J$2,$A642&lt;&gt;""),0)),$J642,""))</f>
        <v/>
      </c>
      <c r="P642" s="3" t="str">
        <f>IF(OR($A642="",$A642="Grand Total"),"",IF(IFERROR(ROUND($J642/$K642,2),1000)&gt;='Input Sheet'!$J$2,1,""))</f>
        <v/>
      </c>
      <c r="Q642" s="3" t="str">
        <f t="shared" si="35"/>
        <v/>
      </c>
      <c r="R642" s="3" t="str">
        <f>IF(OR($A642="",$A642="Grand Total"),"",AND($J642=0,(SUMPRODUCT((Table1[County]=SummaryPage!$A642)*(Table1[Status]="Not Started"))+SUMPRODUCT((Table1[County]=SummaryPage!$A642)*(Table1[Status]="")))=SUMPRODUCT((Table1[County]=SummaryPage!$A642)*(Table1[Status]&lt;&gt;"Q"))))</f>
        <v/>
      </c>
    </row>
    <row r="643" spans="11:18" x14ac:dyDescent="0.3">
      <c r="K643" s="28" t="str">
        <f>IF($A643="","",VLOOKUP('Input Sheet'!$D$2 &amp; " " &amp; $A643,Pop[#All],4,FALSE))</f>
        <v/>
      </c>
      <c r="L643" s="5" t="str">
        <f t="shared" si="34"/>
        <v/>
      </c>
      <c r="M643" s="7" t="str">
        <f t="shared" ca="1" si="33"/>
        <v/>
      </c>
      <c r="N643" s="17" t="str">
        <f>IF(OR($A643="",$A643="Grand Total"),IF($A643="Grand Total",SUM($N$15:$N642),""),SUMPRODUCT((Table1[County]=SummaryPage!$A643)*(Table1[Status]&lt;&gt;"Complete")))</f>
        <v/>
      </c>
      <c r="O643" s="6" t="str">
        <f ca="1">IF($A643="Grand Total",SUM(INDIRECT(ADDRESS(1,COLUMN())&amp;":"&amp;ADDRESS(ROW()-1,COLUMN()))),IF(OR($A643="State Agencies",IFERROR(AND($L643&gt;='Input Sheet'!$J$2,$A643&lt;&gt;""),0)),$J643,""))</f>
        <v/>
      </c>
      <c r="P643" s="3" t="str">
        <f>IF(OR($A643="",$A643="Grand Total"),"",IF(IFERROR(ROUND($J643/$K643,2),1000)&gt;='Input Sheet'!$J$2,1,""))</f>
        <v/>
      </c>
      <c r="Q643" s="3" t="str">
        <f t="shared" si="35"/>
        <v/>
      </c>
      <c r="R643" s="3" t="str">
        <f>IF(OR($A643="",$A643="Grand Total"),"",AND($J643=0,(SUMPRODUCT((Table1[County]=SummaryPage!$A643)*(Table1[Status]="Not Started"))+SUMPRODUCT((Table1[County]=SummaryPage!$A643)*(Table1[Status]="")))=SUMPRODUCT((Table1[County]=SummaryPage!$A643)*(Table1[Status]&lt;&gt;"Q"))))</f>
        <v/>
      </c>
    </row>
    <row r="644" spans="11:18" x14ac:dyDescent="0.3">
      <c r="K644" s="28" t="str">
        <f>IF($A644="","",VLOOKUP('Input Sheet'!$D$2 &amp; " " &amp; $A644,Pop[#All],4,FALSE))</f>
        <v/>
      </c>
      <c r="L644" s="5" t="str">
        <f t="shared" si="34"/>
        <v/>
      </c>
      <c r="M644" s="7" t="str">
        <f t="shared" ca="1" si="33"/>
        <v/>
      </c>
      <c r="N644" s="17" t="str">
        <f>IF(OR($A644="",$A644="Grand Total"),IF($A644="Grand Total",SUM($N$15:$N643),""),SUMPRODUCT((Table1[County]=SummaryPage!$A644)*(Table1[Status]&lt;&gt;"Complete")))</f>
        <v/>
      </c>
      <c r="O644" s="6" t="str">
        <f ca="1">IF($A644="Grand Total",SUM(INDIRECT(ADDRESS(1,COLUMN())&amp;":"&amp;ADDRESS(ROW()-1,COLUMN()))),IF(OR($A644="State Agencies",IFERROR(AND($L644&gt;='Input Sheet'!$J$2,$A644&lt;&gt;""),0)),$J644,""))</f>
        <v/>
      </c>
      <c r="P644" s="3" t="str">
        <f>IF(OR($A644="",$A644="Grand Total"),"",IF(IFERROR(ROUND($J644/$K644,2),1000)&gt;='Input Sheet'!$J$2,1,""))</f>
        <v/>
      </c>
      <c r="Q644" s="3" t="str">
        <f t="shared" si="35"/>
        <v/>
      </c>
      <c r="R644" s="3" t="str">
        <f>IF(OR($A644="",$A644="Grand Total"),"",AND($J644=0,(SUMPRODUCT((Table1[County]=SummaryPage!$A644)*(Table1[Status]="Not Started"))+SUMPRODUCT((Table1[County]=SummaryPage!$A644)*(Table1[Status]="")))=SUMPRODUCT((Table1[County]=SummaryPage!$A644)*(Table1[Status]&lt;&gt;"Q"))))</f>
        <v/>
      </c>
    </row>
    <row r="645" spans="11:18" x14ac:dyDescent="0.3">
      <c r="K645" s="28" t="str">
        <f>IF($A645="","",VLOOKUP('Input Sheet'!$D$2 &amp; " " &amp; $A645,Pop[#All],4,FALSE))</f>
        <v/>
      </c>
      <c r="L645" s="5" t="str">
        <f t="shared" si="34"/>
        <v/>
      </c>
      <c r="M645" s="7" t="str">
        <f t="shared" ca="1" si="33"/>
        <v/>
      </c>
      <c r="N645" s="17" t="str">
        <f>IF(OR($A645="",$A645="Grand Total"),IF($A645="Grand Total",SUM($N$15:$N644),""),SUMPRODUCT((Table1[County]=SummaryPage!$A645)*(Table1[Status]&lt;&gt;"Complete")))</f>
        <v/>
      </c>
      <c r="O645" s="6" t="str">
        <f ca="1">IF($A645="Grand Total",SUM(INDIRECT(ADDRESS(1,COLUMN())&amp;":"&amp;ADDRESS(ROW()-1,COLUMN()))),IF(OR($A645="State Agencies",IFERROR(AND($L645&gt;='Input Sheet'!$J$2,$A645&lt;&gt;""),0)),$J645,""))</f>
        <v/>
      </c>
      <c r="P645" s="3" t="str">
        <f>IF(OR($A645="",$A645="Grand Total"),"",IF(IFERROR(ROUND($J645/$K645,2),1000)&gt;='Input Sheet'!$J$2,1,""))</f>
        <v/>
      </c>
      <c r="Q645" s="3" t="str">
        <f t="shared" si="35"/>
        <v/>
      </c>
      <c r="R645" s="3" t="str">
        <f>IF(OR($A645="",$A645="Grand Total"),"",AND($J645=0,(SUMPRODUCT((Table1[County]=SummaryPage!$A645)*(Table1[Status]="Not Started"))+SUMPRODUCT((Table1[County]=SummaryPage!$A645)*(Table1[Status]="")))=SUMPRODUCT((Table1[County]=SummaryPage!$A645)*(Table1[Status]&lt;&gt;"Q"))))</f>
        <v/>
      </c>
    </row>
    <row r="646" spans="11:18" x14ac:dyDescent="0.3">
      <c r="K646" s="28" t="str">
        <f>IF($A646="","",VLOOKUP('Input Sheet'!$D$2 &amp; " " &amp; $A646,Pop[#All],4,FALSE))</f>
        <v/>
      </c>
      <c r="L646" s="5" t="str">
        <f t="shared" si="34"/>
        <v/>
      </c>
      <c r="M646" s="7" t="str">
        <f t="shared" ca="1" si="33"/>
        <v/>
      </c>
      <c r="N646" s="17" t="str">
        <f>IF(OR($A646="",$A646="Grand Total"),IF($A646="Grand Total",SUM($N$15:$N645),""),SUMPRODUCT((Table1[County]=SummaryPage!$A646)*(Table1[Status]&lt;&gt;"Complete")))</f>
        <v/>
      </c>
      <c r="O646" s="6" t="str">
        <f ca="1">IF($A646="Grand Total",SUM(INDIRECT(ADDRESS(1,COLUMN())&amp;":"&amp;ADDRESS(ROW()-1,COLUMN()))),IF(OR($A646="State Agencies",IFERROR(AND($L646&gt;='Input Sheet'!$J$2,$A646&lt;&gt;""),0)),$J646,""))</f>
        <v/>
      </c>
      <c r="P646" s="3" t="str">
        <f>IF(OR($A646="",$A646="Grand Total"),"",IF(IFERROR(ROUND($J646/$K646,2),1000)&gt;='Input Sheet'!$J$2,1,""))</f>
        <v/>
      </c>
      <c r="Q646" s="3" t="str">
        <f t="shared" si="35"/>
        <v/>
      </c>
      <c r="R646" s="3" t="str">
        <f>IF(OR($A646="",$A646="Grand Total"),"",AND($J646=0,(SUMPRODUCT((Table1[County]=SummaryPage!$A646)*(Table1[Status]="Not Started"))+SUMPRODUCT((Table1[County]=SummaryPage!$A646)*(Table1[Status]="")))=SUMPRODUCT((Table1[County]=SummaryPage!$A646)*(Table1[Status]&lt;&gt;"Q"))))</f>
        <v/>
      </c>
    </row>
    <row r="647" spans="11:18" x14ac:dyDescent="0.3">
      <c r="K647" s="28" t="str">
        <f>IF($A647="","",VLOOKUP('Input Sheet'!$D$2 &amp; " " &amp; $A647,Pop[#All],4,FALSE))</f>
        <v/>
      </c>
      <c r="L647" s="5" t="str">
        <f t="shared" si="34"/>
        <v/>
      </c>
      <c r="M647" s="7" t="str">
        <f t="shared" ca="1" si="33"/>
        <v/>
      </c>
      <c r="N647" s="17" t="str">
        <f>IF(OR($A647="",$A647="Grand Total"),IF($A647="Grand Total",SUM($N$15:$N646),""),SUMPRODUCT((Table1[County]=SummaryPage!$A647)*(Table1[Status]&lt;&gt;"Complete")))</f>
        <v/>
      </c>
      <c r="O647" s="6" t="str">
        <f ca="1">IF($A647="Grand Total",SUM(INDIRECT(ADDRESS(1,COLUMN())&amp;":"&amp;ADDRESS(ROW()-1,COLUMN()))),IF(OR($A647="State Agencies",IFERROR(AND($L647&gt;='Input Sheet'!$J$2,$A647&lt;&gt;""),0)),$J647,""))</f>
        <v/>
      </c>
      <c r="P647" s="3" t="str">
        <f>IF(OR($A647="",$A647="Grand Total"),"",IF(IFERROR(ROUND($J647/$K647,2),1000)&gt;='Input Sheet'!$J$2,1,""))</f>
        <v/>
      </c>
      <c r="Q647" s="3" t="str">
        <f t="shared" si="35"/>
        <v/>
      </c>
      <c r="R647" s="3" t="str">
        <f>IF(OR($A647="",$A647="Grand Total"),"",AND($J647=0,(SUMPRODUCT((Table1[County]=SummaryPage!$A647)*(Table1[Status]="Not Started"))+SUMPRODUCT((Table1[County]=SummaryPage!$A647)*(Table1[Status]="")))=SUMPRODUCT((Table1[County]=SummaryPage!$A647)*(Table1[Status]&lt;&gt;"Q"))))</f>
        <v/>
      </c>
    </row>
    <row r="648" spans="11:18" x14ac:dyDescent="0.3">
      <c r="K648" s="28" t="str">
        <f>IF($A648="","",VLOOKUP('Input Sheet'!$D$2 &amp; " " &amp; $A648,Pop[#All],4,FALSE))</f>
        <v/>
      </c>
      <c r="L648" s="5" t="str">
        <f t="shared" si="34"/>
        <v/>
      </c>
      <c r="M648" s="7" t="str">
        <f t="shared" ca="1" si="33"/>
        <v/>
      </c>
      <c r="N648" s="17" t="str">
        <f>IF(OR($A648="",$A648="Grand Total"),IF($A648="Grand Total",SUM($N$15:$N647),""),SUMPRODUCT((Table1[County]=SummaryPage!$A648)*(Table1[Status]&lt;&gt;"Complete")))</f>
        <v/>
      </c>
      <c r="O648" s="6" t="str">
        <f ca="1">IF($A648="Grand Total",SUM(INDIRECT(ADDRESS(1,COLUMN())&amp;":"&amp;ADDRESS(ROW()-1,COLUMN()))),IF(OR($A648="State Agencies",IFERROR(AND($L648&gt;='Input Sheet'!$J$2,$A648&lt;&gt;""),0)),$J648,""))</f>
        <v/>
      </c>
      <c r="P648" s="3" t="str">
        <f>IF(OR($A648="",$A648="Grand Total"),"",IF(IFERROR(ROUND($J648/$K648,2),1000)&gt;='Input Sheet'!$J$2,1,""))</f>
        <v/>
      </c>
      <c r="Q648" s="3" t="str">
        <f t="shared" si="35"/>
        <v/>
      </c>
      <c r="R648" s="3" t="str">
        <f>IF(OR($A648="",$A648="Grand Total"),"",AND($J648=0,(SUMPRODUCT((Table1[County]=SummaryPage!$A648)*(Table1[Status]="Not Started"))+SUMPRODUCT((Table1[County]=SummaryPage!$A648)*(Table1[Status]="")))=SUMPRODUCT((Table1[County]=SummaryPage!$A648)*(Table1[Status]&lt;&gt;"Q"))))</f>
        <v/>
      </c>
    </row>
    <row r="649" spans="11:18" x14ac:dyDescent="0.3">
      <c r="K649" s="28" t="str">
        <f>IF($A649="","",VLOOKUP('Input Sheet'!$D$2 &amp; " " &amp; $A649,Pop[#All],4,FALSE))</f>
        <v/>
      </c>
      <c r="L649" s="5" t="str">
        <f t="shared" si="34"/>
        <v/>
      </c>
      <c r="M649" s="7" t="str">
        <f t="shared" ca="1" si="33"/>
        <v/>
      </c>
      <c r="N649" s="17" t="str">
        <f>IF(OR($A649="",$A649="Grand Total"),IF($A649="Grand Total",SUM($N$15:$N648),""),SUMPRODUCT((Table1[County]=SummaryPage!$A649)*(Table1[Status]&lt;&gt;"Complete")))</f>
        <v/>
      </c>
      <c r="O649" s="6" t="str">
        <f ca="1">IF($A649="Grand Total",SUM(INDIRECT(ADDRESS(1,COLUMN())&amp;":"&amp;ADDRESS(ROW()-1,COLUMN()))),IF(OR($A649="State Agencies",IFERROR(AND($L649&gt;='Input Sheet'!$J$2,$A649&lt;&gt;""),0)),$J649,""))</f>
        <v/>
      </c>
      <c r="P649" s="3" t="str">
        <f>IF(OR($A649="",$A649="Grand Total"),"",IF(IFERROR(ROUND($J649/$K649,2),1000)&gt;='Input Sheet'!$J$2,1,""))</f>
        <v/>
      </c>
      <c r="Q649" s="3" t="str">
        <f t="shared" si="35"/>
        <v/>
      </c>
      <c r="R649" s="3" t="str">
        <f>IF(OR($A649="",$A649="Grand Total"),"",AND($J649=0,(SUMPRODUCT((Table1[County]=SummaryPage!$A649)*(Table1[Status]="Not Started"))+SUMPRODUCT((Table1[County]=SummaryPage!$A649)*(Table1[Status]="")))=SUMPRODUCT((Table1[County]=SummaryPage!$A649)*(Table1[Status]&lt;&gt;"Q"))))</f>
        <v/>
      </c>
    </row>
    <row r="650" spans="11:18" x14ac:dyDescent="0.3">
      <c r="K650" s="28" t="str">
        <f>IF($A650="","",VLOOKUP('Input Sheet'!$D$2 &amp; " " &amp; $A650,Pop[#All],4,FALSE))</f>
        <v/>
      </c>
      <c r="L650" s="5" t="str">
        <f t="shared" si="34"/>
        <v/>
      </c>
      <c r="M650" s="7" t="str">
        <f t="shared" ca="1" si="33"/>
        <v/>
      </c>
      <c r="N650" s="17" t="str">
        <f>IF(OR($A650="",$A650="Grand Total"),IF($A650="Grand Total",SUM($N$15:$N649),""),SUMPRODUCT((Table1[County]=SummaryPage!$A650)*(Table1[Status]&lt;&gt;"Complete")))</f>
        <v/>
      </c>
      <c r="O650" s="6" t="str">
        <f ca="1">IF($A650="Grand Total",SUM(INDIRECT(ADDRESS(1,COLUMN())&amp;":"&amp;ADDRESS(ROW()-1,COLUMN()))),IF(OR($A650="State Agencies",IFERROR(AND($L650&gt;='Input Sheet'!$J$2,$A650&lt;&gt;""),0)),$J650,""))</f>
        <v/>
      </c>
      <c r="P650" s="3" t="str">
        <f>IF(OR($A650="",$A650="Grand Total"),"",IF(IFERROR(ROUND($J650/$K650,2),1000)&gt;='Input Sheet'!$J$2,1,""))</f>
        <v/>
      </c>
      <c r="Q650" s="3" t="str">
        <f t="shared" si="35"/>
        <v/>
      </c>
      <c r="R650" s="3" t="str">
        <f>IF(OR($A650="",$A650="Grand Total"),"",AND($J650=0,(SUMPRODUCT((Table1[County]=SummaryPage!$A650)*(Table1[Status]="Not Started"))+SUMPRODUCT((Table1[County]=SummaryPage!$A650)*(Table1[Status]="")))=SUMPRODUCT((Table1[County]=SummaryPage!$A650)*(Table1[Status]&lt;&gt;"Q"))))</f>
        <v/>
      </c>
    </row>
    <row r="651" spans="11:18" x14ac:dyDescent="0.3">
      <c r="K651" s="28" t="str">
        <f>IF($A651="","",VLOOKUP('Input Sheet'!$D$2 &amp; " " &amp; $A651,Pop[#All],4,FALSE))</f>
        <v/>
      </c>
      <c r="L651" s="5" t="str">
        <f t="shared" si="34"/>
        <v/>
      </c>
      <c r="M651" s="7" t="str">
        <f t="shared" ca="1" si="33"/>
        <v/>
      </c>
      <c r="N651" s="17" t="str">
        <f>IF(OR($A651="",$A651="Grand Total"),IF($A651="Grand Total",SUM($N$15:$N650),""),SUMPRODUCT((Table1[County]=SummaryPage!$A651)*(Table1[Status]&lt;&gt;"Complete")))</f>
        <v/>
      </c>
      <c r="O651" s="6" t="str">
        <f ca="1">IF($A651="Grand Total",SUM(INDIRECT(ADDRESS(1,COLUMN())&amp;":"&amp;ADDRESS(ROW()-1,COLUMN()))),IF(OR($A651="State Agencies",IFERROR(AND($L651&gt;='Input Sheet'!$J$2,$A651&lt;&gt;""),0)),$J651,""))</f>
        <v/>
      </c>
      <c r="P651" s="3" t="str">
        <f>IF(OR($A651="",$A651="Grand Total"),"",IF(IFERROR(ROUND($J651/$K651,2),1000)&gt;='Input Sheet'!$J$2,1,""))</f>
        <v/>
      </c>
      <c r="Q651" s="3" t="str">
        <f t="shared" si="35"/>
        <v/>
      </c>
      <c r="R651" s="3" t="str">
        <f>IF(OR($A651="",$A651="Grand Total"),"",AND($J651=0,(SUMPRODUCT((Table1[County]=SummaryPage!$A651)*(Table1[Status]="Not Started"))+SUMPRODUCT((Table1[County]=SummaryPage!$A651)*(Table1[Status]="")))=SUMPRODUCT((Table1[County]=SummaryPage!$A651)*(Table1[Status]&lt;&gt;"Q"))))</f>
        <v/>
      </c>
    </row>
    <row r="652" spans="11:18" x14ac:dyDescent="0.3">
      <c r="K652" s="28" t="str">
        <f>IF($A652="","",VLOOKUP('Input Sheet'!$D$2 &amp; " " &amp; $A652,Pop[#All],4,FALSE))</f>
        <v/>
      </c>
      <c r="L652" s="5" t="str">
        <f t="shared" si="34"/>
        <v/>
      </c>
      <c r="M652" s="7" t="str">
        <f t="shared" ca="1" si="33"/>
        <v/>
      </c>
      <c r="N652" s="17" t="str">
        <f>IF(OR($A652="",$A652="Grand Total"),IF($A652="Grand Total",SUM($N$15:$N651),""),SUMPRODUCT((Table1[County]=SummaryPage!$A652)*(Table1[Status]&lt;&gt;"Complete")))</f>
        <v/>
      </c>
      <c r="O652" s="6" t="str">
        <f ca="1">IF($A652="Grand Total",SUM(INDIRECT(ADDRESS(1,COLUMN())&amp;":"&amp;ADDRESS(ROW()-1,COLUMN()))),IF(OR($A652="State Agencies",IFERROR(AND($L652&gt;='Input Sheet'!$J$2,$A652&lt;&gt;""),0)),$J652,""))</f>
        <v/>
      </c>
      <c r="P652" s="3" t="str">
        <f>IF(OR($A652="",$A652="Grand Total"),"",IF(IFERROR(ROUND($J652/$K652,2),1000)&gt;='Input Sheet'!$J$2,1,""))</f>
        <v/>
      </c>
      <c r="Q652" s="3" t="str">
        <f t="shared" si="35"/>
        <v/>
      </c>
      <c r="R652" s="3" t="str">
        <f>IF(OR($A652="",$A652="Grand Total"),"",AND($J652=0,(SUMPRODUCT((Table1[County]=SummaryPage!$A652)*(Table1[Status]="Not Started"))+SUMPRODUCT((Table1[County]=SummaryPage!$A652)*(Table1[Status]="")))=SUMPRODUCT((Table1[County]=SummaryPage!$A652)*(Table1[Status]&lt;&gt;"Q"))))</f>
        <v/>
      </c>
    </row>
    <row r="653" spans="11:18" x14ac:dyDescent="0.3">
      <c r="K653" s="28" t="str">
        <f>IF($A653="","",VLOOKUP('Input Sheet'!$D$2 &amp; " " &amp; $A653,Pop[#All],4,FALSE))</f>
        <v/>
      </c>
      <c r="L653" s="5" t="str">
        <f t="shared" si="34"/>
        <v/>
      </c>
      <c r="M653" s="7" t="str">
        <f t="shared" ca="1" si="33"/>
        <v/>
      </c>
      <c r="N653" s="17" t="str">
        <f>IF(OR($A653="",$A653="Grand Total"),IF($A653="Grand Total",SUM($N$15:$N652),""),SUMPRODUCT((Table1[County]=SummaryPage!$A653)*(Table1[Status]&lt;&gt;"Complete")))</f>
        <v/>
      </c>
      <c r="O653" s="6" t="str">
        <f ca="1">IF($A653="Grand Total",SUM(INDIRECT(ADDRESS(1,COLUMN())&amp;":"&amp;ADDRESS(ROW()-1,COLUMN()))),IF(OR($A653="State Agencies",IFERROR(AND($L653&gt;='Input Sheet'!$J$2,$A653&lt;&gt;""),0)),$J653,""))</f>
        <v/>
      </c>
      <c r="P653" s="3" t="str">
        <f>IF(OR($A653="",$A653="Grand Total"),"",IF(IFERROR(ROUND($J653/$K653,2),1000)&gt;='Input Sheet'!$J$2,1,""))</f>
        <v/>
      </c>
      <c r="Q653" s="3" t="str">
        <f t="shared" si="35"/>
        <v/>
      </c>
      <c r="R653" s="3" t="str">
        <f>IF(OR($A653="",$A653="Grand Total"),"",AND($J653=0,(SUMPRODUCT((Table1[County]=SummaryPage!$A653)*(Table1[Status]="Not Started"))+SUMPRODUCT((Table1[County]=SummaryPage!$A653)*(Table1[Status]="")))=SUMPRODUCT((Table1[County]=SummaryPage!$A653)*(Table1[Status]&lt;&gt;"Q"))))</f>
        <v/>
      </c>
    </row>
    <row r="654" spans="11:18" x14ac:dyDescent="0.3">
      <c r="K654" s="28" t="str">
        <f>IF($A654="","",VLOOKUP('Input Sheet'!$D$2 &amp; " " &amp; $A654,Pop[#All],4,FALSE))</f>
        <v/>
      </c>
      <c r="L654" s="5" t="str">
        <f t="shared" si="34"/>
        <v/>
      </c>
      <c r="M654" s="7" t="str">
        <f t="shared" ca="1" si="33"/>
        <v/>
      </c>
      <c r="N654" s="17" t="str">
        <f>IF(OR($A654="",$A654="Grand Total"),IF($A654="Grand Total",SUM($N$15:$N653),""),SUMPRODUCT((Table1[County]=SummaryPage!$A654)*(Table1[Status]&lt;&gt;"Complete")))</f>
        <v/>
      </c>
      <c r="O654" s="6" t="str">
        <f ca="1">IF($A654="Grand Total",SUM(INDIRECT(ADDRESS(1,COLUMN())&amp;":"&amp;ADDRESS(ROW()-1,COLUMN()))),IF(OR($A654="State Agencies",IFERROR(AND($L654&gt;='Input Sheet'!$J$2,$A654&lt;&gt;""),0)),$J654,""))</f>
        <v/>
      </c>
      <c r="P654" s="3" t="str">
        <f>IF(OR($A654="",$A654="Grand Total"),"",IF(IFERROR(ROUND($J654/$K654,2),1000)&gt;='Input Sheet'!$J$2,1,""))</f>
        <v/>
      </c>
      <c r="Q654" s="3" t="str">
        <f t="shared" si="35"/>
        <v/>
      </c>
      <c r="R654" s="3" t="str">
        <f>IF(OR($A654="",$A654="Grand Total"),"",AND($J654=0,(SUMPRODUCT((Table1[County]=SummaryPage!$A654)*(Table1[Status]="Not Started"))+SUMPRODUCT((Table1[County]=SummaryPage!$A654)*(Table1[Status]="")))=SUMPRODUCT((Table1[County]=SummaryPage!$A654)*(Table1[Status]&lt;&gt;"Q"))))</f>
        <v/>
      </c>
    </row>
    <row r="655" spans="11:18" x14ac:dyDescent="0.3">
      <c r="K655" s="28" t="str">
        <f>IF($A655="","",VLOOKUP('Input Sheet'!$D$2 &amp; " " &amp; $A655,Pop[#All],4,FALSE))</f>
        <v/>
      </c>
      <c r="L655" s="5" t="str">
        <f t="shared" si="34"/>
        <v/>
      </c>
      <c r="M655" s="7" t="str">
        <f t="shared" ref="M655:M718" ca="1" si="36">IF(A655="Grand Total","",IF(ISNUMBER($O655),$O655*2/SUM($O:$O),""))</f>
        <v/>
      </c>
      <c r="N655" s="17" t="str">
        <f>IF(OR($A655="",$A655="Grand Total"),IF($A655="Grand Total",SUM($N$15:$N654),""),SUMPRODUCT((Table1[County]=SummaryPage!$A655)*(Table1[Status]&lt;&gt;"Complete")))</f>
        <v/>
      </c>
      <c r="O655" s="6" t="str">
        <f ca="1">IF($A655="Grand Total",SUM(INDIRECT(ADDRESS(1,COLUMN())&amp;":"&amp;ADDRESS(ROW()-1,COLUMN()))),IF(OR($A655="State Agencies",IFERROR(AND($L655&gt;='Input Sheet'!$J$2,$A655&lt;&gt;""),0)),$J655,""))</f>
        <v/>
      </c>
      <c r="P655" s="3" t="str">
        <f>IF(OR($A655="",$A655="Grand Total"),"",IF(IFERROR(ROUND($J655/$K655,2),1000)&gt;='Input Sheet'!$J$2,1,""))</f>
        <v/>
      </c>
      <c r="Q655" s="3" t="str">
        <f t="shared" si="35"/>
        <v/>
      </c>
      <c r="R655" s="3" t="str">
        <f>IF(OR($A655="",$A655="Grand Total"),"",AND($J655=0,(SUMPRODUCT((Table1[County]=SummaryPage!$A655)*(Table1[Status]="Not Started"))+SUMPRODUCT((Table1[County]=SummaryPage!$A655)*(Table1[Status]="")))=SUMPRODUCT((Table1[County]=SummaryPage!$A655)*(Table1[Status]&lt;&gt;"Q"))))</f>
        <v/>
      </c>
    </row>
    <row r="656" spans="11:18" x14ac:dyDescent="0.3">
      <c r="K656" s="28" t="str">
        <f>IF($A656="","",VLOOKUP('Input Sheet'!$D$2 &amp; " " &amp; $A656,Pop[#All],4,FALSE))</f>
        <v/>
      </c>
      <c r="L656" s="5" t="str">
        <f t="shared" ref="L656:L719" si="37">IFERROR(IF($A656="","",ROUND($J656/$K656,2)),"")</f>
        <v/>
      </c>
      <c r="M656" s="7" t="str">
        <f t="shared" ca="1" si="36"/>
        <v/>
      </c>
      <c r="N656" s="17" t="str">
        <f>IF(OR($A656="",$A656="Grand Total"),IF($A656="Grand Total",SUM($N$15:$N655),""),SUMPRODUCT((Table1[County]=SummaryPage!$A656)*(Table1[Status]&lt;&gt;"Complete")))</f>
        <v/>
      </c>
      <c r="O656" s="6" t="str">
        <f ca="1">IF($A656="Grand Total",SUM(INDIRECT(ADDRESS(1,COLUMN())&amp;":"&amp;ADDRESS(ROW()-1,COLUMN()))),IF(OR($A656="State Agencies",IFERROR(AND($L656&gt;='Input Sheet'!$J$2,$A656&lt;&gt;""),0)),$J656,""))</f>
        <v/>
      </c>
      <c r="P656" s="3" t="str">
        <f>IF(OR($A656="",$A656="Grand Total"),"",IF(IFERROR(ROUND($J656/$K656,2),1000)&gt;='Input Sheet'!$J$2,1,""))</f>
        <v/>
      </c>
      <c r="Q656" s="3" t="str">
        <f t="shared" ref="Q656:Q719" si="38">IFERROR($L656*$P656,"")</f>
        <v/>
      </c>
      <c r="R656" s="3" t="str">
        <f>IF(OR($A656="",$A656="Grand Total"),"",AND($J656=0,(SUMPRODUCT((Table1[County]=SummaryPage!$A656)*(Table1[Status]="Not Started"))+SUMPRODUCT((Table1[County]=SummaryPage!$A656)*(Table1[Status]="")))=SUMPRODUCT((Table1[County]=SummaryPage!$A656)*(Table1[Status]&lt;&gt;"Q"))))</f>
        <v/>
      </c>
    </row>
    <row r="657" spans="11:18" x14ac:dyDescent="0.3">
      <c r="K657" s="28" t="str">
        <f>IF($A657="","",VLOOKUP('Input Sheet'!$D$2 &amp; " " &amp; $A657,Pop[#All],4,FALSE))</f>
        <v/>
      </c>
      <c r="L657" s="5" t="str">
        <f t="shared" si="37"/>
        <v/>
      </c>
      <c r="M657" s="7" t="str">
        <f t="shared" ca="1" si="36"/>
        <v/>
      </c>
      <c r="N657" s="17" t="str">
        <f>IF(OR($A657="",$A657="Grand Total"),IF($A657="Grand Total",SUM($N$15:$N656),""),SUMPRODUCT((Table1[County]=SummaryPage!$A657)*(Table1[Status]&lt;&gt;"Complete")))</f>
        <v/>
      </c>
      <c r="O657" s="6" t="str">
        <f ca="1">IF($A657="Grand Total",SUM(INDIRECT(ADDRESS(1,COLUMN())&amp;":"&amp;ADDRESS(ROW()-1,COLUMN()))),IF(OR($A657="State Agencies",IFERROR(AND($L657&gt;='Input Sheet'!$J$2,$A657&lt;&gt;""),0)),$J657,""))</f>
        <v/>
      </c>
      <c r="P657" s="3" t="str">
        <f>IF(OR($A657="",$A657="Grand Total"),"",IF(IFERROR(ROUND($J657/$K657,2),1000)&gt;='Input Sheet'!$J$2,1,""))</f>
        <v/>
      </c>
      <c r="Q657" s="3" t="str">
        <f t="shared" si="38"/>
        <v/>
      </c>
      <c r="R657" s="3" t="str">
        <f>IF(OR($A657="",$A657="Grand Total"),"",AND($J657=0,(SUMPRODUCT((Table1[County]=SummaryPage!$A657)*(Table1[Status]="Not Started"))+SUMPRODUCT((Table1[County]=SummaryPage!$A657)*(Table1[Status]="")))=SUMPRODUCT((Table1[County]=SummaryPage!$A657)*(Table1[Status]&lt;&gt;"Q"))))</f>
        <v/>
      </c>
    </row>
    <row r="658" spans="11:18" x14ac:dyDescent="0.3">
      <c r="K658" s="28" t="str">
        <f>IF($A658="","",VLOOKUP('Input Sheet'!$D$2 &amp; " " &amp; $A658,Pop[#All],4,FALSE))</f>
        <v/>
      </c>
      <c r="L658" s="5" t="str">
        <f t="shared" si="37"/>
        <v/>
      </c>
      <c r="M658" s="7" t="str">
        <f t="shared" ca="1" si="36"/>
        <v/>
      </c>
      <c r="N658" s="17" t="str">
        <f>IF(OR($A658="",$A658="Grand Total"),IF($A658="Grand Total",SUM($N$15:$N657),""),SUMPRODUCT((Table1[County]=SummaryPage!$A658)*(Table1[Status]&lt;&gt;"Complete")))</f>
        <v/>
      </c>
      <c r="O658" s="6" t="str">
        <f ca="1">IF($A658="Grand Total",SUM(INDIRECT(ADDRESS(1,COLUMN())&amp;":"&amp;ADDRESS(ROW()-1,COLUMN()))),IF(OR($A658="State Agencies",IFERROR(AND($L658&gt;='Input Sheet'!$J$2,$A658&lt;&gt;""),0)),$J658,""))</f>
        <v/>
      </c>
      <c r="P658" s="3" t="str">
        <f>IF(OR($A658="",$A658="Grand Total"),"",IF(IFERROR(ROUND($J658/$K658,2),1000)&gt;='Input Sheet'!$J$2,1,""))</f>
        <v/>
      </c>
      <c r="Q658" s="3" t="str">
        <f t="shared" si="38"/>
        <v/>
      </c>
      <c r="R658" s="3" t="str">
        <f>IF(OR($A658="",$A658="Grand Total"),"",AND($J658=0,(SUMPRODUCT((Table1[County]=SummaryPage!$A658)*(Table1[Status]="Not Started"))+SUMPRODUCT((Table1[County]=SummaryPage!$A658)*(Table1[Status]="")))=SUMPRODUCT((Table1[County]=SummaryPage!$A658)*(Table1[Status]&lt;&gt;"Q"))))</f>
        <v/>
      </c>
    </row>
    <row r="659" spans="11:18" x14ac:dyDescent="0.3">
      <c r="K659" s="28" t="str">
        <f>IF($A659="","",VLOOKUP('Input Sheet'!$D$2 &amp; " " &amp; $A659,Pop[#All],4,FALSE))</f>
        <v/>
      </c>
      <c r="L659" s="5" t="str">
        <f t="shared" si="37"/>
        <v/>
      </c>
      <c r="M659" s="7" t="str">
        <f t="shared" ca="1" si="36"/>
        <v/>
      </c>
      <c r="N659" s="17" t="str">
        <f>IF(OR($A659="",$A659="Grand Total"),IF($A659="Grand Total",SUM($N$15:$N658),""),SUMPRODUCT((Table1[County]=SummaryPage!$A659)*(Table1[Status]&lt;&gt;"Complete")))</f>
        <v/>
      </c>
      <c r="O659" s="6" t="str">
        <f ca="1">IF($A659="Grand Total",SUM(INDIRECT(ADDRESS(1,COLUMN())&amp;":"&amp;ADDRESS(ROW()-1,COLUMN()))),IF(OR($A659="State Agencies",IFERROR(AND($L659&gt;='Input Sheet'!$J$2,$A659&lt;&gt;""),0)),$J659,""))</f>
        <v/>
      </c>
      <c r="P659" s="3" t="str">
        <f>IF(OR($A659="",$A659="Grand Total"),"",IF(IFERROR(ROUND($J659/$K659,2),1000)&gt;='Input Sheet'!$J$2,1,""))</f>
        <v/>
      </c>
      <c r="Q659" s="3" t="str">
        <f t="shared" si="38"/>
        <v/>
      </c>
      <c r="R659" s="3" t="str">
        <f>IF(OR($A659="",$A659="Grand Total"),"",AND($J659=0,(SUMPRODUCT((Table1[County]=SummaryPage!$A659)*(Table1[Status]="Not Started"))+SUMPRODUCT((Table1[County]=SummaryPage!$A659)*(Table1[Status]="")))=SUMPRODUCT((Table1[County]=SummaryPage!$A659)*(Table1[Status]&lt;&gt;"Q"))))</f>
        <v/>
      </c>
    </row>
    <row r="660" spans="11:18" x14ac:dyDescent="0.3">
      <c r="K660" s="28" t="str">
        <f>IF($A660="","",VLOOKUP('Input Sheet'!$D$2 &amp; " " &amp; $A660,Pop[#All],4,FALSE))</f>
        <v/>
      </c>
      <c r="L660" s="5" t="str">
        <f t="shared" si="37"/>
        <v/>
      </c>
      <c r="M660" s="7" t="str">
        <f t="shared" ca="1" si="36"/>
        <v/>
      </c>
      <c r="N660" s="17" t="str">
        <f>IF(OR($A660="",$A660="Grand Total"),IF($A660="Grand Total",SUM($N$15:$N659),""),SUMPRODUCT((Table1[County]=SummaryPage!$A660)*(Table1[Status]&lt;&gt;"Complete")))</f>
        <v/>
      </c>
      <c r="O660" s="6" t="str">
        <f ca="1">IF($A660="Grand Total",SUM(INDIRECT(ADDRESS(1,COLUMN())&amp;":"&amp;ADDRESS(ROW()-1,COLUMN()))),IF(OR($A660="State Agencies",IFERROR(AND($L660&gt;='Input Sheet'!$J$2,$A660&lt;&gt;""),0)),$J660,""))</f>
        <v/>
      </c>
      <c r="P660" s="3" t="str">
        <f>IF(OR($A660="",$A660="Grand Total"),"",IF(IFERROR(ROUND($J660/$K660,2),1000)&gt;='Input Sheet'!$J$2,1,""))</f>
        <v/>
      </c>
      <c r="Q660" s="3" t="str">
        <f t="shared" si="38"/>
        <v/>
      </c>
      <c r="R660" s="3" t="str">
        <f>IF(OR($A660="",$A660="Grand Total"),"",AND($J660=0,(SUMPRODUCT((Table1[County]=SummaryPage!$A660)*(Table1[Status]="Not Started"))+SUMPRODUCT((Table1[County]=SummaryPage!$A660)*(Table1[Status]="")))=SUMPRODUCT((Table1[County]=SummaryPage!$A660)*(Table1[Status]&lt;&gt;"Q"))))</f>
        <v/>
      </c>
    </row>
    <row r="661" spans="11:18" x14ac:dyDescent="0.3">
      <c r="K661" s="28" t="str">
        <f>IF($A661="","",VLOOKUP('Input Sheet'!$D$2 &amp; " " &amp; $A661,Pop[#All],4,FALSE))</f>
        <v/>
      </c>
      <c r="L661" s="5" t="str">
        <f t="shared" si="37"/>
        <v/>
      </c>
      <c r="M661" s="7" t="str">
        <f t="shared" ca="1" si="36"/>
        <v/>
      </c>
      <c r="N661" s="17" t="str">
        <f>IF(OR($A661="",$A661="Grand Total"),IF($A661="Grand Total",SUM($N$15:$N660),""),SUMPRODUCT((Table1[County]=SummaryPage!$A661)*(Table1[Status]&lt;&gt;"Complete")))</f>
        <v/>
      </c>
      <c r="O661" s="6" t="str">
        <f ca="1">IF($A661="Grand Total",SUM(INDIRECT(ADDRESS(1,COLUMN())&amp;":"&amp;ADDRESS(ROW()-1,COLUMN()))),IF(OR($A661="State Agencies",IFERROR(AND($L661&gt;='Input Sheet'!$J$2,$A661&lt;&gt;""),0)),$J661,""))</f>
        <v/>
      </c>
      <c r="P661" s="3" t="str">
        <f>IF(OR($A661="",$A661="Grand Total"),"",IF(IFERROR(ROUND($J661/$K661,2),1000)&gt;='Input Sheet'!$J$2,1,""))</f>
        <v/>
      </c>
      <c r="Q661" s="3" t="str">
        <f t="shared" si="38"/>
        <v/>
      </c>
      <c r="R661" s="3" t="str">
        <f>IF(OR($A661="",$A661="Grand Total"),"",AND($J661=0,(SUMPRODUCT((Table1[County]=SummaryPage!$A661)*(Table1[Status]="Not Started"))+SUMPRODUCT((Table1[County]=SummaryPage!$A661)*(Table1[Status]="")))=SUMPRODUCT((Table1[County]=SummaryPage!$A661)*(Table1[Status]&lt;&gt;"Q"))))</f>
        <v/>
      </c>
    </row>
    <row r="662" spans="11:18" x14ac:dyDescent="0.3">
      <c r="K662" s="28" t="str">
        <f>IF($A662="","",VLOOKUP('Input Sheet'!$D$2 &amp; " " &amp; $A662,Pop[#All],4,FALSE))</f>
        <v/>
      </c>
      <c r="L662" s="5" t="str">
        <f t="shared" si="37"/>
        <v/>
      </c>
      <c r="M662" s="7" t="str">
        <f t="shared" ca="1" si="36"/>
        <v/>
      </c>
      <c r="N662" s="17" t="str">
        <f>IF(OR($A662="",$A662="Grand Total"),IF($A662="Grand Total",SUM($N$15:$N661),""),SUMPRODUCT((Table1[County]=SummaryPage!$A662)*(Table1[Status]&lt;&gt;"Complete")))</f>
        <v/>
      </c>
      <c r="O662" s="6" t="str">
        <f ca="1">IF($A662="Grand Total",SUM(INDIRECT(ADDRESS(1,COLUMN())&amp;":"&amp;ADDRESS(ROW()-1,COLUMN()))),IF(OR($A662="State Agencies",IFERROR(AND($L662&gt;='Input Sheet'!$J$2,$A662&lt;&gt;""),0)),$J662,""))</f>
        <v/>
      </c>
      <c r="P662" s="3" t="str">
        <f>IF(OR($A662="",$A662="Grand Total"),"",IF(IFERROR(ROUND($J662/$K662,2),1000)&gt;='Input Sheet'!$J$2,1,""))</f>
        <v/>
      </c>
      <c r="Q662" s="3" t="str">
        <f t="shared" si="38"/>
        <v/>
      </c>
      <c r="R662" s="3" t="str">
        <f>IF(OR($A662="",$A662="Grand Total"),"",AND($J662=0,(SUMPRODUCT((Table1[County]=SummaryPage!$A662)*(Table1[Status]="Not Started"))+SUMPRODUCT((Table1[County]=SummaryPage!$A662)*(Table1[Status]="")))=SUMPRODUCT((Table1[County]=SummaryPage!$A662)*(Table1[Status]&lt;&gt;"Q"))))</f>
        <v/>
      </c>
    </row>
    <row r="663" spans="11:18" x14ac:dyDescent="0.3">
      <c r="K663" s="28" t="str">
        <f>IF($A663="","",VLOOKUP('Input Sheet'!$D$2 &amp; " " &amp; $A663,Pop[#All],4,FALSE))</f>
        <v/>
      </c>
      <c r="L663" s="5" t="str">
        <f t="shared" si="37"/>
        <v/>
      </c>
      <c r="M663" s="7" t="str">
        <f t="shared" ca="1" si="36"/>
        <v/>
      </c>
      <c r="N663" s="17" t="str">
        <f>IF(OR($A663="",$A663="Grand Total"),IF($A663="Grand Total",SUM($N$15:$N662),""),SUMPRODUCT((Table1[County]=SummaryPage!$A663)*(Table1[Status]&lt;&gt;"Complete")))</f>
        <v/>
      </c>
      <c r="O663" s="6" t="str">
        <f ca="1">IF($A663="Grand Total",SUM(INDIRECT(ADDRESS(1,COLUMN())&amp;":"&amp;ADDRESS(ROW()-1,COLUMN()))),IF(OR($A663="State Agencies",IFERROR(AND($L663&gt;='Input Sheet'!$J$2,$A663&lt;&gt;""),0)),$J663,""))</f>
        <v/>
      </c>
      <c r="P663" s="3" t="str">
        <f>IF(OR($A663="",$A663="Grand Total"),"",IF(IFERROR(ROUND($J663/$K663,2),1000)&gt;='Input Sheet'!$J$2,1,""))</f>
        <v/>
      </c>
      <c r="Q663" s="3" t="str">
        <f t="shared" si="38"/>
        <v/>
      </c>
      <c r="R663" s="3" t="str">
        <f>IF(OR($A663="",$A663="Grand Total"),"",AND($J663=0,(SUMPRODUCT((Table1[County]=SummaryPage!$A663)*(Table1[Status]="Not Started"))+SUMPRODUCT((Table1[County]=SummaryPage!$A663)*(Table1[Status]="")))=SUMPRODUCT((Table1[County]=SummaryPage!$A663)*(Table1[Status]&lt;&gt;"Q"))))</f>
        <v/>
      </c>
    </row>
    <row r="664" spans="11:18" x14ac:dyDescent="0.3">
      <c r="K664" s="28" t="str">
        <f>IF($A664="","",VLOOKUP('Input Sheet'!$D$2 &amp; " " &amp; $A664,Pop[#All],4,FALSE))</f>
        <v/>
      </c>
      <c r="L664" s="5" t="str">
        <f t="shared" si="37"/>
        <v/>
      </c>
      <c r="M664" s="7" t="str">
        <f t="shared" ca="1" si="36"/>
        <v/>
      </c>
      <c r="N664" s="17" t="str">
        <f>IF(OR($A664="",$A664="Grand Total"),IF($A664="Grand Total",SUM($N$15:$N663),""),SUMPRODUCT((Table1[County]=SummaryPage!$A664)*(Table1[Status]&lt;&gt;"Complete")))</f>
        <v/>
      </c>
      <c r="O664" s="6" t="str">
        <f ca="1">IF($A664="Grand Total",SUM(INDIRECT(ADDRESS(1,COLUMN())&amp;":"&amp;ADDRESS(ROW()-1,COLUMN()))),IF(OR($A664="State Agencies",IFERROR(AND($L664&gt;='Input Sheet'!$J$2,$A664&lt;&gt;""),0)),$J664,""))</f>
        <v/>
      </c>
      <c r="P664" s="3" t="str">
        <f>IF(OR($A664="",$A664="Grand Total"),"",IF(IFERROR(ROUND($J664/$K664,2),1000)&gt;='Input Sheet'!$J$2,1,""))</f>
        <v/>
      </c>
      <c r="Q664" s="3" t="str">
        <f t="shared" si="38"/>
        <v/>
      </c>
      <c r="R664" s="3" t="str">
        <f>IF(OR($A664="",$A664="Grand Total"),"",AND($J664=0,(SUMPRODUCT((Table1[County]=SummaryPage!$A664)*(Table1[Status]="Not Started"))+SUMPRODUCT((Table1[County]=SummaryPage!$A664)*(Table1[Status]="")))=SUMPRODUCT((Table1[County]=SummaryPage!$A664)*(Table1[Status]&lt;&gt;"Q"))))</f>
        <v/>
      </c>
    </row>
    <row r="665" spans="11:18" x14ac:dyDescent="0.3">
      <c r="K665" s="28" t="str">
        <f>IF($A665="","",VLOOKUP('Input Sheet'!$D$2 &amp; " " &amp; $A665,Pop[#All],4,FALSE))</f>
        <v/>
      </c>
      <c r="L665" s="5" t="str">
        <f t="shared" si="37"/>
        <v/>
      </c>
      <c r="M665" s="7" t="str">
        <f t="shared" ca="1" si="36"/>
        <v/>
      </c>
      <c r="N665" s="17" t="str">
        <f>IF(OR($A665="",$A665="Grand Total"),IF($A665="Grand Total",SUM($N$15:$N664),""),SUMPRODUCT((Table1[County]=SummaryPage!$A665)*(Table1[Status]&lt;&gt;"Complete")))</f>
        <v/>
      </c>
      <c r="O665" s="6" t="str">
        <f ca="1">IF($A665="Grand Total",SUM(INDIRECT(ADDRESS(1,COLUMN())&amp;":"&amp;ADDRESS(ROW()-1,COLUMN()))),IF(OR($A665="State Agencies",IFERROR(AND($L665&gt;='Input Sheet'!$J$2,$A665&lt;&gt;""),0)),$J665,""))</f>
        <v/>
      </c>
      <c r="P665" s="3" t="str">
        <f>IF(OR($A665="",$A665="Grand Total"),"",IF(IFERROR(ROUND($J665/$K665,2),1000)&gt;='Input Sheet'!$J$2,1,""))</f>
        <v/>
      </c>
      <c r="Q665" s="3" t="str">
        <f t="shared" si="38"/>
        <v/>
      </c>
      <c r="R665" s="3" t="str">
        <f>IF(OR($A665="",$A665="Grand Total"),"",AND($J665=0,(SUMPRODUCT((Table1[County]=SummaryPage!$A665)*(Table1[Status]="Not Started"))+SUMPRODUCT((Table1[County]=SummaryPage!$A665)*(Table1[Status]="")))=SUMPRODUCT((Table1[County]=SummaryPage!$A665)*(Table1[Status]&lt;&gt;"Q"))))</f>
        <v/>
      </c>
    </row>
    <row r="666" spans="11:18" x14ac:dyDescent="0.3">
      <c r="K666" s="28" t="str">
        <f>IF($A666="","",VLOOKUP('Input Sheet'!$D$2 &amp; " " &amp; $A666,Pop[#All],4,FALSE))</f>
        <v/>
      </c>
      <c r="L666" s="5" t="str">
        <f t="shared" si="37"/>
        <v/>
      </c>
      <c r="M666" s="7" t="str">
        <f t="shared" ca="1" si="36"/>
        <v/>
      </c>
      <c r="N666" s="17" t="str">
        <f>IF(OR($A666="",$A666="Grand Total"),IF($A666="Grand Total",SUM($N$15:$N665),""),SUMPRODUCT((Table1[County]=SummaryPage!$A666)*(Table1[Status]&lt;&gt;"Complete")))</f>
        <v/>
      </c>
      <c r="O666" s="6" t="str">
        <f ca="1">IF($A666="Grand Total",SUM(INDIRECT(ADDRESS(1,COLUMN())&amp;":"&amp;ADDRESS(ROW()-1,COLUMN()))),IF(OR($A666="State Agencies",IFERROR(AND($L666&gt;='Input Sheet'!$J$2,$A666&lt;&gt;""),0)),$J666,""))</f>
        <v/>
      </c>
      <c r="P666" s="3" t="str">
        <f>IF(OR($A666="",$A666="Grand Total"),"",IF(IFERROR(ROUND($J666/$K666,2),1000)&gt;='Input Sheet'!$J$2,1,""))</f>
        <v/>
      </c>
      <c r="Q666" s="3" t="str">
        <f t="shared" si="38"/>
        <v/>
      </c>
      <c r="R666" s="3" t="str">
        <f>IF(OR($A666="",$A666="Grand Total"),"",AND($J666=0,(SUMPRODUCT((Table1[County]=SummaryPage!$A666)*(Table1[Status]="Not Started"))+SUMPRODUCT((Table1[County]=SummaryPage!$A666)*(Table1[Status]="")))=SUMPRODUCT((Table1[County]=SummaryPage!$A666)*(Table1[Status]&lt;&gt;"Q"))))</f>
        <v/>
      </c>
    </row>
    <row r="667" spans="11:18" x14ac:dyDescent="0.3">
      <c r="K667" s="28" t="str">
        <f>IF($A667="","",VLOOKUP('Input Sheet'!$D$2 &amp; " " &amp; $A667,Pop[#All],4,FALSE))</f>
        <v/>
      </c>
      <c r="L667" s="5" t="str">
        <f t="shared" si="37"/>
        <v/>
      </c>
      <c r="M667" s="7" t="str">
        <f t="shared" ca="1" si="36"/>
        <v/>
      </c>
      <c r="N667" s="17" t="str">
        <f>IF(OR($A667="",$A667="Grand Total"),IF($A667="Grand Total",SUM($N$15:$N666),""),SUMPRODUCT((Table1[County]=SummaryPage!$A667)*(Table1[Status]&lt;&gt;"Complete")))</f>
        <v/>
      </c>
      <c r="O667" s="6" t="str">
        <f ca="1">IF($A667="Grand Total",SUM(INDIRECT(ADDRESS(1,COLUMN())&amp;":"&amp;ADDRESS(ROW()-1,COLUMN()))),IF(OR($A667="State Agencies",IFERROR(AND($L667&gt;='Input Sheet'!$J$2,$A667&lt;&gt;""),0)),$J667,""))</f>
        <v/>
      </c>
      <c r="P667" s="3" t="str">
        <f>IF(OR($A667="",$A667="Grand Total"),"",IF(IFERROR(ROUND($J667/$K667,2),1000)&gt;='Input Sheet'!$J$2,1,""))</f>
        <v/>
      </c>
      <c r="Q667" s="3" t="str">
        <f t="shared" si="38"/>
        <v/>
      </c>
      <c r="R667" s="3" t="str">
        <f>IF(OR($A667="",$A667="Grand Total"),"",AND($J667=0,(SUMPRODUCT((Table1[County]=SummaryPage!$A667)*(Table1[Status]="Not Started"))+SUMPRODUCT((Table1[County]=SummaryPage!$A667)*(Table1[Status]="")))=SUMPRODUCT((Table1[County]=SummaryPage!$A667)*(Table1[Status]&lt;&gt;"Q"))))</f>
        <v/>
      </c>
    </row>
    <row r="668" spans="11:18" x14ac:dyDescent="0.3">
      <c r="K668" s="28" t="str">
        <f>IF($A668="","",VLOOKUP('Input Sheet'!$D$2 &amp; " " &amp; $A668,Pop[#All],4,FALSE))</f>
        <v/>
      </c>
      <c r="L668" s="5" t="str">
        <f t="shared" si="37"/>
        <v/>
      </c>
      <c r="M668" s="7" t="str">
        <f t="shared" ca="1" si="36"/>
        <v/>
      </c>
      <c r="N668" s="17" t="str">
        <f>IF(OR($A668="",$A668="Grand Total"),IF($A668="Grand Total",SUM($N$15:$N667),""),SUMPRODUCT((Table1[County]=SummaryPage!$A668)*(Table1[Status]&lt;&gt;"Complete")))</f>
        <v/>
      </c>
      <c r="O668" s="6" t="str">
        <f ca="1">IF($A668="Grand Total",SUM(INDIRECT(ADDRESS(1,COLUMN())&amp;":"&amp;ADDRESS(ROW()-1,COLUMN()))),IF(OR($A668="State Agencies",IFERROR(AND($L668&gt;='Input Sheet'!$J$2,$A668&lt;&gt;""),0)),$J668,""))</f>
        <v/>
      </c>
      <c r="P668" s="3" t="str">
        <f>IF(OR($A668="",$A668="Grand Total"),"",IF(IFERROR(ROUND($J668/$K668,2),1000)&gt;='Input Sheet'!$J$2,1,""))</f>
        <v/>
      </c>
      <c r="Q668" s="3" t="str">
        <f t="shared" si="38"/>
        <v/>
      </c>
      <c r="R668" s="3" t="str">
        <f>IF(OR($A668="",$A668="Grand Total"),"",AND($J668=0,(SUMPRODUCT((Table1[County]=SummaryPage!$A668)*(Table1[Status]="Not Started"))+SUMPRODUCT((Table1[County]=SummaryPage!$A668)*(Table1[Status]="")))=SUMPRODUCT((Table1[County]=SummaryPage!$A668)*(Table1[Status]&lt;&gt;"Q"))))</f>
        <v/>
      </c>
    </row>
    <row r="669" spans="11:18" x14ac:dyDescent="0.3">
      <c r="K669" s="28" t="str">
        <f>IF($A669="","",VLOOKUP('Input Sheet'!$D$2 &amp; " " &amp; $A669,Pop[#All],4,FALSE))</f>
        <v/>
      </c>
      <c r="L669" s="5" t="str">
        <f t="shared" si="37"/>
        <v/>
      </c>
      <c r="M669" s="7" t="str">
        <f t="shared" ca="1" si="36"/>
        <v/>
      </c>
      <c r="N669" s="17" t="str">
        <f>IF(OR($A669="",$A669="Grand Total"),IF($A669="Grand Total",SUM($N$15:$N668),""),SUMPRODUCT((Table1[County]=SummaryPage!$A669)*(Table1[Status]&lt;&gt;"Complete")))</f>
        <v/>
      </c>
      <c r="O669" s="6" t="str">
        <f ca="1">IF($A669="Grand Total",SUM(INDIRECT(ADDRESS(1,COLUMN())&amp;":"&amp;ADDRESS(ROW()-1,COLUMN()))),IF(OR($A669="State Agencies",IFERROR(AND($L669&gt;='Input Sheet'!$J$2,$A669&lt;&gt;""),0)),$J669,""))</f>
        <v/>
      </c>
      <c r="P669" s="3" t="str">
        <f>IF(OR($A669="",$A669="Grand Total"),"",IF(IFERROR(ROUND($J669/$K669,2),1000)&gt;='Input Sheet'!$J$2,1,""))</f>
        <v/>
      </c>
      <c r="Q669" s="3" t="str">
        <f t="shared" si="38"/>
        <v/>
      </c>
      <c r="R669" s="3" t="str">
        <f>IF(OR($A669="",$A669="Grand Total"),"",AND($J669=0,(SUMPRODUCT((Table1[County]=SummaryPage!$A669)*(Table1[Status]="Not Started"))+SUMPRODUCT((Table1[County]=SummaryPage!$A669)*(Table1[Status]="")))=SUMPRODUCT((Table1[County]=SummaryPage!$A669)*(Table1[Status]&lt;&gt;"Q"))))</f>
        <v/>
      </c>
    </row>
    <row r="670" spans="11:18" x14ac:dyDescent="0.3">
      <c r="K670" s="28" t="str">
        <f>IF($A670="","",VLOOKUP('Input Sheet'!$D$2 &amp; " " &amp; $A670,Pop[#All],4,FALSE))</f>
        <v/>
      </c>
      <c r="L670" s="5" t="str">
        <f t="shared" si="37"/>
        <v/>
      </c>
      <c r="M670" s="7" t="str">
        <f t="shared" ca="1" si="36"/>
        <v/>
      </c>
      <c r="N670" s="17" t="str">
        <f>IF(OR($A670="",$A670="Grand Total"),IF($A670="Grand Total",SUM($N$15:$N669),""),SUMPRODUCT((Table1[County]=SummaryPage!$A670)*(Table1[Status]&lt;&gt;"Complete")))</f>
        <v/>
      </c>
      <c r="O670" s="6" t="str">
        <f ca="1">IF($A670="Grand Total",SUM(INDIRECT(ADDRESS(1,COLUMN())&amp;":"&amp;ADDRESS(ROW()-1,COLUMN()))),IF(OR($A670="State Agencies",IFERROR(AND($L670&gt;='Input Sheet'!$J$2,$A670&lt;&gt;""),0)),$J670,""))</f>
        <v/>
      </c>
      <c r="P670" s="3" t="str">
        <f>IF(OR($A670="",$A670="Grand Total"),"",IF(IFERROR(ROUND($J670/$K670,2),1000)&gt;='Input Sheet'!$J$2,1,""))</f>
        <v/>
      </c>
      <c r="Q670" s="3" t="str">
        <f t="shared" si="38"/>
        <v/>
      </c>
      <c r="R670" s="3" t="str">
        <f>IF(OR($A670="",$A670="Grand Total"),"",AND($J670=0,(SUMPRODUCT((Table1[County]=SummaryPage!$A670)*(Table1[Status]="Not Started"))+SUMPRODUCT((Table1[County]=SummaryPage!$A670)*(Table1[Status]="")))=SUMPRODUCT((Table1[County]=SummaryPage!$A670)*(Table1[Status]&lt;&gt;"Q"))))</f>
        <v/>
      </c>
    </row>
    <row r="671" spans="11:18" x14ac:dyDescent="0.3">
      <c r="K671" s="28" t="str">
        <f>IF($A671="","",VLOOKUP('Input Sheet'!$D$2 &amp; " " &amp; $A671,Pop[#All],4,FALSE))</f>
        <v/>
      </c>
      <c r="L671" s="5" t="str">
        <f t="shared" si="37"/>
        <v/>
      </c>
      <c r="M671" s="7" t="str">
        <f t="shared" ca="1" si="36"/>
        <v/>
      </c>
      <c r="N671" s="17" t="str">
        <f>IF(OR($A671="",$A671="Grand Total"),IF($A671="Grand Total",SUM($N$15:$N670),""),SUMPRODUCT((Table1[County]=SummaryPage!$A671)*(Table1[Status]&lt;&gt;"Complete")))</f>
        <v/>
      </c>
      <c r="O671" s="6" t="str">
        <f ca="1">IF($A671="Grand Total",SUM(INDIRECT(ADDRESS(1,COLUMN())&amp;":"&amp;ADDRESS(ROW()-1,COLUMN()))),IF(OR($A671="State Agencies",IFERROR(AND($L671&gt;='Input Sheet'!$J$2,$A671&lt;&gt;""),0)),$J671,""))</f>
        <v/>
      </c>
      <c r="P671" s="3" t="str">
        <f>IF(OR($A671="",$A671="Grand Total"),"",IF(IFERROR(ROUND($J671/$K671,2),1000)&gt;='Input Sheet'!$J$2,1,""))</f>
        <v/>
      </c>
      <c r="Q671" s="3" t="str">
        <f t="shared" si="38"/>
        <v/>
      </c>
      <c r="R671" s="3" t="str">
        <f>IF(OR($A671="",$A671="Grand Total"),"",AND($J671=0,(SUMPRODUCT((Table1[County]=SummaryPage!$A671)*(Table1[Status]="Not Started"))+SUMPRODUCT((Table1[County]=SummaryPage!$A671)*(Table1[Status]="")))=SUMPRODUCT((Table1[County]=SummaryPage!$A671)*(Table1[Status]&lt;&gt;"Q"))))</f>
        <v/>
      </c>
    </row>
    <row r="672" spans="11:18" x14ac:dyDescent="0.3">
      <c r="K672" s="28" t="str">
        <f>IF($A672="","",VLOOKUP('Input Sheet'!$D$2 &amp; " " &amp; $A672,Pop[#All],4,FALSE))</f>
        <v/>
      </c>
      <c r="L672" s="5" t="str">
        <f t="shared" si="37"/>
        <v/>
      </c>
      <c r="M672" s="7" t="str">
        <f t="shared" ca="1" si="36"/>
        <v/>
      </c>
      <c r="N672" s="17" t="str">
        <f>IF(OR($A672="",$A672="Grand Total"),IF($A672="Grand Total",SUM($N$15:$N671),""),SUMPRODUCT((Table1[County]=SummaryPage!$A672)*(Table1[Status]&lt;&gt;"Complete")))</f>
        <v/>
      </c>
      <c r="O672" s="6" t="str">
        <f ca="1">IF($A672="Grand Total",SUM(INDIRECT(ADDRESS(1,COLUMN())&amp;":"&amp;ADDRESS(ROW()-1,COLUMN()))),IF(OR($A672="State Agencies",IFERROR(AND($L672&gt;='Input Sheet'!$J$2,$A672&lt;&gt;""),0)),$J672,""))</f>
        <v/>
      </c>
      <c r="P672" s="3" t="str">
        <f>IF(OR($A672="",$A672="Grand Total"),"",IF(IFERROR(ROUND($J672/$K672,2),1000)&gt;='Input Sheet'!$J$2,1,""))</f>
        <v/>
      </c>
      <c r="Q672" s="3" t="str">
        <f t="shared" si="38"/>
        <v/>
      </c>
      <c r="R672" s="3" t="str">
        <f>IF(OR($A672="",$A672="Grand Total"),"",AND($J672=0,(SUMPRODUCT((Table1[County]=SummaryPage!$A672)*(Table1[Status]="Not Started"))+SUMPRODUCT((Table1[County]=SummaryPage!$A672)*(Table1[Status]="")))=SUMPRODUCT((Table1[County]=SummaryPage!$A672)*(Table1[Status]&lt;&gt;"Q"))))</f>
        <v/>
      </c>
    </row>
    <row r="673" spans="11:18" x14ac:dyDescent="0.3">
      <c r="K673" s="28" t="str">
        <f>IF($A673="","",VLOOKUP('Input Sheet'!$D$2 &amp; " " &amp; $A673,Pop[#All],4,FALSE))</f>
        <v/>
      </c>
      <c r="L673" s="5" t="str">
        <f t="shared" si="37"/>
        <v/>
      </c>
      <c r="M673" s="7" t="str">
        <f t="shared" ca="1" si="36"/>
        <v/>
      </c>
      <c r="N673" s="17" t="str">
        <f>IF(OR($A673="",$A673="Grand Total"),IF($A673="Grand Total",SUM($N$15:$N672),""),SUMPRODUCT((Table1[County]=SummaryPage!$A673)*(Table1[Status]&lt;&gt;"Complete")))</f>
        <v/>
      </c>
      <c r="O673" s="6" t="str">
        <f ca="1">IF($A673="Grand Total",SUM(INDIRECT(ADDRESS(1,COLUMN())&amp;":"&amp;ADDRESS(ROW()-1,COLUMN()))),IF(OR($A673="State Agencies",IFERROR(AND($L673&gt;='Input Sheet'!$J$2,$A673&lt;&gt;""),0)),$J673,""))</f>
        <v/>
      </c>
      <c r="P673" s="3" t="str">
        <f>IF(OR($A673="",$A673="Grand Total"),"",IF(IFERROR(ROUND($J673/$K673,2),1000)&gt;='Input Sheet'!$J$2,1,""))</f>
        <v/>
      </c>
      <c r="Q673" s="3" t="str">
        <f t="shared" si="38"/>
        <v/>
      </c>
      <c r="R673" s="3" t="str">
        <f>IF(OR($A673="",$A673="Grand Total"),"",AND($J673=0,(SUMPRODUCT((Table1[County]=SummaryPage!$A673)*(Table1[Status]="Not Started"))+SUMPRODUCT((Table1[County]=SummaryPage!$A673)*(Table1[Status]="")))=SUMPRODUCT((Table1[County]=SummaryPage!$A673)*(Table1[Status]&lt;&gt;"Q"))))</f>
        <v/>
      </c>
    </row>
    <row r="674" spans="11:18" x14ac:dyDescent="0.3">
      <c r="K674" s="28" t="str">
        <f>IF($A674="","",VLOOKUP('Input Sheet'!$D$2 &amp; " " &amp; $A674,Pop[#All],4,FALSE))</f>
        <v/>
      </c>
      <c r="L674" s="5" t="str">
        <f t="shared" si="37"/>
        <v/>
      </c>
      <c r="M674" s="7" t="str">
        <f t="shared" ca="1" si="36"/>
        <v/>
      </c>
      <c r="N674" s="17" t="str">
        <f>IF(OR($A674="",$A674="Grand Total"),IF($A674="Grand Total",SUM($N$15:$N673),""),SUMPRODUCT((Table1[County]=SummaryPage!$A674)*(Table1[Status]&lt;&gt;"Complete")))</f>
        <v/>
      </c>
      <c r="O674" s="6" t="str">
        <f ca="1">IF($A674="Grand Total",SUM(INDIRECT(ADDRESS(1,COLUMN())&amp;":"&amp;ADDRESS(ROW()-1,COLUMN()))),IF(OR($A674="State Agencies",IFERROR(AND($L674&gt;='Input Sheet'!$J$2,$A674&lt;&gt;""),0)),$J674,""))</f>
        <v/>
      </c>
      <c r="P674" s="3" t="str">
        <f>IF(OR($A674="",$A674="Grand Total"),"",IF(IFERROR(ROUND($J674/$K674,2),1000)&gt;='Input Sheet'!$J$2,1,""))</f>
        <v/>
      </c>
      <c r="Q674" s="3" t="str">
        <f t="shared" si="38"/>
        <v/>
      </c>
      <c r="R674" s="3" t="str">
        <f>IF(OR($A674="",$A674="Grand Total"),"",AND($J674=0,(SUMPRODUCT((Table1[County]=SummaryPage!$A674)*(Table1[Status]="Not Started"))+SUMPRODUCT((Table1[County]=SummaryPage!$A674)*(Table1[Status]="")))=SUMPRODUCT((Table1[County]=SummaryPage!$A674)*(Table1[Status]&lt;&gt;"Q"))))</f>
        <v/>
      </c>
    </row>
    <row r="675" spans="11:18" x14ac:dyDescent="0.3">
      <c r="K675" s="28" t="str">
        <f>IF($A675="","",VLOOKUP('Input Sheet'!$D$2 &amp; " " &amp; $A675,Pop[#All],4,FALSE))</f>
        <v/>
      </c>
      <c r="L675" s="5" t="str">
        <f t="shared" si="37"/>
        <v/>
      </c>
      <c r="M675" s="7" t="str">
        <f t="shared" ca="1" si="36"/>
        <v/>
      </c>
      <c r="N675" s="17" t="str">
        <f>IF(OR($A675="",$A675="Grand Total"),IF($A675="Grand Total",SUM($N$15:$N674),""),SUMPRODUCT((Table1[County]=SummaryPage!$A675)*(Table1[Status]&lt;&gt;"Complete")))</f>
        <v/>
      </c>
      <c r="O675" s="6" t="str">
        <f ca="1">IF($A675="Grand Total",SUM(INDIRECT(ADDRESS(1,COLUMN())&amp;":"&amp;ADDRESS(ROW()-1,COLUMN()))),IF(OR($A675="State Agencies",IFERROR(AND($L675&gt;='Input Sheet'!$J$2,$A675&lt;&gt;""),0)),$J675,""))</f>
        <v/>
      </c>
      <c r="P675" s="3" t="str">
        <f>IF(OR($A675="",$A675="Grand Total"),"",IF(IFERROR(ROUND($J675/$K675,2),1000)&gt;='Input Sheet'!$J$2,1,""))</f>
        <v/>
      </c>
      <c r="Q675" s="3" t="str">
        <f t="shared" si="38"/>
        <v/>
      </c>
      <c r="R675" s="3" t="str">
        <f>IF(OR($A675="",$A675="Grand Total"),"",AND($J675=0,(SUMPRODUCT((Table1[County]=SummaryPage!$A675)*(Table1[Status]="Not Started"))+SUMPRODUCT((Table1[County]=SummaryPage!$A675)*(Table1[Status]="")))=SUMPRODUCT((Table1[County]=SummaryPage!$A675)*(Table1[Status]&lt;&gt;"Q"))))</f>
        <v/>
      </c>
    </row>
    <row r="676" spans="11:18" x14ac:dyDescent="0.3">
      <c r="K676" s="28" t="str">
        <f>IF($A676="","",VLOOKUP('Input Sheet'!$D$2 &amp; " " &amp; $A676,Pop[#All],4,FALSE))</f>
        <v/>
      </c>
      <c r="L676" s="5" t="str">
        <f t="shared" si="37"/>
        <v/>
      </c>
      <c r="M676" s="7" t="str">
        <f t="shared" ca="1" si="36"/>
        <v/>
      </c>
      <c r="N676" s="17" t="str">
        <f>IF(OR($A676="",$A676="Grand Total"),IF($A676="Grand Total",SUM($N$15:$N675),""),SUMPRODUCT((Table1[County]=SummaryPage!$A676)*(Table1[Status]&lt;&gt;"Complete")))</f>
        <v/>
      </c>
      <c r="O676" s="6" t="str">
        <f ca="1">IF($A676="Grand Total",SUM(INDIRECT(ADDRESS(1,COLUMN())&amp;":"&amp;ADDRESS(ROW()-1,COLUMN()))),IF(OR($A676="State Agencies",IFERROR(AND($L676&gt;='Input Sheet'!$J$2,$A676&lt;&gt;""),0)),$J676,""))</f>
        <v/>
      </c>
      <c r="P676" s="3" t="str">
        <f>IF(OR($A676="",$A676="Grand Total"),"",IF(IFERROR(ROUND($J676/$K676,2),1000)&gt;='Input Sheet'!$J$2,1,""))</f>
        <v/>
      </c>
      <c r="Q676" s="3" t="str">
        <f t="shared" si="38"/>
        <v/>
      </c>
      <c r="R676" s="3" t="str">
        <f>IF(OR($A676="",$A676="Grand Total"),"",AND($J676=0,(SUMPRODUCT((Table1[County]=SummaryPage!$A676)*(Table1[Status]="Not Started"))+SUMPRODUCT((Table1[County]=SummaryPage!$A676)*(Table1[Status]="")))=SUMPRODUCT((Table1[County]=SummaryPage!$A676)*(Table1[Status]&lt;&gt;"Q"))))</f>
        <v/>
      </c>
    </row>
    <row r="677" spans="11:18" x14ac:dyDescent="0.3">
      <c r="K677" s="28" t="str">
        <f>IF($A677="","",VLOOKUP('Input Sheet'!$D$2 &amp; " " &amp; $A677,Pop[#All],4,FALSE))</f>
        <v/>
      </c>
      <c r="L677" s="5" t="str">
        <f t="shared" si="37"/>
        <v/>
      </c>
      <c r="M677" s="7" t="str">
        <f t="shared" ca="1" si="36"/>
        <v/>
      </c>
      <c r="N677" s="17" t="str">
        <f>IF(OR($A677="",$A677="Grand Total"),IF($A677="Grand Total",SUM($N$15:$N676),""),SUMPRODUCT((Table1[County]=SummaryPage!$A677)*(Table1[Status]&lt;&gt;"Complete")))</f>
        <v/>
      </c>
      <c r="O677" s="6" t="str">
        <f ca="1">IF($A677="Grand Total",SUM(INDIRECT(ADDRESS(1,COLUMN())&amp;":"&amp;ADDRESS(ROW()-1,COLUMN()))),IF(OR($A677="State Agencies",IFERROR(AND($L677&gt;='Input Sheet'!$J$2,$A677&lt;&gt;""),0)),$J677,""))</f>
        <v/>
      </c>
      <c r="P677" s="3" t="str">
        <f>IF(OR($A677="",$A677="Grand Total"),"",IF(IFERROR(ROUND($J677/$K677,2),1000)&gt;='Input Sheet'!$J$2,1,""))</f>
        <v/>
      </c>
      <c r="Q677" s="3" t="str">
        <f t="shared" si="38"/>
        <v/>
      </c>
      <c r="R677" s="3" t="str">
        <f>IF(OR($A677="",$A677="Grand Total"),"",AND($J677=0,(SUMPRODUCT((Table1[County]=SummaryPage!$A677)*(Table1[Status]="Not Started"))+SUMPRODUCT((Table1[County]=SummaryPage!$A677)*(Table1[Status]="")))=SUMPRODUCT((Table1[County]=SummaryPage!$A677)*(Table1[Status]&lt;&gt;"Q"))))</f>
        <v/>
      </c>
    </row>
    <row r="678" spans="11:18" x14ac:dyDescent="0.3">
      <c r="K678" s="28" t="str">
        <f>IF($A678="","",VLOOKUP('Input Sheet'!$D$2 &amp; " " &amp; $A678,Pop[#All],4,FALSE))</f>
        <v/>
      </c>
      <c r="L678" s="5" t="str">
        <f t="shared" si="37"/>
        <v/>
      </c>
      <c r="M678" s="7" t="str">
        <f t="shared" ca="1" si="36"/>
        <v/>
      </c>
      <c r="N678" s="17" t="str">
        <f>IF(OR($A678="",$A678="Grand Total"),IF($A678="Grand Total",SUM($N$15:$N677),""),SUMPRODUCT((Table1[County]=SummaryPage!$A678)*(Table1[Status]&lt;&gt;"Complete")))</f>
        <v/>
      </c>
      <c r="O678" s="6" t="str">
        <f ca="1">IF($A678="Grand Total",SUM(INDIRECT(ADDRESS(1,COLUMN())&amp;":"&amp;ADDRESS(ROW()-1,COLUMN()))),IF(OR($A678="State Agencies",IFERROR(AND($L678&gt;='Input Sheet'!$J$2,$A678&lt;&gt;""),0)),$J678,""))</f>
        <v/>
      </c>
      <c r="P678" s="3" t="str">
        <f>IF(OR($A678="",$A678="Grand Total"),"",IF(IFERROR(ROUND($J678/$K678,2),1000)&gt;='Input Sheet'!$J$2,1,""))</f>
        <v/>
      </c>
      <c r="Q678" s="3" t="str">
        <f t="shared" si="38"/>
        <v/>
      </c>
      <c r="R678" s="3" t="str">
        <f>IF(OR($A678="",$A678="Grand Total"),"",AND($J678=0,(SUMPRODUCT((Table1[County]=SummaryPage!$A678)*(Table1[Status]="Not Started"))+SUMPRODUCT((Table1[County]=SummaryPage!$A678)*(Table1[Status]="")))=SUMPRODUCT((Table1[County]=SummaryPage!$A678)*(Table1[Status]&lt;&gt;"Q"))))</f>
        <v/>
      </c>
    </row>
    <row r="679" spans="11:18" x14ac:dyDescent="0.3">
      <c r="K679" s="28" t="str">
        <f>IF($A679="","",VLOOKUP('Input Sheet'!$D$2 &amp; " " &amp; $A679,Pop[#All],4,FALSE))</f>
        <v/>
      </c>
      <c r="L679" s="5" t="str">
        <f t="shared" si="37"/>
        <v/>
      </c>
      <c r="M679" s="7" t="str">
        <f t="shared" ca="1" si="36"/>
        <v/>
      </c>
      <c r="N679" s="17" t="str">
        <f>IF(OR($A679="",$A679="Grand Total"),IF($A679="Grand Total",SUM($N$15:$N678),""),SUMPRODUCT((Table1[County]=SummaryPage!$A679)*(Table1[Status]&lt;&gt;"Complete")))</f>
        <v/>
      </c>
      <c r="O679" s="6" t="str">
        <f ca="1">IF($A679="Grand Total",SUM(INDIRECT(ADDRESS(1,COLUMN())&amp;":"&amp;ADDRESS(ROW()-1,COLUMN()))),IF(OR($A679="State Agencies",IFERROR(AND($L679&gt;='Input Sheet'!$J$2,$A679&lt;&gt;""),0)),$J679,""))</f>
        <v/>
      </c>
      <c r="P679" s="3" t="str">
        <f>IF(OR($A679="",$A679="Grand Total"),"",IF(IFERROR(ROUND($J679/$K679,2),1000)&gt;='Input Sheet'!$J$2,1,""))</f>
        <v/>
      </c>
      <c r="Q679" s="3" t="str">
        <f t="shared" si="38"/>
        <v/>
      </c>
      <c r="R679" s="3" t="str">
        <f>IF(OR($A679="",$A679="Grand Total"),"",AND($J679=0,(SUMPRODUCT((Table1[County]=SummaryPage!$A679)*(Table1[Status]="Not Started"))+SUMPRODUCT((Table1[County]=SummaryPage!$A679)*(Table1[Status]="")))=SUMPRODUCT((Table1[County]=SummaryPage!$A679)*(Table1[Status]&lt;&gt;"Q"))))</f>
        <v/>
      </c>
    </row>
    <row r="680" spans="11:18" x14ac:dyDescent="0.3">
      <c r="K680" s="28" t="str">
        <f>IF($A680="","",VLOOKUP('Input Sheet'!$D$2 &amp; " " &amp; $A680,Pop[#All],4,FALSE))</f>
        <v/>
      </c>
      <c r="L680" s="5" t="str">
        <f t="shared" si="37"/>
        <v/>
      </c>
      <c r="M680" s="7" t="str">
        <f t="shared" ca="1" si="36"/>
        <v/>
      </c>
      <c r="N680" s="17" t="str">
        <f>IF(OR($A680="",$A680="Grand Total"),IF($A680="Grand Total",SUM($N$15:$N679),""),SUMPRODUCT((Table1[County]=SummaryPage!$A680)*(Table1[Status]&lt;&gt;"Complete")))</f>
        <v/>
      </c>
      <c r="O680" s="6" t="str">
        <f ca="1">IF($A680="Grand Total",SUM(INDIRECT(ADDRESS(1,COLUMN())&amp;":"&amp;ADDRESS(ROW()-1,COLUMN()))),IF(OR($A680="State Agencies",IFERROR(AND($L680&gt;='Input Sheet'!$J$2,$A680&lt;&gt;""),0)),$J680,""))</f>
        <v/>
      </c>
      <c r="P680" s="3" t="str">
        <f>IF(OR($A680="",$A680="Grand Total"),"",IF(IFERROR(ROUND($J680/$K680,2),1000)&gt;='Input Sheet'!$J$2,1,""))</f>
        <v/>
      </c>
      <c r="Q680" s="3" t="str">
        <f t="shared" si="38"/>
        <v/>
      </c>
      <c r="R680" s="3" t="str">
        <f>IF(OR($A680="",$A680="Grand Total"),"",AND($J680=0,(SUMPRODUCT((Table1[County]=SummaryPage!$A680)*(Table1[Status]="Not Started"))+SUMPRODUCT((Table1[County]=SummaryPage!$A680)*(Table1[Status]="")))=SUMPRODUCT((Table1[County]=SummaryPage!$A680)*(Table1[Status]&lt;&gt;"Q"))))</f>
        <v/>
      </c>
    </row>
    <row r="681" spans="11:18" x14ac:dyDescent="0.3">
      <c r="K681" s="28" t="str">
        <f>IF($A681="","",VLOOKUP('Input Sheet'!$D$2 &amp; " " &amp; $A681,Pop[#All],4,FALSE))</f>
        <v/>
      </c>
      <c r="L681" s="5" t="str">
        <f t="shared" si="37"/>
        <v/>
      </c>
      <c r="M681" s="7" t="str">
        <f t="shared" ca="1" si="36"/>
        <v/>
      </c>
      <c r="N681" s="17" t="str">
        <f>IF(OR($A681="",$A681="Grand Total"),IF($A681="Grand Total",SUM($N$15:$N680),""),SUMPRODUCT((Table1[County]=SummaryPage!$A681)*(Table1[Status]&lt;&gt;"Complete")))</f>
        <v/>
      </c>
      <c r="O681" s="6" t="str">
        <f ca="1">IF($A681="Grand Total",SUM(INDIRECT(ADDRESS(1,COLUMN())&amp;":"&amp;ADDRESS(ROW()-1,COLUMN()))),IF(OR($A681="State Agencies",IFERROR(AND($L681&gt;='Input Sheet'!$J$2,$A681&lt;&gt;""),0)),$J681,""))</f>
        <v/>
      </c>
      <c r="P681" s="3" t="str">
        <f>IF(OR($A681="",$A681="Grand Total"),"",IF(IFERROR(ROUND($J681/$K681,2),1000)&gt;='Input Sheet'!$J$2,1,""))</f>
        <v/>
      </c>
      <c r="Q681" s="3" t="str">
        <f t="shared" si="38"/>
        <v/>
      </c>
      <c r="R681" s="3" t="str">
        <f>IF(OR($A681="",$A681="Grand Total"),"",AND($J681=0,(SUMPRODUCT((Table1[County]=SummaryPage!$A681)*(Table1[Status]="Not Started"))+SUMPRODUCT((Table1[County]=SummaryPage!$A681)*(Table1[Status]="")))=SUMPRODUCT((Table1[County]=SummaryPage!$A681)*(Table1[Status]&lt;&gt;"Q"))))</f>
        <v/>
      </c>
    </row>
    <row r="682" spans="11:18" x14ac:dyDescent="0.3">
      <c r="K682" s="28" t="str">
        <f>IF($A682="","",VLOOKUP('Input Sheet'!$D$2 &amp; " " &amp; $A682,Pop[#All],4,FALSE))</f>
        <v/>
      </c>
      <c r="L682" s="5" t="str">
        <f t="shared" si="37"/>
        <v/>
      </c>
      <c r="M682" s="7" t="str">
        <f t="shared" ca="1" si="36"/>
        <v/>
      </c>
      <c r="N682" s="17" t="str">
        <f>IF(OR($A682="",$A682="Grand Total"),IF($A682="Grand Total",SUM($N$15:$N681),""),SUMPRODUCT((Table1[County]=SummaryPage!$A682)*(Table1[Status]&lt;&gt;"Complete")))</f>
        <v/>
      </c>
      <c r="O682" s="6" t="str">
        <f ca="1">IF($A682="Grand Total",SUM(INDIRECT(ADDRESS(1,COLUMN())&amp;":"&amp;ADDRESS(ROW()-1,COLUMN()))),IF(OR($A682="State Agencies",IFERROR(AND($L682&gt;='Input Sheet'!$J$2,$A682&lt;&gt;""),0)),$J682,""))</f>
        <v/>
      </c>
      <c r="P682" s="3" t="str">
        <f>IF(OR($A682="",$A682="Grand Total"),"",IF(IFERROR(ROUND($J682/$K682,2),1000)&gt;='Input Sheet'!$J$2,1,""))</f>
        <v/>
      </c>
      <c r="Q682" s="3" t="str">
        <f t="shared" si="38"/>
        <v/>
      </c>
      <c r="R682" s="3" t="str">
        <f>IF(OR($A682="",$A682="Grand Total"),"",AND($J682=0,(SUMPRODUCT((Table1[County]=SummaryPage!$A682)*(Table1[Status]="Not Started"))+SUMPRODUCT((Table1[County]=SummaryPage!$A682)*(Table1[Status]="")))=SUMPRODUCT((Table1[County]=SummaryPage!$A682)*(Table1[Status]&lt;&gt;"Q"))))</f>
        <v/>
      </c>
    </row>
    <row r="683" spans="11:18" x14ac:dyDescent="0.3">
      <c r="K683" s="28" t="str">
        <f>IF($A683="","",VLOOKUP('Input Sheet'!$D$2 &amp; " " &amp; $A683,Pop[#All],4,FALSE))</f>
        <v/>
      </c>
      <c r="L683" s="5" t="str">
        <f t="shared" si="37"/>
        <v/>
      </c>
      <c r="M683" s="7" t="str">
        <f t="shared" ca="1" si="36"/>
        <v/>
      </c>
      <c r="N683" s="17" t="str">
        <f>IF(OR($A683="",$A683="Grand Total"),IF($A683="Grand Total",SUM($N$15:$N682),""),SUMPRODUCT((Table1[County]=SummaryPage!$A683)*(Table1[Status]&lt;&gt;"Complete")))</f>
        <v/>
      </c>
      <c r="O683" s="6" t="str">
        <f ca="1">IF($A683="Grand Total",SUM(INDIRECT(ADDRESS(1,COLUMN())&amp;":"&amp;ADDRESS(ROW()-1,COLUMN()))),IF(OR($A683="State Agencies",IFERROR(AND($L683&gt;='Input Sheet'!$J$2,$A683&lt;&gt;""),0)),$J683,""))</f>
        <v/>
      </c>
      <c r="P683" s="3" t="str">
        <f>IF(OR($A683="",$A683="Grand Total"),"",IF(IFERROR(ROUND($J683/$K683,2),1000)&gt;='Input Sheet'!$J$2,1,""))</f>
        <v/>
      </c>
      <c r="Q683" s="3" t="str">
        <f t="shared" si="38"/>
        <v/>
      </c>
      <c r="R683" s="3" t="str">
        <f>IF(OR($A683="",$A683="Grand Total"),"",AND($J683=0,(SUMPRODUCT((Table1[County]=SummaryPage!$A683)*(Table1[Status]="Not Started"))+SUMPRODUCT((Table1[County]=SummaryPage!$A683)*(Table1[Status]="")))=SUMPRODUCT((Table1[County]=SummaryPage!$A683)*(Table1[Status]&lt;&gt;"Q"))))</f>
        <v/>
      </c>
    </row>
    <row r="684" spans="11:18" x14ac:dyDescent="0.3">
      <c r="K684" s="28" t="str">
        <f>IF($A684="","",VLOOKUP('Input Sheet'!$D$2 &amp; " " &amp; $A684,Pop[#All],4,FALSE))</f>
        <v/>
      </c>
      <c r="L684" s="5" t="str">
        <f t="shared" si="37"/>
        <v/>
      </c>
      <c r="M684" s="7" t="str">
        <f t="shared" ca="1" si="36"/>
        <v/>
      </c>
      <c r="N684" s="17" t="str">
        <f>IF(OR($A684="",$A684="Grand Total"),IF($A684="Grand Total",SUM($N$15:$N683),""),SUMPRODUCT((Table1[County]=SummaryPage!$A684)*(Table1[Status]&lt;&gt;"Complete")))</f>
        <v/>
      </c>
      <c r="O684" s="6" t="str">
        <f ca="1">IF($A684="Grand Total",SUM(INDIRECT(ADDRESS(1,COLUMN())&amp;":"&amp;ADDRESS(ROW()-1,COLUMN()))),IF(OR($A684="State Agencies",IFERROR(AND($L684&gt;='Input Sheet'!$J$2,$A684&lt;&gt;""),0)),$J684,""))</f>
        <v/>
      </c>
      <c r="P684" s="3" t="str">
        <f>IF(OR($A684="",$A684="Grand Total"),"",IF(IFERROR(ROUND($J684/$K684,2),1000)&gt;='Input Sheet'!$J$2,1,""))</f>
        <v/>
      </c>
      <c r="Q684" s="3" t="str">
        <f t="shared" si="38"/>
        <v/>
      </c>
      <c r="R684" s="3" t="str">
        <f>IF(OR($A684="",$A684="Grand Total"),"",AND($J684=0,(SUMPRODUCT((Table1[County]=SummaryPage!$A684)*(Table1[Status]="Not Started"))+SUMPRODUCT((Table1[County]=SummaryPage!$A684)*(Table1[Status]="")))=SUMPRODUCT((Table1[County]=SummaryPage!$A684)*(Table1[Status]&lt;&gt;"Q"))))</f>
        <v/>
      </c>
    </row>
    <row r="685" spans="11:18" x14ac:dyDescent="0.3">
      <c r="K685" s="28" t="str">
        <f>IF($A685="","",VLOOKUP('Input Sheet'!$D$2 &amp; " " &amp; $A685,Pop[#All],4,FALSE))</f>
        <v/>
      </c>
      <c r="L685" s="5" t="str">
        <f t="shared" si="37"/>
        <v/>
      </c>
      <c r="M685" s="7" t="str">
        <f t="shared" ca="1" si="36"/>
        <v/>
      </c>
      <c r="N685" s="17" t="str">
        <f>IF(OR($A685="",$A685="Grand Total"),IF($A685="Grand Total",SUM($N$15:$N684),""),SUMPRODUCT((Table1[County]=SummaryPage!$A685)*(Table1[Status]&lt;&gt;"Complete")))</f>
        <v/>
      </c>
      <c r="O685" s="6" t="str">
        <f ca="1">IF($A685="Grand Total",SUM(INDIRECT(ADDRESS(1,COLUMN())&amp;":"&amp;ADDRESS(ROW()-1,COLUMN()))),IF(OR($A685="State Agencies",IFERROR(AND($L685&gt;='Input Sheet'!$J$2,$A685&lt;&gt;""),0)),$J685,""))</f>
        <v/>
      </c>
      <c r="P685" s="3" t="str">
        <f>IF(OR($A685="",$A685="Grand Total"),"",IF(IFERROR(ROUND($J685/$K685,2),1000)&gt;='Input Sheet'!$J$2,1,""))</f>
        <v/>
      </c>
      <c r="Q685" s="3" t="str">
        <f t="shared" si="38"/>
        <v/>
      </c>
      <c r="R685" s="3" t="str">
        <f>IF(OR($A685="",$A685="Grand Total"),"",AND($J685=0,(SUMPRODUCT((Table1[County]=SummaryPage!$A685)*(Table1[Status]="Not Started"))+SUMPRODUCT((Table1[County]=SummaryPage!$A685)*(Table1[Status]="")))=SUMPRODUCT((Table1[County]=SummaryPage!$A685)*(Table1[Status]&lt;&gt;"Q"))))</f>
        <v/>
      </c>
    </row>
    <row r="686" spans="11:18" x14ac:dyDescent="0.3">
      <c r="K686" s="28" t="str">
        <f>IF($A686="","",VLOOKUP('Input Sheet'!$D$2 &amp; " " &amp; $A686,Pop[#All],4,FALSE))</f>
        <v/>
      </c>
      <c r="L686" s="5" t="str">
        <f t="shared" si="37"/>
        <v/>
      </c>
      <c r="M686" s="7" t="str">
        <f t="shared" ca="1" si="36"/>
        <v/>
      </c>
      <c r="N686" s="17" t="str">
        <f>IF(OR($A686="",$A686="Grand Total"),IF($A686="Grand Total",SUM($N$15:$N685),""),SUMPRODUCT((Table1[County]=SummaryPage!$A686)*(Table1[Status]&lt;&gt;"Complete")))</f>
        <v/>
      </c>
      <c r="O686" s="6" t="str">
        <f ca="1">IF($A686="Grand Total",SUM(INDIRECT(ADDRESS(1,COLUMN())&amp;":"&amp;ADDRESS(ROW()-1,COLUMN()))),IF(OR($A686="State Agencies",IFERROR(AND($L686&gt;='Input Sheet'!$J$2,$A686&lt;&gt;""),0)),$J686,""))</f>
        <v/>
      </c>
      <c r="P686" s="3" t="str">
        <f>IF(OR($A686="",$A686="Grand Total"),"",IF(IFERROR(ROUND($J686/$K686,2),1000)&gt;='Input Sheet'!$J$2,1,""))</f>
        <v/>
      </c>
      <c r="Q686" s="3" t="str">
        <f t="shared" si="38"/>
        <v/>
      </c>
      <c r="R686" s="3" t="str">
        <f>IF(OR($A686="",$A686="Grand Total"),"",AND($J686=0,(SUMPRODUCT((Table1[County]=SummaryPage!$A686)*(Table1[Status]="Not Started"))+SUMPRODUCT((Table1[County]=SummaryPage!$A686)*(Table1[Status]="")))=SUMPRODUCT((Table1[County]=SummaryPage!$A686)*(Table1[Status]&lt;&gt;"Q"))))</f>
        <v/>
      </c>
    </row>
    <row r="687" spans="11:18" x14ac:dyDescent="0.3">
      <c r="K687" s="28" t="str">
        <f>IF($A687="","",VLOOKUP('Input Sheet'!$D$2 &amp; " " &amp; $A687,Pop[#All],4,FALSE))</f>
        <v/>
      </c>
      <c r="L687" s="5" t="str">
        <f t="shared" si="37"/>
        <v/>
      </c>
      <c r="M687" s="7" t="str">
        <f t="shared" ca="1" si="36"/>
        <v/>
      </c>
      <c r="N687" s="17" t="str">
        <f>IF(OR($A687="",$A687="Grand Total"),IF($A687="Grand Total",SUM($N$15:$N686),""),SUMPRODUCT((Table1[County]=SummaryPage!$A687)*(Table1[Status]&lt;&gt;"Complete")))</f>
        <v/>
      </c>
      <c r="O687" s="6" t="str">
        <f ca="1">IF($A687="Grand Total",SUM(INDIRECT(ADDRESS(1,COLUMN())&amp;":"&amp;ADDRESS(ROW()-1,COLUMN()))),IF(OR($A687="State Agencies",IFERROR(AND($L687&gt;='Input Sheet'!$J$2,$A687&lt;&gt;""),0)),$J687,""))</f>
        <v/>
      </c>
      <c r="P687" s="3" t="str">
        <f>IF(OR($A687="",$A687="Grand Total"),"",IF(IFERROR(ROUND($J687/$K687,2),1000)&gt;='Input Sheet'!$J$2,1,""))</f>
        <v/>
      </c>
      <c r="Q687" s="3" t="str">
        <f t="shared" si="38"/>
        <v/>
      </c>
      <c r="R687" s="3" t="str">
        <f>IF(OR($A687="",$A687="Grand Total"),"",AND($J687=0,(SUMPRODUCT((Table1[County]=SummaryPage!$A687)*(Table1[Status]="Not Started"))+SUMPRODUCT((Table1[County]=SummaryPage!$A687)*(Table1[Status]="")))=SUMPRODUCT((Table1[County]=SummaryPage!$A687)*(Table1[Status]&lt;&gt;"Q"))))</f>
        <v/>
      </c>
    </row>
    <row r="688" spans="11:18" x14ac:dyDescent="0.3">
      <c r="K688" s="28" t="str">
        <f>IF($A688="","",VLOOKUP('Input Sheet'!$D$2 &amp; " " &amp; $A688,Pop[#All],4,FALSE))</f>
        <v/>
      </c>
      <c r="L688" s="5" t="str">
        <f t="shared" si="37"/>
        <v/>
      </c>
      <c r="M688" s="7" t="str">
        <f t="shared" ca="1" si="36"/>
        <v/>
      </c>
      <c r="N688" s="17" t="str">
        <f>IF(OR($A688="",$A688="Grand Total"),IF($A688="Grand Total",SUM($N$15:$N687),""),SUMPRODUCT((Table1[County]=SummaryPage!$A688)*(Table1[Status]&lt;&gt;"Complete")))</f>
        <v/>
      </c>
      <c r="O688" s="6" t="str">
        <f ca="1">IF($A688="Grand Total",SUM(INDIRECT(ADDRESS(1,COLUMN())&amp;":"&amp;ADDRESS(ROW()-1,COLUMN()))),IF(OR($A688="State Agencies",IFERROR(AND($L688&gt;='Input Sheet'!$J$2,$A688&lt;&gt;""),0)),$J688,""))</f>
        <v/>
      </c>
      <c r="P688" s="3" t="str">
        <f>IF(OR($A688="",$A688="Grand Total"),"",IF(IFERROR(ROUND($J688/$K688,2),1000)&gt;='Input Sheet'!$J$2,1,""))</f>
        <v/>
      </c>
      <c r="Q688" s="3" t="str">
        <f t="shared" si="38"/>
        <v/>
      </c>
      <c r="R688" s="3" t="str">
        <f>IF(OR($A688="",$A688="Grand Total"),"",AND($J688=0,(SUMPRODUCT((Table1[County]=SummaryPage!$A688)*(Table1[Status]="Not Started"))+SUMPRODUCT((Table1[County]=SummaryPage!$A688)*(Table1[Status]="")))=SUMPRODUCT((Table1[County]=SummaryPage!$A688)*(Table1[Status]&lt;&gt;"Q"))))</f>
        <v/>
      </c>
    </row>
    <row r="689" spans="11:18" x14ac:dyDescent="0.3">
      <c r="K689" s="28" t="str">
        <f>IF($A689="","",VLOOKUP('Input Sheet'!$D$2 &amp; " " &amp; $A689,Pop[#All],4,FALSE))</f>
        <v/>
      </c>
      <c r="L689" s="5" t="str">
        <f t="shared" si="37"/>
        <v/>
      </c>
      <c r="M689" s="7" t="str">
        <f t="shared" ca="1" si="36"/>
        <v/>
      </c>
      <c r="N689" s="17" t="str">
        <f>IF(OR($A689="",$A689="Grand Total"),IF($A689="Grand Total",SUM($N$15:$N688),""),SUMPRODUCT((Table1[County]=SummaryPage!$A689)*(Table1[Status]&lt;&gt;"Complete")))</f>
        <v/>
      </c>
      <c r="O689" s="6" t="str">
        <f ca="1">IF($A689="Grand Total",SUM(INDIRECT(ADDRESS(1,COLUMN())&amp;":"&amp;ADDRESS(ROW()-1,COLUMN()))),IF(OR($A689="State Agencies",IFERROR(AND($L689&gt;='Input Sheet'!$J$2,$A689&lt;&gt;""),0)),$J689,""))</f>
        <v/>
      </c>
      <c r="P689" s="3" t="str">
        <f>IF(OR($A689="",$A689="Grand Total"),"",IF(IFERROR(ROUND($J689/$K689,2),1000)&gt;='Input Sheet'!$J$2,1,""))</f>
        <v/>
      </c>
      <c r="Q689" s="3" t="str">
        <f t="shared" si="38"/>
        <v/>
      </c>
      <c r="R689" s="3" t="str">
        <f>IF(OR($A689="",$A689="Grand Total"),"",AND($J689=0,(SUMPRODUCT((Table1[County]=SummaryPage!$A689)*(Table1[Status]="Not Started"))+SUMPRODUCT((Table1[County]=SummaryPage!$A689)*(Table1[Status]="")))=SUMPRODUCT((Table1[County]=SummaryPage!$A689)*(Table1[Status]&lt;&gt;"Q"))))</f>
        <v/>
      </c>
    </row>
    <row r="690" spans="11:18" x14ac:dyDescent="0.3">
      <c r="K690" s="28" t="str">
        <f>IF($A690="","",VLOOKUP('Input Sheet'!$D$2 &amp; " " &amp; $A690,Pop[#All],4,FALSE))</f>
        <v/>
      </c>
      <c r="L690" s="5" t="str">
        <f t="shared" si="37"/>
        <v/>
      </c>
      <c r="M690" s="7" t="str">
        <f t="shared" ca="1" si="36"/>
        <v/>
      </c>
      <c r="N690" s="17" t="str">
        <f>IF(OR($A690="",$A690="Grand Total"),IF($A690="Grand Total",SUM($N$15:$N689),""),SUMPRODUCT((Table1[County]=SummaryPage!$A690)*(Table1[Status]&lt;&gt;"Complete")))</f>
        <v/>
      </c>
      <c r="O690" s="6" t="str">
        <f ca="1">IF($A690="Grand Total",SUM(INDIRECT(ADDRESS(1,COLUMN())&amp;":"&amp;ADDRESS(ROW()-1,COLUMN()))),IF(OR($A690="State Agencies",IFERROR(AND($L690&gt;='Input Sheet'!$J$2,$A690&lt;&gt;""),0)),$J690,""))</f>
        <v/>
      </c>
      <c r="P690" s="3" t="str">
        <f>IF(OR($A690="",$A690="Grand Total"),"",IF(IFERROR(ROUND($J690/$K690,2),1000)&gt;='Input Sheet'!$J$2,1,""))</f>
        <v/>
      </c>
      <c r="Q690" s="3" t="str">
        <f t="shared" si="38"/>
        <v/>
      </c>
      <c r="R690" s="3" t="str">
        <f>IF(OR($A690="",$A690="Grand Total"),"",AND($J690=0,(SUMPRODUCT((Table1[County]=SummaryPage!$A690)*(Table1[Status]="Not Started"))+SUMPRODUCT((Table1[County]=SummaryPage!$A690)*(Table1[Status]="")))=SUMPRODUCT((Table1[County]=SummaryPage!$A690)*(Table1[Status]&lt;&gt;"Q"))))</f>
        <v/>
      </c>
    </row>
    <row r="691" spans="11:18" x14ac:dyDescent="0.3">
      <c r="K691" s="28" t="str">
        <f>IF($A691="","",VLOOKUP('Input Sheet'!$D$2 &amp; " " &amp; $A691,Pop[#All],4,FALSE))</f>
        <v/>
      </c>
      <c r="L691" s="5" t="str">
        <f t="shared" si="37"/>
        <v/>
      </c>
      <c r="M691" s="7" t="str">
        <f t="shared" ca="1" si="36"/>
        <v/>
      </c>
      <c r="N691" s="17" t="str">
        <f>IF(OR($A691="",$A691="Grand Total"),IF($A691="Grand Total",SUM($N$15:$N690),""),SUMPRODUCT((Table1[County]=SummaryPage!$A691)*(Table1[Status]&lt;&gt;"Complete")))</f>
        <v/>
      </c>
      <c r="O691" s="6" t="str">
        <f ca="1">IF($A691="Grand Total",SUM(INDIRECT(ADDRESS(1,COLUMN())&amp;":"&amp;ADDRESS(ROW()-1,COLUMN()))),IF(OR($A691="State Agencies",IFERROR(AND($L691&gt;='Input Sheet'!$J$2,$A691&lt;&gt;""),0)),$J691,""))</f>
        <v/>
      </c>
      <c r="P691" s="3" t="str">
        <f>IF(OR($A691="",$A691="Grand Total"),"",IF(IFERROR(ROUND($J691/$K691,2),1000)&gt;='Input Sheet'!$J$2,1,""))</f>
        <v/>
      </c>
      <c r="Q691" s="3" t="str">
        <f t="shared" si="38"/>
        <v/>
      </c>
      <c r="R691" s="3" t="str">
        <f>IF(OR($A691="",$A691="Grand Total"),"",AND($J691=0,(SUMPRODUCT((Table1[County]=SummaryPage!$A691)*(Table1[Status]="Not Started"))+SUMPRODUCT((Table1[County]=SummaryPage!$A691)*(Table1[Status]="")))=SUMPRODUCT((Table1[County]=SummaryPage!$A691)*(Table1[Status]&lt;&gt;"Q"))))</f>
        <v/>
      </c>
    </row>
    <row r="692" spans="11:18" x14ac:dyDescent="0.3">
      <c r="K692" s="28" t="str">
        <f>IF($A692="","",VLOOKUP('Input Sheet'!$D$2 &amp; " " &amp; $A692,Pop[#All],4,FALSE))</f>
        <v/>
      </c>
      <c r="L692" s="5" t="str">
        <f t="shared" si="37"/>
        <v/>
      </c>
      <c r="M692" s="7" t="str">
        <f t="shared" ca="1" si="36"/>
        <v/>
      </c>
      <c r="N692" s="17" t="str">
        <f>IF(OR($A692="",$A692="Grand Total"),IF($A692="Grand Total",SUM($N$15:$N691),""),SUMPRODUCT((Table1[County]=SummaryPage!$A692)*(Table1[Status]&lt;&gt;"Complete")))</f>
        <v/>
      </c>
      <c r="O692" s="6" t="str">
        <f ca="1">IF($A692="Grand Total",SUM(INDIRECT(ADDRESS(1,COLUMN())&amp;":"&amp;ADDRESS(ROW()-1,COLUMN()))),IF(OR($A692="State Agencies",IFERROR(AND($L692&gt;='Input Sheet'!$J$2,$A692&lt;&gt;""),0)),$J692,""))</f>
        <v/>
      </c>
      <c r="P692" s="3" t="str">
        <f>IF(OR($A692="",$A692="Grand Total"),"",IF(IFERROR(ROUND($J692/$K692,2),1000)&gt;='Input Sheet'!$J$2,1,""))</f>
        <v/>
      </c>
      <c r="Q692" s="3" t="str">
        <f t="shared" si="38"/>
        <v/>
      </c>
      <c r="R692" s="3" t="str">
        <f>IF(OR($A692="",$A692="Grand Total"),"",AND($J692=0,(SUMPRODUCT((Table1[County]=SummaryPage!$A692)*(Table1[Status]="Not Started"))+SUMPRODUCT((Table1[County]=SummaryPage!$A692)*(Table1[Status]="")))=SUMPRODUCT((Table1[County]=SummaryPage!$A692)*(Table1[Status]&lt;&gt;"Q"))))</f>
        <v/>
      </c>
    </row>
    <row r="693" spans="11:18" x14ac:dyDescent="0.3">
      <c r="K693" s="28" t="str">
        <f>IF($A693="","",VLOOKUP('Input Sheet'!$D$2 &amp; " " &amp; $A693,Pop[#All],4,FALSE))</f>
        <v/>
      </c>
      <c r="L693" s="5" t="str">
        <f t="shared" si="37"/>
        <v/>
      </c>
      <c r="M693" s="7" t="str">
        <f t="shared" ca="1" si="36"/>
        <v/>
      </c>
      <c r="N693" s="17" t="str">
        <f>IF(OR($A693="",$A693="Grand Total"),IF($A693="Grand Total",SUM($N$15:$N692),""),SUMPRODUCT((Table1[County]=SummaryPage!$A693)*(Table1[Status]&lt;&gt;"Complete")))</f>
        <v/>
      </c>
      <c r="O693" s="6" t="str">
        <f ca="1">IF($A693="Grand Total",SUM(INDIRECT(ADDRESS(1,COLUMN())&amp;":"&amp;ADDRESS(ROW()-1,COLUMN()))),IF(OR($A693="State Agencies",IFERROR(AND($L693&gt;='Input Sheet'!$J$2,$A693&lt;&gt;""),0)),$J693,""))</f>
        <v/>
      </c>
      <c r="P693" s="3" t="str">
        <f>IF(OR($A693="",$A693="Grand Total"),"",IF(IFERROR(ROUND($J693/$K693,2),1000)&gt;='Input Sheet'!$J$2,1,""))</f>
        <v/>
      </c>
      <c r="Q693" s="3" t="str">
        <f t="shared" si="38"/>
        <v/>
      </c>
      <c r="R693" s="3" t="str">
        <f>IF(OR($A693="",$A693="Grand Total"),"",AND($J693=0,(SUMPRODUCT((Table1[County]=SummaryPage!$A693)*(Table1[Status]="Not Started"))+SUMPRODUCT((Table1[County]=SummaryPage!$A693)*(Table1[Status]="")))=SUMPRODUCT((Table1[County]=SummaryPage!$A693)*(Table1[Status]&lt;&gt;"Q"))))</f>
        <v/>
      </c>
    </row>
    <row r="694" spans="11:18" x14ac:dyDescent="0.3">
      <c r="K694" s="28" t="str">
        <f>IF($A694="","",VLOOKUP('Input Sheet'!$D$2 &amp; " " &amp; $A694,Pop[#All],4,FALSE))</f>
        <v/>
      </c>
      <c r="L694" s="5" t="str">
        <f t="shared" si="37"/>
        <v/>
      </c>
      <c r="M694" s="7" t="str">
        <f t="shared" ca="1" si="36"/>
        <v/>
      </c>
      <c r="N694" s="17" t="str">
        <f>IF(OR($A694="",$A694="Grand Total"),IF($A694="Grand Total",SUM($N$15:$N693),""),SUMPRODUCT((Table1[County]=SummaryPage!$A694)*(Table1[Status]&lt;&gt;"Complete")))</f>
        <v/>
      </c>
      <c r="O694" s="6" t="str">
        <f ca="1">IF($A694="Grand Total",SUM(INDIRECT(ADDRESS(1,COLUMN())&amp;":"&amp;ADDRESS(ROW()-1,COLUMN()))),IF(OR($A694="State Agencies",IFERROR(AND($L694&gt;='Input Sheet'!$J$2,$A694&lt;&gt;""),0)),$J694,""))</f>
        <v/>
      </c>
      <c r="P694" s="3" t="str">
        <f>IF(OR($A694="",$A694="Grand Total"),"",IF(IFERROR(ROUND($J694/$K694,2),1000)&gt;='Input Sheet'!$J$2,1,""))</f>
        <v/>
      </c>
      <c r="Q694" s="3" t="str">
        <f t="shared" si="38"/>
        <v/>
      </c>
      <c r="R694" s="3" t="str">
        <f>IF(OR($A694="",$A694="Grand Total"),"",AND($J694=0,(SUMPRODUCT((Table1[County]=SummaryPage!$A694)*(Table1[Status]="Not Started"))+SUMPRODUCT((Table1[County]=SummaryPage!$A694)*(Table1[Status]="")))=SUMPRODUCT((Table1[County]=SummaryPage!$A694)*(Table1[Status]&lt;&gt;"Q"))))</f>
        <v/>
      </c>
    </row>
    <row r="695" spans="11:18" x14ac:dyDescent="0.3">
      <c r="K695" s="28" t="str">
        <f>IF($A695="","",VLOOKUP('Input Sheet'!$D$2 &amp; " " &amp; $A695,Pop[#All],4,FALSE))</f>
        <v/>
      </c>
      <c r="L695" s="5" t="str">
        <f t="shared" si="37"/>
        <v/>
      </c>
      <c r="M695" s="7" t="str">
        <f t="shared" ca="1" si="36"/>
        <v/>
      </c>
      <c r="N695" s="17" t="str">
        <f>IF(OR($A695="",$A695="Grand Total"),IF($A695="Grand Total",SUM($N$15:$N694),""),SUMPRODUCT((Table1[County]=SummaryPage!$A695)*(Table1[Status]&lt;&gt;"Complete")))</f>
        <v/>
      </c>
      <c r="O695" s="6" t="str">
        <f ca="1">IF($A695="Grand Total",SUM(INDIRECT(ADDRESS(1,COLUMN())&amp;":"&amp;ADDRESS(ROW()-1,COLUMN()))),IF(OR($A695="State Agencies",IFERROR(AND($L695&gt;='Input Sheet'!$J$2,$A695&lt;&gt;""),0)),$J695,""))</f>
        <v/>
      </c>
      <c r="P695" s="3" t="str">
        <f>IF(OR($A695="",$A695="Grand Total"),"",IF(IFERROR(ROUND($J695/$K695,2),1000)&gt;='Input Sheet'!$J$2,1,""))</f>
        <v/>
      </c>
      <c r="Q695" s="3" t="str">
        <f t="shared" si="38"/>
        <v/>
      </c>
      <c r="R695" s="3" t="str">
        <f>IF(OR($A695="",$A695="Grand Total"),"",AND($J695=0,(SUMPRODUCT((Table1[County]=SummaryPage!$A695)*(Table1[Status]="Not Started"))+SUMPRODUCT((Table1[County]=SummaryPage!$A695)*(Table1[Status]="")))=SUMPRODUCT((Table1[County]=SummaryPage!$A695)*(Table1[Status]&lt;&gt;"Q"))))</f>
        <v/>
      </c>
    </row>
    <row r="696" spans="11:18" x14ac:dyDescent="0.3">
      <c r="K696" s="28" t="str">
        <f>IF($A696="","",VLOOKUP('Input Sheet'!$D$2 &amp; " " &amp; $A696,Pop[#All],4,FALSE))</f>
        <v/>
      </c>
      <c r="L696" s="5" t="str">
        <f t="shared" si="37"/>
        <v/>
      </c>
      <c r="M696" s="7" t="str">
        <f t="shared" ca="1" si="36"/>
        <v/>
      </c>
      <c r="N696" s="17" t="str">
        <f>IF(OR($A696="",$A696="Grand Total"),IF($A696="Grand Total",SUM($N$15:$N695),""),SUMPRODUCT((Table1[County]=SummaryPage!$A696)*(Table1[Status]&lt;&gt;"Complete")))</f>
        <v/>
      </c>
      <c r="O696" s="6" t="str">
        <f ca="1">IF($A696="Grand Total",SUM(INDIRECT(ADDRESS(1,COLUMN())&amp;":"&amp;ADDRESS(ROW()-1,COLUMN()))),IF(OR($A696="State Agencies",IFERROR(AND($L696&gt;='Input Sheet'!$J$2,$A696&lt;&gt;""),0)),$J696,""))</f>
        <v/>
      </c>
      <c r="P696" s="3" t="str">
        <f>IF(OR($A696="",$A696="Grand Total"),"",IF(IFERROR(ROUND($J696/$K696,2),1000)&gt;='Input Sheet'!$J$2,1,""))</f>
        <v/>
      </c>
      <c r="Q696" s="3" t="str">
        <f t="shared" si="38"/>
        <v/>
      </c>
      <c r="R696" s="3" t="str">
        <f>IF(OR($A696="",$A696="Grand Total"),"",AND($J696=0,(SUMPRODUCT((Table1[County]=SummaryPage!$A696)*(Table1[Status]="Not Started"))+SUMPRODUCT((Table1[County]=SummaryPage!$A696)*(Table1[Status]="")))=SUMPRODUCT((Table1[County]=SummaryPage!$A696)*(Table1[Status]&lt;&gt;"Q"))))</f>
        <v/>
      </c>
    </row>
    <row r="697" spans="11:18" x14ac:dyDescent="0.3">
      <c r="K697" s="28" t="str">
        <f>IF($A697="","",VLOOKUP('Input Sheet'!$D$2 &amp; " " &amp; $A697,Pop[#All],4,FALSE))</f>
        <v/>
      </c>
      <c r="L697" s="5" t="str">
        <f t="shared" si="37"/>
        <v/>
      </c>
      <c r="M697" s="7" t="str">
        <f t="shared" ca="1" si="36"/>
        <v/>
      </c>
      <c r="N697" s="17" t="str">
        <f>IF(OR($A697="",$A697="Grand Total"),IF($A697="Grand Total",SUM($N$15:$N696),""),SUMPRODUCT((Table1[County]=SummaryPage!$A697)*(Table1[Status]&lt;&gt;"Complete")))</f>
        <v/>
      </c>
      <c r="O697" s="6" t="str">
        <f ca="1">IF($A697="Grand Total",SUM(INDIRECT(ADDRESS(1,COLUMN())&amp;":"&amp;ADDRESS(ROW()-1,COLUMN()))),IF(OR($A697="State Agencies",IFERROR(AND($L697&gt;='Input Sheet'!$J$2,$A697&lt;&gt;""),0)),$J697,""))</f>
        <v/>
      </c>
      <c r="P697" s="3" t="str">
        <f>IF(OR($A697="",$A697="Grand Total"),"",IF(IFERROR(ROUND($J697/$K697,2),1000)&gt;='Input Sheet'!$J$2,1,""))</f>
        <v/>
      </c>
      <c r="Q697" s="3" t="str">
        <f t="shared" si="38"/>
        <v/>
      </c>
      <c r="R697" s="3" t="str">
        <f>IF(OR($A697="",$A697="Grand Total"),"",AND($J697=0,(SUMPRODUCT((Table1[County]=SummaryPage!$A697)*(Table1[Status]="Not Started"))+SUMPRODUCT((Table1[County]=SummaryPage!$A697)*(Table1[Status]="")))=SUMPRODUCT((Table1[County]=SummaryPage!$A697)*(Table1[Status]&lt;&gt;"Q"))))</f>
        <v/>
      </c>
    </row>
    <row r="698" spans="11:18" x14ac:dyDescent="0.3">
      <c r="K698" s="28" t="str">
        <f>IF($A698="","",VLOOKUP('Input Sheet'!$D$2 &amp; " " &amp; $A698,Pop[#All],4,FALSE))</f>
        <v/>
      </c>
      <c r="L698" s="5" t="str">
        <f t="shared" si="37"/>
        <v/>
      </c>
      <c r="M698" s="7" t="str">
        <f t="shared" ca="1" si="36"/>
        <v/>
      </c>
      <c r="N698" s="17" t="str">
        <f>IF(OR($A698="",$A698="Grand Total"),IF($A698="Grand Total",SUM($N$15:$N697),""),SUMPRODUCT((Table1[County]=SummaryPage!$A698)*(Table1[Status]&lt;&gt;"Complete")))</f>
        <v/>
      </c>
      <c r="O698" s="6" t="str">
        <f ca="1">IF($A698="Grand Total",SUM(INDIRECT(ADDRESS(1,COLUMN())&amp;":"&amp;ADDRESS(ROW()-1,COLUMN()))),IF(OR($A698="State Agencies",IFERROR(AND($L698&gt;='Input Sheet'!$J$2,$A698&lt;&gt;""),0)),$J698,""))</f>
        <v/>
      </c>
      <c r="P698" s="3" t="str">
        <f>IF(OR($A698="",$A698="Grand Total"),"",IF(IFERROR(ROUND($J698/$K698,2),1000)&gt;='Input Sheet'!$J$2,1,""))</f>
        <v/>
      </c>
      <c r="Q698" s="3" t="str">
        <f t="shared" si="38"/>
        <v/>
      </c>
      <c r="R698" s="3" t="str">
        <f>IF(OR($A698="",$A698="Grand Total"),"",AND($J698=0,(SUMPRODUCT((Table1[County]=SummaryPage!$A698)*(Table1[Status]="Not Started"))+SUMPRODUCT((Table1[County]=SummaryPage!$A698)*(Table1[Status]="")))=SUMPRODUCT((Table1[County]=SummaryPage!$A698)*(Table1[Status]&lt;&gt;"Q"))))</f>
        <v/>
      </c>
    </row>
    <row r="699" spans="11:18" x14ac:dyDescent="0.3">
      <c r="K699" s="28" t="str">
        <f>IF($A699="","",VLOOKUP('Input Sheet'!$D$2 &amp; " " &amp; $A699,Pop[#All],4,FALSE))</f>
        <v/>
      </c>
      <c r="L699" s="5" t="str">
        <f t="shared" si="37"/>
        <v/>
      </c>
      <c r="M699" s="7" t="str">
        <f t="shared" ca="1" si="36"/>
        <v/>
      </c>
      <c r="N699" s="17" t="str">
        <f>IF(OR($A699="",$A699="Grand Total"),IF($A699="Grand Total",SUM($N$15:$N698),""),SUMPRODUCT((Table1[County]=SummaryPage!$A699)*(Table1[Status]&lt;&gt;"Complete")))</f>
        <v/>
      </c>
      <c r="O699" s="6" t="str">
        <f ca="1">IF($A699="Grand Total",SUM(INDIRECT(ADDRESS(1,COLUMN())&amp;":"&amp;ADDRESS(ROW()-1,COLUMN()))),IF(OR($A699="State Agencies",IFERROR(AND($L699&gt;='Input Sheet'!$J$2,$A699&lt;&gt;""),0)),$J699,""))</f>
        <v/>
      </c>
      <c r="P699" s="3" t="str">
        <f>IF(OR($A699="",$A699="Grand Total"),"",IF(IFERROR(ROUND($J699/$K699,2),1000)&gt;='Input Sheet'!$J$2,1,""))</f>
        <v/>
      </c>
      <c r="Q699" s="3" t="str">
        <f t="shared" si="38"/>
        <v/>
      </c>
      <c r="R699" s="3" t="str">
        <f>IF(OR($A699="",$A699="Grand Total"),"",AND($J699=0,(SUMPRODUCT((Table1[County]=SummaryPage!$A699)*(Table1[Status]="Not Started"))+SUMPRODUCT((Table1[County]=SummaryPage!$A699)*(Table1[Status]="")))=SUMPRODUCT((Table1[County]=SummaryPage!$A699)*(Table1[Status]&lt;&gt;"Q"))))</f>
        <v/>
      </c>
    </row>
    <row r="700" spans="11:18" x14ac:dyDescent="0.3">
      <c r="K700" s="28" t="str">
        <f>IF($A700="","",VLOOKUP('Input Sheet'!$D$2 &amp; " " &amp; $A700,Pop[#All],4,FALSE))</f>
        <v/>
      </c>
      <c r="L700" s="5" t="str">
        <f t="shared" si="37"/>
        <v/>
      </c>
      <c r="M700" s="7" t="str">
        <f t="shared" ca="1" si="36"/>
        <v/>
      </c>
      <c r="N700" s="17" t="str">
        <f>IF(OR($A700="",$A700="Grand Total"),IF($A700="Grand Total",SUM($N$15:$N699),""),SUMPRODUCT((Table1[County]=SummaryPage!$A700)*(Table1[Status]&lt;&gt;"Complete")))</f>
        <v/>
      </c>
      <c r="O700" s="6" t="str">
        <f ca="1">IF($A700="Grand Total",SUM(INDIRECT(ADDRESS(1,COLUMN())&amp;":"&amp;ADDRESS(ROW()-1,COLUMN()))),IF(OR($A700="State Agencies",IFERROR(AND($L700&gt;='Input Sheet'!$J$2,$A700&lt;&gt;""),0)),$J700,""))</f>
        <v/>
      </c>
      <c r="P700" s="3" t="str">
        <f>IF(OR($A700="",$A700="Grand Total"),"",IF(IFERROR(ROUND($J700/$K700,2),1000)&gt;='Input Sheet'!$J$2,1,""))</f>
        <v/>
      </c>
      <c r="Q700" s="3" t="str">
        <f t="shared" si="38"/>
        <v/>
      </c>
      <c r="R700" s="3" t="str">
        <f>IF(OR($A700="",$A700="Grand Total"),"",AND($J700=0,(SUMPRODUCT((Table1[County]=SummaryPage!$A700)*(Table1[Status]="Not Started"))+SUMPRODUCT((Table1[County]=SummaryPage!$A700)*(Table1[Status]="")))=SUMPRODUCT((Table1[County]=SummaryPage!$A700)*(Table1[Status]&lt;&gt;"Q"))))</f>
        <v/>
      </c>
    </row>
    <row r="701" spans="11:18" x14ac:dyDescent="0.3">
      <c r="K701" s="28" t="str">
        <f>IF($A701="","",VLOOKUP('Input Sheet'!$D$2 &amp; " " &amp; $A701,Pop[#All],4,FALSE))</f>
        <v/>
      </c>
      <c r="L701" s="5" t="str">
        <f t="shared" si="37"/>
        <v/>
      </c>
      <c r="M701" s="7" t="str">
        <f t="shared" ca="1" si="36"/>
        <v/>
      </c>
      <c r="N701" s="17" t="str">
        <f>IF(OR($A701="",$A701="Grand Total"),IF($A701="Grand Total",SUM($N$15:$N700),""),SUMPRODUCT((Table1[County]=SummaryPage!$A701)*(Table1[Status]&lt;&gt;"Complete")))</f>
        <v/>
      </c>
      <c r="O701" s="6" t="str">
        <f ca="1">IF($A701="Grand Total",SUM(INDIRECT(ADDRESS(1,COLUMN())&amp;":"&amp;ADDRESS(ROW()-1,COLUMN()))),IF(OR($A701="State Agencies",IFERROR(AND($L701&gt;='Input Sheet'!$J$2,$A701&lt;&gt;""),0)),$J701,""))</f>
        <v/>
      </c>
      <c r="P701" s="3" t="str">
        <f>IF(OR($A701="",$A701="Grand Total"),"",IF(IFERROR(ROUND($J701/$K701,2),1000)&gt;='Input Sheet'!$J$2,1,""))</f>
        <v/>
      </c>
      <c r="Q701" s="3" t="str">
        <f t="shared" si="38"/>
        <v/>
      </c>
      <c r="R701" s="3" t="str">
        <f>IF(OR($A701="",$A701="Grand Total"),"",AND($J701=0,(SUMPRODUCT((Table1[County]=SummaryPage!$A701)*(Table1[Status]="Not Started"))+SUMPRODUCT((Table1[County]=SummaryPage!$A701)*(Table1[Status]="")))=SUMPRODUCT((Table1[County]=SummaryPage!$A701)*(Table1[Status]&lt;&gt;"Q"))))</f>
        <v/>
      </c>
    </row>
    <row r="702" spans="11:18" x14ac:dyDescent="0.3">
      <c r="K702" s="28" t="str">
        <f>IF($A702="","",VLOOKUP('Input Sheet'!$D$2 &amp; " " &amp; $A702,Pop[#All],4,FALSE))</f>
        <v/>
      </c>
      <c r="L702" s="5" t="str">
        <f t="shared" si="37"/>
        <v/>
      </c>
      <c r="M702" s="7" t="str">
        <f t="shared" ca="1" si="36"/>
        <v/>
      </c>
      <c r="N702" s="17" t="str">
        <f>IF(OR($A702="",$A702="Grand Total"),IF($A702="Grand Total",SUM($N$15:$N701),""),SUMPRODUCT((Table1[County]=SummaryPage!$A702)*(Table1[Status]&lt;&gt;"Complete")))</f>
        <v/>
      </c>
      <c r="O702" s="6" t="str">
        <f ca="1">IF($A702="Grand Total",SUM(INDIRECT(ADDRESS(1,COLUMN())&amp;":"&amp;ADDRESS(ROW()-1,COLUMN()))),IF(OR($A702="State Agencies",IFERROR(AND($L702&gt;='Input Sheet'!$J$2,$A702&lt;&gt;""),0)),$J702,""))</f>
        <v/>
      </c>
      <c r="P702" s="3" t="str">
        <f>IF(OR($A702="",$A702="Grand Total"),"",IF(IFERROR(ROUND($J702/$K702,2),1000)&gt;='Input Sheet'!$J$2,1,""))</f>
        <v/>
      </c>
      <c r="Q702" s="3" t="str">
        <f t="shared" si="38"/>
        <v/>
      </c>
      <c r="R702" s="3" t="str">
        <f>IF(OR($A702="",$A702="Grand Total"),"",AND($J702=0,(SUMPRODUCT((Table1[County]=SummaryPage!$A702)*(Table1[Status]="Not Started"))+SUMPRODUCT((Table1[County]=SummaryPage!$A702)*(Table1[Status]="")))=SUMPRODUCT((Table1[County]=SummaryPage!$A702)*(Table1[Status]&lt;&gt;"Q"))))</f>
        <v/>
      </c>
    </row>
    <row r="703" spans="11:18" x14ac:dyDescent="0.3">
      <c r="K703" s="28" t="str">
        <f>IF($A703="","",VLOOKUP('Input Sheet'!$D$2 &amp; " " &amp; $A703,Pop[#All],4,FALSE))</f>
        <v/>
      </c>
      <c r="L703" s="5" t="str">
        <f t="shared" si="37"/>
        <v/>
      </c>
      <c r="M703" s="7" t="str">
        <f t="shared" ca="1" si="36"/>
        <v/>
      </c>
      <c r="N703" s="17" t="str">
        <f>IF(OR($A703="",$A703="Grand Total"),IF($A703="Grand Total",SUM($N$15:$N702),""),SUMPRODUCT((Table1[County]=SummaryPage!$A703)*(Table1[Status]&lt;&gt;"Complete")))</f>
        <v/>
      </c>
      <c r="O703" s="6" t="str">
        <f ca="1">IF($A703="Grand Total",SUM(INDIRECT(ADDRESS(1,COLUMN())&amp;":"&amp;ADDRESS(ROW()-1,COLUMN()))),IF(OR($A703="State Agencies",IFERROR(AND($L703&gt;='Input Sheet'!$J$2,$A703&lt;&gt;""),0)),$J703,""))</f>
        <v/>
      </c>
      <c r="P703" s="3" t="str">
        <f>IF(OR($A703="",$A703="Grand Total"),"",IF(IFERROR(ROUND($J703/$K703,2),1000)&gt;='Input Sheet'!$J$2,1,""))</f>
        <v/>
      </c>
      <c r="Q703" s="3" t="str">
        <f t="shared" si="38"/>
        <v/>
      </c>
      <c r="R703" s="3" t="str">
        <f>IF(OR($A703="",$A703="Grand Total"),"",AND($J703=0,(SUMPRODUCT((Table1[County]=SummaryPage!$A703)*(Table1[Status]="Not Started"))+SUMPRODUCT((Table1[County]=SummaryPage!$A703)*(Table1[Status]="")))=SUMPRODUCT((Table1[County]=SummaryPage!$A703)*(Table1[Status]&lt;&gt;"Q"))))</f>
        <v/>
      </c>
    </row>
    <row r="704" spans="11:18" x14ac:dyDescent="0.3">
      <c r="K704" s="28" t="str">
        <f>IF($A704="","",VLOOKUP('Input Sheet'!$D$2 &amp; " " &amp; $A704,Pop[#All],4,FALSE))</f>
        <v/>
      </c>
      <c r="L704" s="5" t="str">
        <f t="shared" si="37"/>
        <v/>
      </c>
      <c r="M704" s="7" t="str">
        <f t="shared" ca="1" si="36"/>
        <v/>
      </c>
      <c r="N704" s="17" t="str">
        <f>IF(OR($A704="",$A704="Grand Total"),IF($A704="Grand Total",SUM($N$15:$N703),""),SUMPRODUCT((Table1[County]=SummaryPage!$A704)*(Table1[Status]&lt;&gt;"Complete")))</f>
        <v/>
      </c>
      <c r="O704" s="6" t="str">
        <f ca="1">IF($A704="Grand Total",SUM(INDIRECT(ADDRESS(1,COLUMN())&amp;":"&amp;ADDRESS(ROW()-1,COLUMN()))),IF(OR($A704="State Agencies",IFERROR(AND($L704&gt;='Input Sheet'!$J$2,$A704&lt;&gt;""),0)),$J704,""))</f>
        <v/>
      </c>
      <c r="P704" s="3" t="str">
        <f>IF(OR($A704="",$A704="Grand Total"),"",IF(IFERROR(ROUND($J704/$K704,2),1000)&gt;='Input Sheet'!$J$2,1,""))</f>
        <v/>
      </c>
      <c r="Q704" s="3" t="str">
        <f t="shared" si="38"/>
        <v/>
      </c>
      <c r="R704" s="3" t="str">
        <f>IF(OR($A704="",$A704="Grand Total"),"",AND($J704=0,(SUMPRODUCT((Table1[County]=SummaryPage!$A704)*(Table1[Status]="Not Started"))+SUMPRODUCT((Table1[County]=SummaryPage!$A704)*(Table1[Status]="")))=SUMPRODUCT((Table1[County]=SummaryPage!$A704)*(Table1[Status]&lt;&gt;"Q"))))</f>
        <v/>
      </c>
    </row>
    <row r="705" spans="11:18" x14ac:dyDescent="0.3">
      <c r="K705" s="28" t="str">
        <f>IF($A705="","",VLOOKUP('Input Sheet'!$D$2 &amp; " " &amp; $A705,Pop[#All],4,FALSE))</f>
        <v/>
      </c>
      <c r="L705" s="5" t="str">
        <f t="shared" si="37"/>
        <v/>
      </c>
      <c r="M705" s="7" t="str">
        <f t="shared" ca="1" si="36"/>
        <v/>
      </c>
      <c r="N705" s="17" t="str">
        <f>IF(OR($A705="",$A705="Grand Total"),IF($A705="Grand Total",SUM($N$15:$N704),""),SUMPRODUCT((Table1[County]=SummaryPage!$A705)*(Table1[Status]&lt;&gt;"Complete")))</f>
        <v/>
      </c>
      <c r="O705" s="6" t="str">
        <f ca="1">IF($A705="Grand Total",SUM(INDIRECT(ADDRESS(1,COLUMN())&amp;":"&amp;ADDRESS(ROW()-1,COLUMN()))),IF(OR($A705="State Agencies",IFERROR(AND($L705&gt;='Input Sheet'!$J$2,$A705&lt;&gt;""),0)),$J705,""))</f>
        <v/>
      </c>
      <c r="P705" s="3" t="str">
        <f>IF(OR($A705="",$A705="Grand Total"),"",IF(IFERROR(ROUND($J705/$K705,2),1000)&gt;='Input Sheet'!$J$2,1,""))</f>
        <v/>
      </c>
      <c r="Q705" s="3" t="str">
        <f t="shared" si="38"/>
        <v/>
      </c>
      <c r="R705" s="3" t="str">
        <f>IF(OR($A705="",$A705="Grand Total"),"",AND($J705=0,(SUMPRODUCT((Table1[County]=SummaryPage!$A705)*(Table1[Status]="Not Started"))+SUMPRODUCT((Table1[County]=SummaryPage!$A705)*(Table1[Status]="")))=SUMPRODUCT((Table1[County]=SummaryPage!$A705)*(Table1[Status]&lt;&gt;"Q"))))</f>
        <v/>
      </c>
    </row>
    <row r="706" spans="11:18" x14ac:dyDescent="0.3">
      <c r="K706" s="28" t="str">
        <f>IF($A706="","",VLOOKUP('Input Sheet'!$D$2 &amp; " " &amp; $A706,Pop[#All],4,FALSE))</f>
        <v/>
      </c>
      <c r="L706" s="5" t="str">
        <f t="shared" si="37"/>
        <v/>
      </c>
      <c r="M706" s="7" t="str">
        <f t="shared" ca="1" si="36"/>
        <v/>
      </c>
      <c r="N706" s="17" t="str">
        <f>IF(OR($A706="",$A706="Grand Total"),IF($A706="Grand Total",SUM($N$15:$N705),""),SUMPRODUCT((Table1[County]=SummaryPage!$A706)*(Table1[Status]&lt;&gt;"Complete")))</f>
        <v/>
      </c>
      <c r="O706" s="6" t="str">
        <f ca="1">IF($A706="Grand Total",SUM(INDIRECT(ADDRESS(1,COLUMN())&amp;":"&amp;ADDRESS(ROW()-1,COLUMN()))),IF(OR($A706="State Agencies",IFERROR(AND($L706&gt;='Input Sheet'!$J$2,$A706&lt;&gt;""),0)),$J706,""))</f>
        <v/>
      </c>
      <c r="P706" s="3" t="str">
        <f>IF(OR($A706="",$A706="Grand Total"),"",IF(IFERROR(ROUND($J706/$K706,2),1000)&gt;='Input Sheet'!$J$2,1,""))</f>
        <v/>
      </c>
      <c r="Q706" s="3" t="str">
        <f t="shared" si="38"/>
        <v/>
      </c>
      <c r="R706" s="3" t="str">
        <f>IF(OR($A706="",$A706="Grand Total"),"",AND($J706=0,(SUMPRODUCT((Table1[County]=SummaryPage!$A706)*(Table1[Status]="Not Started"))+SUMPRODUCT((Table1[County]=SummaryPage!$A706)*(Table1[Status]="")))=SUMPRODUCT((Table1[County]=SummaryPage!$A706)*(Table1[Status]&lt;&gt;"Q"))))</f>
        <v/>
      </c>
    </row>
    <row r="707" spans="11:18" x14ac:dyDescent="0.3">
      <c r="K707" s="28" t="str">
        <f>IF($A707="","",VLOOKUP('Input Sheet'!$D$2 &amp; " " &amp; $A707,Pop[#All],4,FALSE))</f>
        <v/>
      </c>
      <c r="L707" s="5" t="str">
        <f t="shared" si="37"/>
        <v/>
      </c>
      <c r="M707" s="7" t="str">
        <f t="shared" ca="1" si="36"/>
        <v/>
      </c>
      <c r="N707" s="17" t="str">
        <f>IF(OR($A707="",$A707="Grand Total"),IF($A707="Grand Total",SUM($N$15:$N706),""),SUMPRODUCT((Table1[County]=SummaryPage!$A707)*(Table1[Status]&lt;&gt;"Complete")))</f>
        <v/>
      </c>
      <c r="O707" s="6" t="str">
        <f ca="1">IF($A707="Grand Total",SUM(INDIRECT(ADDRESS(1,COLUMN())&amp;":"&amp;ADDRESS(ROW()-1,COLUMN()))),IF(OR($A707="State Agencies",IFERROR(AND($L707&gt;='Input Sheet'!$J$2,$A707&lt;&gt;""),0)),$J707,""))</f>
        <v/>
      </c>
      <c r="P707" s="3" t="str">
        <f>IF(OR($A707="",$A707="Grand Total"),"",IF(IFERROR(ROUND($J707/$K707,2),1000)&gt;='Input Sheet'!$J$2,1,""))</f>
        <v/>
      </c>
      <c r="Q707" s="3" t="str">
        <f t="shared" si="38"/>
        <v/>
      </c>
      <c r="R707" s="3" t="str">
        <f>IF(OR($A707="",$A707="Grand Total"),"",AND($J707=0,(SUMPRODUCT((Table1[County]=SummaryPage!$A707)*(Table1[Status]="Not Started"))+SUMPRODUCT((Table1[County]=SummaryPage!$A707)*(Table1[Status]="")))=SUMPRODUCT((Table1[County]=SummaryPage!$A707)*(Table1[Status]&lt;&gt;"Q"))))</f>
        <v/>
      </c>
    </row>
    <row r="708" spans="11:18" x14ac:dyDescent="0.3">
      <c r="K708" s="28" t="str">
        <f>IF($A708="","",VLOOKUP('Input Sheet'!$D$2 &amp; " " &amp; $A708,Pop[#All],4,FALSE))</f>
        <v/>
      </c>
      <c r="L708" s="5" t="str">
        <f t="shared" si="37"/>
        <v/>
      </c>
      <c r="M708" s="7" t="str">
        <f t="shared" ca="1" si="36"/>
        <v/>
      </c>
      <c r="N708" s="17" t="str">
        <f>IF(OR($A708="",$A708="Grand Total"),IF($A708="Grand Total",SUM($N$15:$N707),""),SUMPRODUCT((Table1[County]=SummaryPage!$A708)*(Table1[Status]&lt;&gt;"Complete")))</f>
        <v/>
      </c>
      <c r="O708" s="6" t="str">
        <f ca="1">IF($A708="Grand Total",SUM(INDIRECT(ADDRESS(1,COLUMN())&amp;":"&amp;ADDRESS(ROW()-1,COLUMN()))),IF(OR($A708="State Agencies",IFERROR(AND($L708&gt;='Input Sheet'!$J$2,$A708&lt;&gt;""),0)),$J708,""))</f>
        <v/>
      </c>
      <c r="P708" s="3" t="str">
        <f>IF(OR($A708="",$A708="Grand Total"),"",IF(IFERROR(ROUND($J708/$K708,2),1000)&gt;='Input Sheet'!$J$2,1,""))</f>
        <v/>
      </c>
      <c r="Q708" s="3" t="str">
        <f t="shared" si="38"/>
        <v/>
      </c>
      <c r="R708" s="3" t="str">
        <f>IF(OR($A708="",$A708="Grand Total"),"",AND($J708=0,(SUMPRODUCT((Table1[County]=SummaryPage!$A708)*(Table1[Status]="Not Started"))+SUMPRODUCT((Table1[County]=SummaryPage!$A708)*(Table1[Status]="")))=SUMPRODUCT((Table1[County]=SummaryPage!$A708)*(Table1[Status]&lt;&gt;"Q"))))</f>
        <v/>
      </c>
    </row>
    <row r="709" spans="11:18" x14ac:dyDescent="0.3">
      <c r="K709" s="28" t="str">
        <f>IF($A709="","",VLOOKUP('Input Sheet'!$D$2 &amp; " " &amp; $A709,Pop[#All],4,FALSE))</f>
        <v/>
      </c>
      <c r="L709" s="5" t="str">
        <f t="shared" si="37"/>
        <v/>
      </c>
      <c r="M709" s="7" t="str">
        <f t="shared" ca="1" si="36"/>
        <v/>
      </c>
      <c r="N709" s="17" t="str">
        <f>IF(OR($A709="",$A709="Grand Total"),IF($A709="Grand Total",SUM($N$15:$N708),""),SUMPRODUCT((Table1[County]=SummaryPage!$A709)*(Table1[Status]&lt;&gt;"Complete")))</f>
        <v/>
      </c>
      <c r="O709" s="6" t="str">
        <f ca="1">IF($A709="Grand Total",SUM(INDIRECT(ADDRESS(1,COLUMN())&amp;":"&amp;ADDRESS(ROW()-1,COLUMN()))),IF(OR($A709="State Agencies",IFERROR(AND($L709&gt;='Input Sheet'!$J$2,$A709&lt;&gt;""),0)),$J709,""))</f>
        <v/>
      </c>
      <c r="P709" s="3" t="str">
        <f>IF(OR($A709="",$A709="Grand Total"),"",IF(IFERROR(ROUND($J709/$K709,2),1000)&gt;='Input Sheet'!$J$2,1,""))</f>
        <v/>
      </c>
      <c r="Q709" s="3" t="str">
        <f t="shared" si="38"/>
        <v/>
      </c>
      <c r="R709" s="3" t="str">
        <f>IF(OR($A709="",$A709="Grand Total"),"",AND($J709=0,(SUMPRODUCT((Table1[County]=SummaryPage!$A709)*(Table1[Status]="Not Started"))+SUMPRODUCT((Table1[County]=SummaryPage!$A709)*(Table1[Status]="")))=SUMPRODUCT((Table1[County]=SummaryPage!$A709)*(Table1[Status]&lt;&gt;"Q"))))</f>
        <v/>
      </c>
    </row>
    <row r="710" spans="11:18" x14ac:dyDescent="0.3">
      <c r="K710" s="28" t="str">
        <f>IF($A710="","",VLOOKUP('Input Sheet'!$D$2 &amp; " " &amp; $A710,Pop[#All],4,FALSE))</f>
        <v/>
      </c>
      <c r="L710" s="5" t="str">
        <f t="shared" si="37"/>
        <v/>
      </c>
      <c r="M710" s="7" t="str">
        <f t="shared" ca="1" si="36"/>
        <v/>
      </c>
      <c r="N710" s="17" t="str">
        <f>IF(OR($A710="",$A710="Grand Total"),IF($A710="Grand Total",SUM($N$15:$N709),""),SUMPRODUCT((Table1[County]=SummaryPage!$A710)*(Table1[Status]&lt;&gt;"Complete")))</f>
        <v/>
      </c>
      <c r="O710" s="6" t="str">
        <f ca="1">IF($A710="Grand Total",SUM(INDIRECT(ADDRESS(1,COLUMN())&amp;":"&amp;ADDRESS(ROW()-1,COLUMN()))),IF(OR($A710="State Agencies",IFERROR(AND($L710&gt;='Input Sheet'!$J$2,$A710&lt;&gt;""),0)),$J710,""))</f>
        <v/>
      </c>
      <c r="P710" s="3" t="str">
        <f>IF(OR($A710="",$A710="Grand Total"),"",IF(IFERROR(ROUND($J710/$K710,2),1000)&gt;='Input Sheet'!$J$2,1,""))</f>
        <v/>
      </c>
      <c r="Q710" s="3" t="str">
        <f t="shared" si="38"/>
        <v/>
      </c>
      <c r="R710" s="3" t="str">
        <f>IF(OR($A710="",$A710="Grand Total"),"",AND($J710=0,(SUMPRODUCT((Table1[County]=SummaryPage!$A710)*(Table1[Status]="Not Started"))+SUMPRODUCT((Table1[County]=SummaryPage!$A710)*(Table1[Status]="")))=SUMPRODUCT((Table1[County]=SummaryPage!$A710)*(Table1[Status]&lt;&gt;"Q"))))</f>
        <v/>
      </c>
    </row>
    <row r="711" spans="11:18" x14ac:dyDescent="0.3">
      <c r="K711" s="28" t="str">
        <f>IF($A711="","",VLOOKUP('Input Sheet'!$D$2 &amp; " " &amp; $A711,Pop[#All],4,FALSE))</f>
        <v/>
      </c>
      <c r="L711" s="5" t="str">
        <f t="shared" si="37"/>
        <v/>
      </c>
      <c r="M711" s="7" t="str">
        <f t="shared" ca="1" si="36"/>
        <v/>
      </c>
      <c r="N711" s="17" t="str">
        <f>IF(OR($A711="",$A711="Grand Total"),IF($A711="Grand Total",SUM($N$15:$N710),""),SUMPRODUCT((Table1[County]=SummaryPage!$A711)*(Table1[Status]&lt;&gt;"Complete")))</f>
        <v/>
      </c>
      <c r="O711" s="6" t="str">
        <f ca="1">IF($A711="Grand Total",SUM(INDIRECT(ADDRESS(1,COLUMN())&amp;":"&amp;ADDRESS(ROW()-1,COLUMN()))),IF(OR($A711="State Agencies",IFERROR(AND($L711&gt;='Input Sheet'!$J$2,$A711&lt;&gt;""),0)),$J711,""))</f>
        <v/>
      </c>
      <c r="P711" s="3" t="str">
        <f>IF(OR($A711="",$A711="Grand Total"),"",IF(IFERROR(ROUND($J711/$K711,2),1000)&gt;='Input Sheet'!$J$2,1,""))</f>
        <v/>
      </c>
      <c r="Q711" s="3" t="str">
        <f t="shared" si="38"/>
        <v/>
      </c>
      <c r="R711" s="3" t="str">
        <f>IF(OR($A711="",$A711="Grand Total"),"",AND($J711=0,(SUMPRODUCT((Table1[County]=SummaryPage!$A711)*(Table1[Status]="Not Started"))+SUMPRODUCT((Table1[County]=SummaryPage!$A711)*(Table1[Status]="")))=SUMPRODUCT((Table1[County]=SummaryPage!$A711)*(Table1[Status]&lt;&gt;"Q"))))</f>
        <v/>
      </c>
    </row>
    <row r="712" spans="11:18" x14ac:dyDescent="0.3">
      <c r="K712" s="28" t="str">
        <f>IF($A712="","",VLOOKUP('Input Sheet'!$D$2 &amp; " " &amp; $A712,Pop[#All],4,FALSE))</f>
        <v/>
      </c>
      <c r="L712" s="5" t="str">
        <f t="shared" si="37"/>
        <v/>
      </c>
      <c r="M712" s="7" t="str">
        <f t="shared" ca="1" si="36"/>
        <v/>
      </c>
      <c r="N712" s="17" t="str">
        <f>IF(OR($A712="",$A712="Grand Total"),IF($A712="Grand Total",SUM($N$15:$N711),""),SUMPRODUCT((Table1[County]=SummaryPage!$A712)*(Table1[Status]&lt;&gt;"Complete")))</f>
        <v/>
      </c>
      <c r="O712" s="6" t="str">
        <f ca="1">IF($A712="Grand Total",SUM(INDIRECT(ADDRESS(1,COLUMN())&amp;":"&amp;ADDRESS(ROW()-1,COLUMN()))),IF(OR($A712="State Agencies",IFERROR(AND($L712&gt;='Input Sheet'!$J$2,$A712&lt;&gt;""),0)),$J712,""))</f>
        <v/>
      </c>
      <c r="P712" s="3" t="str">
        <f>IF(OR($A712="",$A712="Grand Total"),"",IF(IFERROR(ROUND($J712/$K712,2),1000)&gt;='Input Sheet'!$J$2,1,""))</f>
        <v/>
      </c>
      <c r="Q712" s="3" t="str">
        <f t="shared" si="38"/>
        <v/>
      </c>
      <c r="R712" s="3" t="str">
        <f>IF(OR($A712="",$A712="Grand Total"),"",AND($J712=0,(SUMPRODUCT((Table1[County]=SummaryPage!$A712)*(Table1[Status]="Not Started"))+SUMPRODUCT((Table1[County]=SummaryPage!$A712)*(Table1[Status]="")))=SUMPRODUCT((Table1[County]=SummaryPage!$A712)*(Table1[Status]&lt;&gt;"Q"))))</f>
        <v/>
      </c>
    </row>
    <row r="713" spans="11:18" x14ac:dyDescent="0.3">
      <c r="K713" s="28" t="str">
        <f>IF($A713="","",VLOOKUP('Input Sheet'!$D$2 &amp; " " &amp; $A713,Pop[#All],4,FALSE))</f>
        <v/>
      </c>
      <c r="L713" s="5" t="str">
        <f t="shared" si="37"/>
        <v/>
      </c>
      <c r="M713" s="7" t="str">
        <f t="shared" ca="1" si="36"/>
        <v/>
      </c>
      <c r="N713" s="17" t="str">
        <f>IF(OR($A713="",$A713="Grand Total"),IF($A713="Grand Total",SUM($N$15:$N712),""),SUMPRODUCT((Table1[County]=SummaryPage!$A713)*(Table1[Status]&lt;&gt;"Complete")))</f>
        <v/>
      </c>
      <c r="O713" s="6" t="str">
        <f ca="1">IF($A713="Grand Total",SUM(INDIRECT(ADDRESS(1,COLUMN())&amp;":"&amp;ADDRESS(ROW()-1,COLUMN()))),IF(OR($A713="State Agencies",IFERROR(AND($L713&gt;='Input Sheet'!$J$2,$A713&lt;&gt;""),0)),$J713,""))</f>
        <v/>
      </c>
      <c r="P713" s="3" t="str">
        <f>IF(OR($A713="",$A713="Grand Total"),"",IF(IFERROR(ROUND($J713/$K713,2),1000)&gt;='Input Sheet'!$J$2,1,""))</f>
        <v/>
      </c>
      <c r="Q713" s="3" t="str">
        <f t="shared" si="38"/>
        <v/>
      </c>
      <c r="R713" s="3" t="str">
        <f>IF(OR($A713="",$A713="Grand Total"),"",AND($J713=0,(SUMPRODUCT((Table1[County]=SummaryPage!$A713)*(Table1[Status]="Not Started"))+SUMPRODUCT((Table1[County]=SummaryPage!$A713)*(Table1[Status]="")))=SUMPRODUCT((Table1[County]=SummaryPage!$A713)*(Table1[Status]&lt;&gt;"Q"))))</f>
        <v/>
      </c>
    </row>
    <row r="714" spans="11:18" x14ac:dyDescent="0.3">
      <c r="K714" s="28" t="str">
        <f>IF($A714="","",VLOOKUP('Input Sheet'!$D$2 &amp; " " &amp; $A714,Pop[#All],4,FALSE))</f>
        <v/>
      </c>
      <c r="L714" s="5" t="str">
        <f t="shared" si="37"/>
        <v/>
      </c>
      <c r="M714" s="7" t="str">
        <f t="shared" ca="1" si="36"/>
        <v/>
      </c>
      <c r="N714" s="17" t="str">
        <f>IF(OR($A714="",$A714="Grand Total"),IF($A714="Grand Total",SUM($N$15:$N713),""),SUMPRODUCT((Table1[County]=SummaryPage!$A714)*(Table1[Status]&lt;&gt;"Complete")))</f>
        <v/>
      </c>
      <c r="O714" s="6" t="str">
        <f ca="1">IF($A714="Grand Total",SUM(INDIRECT(ADDRESS(1,COLUMN())&amp;":"&amp;ADDRESS(ROW()-1,COLUMN()))),IF(OR($A714="State Agencies",IFERROR(AND($L714&gt;='Input Sheet'!$J$2,$A714&lt;&gt;""),0)),$J714,""))</f>
        <v/>
      </c>
      <c r="P714" s="3" t="str">
        <f>IF(OR($A714="",$A714="Grand Total"),"",IF(IFERROR(ROUND($J714/$K714,2),1000)&gt;='Input Sheet'!$J$2,1,""))</f>
        <v/>
      </c>
      <c r="Q714" s="3" t="str">
        <f t="shared" si="38"/>
        <v/>
      </c>
      <c r="R714" s="3" t="str">
        <f>IF(OR($A714="",$A714="Grand Total"),"",AND($J714=0,(SUMPRODUCT((Table1[County]=SummaryPage!$A714)*(Table1[Status]="Not Started"))+SUMPRODUCT((Table1[County]=SummaryPage!$A714)*(Table1[Status]="")))=SUMPRODUCT((Table1[County]=SummaryPage!$A714)*(Table1[Status]&lt;&gt;"Q"))))</f>
        <v/>
      </c>
    </row>
    <row r="715" spans="11:18" x14ac:dyDescent="0.3">
      <c r="K715" s="28" t="str">
        <f>IF($A715="","",VLOOKUP('Input Sheet'!$D$2 &amp; " " &amp; $A715,Pop[#All],4,FALSE))</f>
        <v/>
      </c>
      <c r="L715" s="5" t="str">
        <f t="shared" si="37"/>
        <v/>
      </c>
      <c r="M715" s="7" t="str">
        <f t="shared" ca="1" si="36"/>
        <v/>
      </c>
      <c r="N715" s="17" t="str">
        <f>IF(OR($A715="",$A715="Grand Total"),IF($A715="Grand Total",SUM($N$15:$N714),""),SUMPRODUCT((Table1[County]=SummaryPage!$A715)*(Table1[Status]&lt;&gt;"Complete")))</f>
        <v/>
      </c>
      <c r="O715" s="6" t="str">
        <f ca="1">IF($A715="Grand Total",SUM(INDIRECT(ADDRESS(1,COLUMN())&amp;":"&amp;ADDRESS(ROW()-1,COLUMN()))),IF(OR($A715="State Agencies",IFERROR(AND($L715&gt;='Input Sheet'!$J$2,$A715&lt;&gt;""),0)),$J715,""))</f>
        <v/>
      </c>
      <c r="P715" s="3" t="str">
        <f>IF(OR($A715="",$A715="Grand Total"),"",IF(IFERROR(ROUND($J715/$K715,2),1000)&gt;='Input Sheet'!$J$2,1,""))</f>
        <v/>
      </c>
      <c r="Q715" s="3" t="str">
        <f t="shared" si="38"/>
        <v/>
      </c>
      <c r="R715" s="3" t="str">
        <f>IF(OR($A715="",$A715="Grand Total"),"",AND($J715=0,(SUMPRODUCT((Table1[County]=SummaryPage!$A715)*(Table1[Status]="Not Started"))+SUMPRODUCT((Table1[County]=SummaryPage!$A715)*(Table1[Status]="")))=SUMPRODUCT((Table1[County]=SummaryPage!$A715)*(Table1[Status]&lt;&gt;"Q"))))</f>
        <v/>
      </c>
    </row>
    <row r="716" spans="11:18" x14ac:dyDescent="0.3">
      <c r="K716" s="28" t="str">
        <f>IF($A716="","",VLOOKUP('Input Sheet'!$D$2 &amp; " " &amp; $A716,Pop[#All],4,FALSE))</f>
        <v/>
      </c>
      <c r="L716" s="5" t="str">
        <f t="shared" si="37"/>
        <v/>
      </c>
      <c r="M716" s="7" t="str">
        <f t="shared" ca="1" si="36"/>
        <v/>
      </c>
      <c r="N716" s="17" t="str">
        <f>IF(OR($A716="",$A716="Grand Total"),IF($A716="Grand Total",SUM($N$15:$N715),""),SUMPRODUCT((Table1[County]=SummaryPage!$A716)*(Table1[Status]&lt;&gt;"Complete")))</f>
        <v/>
      </c>
      <c r="O716" s="6" t="str">
        <f ca="1">IF($A716="Grand Total",SUM(INDIRECT(ADDRESS(1,COLUMN())&amp;":"&amp;ADDRESS(ROW()-1,COLUMN()))),IF(OR($A716="State Agencies",IFERROR(AND($L716&gt;='Input Sheet'!$J$2,$A716&lt;&gt;""),0)),$J716,""))</f>
        <v/>
      </c>
      <c r="P716" s="3" t="str">
        <f>IF(OR($A716="",$A716="Grand Total"),"",IF(IFERROR(ROUND($J716/$K716,2),1000)&gt;='Input Sheet'!$J$2,1,""))</f>
        <v/>
      </c>
      <c r="Q716" s="3" t="str">
        <f t="shared" si="38"/>
        <v/>
      </c>
      <c r="R716" s="3" t="str">
        <f>IF(OR($A716="",$A716="Grand Total"),"",AND($J716=0,(SUMPRODUCT((Table1[County]=SummaryPage!$A716)*(Table1[Status]="Not Started"))+SUMPRODUCT((Table1[County]=SummaryPage!$A716)*(Table1[Status]="")))=SUMPRODUCT((Table1[County]=SummaryPage!$A716)*(Table1[Status]&lt;&gt;"Q"))))</f>
        <v/>
      </c>
    </row>
    <row r="717" spans="11:18" x14ac:dyDescent="0.3">
      <c r="K717" s="28" t="str">
        <f>IF($A717="","",VLOOKUP('Input Sheet'!$D$2 &amp; " " &amp; $A717,Pop[#All],4,FALSE))</f>
        <v/>
      </c>
      <c r="L717" s="5" t="str">
        <f t="shared" si="37"/>
        <v/>
      </c>
      <c r="M717" s="7" t="str">
        <f t="shared" ca="1" si="36"/>
        <v/>
      </c>
      <c r="N717" s="17" t="str">
        <f>IF(OR($A717="",$A717="Grand Total"),IF($A717="Grand Total",SUM($N$15:$N716),""),SUMPRODUCT((Table1[County]=SummaryPage!$A717)*(Table1[Status]&lt;&gt;"Complete")))</f>
        <v/>
      </c>
      <c r="O717" s="6" t="str">
        <f ca="1">IF($A717="Grand Total",SUM(INDIRECT(ADDRESS(1,COLUMN())&amp;":"&amp;ADDRESS(ROW()-1,COLUMN()))),IF(OR($A717="State Agencies",IFERROR(AND($L717&gt;='Input Sheet'!$J$2,$A717&lt;&gt;""),0)),$J717,""))</f>
        <v/>
      </c>
      <c r="P717" s="3" t="str">
        <f>IF(OR($A717="",$A717="Grand Total"),"",IF(IFERROR(ROUND($J717/$K717,2),1000)&gt;='Input Sheet'!$J$2,1,""))</f>
        <v/>
      </c>
      <c r="Q717" s="3" t="str">
        <f t="shared" si="38"/>
        <v/>
      </c>
      <c r="R717" s="3" t="str">
        <f>IF(OR($A717="",$A717="Grand Total"),"",AND($J717=0,(SUMPRODUCT((Table1[County]=SummaryPage!$A717)*(Table1[Status]="Not Started"))+SUMPRODUCT((Table1[County]=SummaryPage!$A717)*(Table1[Status]="")))=SUMPRODUCT((Table1[County]=SummaryPage!$A717)*(Table1[Status]&lt;&gt;"Q"))))</f>
        <v/>
      </c>
    </row>
    <row r="718" spans="11:18" x14ac:dyDescent="0.3">
      <c r="K718" s="28" t="str">
        <f>IF($A718="","",VLOOKUP('Input Sheet'!$D$2 &amp; " " &amp; $A718,Pop[#All],4,FALSE))</f>
        <v/>
      </c>
      <c r="L718" s="5" t="str">
        <f t="shared" si="37"/>
        <v/>
      </c>
      <c r="M718" s="7" t="str">
        <f t="shared" ca="1" si="36"/>
        <v/>
      </c>
      <c r="N718" s="17" t="str">
        <f>IF(OR($A718="",$A718="Grand Total"),IF($A718="Grand Total",SUM($N$15:$N717),""),SUMPRODUCT((Table1[County]=SummaryPage!$A718)*(Table1[Status]&lt;&gt;"Complete")))</f>
        <v/>
      </c>
      <c r="O718" s="6" t="str">
        <f ca="1">IF($A718="Grand Total",SUM(INDIRECT(ADDRESS(1,COLUMN())&amp;":"&amp;ADDRESS(ROW()-1,COLUMN()))),IF(OR($A718="State Agencies",IFERROR(AND($L718&gt;='Input Sheet'!$J$2,$A718&lt;&gt;""),0)),$J718,""))</f>
        <v/>
      </c>
      <c r="P718" s="3" t="str">
        <f>IF(OR($A718="",$A718="Grand Total"),"",IF(IFERROR(ROUND($J718/$K718,2),1000)&gt;='Input Sheet'!$J$2,1,""))</f>
        <v/>
      </c>
      <c r="Q718" s="3" t="str">
        <f t="shared" si="38"/>
        <v/>
      </c>
      <c r="R718" s="3" t="str">
        <f>IF(OR($A718="",$A718="Grand Total"),"",AND($J718=0,(SUMPRODUCT((Table1[County]=SummaryPage!$A718)*(Table1[Status]="Not Started"))+SUMPRODUCT((Table1[County]=SummaryPage!$A718)*(Table1[Status]="")))=SUMPRODUCT((Table1[County]=SummaryPage!$A718)*(Table1[Status]&lt;&gt;"Q"))))</f>
        <v/>
      </c>
    </row>
    <row r="719" spans="11:18" x14ac:dyDescent="0.3">
      <c r="K719" s="28" t="str">
        <f>IF($A719="","",VLOOKUP('Input Sheet'!$D$2 &amp; " " &amp; $A719,Pop[#All],4,FALSE))</f>
        <v/>
      </c>
      <c r="L719" s="5" t="str">
        <f t="shared" si="37"/>
        <v/>
      </c>
      <c r="M719" s="7" t="str">
        <f t="shared" ref="M719:M782" ca="1" si="39">IF(A719="Grand Total","",IF(ISNUMBER($O719),$O719*2/SUM($O:$O),""))</f>
        <v/>
      </c>
      <c r="N719" s="17" t="str">
        <f>IF(OR($A719="",$A719="Grand Total"),IF($A719="Grand Total",SUM($N$15:$N718),""),SUMPRODUCT((Table1[County]=SummaryPage!$A719)*(Table1[Status]&lt;&gt;"Complete")))</f>
        <v/>
      </c>
      <c r="O719" s="6" t="str">
        <f ca="1">IF($A719="Grand Total",SUM(INDIRECT(ADDRESS(1,COLUMN())&amp;":"&amp;ADDRESS(ROW()-1,COLUMN()))),IF(OR($A719="State Agencies",IFERROR(AND($L719&gt;='Input Sheet'!$J$2,$A719&lt;&gt;""),0)),$J719,""))</f>
        <v/>
      </c>
      <c r="P719" s="3" t="str">
        <f>IF(OR($A719="",$A719="Grand Total"),"",IF(IFERROR(ROUND($J719/$K719,2),1000)&gt;='Input Sheet'!$J$2,1,""))</f>
        <v/>
      </c>
      <c r="Q719" s="3" t="str">
        <f t="shared" si="38"/>
        <v/>
      </c>
      <c r="R719" s="3" t="str">
        <f>IF(OR($A719="",$A719="Grand Total"),"",AND($J719=0,(SUMPRODUCT((Table1[County]=SummaryPage!$A719)*(Table1[Status]="Not Started"))+SUMPRODUCT((Table1[County]=SummaryPage!$A719)*(Table1[Status]="")))=SUMPRODUCT((Table1[County]=SummaryPage!$A719)*(Table1[Status]&lt;&gt;"Q"))))</f>
        <v/>
      </c>
    </row>
    <row r="720" spans="11:18" x14ac:dyDescent="0.3">
      <c r="K720" s="28" t="str">
        <f>IF($A720="","",VLOOKUP('Input Sheet'!$D$2 &amp; " " &amp; $A720,Pop[#All],4,FALSE))</f>
        <v/>
      </c>
      <c r="L720" s="5" t="str">
        <f t="shared" ref="L720:L783" si="40">IFERROR(IF($A720="","",ROUND($J720/$K720,2)),"")</f>
        <v/>
      </c>
      <c r="M720" s="7" t="str">
        <f t="shared" ca="1" si="39"/>
        <v/>
      </c>
      <c r="N720" s="17" t="str">
        <f>IF(OR($A720="",$A720="Grand Total"),IF($A720="Grand Total",SUM($N$15:$N719),""),SUMPRODUCT((Table1[County]=SummaryPage!$A720)*(Table1[Status]&lt;&gt;"Complete")))</f>
        <v/>
      </c>
      <c r="O720" s="6" t="str">
        <f ca="1">IF($A720="Grand Total",SUM(INDIRECT(ADDRESS(1,COLUMN())&amp;":"&amp;ADDRESS(ROW()-1,COLUMN()))),IF(OR($A720="State Agencies",IFERROR(AND($L720&gt;='Input Sheet'!$J$2,$A720&lt;&gt;""),0)),$J720,""))</f>
        <v/>
      </c>
      <c r="P720" s="3" t="str">
        <f>IF(OR($A720="",$A720="Grand Total"),"",IF(IFERROR(ROUND($J720/$K720,2),1000)&gt;='Input Sheet'!$J$2,1,""))</f>
        <v/>
      </c>
      <c r="Q720" s="3" t="str">
        <f t="shared" ref="Q720:Q783" si="41">IFERROR($L720*$P720,"")</f>
        <v/>
      </c>
      <c r="R720" s="3" t="str">
        <f>IF(OR($A720="",$A720="Grand Total"),"",AND($J720=0,(SUMPRODUCT((Table1[County]=SummaryPage!$A720)*(Table1[Status]="Not Started"))+SUMPRODUCT((Table1[County]=SummaryPage!$A720)*(Table1[Status]="")))=SUMPRODUCT((Table1[County]=SummaryPage!$A720)*(Table1[Status]&lt;&gt;"Q"))))</f>
        <v/>
      </c>
    </row>
    <row r="721" spans="11:18" x14ac:dyDescent="0.3">
      <c r="K721" s="28" t="str">
        <f>IF($A721="","",VLOOKUP('Input Sheet'!$D$2 &amp; " " &amp; $A721,Pop[#All],4,FALSE))</f>
        <v/>
      </c>
      <c r="L721" s="5" t="str">
        <f t="shared" si="40"/>
        <v/>
      </c>
      <c r="M721" s="7" t="str">
        <f t="shared" ca="1" si="39"/>
        <v/>
      </c>
      <c r="N721" s="17" t="str">
        <f>IF(OR($A721="",$A721="Grand Total"),IF($A721="Grand Total",SUM($N$15:$N720),""),SUMPRODUCT((Table1[County]=SummaryPage!$A721)*(Table1[Status]&lt;&gt;"Complete")))</f>
        <v/>
      </c>
      <c r="O721" s="6" t="str">
        <f ca="1">IF($A721="Grand Total",SUM(INDIRECT(ADDRESS(1,COLUMN())&amp;":"&amp;ADDRESS(ROW()-1,COLUMN()))),IF(OR($A721="State Agencies",IFERROR(AND($L721&gt;='Input Sheet'!$J$2,$A721&lt;&gt;""),0)),$J721,""))</f>
        <v/>
      </c>
      <c r="P721" s="3" t="str">
        <f>IF(OR($A721="",$A721="Grand Total"),"",IF(IFERROR(ROUND($J721/$K721,2),1000)&gt;='Input Sheet'!$J$2,1,""))</f>
        <v/>
      </c>
      <c r="Q721" s="3" t="str">
        <f t="shared" si="41"/>
        <v/>
      </c>
      <c r="R721" s="3" t="str">
        <f>IF(OR($A721="",$A721="Grand Total"),"",AND($J721=0,(SUMPRODUCT((Table1[County]=SummaryPage!$A721)*(Table1[Status]="Not Started"))+SUMPRODUCT((Table1[County]=SummaryPage!$A721)*(Table1[Status]="")))=SUMPRODUCT((Table1[County]=SummaryPage!$A721)*(Table1[Status]&lt;&gt;"Q"))))</f>
        <v/>
      </c>
    </row>
    <row r="722" spans="11:18" x14ac:dyDescent="0.3">
      <c r="K722" s="28" t="str">
        <f>IF($A722="","",VLOOKUP('Input Sheet'!$D$2 &amp; " " &amp; $A722,Pop[#All],4,FALSE))</f>
        <v/>
      </c>
      <c r="L722" s="5" t="str">
        <f t="shared" si="40"/>
        <v/>
      </c>
      <c r="M722" s="7" t="str">
        <f t="shared" ca="1" si="39"/>
        <v/>
      </c>
      <c r="N722" s="17" t="str">
        <f>IF(OR($A722="",$A722="Grand Total"),IF($A722="Grand Total",SUM($N$15:$N721),""),SUMPRODUCT((Table1[County]=SummaryPage!$A722)*(Table1[Status]&lt;&gt;"Complete")))</f>
        <v/>
      </c>
      <c r="O722" s="6" t="str">
        <f ca="1">IF($A722="Grand Total",SUM(INDIRECT(ADDRESS(1,COLUMN())&amp;":"&amp;ADDRESS(ROW()-1,COLUMN()))),IF(OR($A722="State Agencies",IFERROR(AND($L722&gt;='Input Sheet'!$J$2,$A722&lt;&gt;""),0)),$J722,""))</f>
        <v/>
      </c>
      <c r="P722" s="3" t="str">
        <f>IF(OR($A722="",$A722="Grand Total"),"",IF(IFERROR(ROUND($J722/$K722,2),1000)&gt;='Input Sheet'!$J$2,1,""))</f>
        <v/>
      </c>
      <c r="Q722" s="3" t="str">
        <f t="shared" si="41"/>
        <v/>
      </c>
      <c r="R722" s="3" t="str">
        <f>IF(OR($A722="",$A722="Grand Total"),"",AND($J722=0,(SUMPRODUCT((Table1[County]=SummaryPage!$A722)*(Table1[Status]="Not Started"))+SUMPRODUCT((Table1[County]=SummaryPage!$A722)*(Table1[Status]="")))=SUMPRODUCT((Table1[County]=SummaryPage!$A722)*(Table1[Status]&lt;&gt;"Q"))))</f>
        <v/>
      </c>
    </row>
    <row r="723" spans="11:18" x14ac:dyDescent="0.3">
      <c r="K723" s="28" t="str">
        <f>IF($A723="","",VLOOKUP('Input Sheet'!$D$2 &amp; " " &amp; $A723,Pop[#All],4,FALSE))</f>
        <v/>
      </c>
      <c r="L723" s="5" t="str">
        <f t="shared" si="40"/>
        <v/>
      </c>
      <c r="M723" s="7" t="str">
        <f t="shared" ca="1" si="39"/>
        <v/>
      </c>
      <c r="N723" s="17" t="str">
        <f>IF(OR($A723="",$A723="Grand Total"),IF($A723="Grand Total",SUM($N$15:$N722),""),SUMPRODUCT((Table1[County]=SummaryPage!$A723)*(Table1[Status]&lt;&gt;"Complete")))</f>
        <v/>
      </c>
      <c r="O723" s="6" t="str">
        <f ca="1">IF($A723="Grand Total",SUM(INDIRECT(ADDRESS(1,COLUMN())&amp;":"&amp;ADDRESS(ROW()-1,COLUMN()))),IF(OR($A723="State Agencies",IFERROR(AND($L723&gt;='Input Sheet'!$J$2,$A723&lt;&gt;""),0)),$J723,""))</f>
        <v/>
      </c>
      <c r="P723" s="3" t="str">
        <f>IF(OR($A723="",$A723="Grand Total"),"",IF(IFERROR(ROUND($J723/$K723,2),1000)&gt;='Input Sheet'!$J$2,1,""))</f>
        <v/>
      </c>
      <c r="Q723" s="3" t="str">
        <f t="shared" si="41"/>
        <v/>
      </c>
      <c r="R723" s="3" t="str">
        <f>IF(OR($A723="",$A723="Grand Total"),"",AND($J723=0,(SUMPRODUCT((Table1[County]=SummaryPage!$A723)*(Table1[Status]="Not Started"))+SUMPRODUCT((Table1[County]=SummaryPage!$A723)*(Table1[Status]="")))=SUMPRODUCT((Table1[County]=SummaryPage!$A723)*(Table1[Status]&lt;&gt;"Q"))))</f>
        <v/>
      </c>
    </row>
    <row r="724" spans="11:18" x14ac:dyDescent="0.3">
      <c r="K724" s="28" t="str">
        <f>IF($A724="","",VLOOKUP('Input Sheet'!$D$2 &amp; " " &amp; $A724,Pop[#All],4,FALSE))</f>
        <v/>
      </c>
      <c r="L724" s="5" t="str">
        <f t="shared" si="40"/>
        <v/>
      </c>
      <c r="M724" s="7" t="str">
        <f t="shared" ca="1" si="39"/>
        <v/>
      </c>
      <c r="N724" s="17" t="str">
        <f>IF(OR($A724="",$A724="Grand Total"),IF($A724="Grand Total",SUM($N$15:$N723),""),SUMPRODUCT((Table1[County]=SummaryPage!$A724)*(Table1[Status]&lt;&gt;"Complete")))</f>
        <v/>
      </c>
      <c r="O724" s="6" t="str">
        <f ca="1">IF($A724="Grand Total",SUM(INDIRECT(ADDRESS(1,COLUMN())&amp;":"&amp;ADDRESS(ROW()-1,COLUMN()))),IF(OR($A724="State Agencies",IFERROR(AND($L724&gt;='Input Sheet'!$J$2,$A724&lt;&gt;""),0)),$J724,""))</f>
        <v/>
      </c>
      <c r="P724" s="3" t="str">
        <f>IF(OR($A724="",$A724="Grand Total"),"",IF(IFERROR(ROUND($J724/$K724,2),1000)&gt;='Input Sheet'!$J$2,1,""))</f>
        <v/>
      </c>
      <c r="Q724" s="3" t="str">
        <f t="shared" si="41"/>
        <v/>
      </c>
      <c r="R724" s="3" t="str">
        <f>IF(OR($A724="",$A724="Grand Total"),"",AND($J724=0,(SUMPRODUCT((Table1[County]=SummaryPage!$A724)*(Table1[Status]="Not Started"))+SUMPRODUCT((Table1[County]=SummaryPage!$A724)*(Table1[Status]="")))=SUMPRODUCT((Table1[County]=SummaryPage!$A724)*(Table1[Status]&lt;&gt;"Q"))))</f>
        <v/>
      </c>
    </row>
    <row r="725" spans="11:18" x14ac:dyDescent="0.3">
      <c r="K725" s="28" t="str">
        <f>IF($A725="","",VLOOKUP('Input Sheet'!$D$2 &amp; " " &amp; $A725,Pop[#All],4,FALSE))</f>
        <v/>
      </c>
      <c r="L725" s="5" t="str">
        <f t="shared" si="40"/>
        <v/>
      </c>
      <c r="M725" s="7" t="str">
        <f t="shared" ca="1" si="39"/>
        <v/>
      </c>
      <c r="N725" s="17" t="str">
        <f>IF(OR($A725="",$A725="Grand Total"),IF($A725="Grand Total",SUM($N$15:$N724),""),SUMPRODUCT((Table1[County]=SummaryPage!$A725)*(Table1[Status]&lt;&gt;"Complete")))</f>
        <v/>
      </c>
      <c r="O725" s="6" t="str">
        <f ca="1">IF($A725="Grand Total",SUM(INDIRECT(ADDRESS(1,COLUMN())&amp;":"&amp;ADDRESS(ROW()-1,COLUMN()))),IF(OR($A725="State Agencies",IFERROR(AND($L725&gt;='Input Sheet'!$J$2,$A725&lt;&gt;""),0)),$J725,""))</f>
        <v/>
      </c>
      <c r="P725" s="3" t="str">
        <f>IF(OR($A725="",$A725="Grand Total"),"",IF(IFERROR(ROUND($J725/$K725,2),1000)&gt;='Input Sheet'!$J$2,1,""))</f>
        <v/>
      </c>
      <c r="Q725" s="3" t="str">
        <f t="shared" si="41"/>
        <v/>
      </c>
      <c r="R725" s="3" t="str">
        <f>IF(OR($A725="",$A725="Grand Total"),"",AND($J725=0,(SUMPRODUCT((Table1[County]=SummaryPage!$A725)*(Table1[Status]="Not Started"))+SUMPRODUCT((Table1[County]=SummaryPage!$A725)*(Table1[Status]="")))=SUMPRODUCT((Table1[County]=SummaryPage!$A725)*(Table1[Status]&lt;&gt;"Q"))))</f>
        <v/>
      </c>
    </row>
    <row r="726" spans="11:18" x14ac:dyDescent="0.3">
      <c r="K726" s="28" t="str">
        <f>IF($A726="","",VLOOKUP('Input Sheet'!$D$2 &amp; " " &amp; $A726,Pop[#All],4,FALSE))</f>
        <v/>
      </c>
      <c r="L726" s="5" t="str">
        <f t="shared" si="40"/>
        <v/>
      </c>
      <c r="M726" s="7" t="str">
        <f t="shared" ca="1" si="39"/>
        <v/>
      </c>
      <c r="N726" s="17" t="str">
        <f>IF(OR($A726="",$A726="Grand Total"),IF($A726="Grand Total",SUM($N$15:$N725),""),SUMPRODUCT((Table1[County]=SummaryPage!$A726)*(Table1[Status]&lt;&gt;"Complete")))</f>
        <v/>
      </c>
      <c r="O726" s="6" t="str">
        <f ca="1">IF($A726="Grand Total",SUM(INDIRECT(ADDRESS(1,COLUMN())&amp;":"&amp;ADDRESS(ROW()-1,COLUMN()))),IF(OR($A726="State Agencies",IFERROR(AND($L726&gt;='Input Sheet'!$J$2,$A726&lt;&gt;""),0)),$J726,""))</f>
        <v/>
      </c>
      <c r="P726" s="3" t="str">
        <f>IF(OR($A726="",$A726="Grand Total"),"",IF(IFERROR(ROUND($J726/$K726,2),1000)&gt;='Input Sheet'!$J$2,1,""))</f>
        <v/>
      </c>
      <c r="Q726" s="3" t="str">
        <f t="shared" si="41"/>
        <v/>
      </c>
      <c r="R726" s="3" t="str">
        <f>IF(OR($A726="",$A726="Grand Total"),"",AND($J726=0,(SUMPRODUCT((Table1[County]=SummaryPage!$A726)*(Table1[Status]="Not Started"))+SUMPRODUCT((Table1[County]=SummaryPage!$A726)*(Table1[Status]="")))=SUMPRODUCT((Table1[County]=SummaryPage!$A726)*(Table1[Status]&lt;&gt;"Q"))))</f>
        <v/>
      </c>
    </row>
    <row r="727" spans="11:18" x14ac:dyDescent="0.3">
      <c r="K727" s="28" t="str">
        <f>IF($A727="","",VLOOKUP('Input Sheet'!$D$2 &amp; " " &amp; $A727,Pop[#All],4,FALSE))</f>
        <v/>
      </c>
      <c r="L727" s="5" t="str">
        <f t="shared" si="40"/>
        <v/>
      </c>
      <c r="M727" s="7" t="str">
        <f t="shared" ca="1" si="39"/>
        <v/>
      </c>
      <c r="N727" s="17" t="str">
        <f>IF(OR($A727="",$A727="Grand Total"),IF($A727="Grand Total",SUM($N$15:$N726),""),SUMPRODUCT((Table1[County]=SummaryPage!$A727)*(Table1[Status]&lt;&gt;"Complete")))</f>
        <v/>
      </c>
      <c r="O727" s="6" t="str">
        <f ca="1">IF($A727="Grand Total",SUM(INDIRECT(ADDRESS(1,COLUMN())&amp;":"&amp;ADDRESS(ROW()-1,COLUMN()))),IF(OR($A727="State Agencies",IFERROR(AND($L727&gt;='Input Sheet'!$J$2,$A727&lt;&gt;""),0)),$J727,""))</f>
        <v/>
      </c>
      <c r="P727" s="3" t="str">
        <f>IF(OR($A727="",$A727="Grand Total"),"",IF(IFERROR(ROUND($J727/$K727,2),1000)&gt;='Input Sheet'!$J$2,1,""))</f>
        <v/>
      </c>
      <c r="Q727" s="3" t="str">
        <f t="shared" si="41"/>
        <v/>
      </c>
      <c r="R727" s="3" t="str">
        <f>IF(OR($A727="",$A727="Grand Total"),"",AND($J727=0,(SUMPRODUCT((Table1[County]=SummaryPage!$A727)*(Table1[Status]="Not Started"))+SUMPRODUCT((Table1[County]=SummaryPage!$A727)*(Table1[Status]="")))=SUMPRODUCT((Table1[County]=SummaryPage!$A727)*(Table1[Status]&lt;&gt;"Q"))))</f>
        <v/>
      </c>
    </row>
    <row r="728" spans="11:18" x14ac:dyDescent="0.3">
      <c r="K728" s="28" t="str">
        <f>IF($A728="","",VLOOKUP('Input Sheet'!$D$2 &amp; " " &amp; $A728,Pop[#All],4,FALSE))</f>
        <v/>
      </c>
      <c r="L728" s="5" t="str">
        <f t="shared" si="40"/>
        <v/>
      </c>
      <c r="M728" s="7" t="str">
        <f t="shared" ca="1" si="39"/>
        <v/>
      </c>
      <c r="N728" s="17" t="str">
        <f>IF(OR($A728="",$A728="Grand Total"),IF($A728="Grand Total",SUM($N$15:$N727),""),SUMPRODUCT((Table1[County]=SummaryPage!$A728)*(Table1[Status]&lt;&gt;"Complete")))</f>
        <v/>
      </c>
      <c r="O728" s="6" t="str">
        <f ca="1">IF($A728="Grand Total",SUM(INDIRECT(ADDRESS(1,COLUMN())&amp;":"&amp;ADDRESS(ROW()-1,COLUMN()))),IF(OR($A728="State Agencies",IFERROR(AND($L728&gt;='Input Sheet'!$J$2,$A728&lt;&gt;""),0)),$J728,""))</f>
        <v/>
      </c>
      <c r="P728" s="3" t="str">
        <f>IF(OR($A728="",$A728="Grand Total"),"",IF(IFERROR(ROUND($J728/$K728,2),1000)&gt;='Input Sheet'!$J$2,1,""))</f>
        <v/>
      </c>
      <c r="Q728" s="3" t="str">
        <f t="shared" si="41"/>
        <v/>
      </c>
      <c r="R728" s="3" t="str">
        <f>IF(OR($A728="",$A728="Grand Total"),"",AND($J728=0,(SUMPRODUCT((Table1[County]=SummaryPage!$A728)*(Table1[Status]="Not Started"))+SUMPRODUCT((Table1[County]=SummaryPage!$A728)*(Table1[Status]="")))=SUMPRODUCT((Table1[County]=SummaryPage!$A728)*(Table1[Status]&lt;&gt;"Q"))))</f>
        <v/>
      </c>
    </row>
    <row r="729" spans="11:18" x14ac:dyDescent="0.3">
      <c r="K729" s="28" t="str">
        <f>IF($A729="","",VLOOKUP('Input Sheet'!$D$2 &amp; " " &amp; $A729,Pop[#All],4,FALSE))</f>
        <v/>
      </c>
      <c r="L729" s="5" t="str">
        <f t="shared" si="40"/>
        <v/>
      </c>
      <c r="M729" s="7" t="str">
        <f t="shared" ca="1" si="39"/>
        <v/>
      </c>
      <c r="N729" s="17" t="str">
        <f>IF(OR($A729="",$A729="Grand Total"),IF($A729="Grand Total",SUM($N$15:$N728),""),SUMPRODUCT((Table1[County]=SummaryPage!$A729)*(Table1[Status]&lt;&gt;"Complete")))</f>
        <v/>
      </c>
      <c r="O729" s="6" t="str">
        <f ca="1">IF($A729="Grand Total",SUM(INDIRECT(ADDRESS(1,COLUMN())&amp;":"&amp;ADDRESS(ROW()-1,COLUMN()))),IF(OR($A729="State Agencies",IFERROR(AND($L729&gt;='Input Sheet'!$J$2,$A729&lt;&gt;""),0)),$J729,""))</f>
        <v/>
      </c>
      <c r="P729" s="3" t="str">
        <f>IF(OR($A729="",$A729="Grand Total"),"",IF(IFERROR(ROUND($J729/$K729,2),1000)&gt;='Input Sheet'!$J$2,1,""))</f>
        <v/>
      </c>
      <c r="Q729" s="3" t="str">
        <f t="shared" si="41"/>
        <v/>
      </c>
      <c r="R729" s="3" t="str">
        <f>IF(OR($A729="",$A729="Grand Total"),"",AND($J729=0,(SUMPRODUCT((Table1[County]=SummaryPage!$A729)*(Table1[Status]="Not Started"))+SUMPRODUCT((Table1[County]=SummaryPage!$A729)*(Table1[Status]="")))=SUMPRODUCT((Table1[County]=SummaryPage!$A729)*(Table1[Status]&lt;&gt;"Q"))))</f>
        <v/>
      </c>
    </row>
    <row r="730" spans="11:18" x14ac:dyDescent="0.3">
      <c r="K730" s="28" t="str">
        <f>IF($A730="","",VLOOKUP('Input Sheet'!$D$2 &amp; " " &amp; $A730,Pop[#All],4,FALSE))</f>
        <v/>
      </c>
      <c r="L730" s="5" t="str">
        <f t="shared" si="40"/>
        <v/>
      </c>
      <c r="M730" s="7" t="str">
        <f t="shared" ca="1" si="39"/>
        <v/>
      </c>
      <c r="N730" s="17" t="str">
        <f>IF(OR($A730="",$A730="Grand Total"),IF($A730="Grand Total",SUM($N$15:$N729),""),SUMPRODUCT((Table1[County]=SummaryPage!$A730)*(Table1[Status]&lt;&gt;"Complete")))</f>
        <v/>
      </c>
      <c r="O730" s="6" t="str">
        <f ca="1">IF($A730="Grand Total",SUM(INDIRECT(ADDRESS(1,COLUMN())&amp;":"&amp;ADDRESS(ROW()-1,COLUMN()))),IF(OR($A730="State Agencies",IFERROR(AND($L730&gt;='Input Sheet'!$J$2,$A730&lt;&gt;""),0)),$J730,""))</f>
        <v/>
      </c>
      <c r="P730" s="3" t="str">
        <f>IF(OR($A730="",$A730="Grand Total"),"",IF(IFERROR(ROUND($J730/$K730,2),1000)&gt;='Input Sheet'!$J$2,1,""))</f>
        <v/>
      </c>
      <c r="Q730" s="3" t="str">
        <f t="shared" si="41"/>
        <v/>
      </c>
      <c r="R730" s="3" t="str">
        <f>IF(OR($A730="",$A730="Grand Total"),"",AND($J730=0,(SUMPRODUCT((Table1[County]=SummaryPage!$A730)*(Table1[Status]="Not Started"))+SUMPRODUCT((Table1[County]=SummaryPage!$A730)*(Table1[Status]="")))=SUMPRODUCT((Table1[County]=SummaryPage!$A730)*(Table1[Status]&lt;&gt;"Q"))))</f>
        <v/>
      </c>
    </row>
    <row r="731" spans="11:18" x14ac:dyDescent="0.3">
      <c r="K731" s="28" t="str">
        <f>IF($A731="","",VLOOKUP('Input Sheet'!$D$2 &amp; " " &amp; $A731,Pop[#All],4,FALSE))</f>
        <v/>
      </c>
      <c r="L731" s="5" t="str">
        <f t="shared" si="40"/>
        <v/>
      </c>
      <c r="M731" s="7" t="str">
        <f t="shared" ca="1" si="39"/>
        <v/>
      </c>
      <c r="N731" s="17" t="str">
        <f>IF(OR($A731="",$A731="Grand Total"),IF($A731="Grand Total",SUM($N$15:$N730),""),SUMPRODUCT((Table1[County]=SummaryPage!$A731)*(Table1[Status]&lt;&gt;"Complete")))</f>
        <v/>
      </c>
      <c r="O731" s="6" t="str">
        <f ca="1">IF($A731="Grand Total",SUM(INDIRECT(ADDRESS(1,COLUMN())&amp;":"&amp;ADDRESS(ROW()-1,COLUMN()))),IF(OR($A731="State Agencies",IFERROR(AND($L731&gt;='Input Sheet'!$J$2,$A731&lt;&gt;""),0)),$J731,""))</f>
        <v/>
      </c>
      <c r="P731" s="3" t="str">
        <f>IF(OR($A731="",$A731="Grand Total"),"",IF(IFERROR(ROUND($J731/$K731,2),1000)&gt;='Input Sheet'!$J$2,1,""))</f>
        <v/>
      </c>
      <c r="Q731" s="3" t="str">
        <f t="shared" si="41"/>
        <v/>
      </c>
      <c r="R731" s="3" t="str">
        <f>IF(OR($A731="",$A731="Grand Total"),"",AND($J731=0,(SUMPRODUCT((Table1[County]=SummaryPage!$A731)*(Table1[Status]="Not Started"))+SUMPRODUCT((Table1[County]=SummaryPage!$A731)*(Table1[Status]="")))=SUMPRODUCT((Table1[County]=SummaryPage!$A731)*(Table1[Status]&lt;&gt;"Q"))))</f>
        <v/>
      </c>
    </row>
    <row r="732" spans="11:18" x14ac:dyDescent="0.3">
      <c r="K732" s="28" t="str">
        <f>IF($A732="","",VLOOKUP('Input Sheet'!$D$2 &amp; " " &amp; $A732,Pop[#All],4,FALSE))</f>
        <v/>
      </c>
      <c r="L732" s="5" t="str">
        <f t="shared" si="40"/>
        <v/>
      </c>
      <c r="M732" s="7" t="str">
        <f t="shared" ca="1" si="39"/>
        <v/>
      </c>
      <c r="N732" s="17" t="str">
        <f>IF(OR($A732="",$A732="Grand Total"),IF($A732="Grand Total",SUM($N$15:$N731),""),SUMPRODUCT((Table1[County]=SummaryPage!$A732)*(Table1[Status]&lt;&gt;"Complete")))</f>
        <v/>
      </c>
      <c r="O732" s="6" t="str">
        <f ca="1">IF($A732="Grand Total",SUM(INDIRECT(ADDRESS(1,COLUMN())&amp;":"&amp;ADDRESS(ROW()-1,COLUMN()))),IF(OR($A732="State Agencies",IFERROR(AND($L732&gt;='Input Sheet'!$J$2,$A732&lt;&gt;""),0)),$J732,""))</f>
        <v/>
      </c>
      <c r="P732" s="3" t="str">
        <f>IF(OR($A732="",$A732="Grand Total"),"",IF(IFERROR(ROUND($J732/$K732,2),1000)&gt;='Input Sheet'!$J$2,1,""))</f>
        <v/>
      </c>
      <c r="Q732" s="3" t="str">
        <f t="shared" si="41"/>
        <v/>
      </c>
      <c r="R732" s="3" t="str">
        <f>IF(OR($A732="",$A732="Grand Total"),"",AND($J732=0,(SUMPRODUCT((Table1[County]=SummaryPage!$A732)*(Table1[Status]="Not Started"))+SUMPRODUCT((Table1[County]=SummaryPage!$A732)*(Table1[Status]="")))=SUMPRODUCT((Table1[County]=SummaryPage!$A732)*(Table1[Status]&lt;&gt;"Q"))))</f>
        <v/>
      </c>
    </row>
    <row r="733" spans="11:18" x14ac:dyDescent="0.3">
      <c r="K733" s="28" t="str">
        <f>IF($A733="","",VLOOKUP('Input Sheet'!$D$2 &amp; " " &amp; $A733,Pop[#All],4,FALSE))</f>
        <v/>
      </c>
      <c r="L733" s="5" t="str">
        <f t="shared" si="40"/>
        <v/>
      </c>
      <c r="M733" s="7" t="str">
        <f t="shared" ca="1" si="39"/>
        <v/>
      </c>
      <c r="N733" s="17" t="str">
        <f>IF(OR($A733="",$A733="Grand Total"),IF($A733="Grand Total",SUM($N$15:$N732),""),SUMPRODUCT((Table1[County]=SummaryPage!$A733)*(Table1[Status]&lt;&gt;"Complete")))</f>
        <v/>
      </c>
      <c r="O733" s="6" t="str">
        <f ca="1">IF($A733="Grand Total",SUM(INDIRECT(ADDRESS(1,COLUMN())&amp;":"&amp;ADDRESS(ROW()-1,COLUMN()))),IF(OR($A733="State Agencies",IFERROR(AND($L733&gt;='Input Sheet'!$J$2,$A733&lt;&gt;""),0)),$J733,""))</f>
        <v/>
      </c>
      <c r="P733" s="3" t="str">
        <f>IF(OR($A733="",$A733="Grand Total"),"",IF(IFERROR(ROUND($J733/$K733,2),1000)&gt;='Input Sheet'!$J$2,1,""))</f>
        <v/>
      </c>
      <c r="Q733" s="3" t="str">
        <f t="shared" si="41"/>
        <v/>
      </c>
      <c r="R733" s="3" t="str">
        <f>IF(OR($A733="",$A733="Grand Total"),"",AND($J733=0,(SUMPRODUCT((Table1[County]=SummaryPage!$A733)*(Table1[Status]="Not Started"))+SUMPRODUCT((Table1[County]=SummaryPage!$A733)*(Table1[Status]="")))=SUMPRODUCT((Table1[County]=SummaryPage!$A733)*(Table1[Status]&lt;&gt;"Q"))))</f>
        <v/>
      </c>
    </row>
    <row r="734" spans="11:18" x14ac:dyDescent="0.3">
      <c r="K734" s="28" t="str">
        <f>IF($A734="","",VLOOKUP('Input Sheet'!$D$2 &amp; " " &amp; $A734,Pop[#All],4,FALSE))</f>
        <v/>
      </c>
      <c r="L734" s="5" t="str">
        <f t="shared" si="40"/>
        <v/>
      </c>
      <c r="M734" s="7" t="str">
        <f t="shared" ca="1" si="39"/>
        <v/>
      </c>
      <c r="N734" s="17" t="str">
        <f>IF(OR($A734="",$A734="Grand Total"),IF($A734="Grand Total",SUM($N$15:$N733),""),SUMPRODUCT((Table1[County]=SummaryPage!$A734)*(Table1[Status]&lt;&gt;"Complete")))</f>
        <v/>
      </c>
      <c r="O734" s="6" t="str">
        <f ca="1">IF($A734="Grand Total",SUM(INDIRECT(ADDRESS(1,COLUMN())&amp;":"&amp;ADDRESS(ROW()-1,COLUMN()))),IF(OR($A734="State Agencies",IFERROR(AND($L734&gt;='Input Sheet'!$J$2,$A734&lt;&gt;""),0)),$J734,""))</f>
        <v/>
      </c>
      <c r="P734" s="3" t="str">
        <f>IF(OR($A734="",$A734="Grand Total"),"",IF(IFERROR(ROUND($J734/$K734,2),1000)&gt;='Input Sheet'!$J$2,1,""))</f>
        <v/>
      </c>
      <c r="Q734" s="3" t="str">
        <f t="shared" si="41"/>
        <v/>
      </c>
      <c r="R734" s="3" t="str">
        <f>IF(OR($A734="",$A734="Grand Total"),"",AND($J734=0,(SUMPRODUCT((Table1[County]=SummaryPage!$A734)*(Table1[Status]="Not Started"))+SUMPRODUCT((Table1[County]=SummaryPage!$A734)*(Table1[Status]="")))=SUMPRODUCT((Table1[County]=SummaryPage!$A734)*(Table1[Status]&lt;&gt;"Q"))))</f>
        <v/>
      </c>
    </row>
    <row r="735" spans="11:18" x14ac:dyDescent="0.3">
      <c r="K735" s="28" t="str">
        <f>IF($A735="","",VLOOKUP('Input Sheet'!$D$2 &amp; " " &amp; $A735,Pop[#All],4,FALSE))</f>
        <v/>
      </c>
      <c r="L735" s="5" t="str">
        <f t="shared" si="40"/>
        <v/>
      </c>
      <c r="M735" s="7" t="str">
        <f t="shared" ca="1" si="39"/>
        <v/>
      </c>
      <c r="N735" s="17" t="str">
        <f>IF(OR($A735="",$A735="Grand Total"),IF($A735="Grand Total",SUM($N$15:$N734),""),SUMPRODUCT((Table1[County]=SummaryPage!$A735)*(Table1[Status]&lt;&gt;"Complete")))</f>
        <v/>
      </c>
      <c r="O735" s="6" t="str">
        <f ca="1">IF($A735="Grand Total",SUM(INDIRECT(ADDRESS(1,COLUMN())&amp;":"&amp;ADDRESS(ROW()-1,COLUMN()))),IF(OR($A735="State Agencies",IFERROR(AND($L735&gt;='Input Sheet'!$J$2,$A735&lt;&gt;""),0)),$J735,""))</f>
        <v/>
      </c>
      <c r="P735" s="3" t="str">
        <f>IF(OR($A735="",$A735="Grand Total"),"",IF(IFERROR(ROUND($J735/$K735,2),1000)&gt;='Input Sheet'!$J$2,1,""))</f>
        <v/>
      </c>
      <c r="Q735" s="3" t="str">
        <f t="shared" si="41"/>
        <v/>
      </c>
      <c r="R735" s="3" t="str">
        <f>IF(OR($A735="",$A735="Grand Total"),"",AND($J735=0,(SUMPRODUCT((Table1[County]=SummaryPage!$A735)*(Table1[Status]="Not Started"))+SUMPRODUCT((Table1[County]=SummaryPage!$A735)*(Table1[Status]="")))=SUMPRODUCT((Table1[County]=SummaryPage!$A735)*(Table1[Status]&lt;&gt;"Q"))))</f>
        <v/>
      </c>
    </row>
    <row r="736" spans="11:18" x14ac:dyDescent="0.3">
      <c r="K736" s="28" t="str">
        <f>IF($A736="","",VLOOKUP('Input Sheet'!$D$2 &amp; " " &amp; $A736,Pop[#All],4,FALSE))</f>
        <v/>
      </c>
      <c r="L736" s="5" t="str">
        <f t="shared" si="40"/>
        <v/>
      </c>
      <c r="M736" s="7" t="str">
        <f t="shared" ca="1" si="39"/>
        <v/>
      </c>
      <c r="N736" s="17" t="str">
        <f>IF(OR($A736="",$A736="Grand Total"),IF($A736="Grand Total",SUM($N$15:$N735),""),SUMPRODUCT((Table1[County]=SummaryPage!$A736)*(Table1[Status]&lt;&gt;"Complete")))</f>
        <v/>
      </c>
      <c r="O736" s="6" t="str">
        <f ca="1">IF($A736="Grand Total",SUM(INDIRECT(ADDRESS(1,COLUMN())&amp;":"&amp;ADDRESS(ROW()-1,COLUMN()))),IF(OR($A736="State Agencies",IFERROR(AND($L736&gt;='Input Sheet'!$J$2,$A736&lt;&gt;""),0)),$J736,""))</f>
        <v/>
      </c>
      <c r="P736" s="3" t="str">
        <f>IF(OR($A736="",$A736="Grand Total"),"",IF(IFERROR(ROUND($J736/$K736,2),1000)&gt;='Input Sheet'!$J$2,1,""))</f>
        <v/>
      </c>
      <c r="Q736" s="3" t="str">
        <f t="shared" si="41"/>
        <v/>
      </c>
      <c r="R736" s="3" t="str">
        <f>IF(OR($A736="",$A736="Grand Total"),"",AND($J736=0,(SUMPRODUCT((Table1[County]=SummaryPage!$A736)*(Table1[Status]="Not Started"))+SUMPRODUCT((Table1[County]=SummaryPage!$A736)*(Table1[Status]="")))=SUMPRODUCT((Table1[County]=SummaryPage!$A736)*(Table1[Status]&lt;&gt;"Q"))))</f>
        <v/>
      </c>
    </row>
    <row r="737" spans="11:18" x14ac:dyDescent="0.3">
      <c r="K737" s="28" t="str">
        <f>IF($A737="","",VLOOKUP('Input Sheet'!$D$2 &amp; " " &amp; $A737,Pop[#All],4,FALSE))</f>
        <v/>
      </c>
      <c r="L737" s="5" t="str">
        <f t="shared" si="40"/>
        <v/>
      </c>
      <c r="M737" s="7" t="str">
        <f t="shared" ca="1" si="39"/>
        <v/>
      </c>
      <c r="N737" s="17" t="str">
        <f>IF(OR($A737="",$A737="Grand Total"),IF($A737="Grand Total",SUM($N$15:$N736),""),SUMPRODUCT((Table1[County]=SummaryPage!$A737)*(Table1[Status]&lt;&gt;"Complete")))</f>
        <v/>
      </c>
      <c r="O737" s="6" t="str">
        <f ca="1">IF($A737="Grand Total",SUM(INDIRECT(ADDRESS(1,COLUMN())&amp;":"&amp;ADDRESS(ROW()-1,COLUMN()))),IF(OR($A737="State Agencies",IFERROR(AND($L737&gt;='Input Sheet'!$J$2,$A737&lt;&gt;""),0)),$J737,""))</f>
        <v/>
      </c>
      <c r="P737" s="3" t="str">
        <f>IF(OR($A737="",$A737="Grand Total"),"",IF(IFERROR(ROUND($J737/$K737,2),1000)&gt;='Input Sheet'!$J$2,1,""))</f>
        <v/>
      </c>
      <c r="Q737" s="3" t="str">
        <f t="shared" si="41"/>
        <v/>
      </c>
      <c r="R737" s="3" t="str">
        <f>IF(OR($A737="",$A737="Grand Total"),"",AND($J737=0,(SUMPRODUCT((Table1[County]=SummaryPage!$A737)*(Table1[Status]="Not Started"))+SUMPRODUCT((Table1[County]=SummaryPage!$A737)*(Table1[Status]="")))=SUMPRODUCT((Table1[County]=SummaryPage!$A737)*(Table1[Status]&lt;&gt;"Q"))))</f>
        <v/>
      </c>
    </row>
    <row r="738" spans="11:18" x14ac:dyDescent="0.3">
      <c r="K738" s="28" t="str">
        <f>IF($A738="","",VLOOKUP('Input Sheet'!$D$2 &amp; " " &amp; $A738,Pop[#All],4,FALSE))</f>
        <v/>
      </c>
      <c r="L738" s="5" t="str">
        <f t="shared" si="40"/>
        <v/>
      </c>
      <c r="M738" s="7" t="str">
        <f t="shared" ca="1" si="39"/>
        <v/>
      </c>
      <c r="N738" s="17" t="str">
        <f>IF(OR($A738="",$A738="Grand Total"),IF($A738="Grand Total",SUM($N$15:$N737),""),SUMPRODUCT((Table1[County]=SummaryPage!$A738)*(Table1[Status]&lt;&gt;"Complete")))</f>
        <v/>
      </c>
      <c r="O738" s="6" t="str">
        <f ca="1">IF($A738="Grand Total",SUM(INDIRECT(ADDRESS(1,COLUMN())&amp;":"&amp;ADDRESS(ROW()-1,COLUMN()))),IF(OR($A738="State Agencies",IFERROR(AND($L738&gt;='Input Sheet'!$J$2,$A738&lt;&gt;""),0)),$J738,""))</f>
        <v/>
      </c>
      <c r="P738" s="3" t="str">
        <f>IF(OR($A738="",$A738="Grand Total"),"",IF(IFERROR(ROUND($J738/$K738,2),1000)&gt;='Input Sheet'!$J$2,1,""))</f>
        <v/>
      </c>
      <c r="Q738" s="3" t="str">
        <f t="shared" si="41"/>
        <v/>
      </c>
      <c r="R738" s="3" t="str">
        <f>IF(OR($A738="",$A738="Grand Total"),"",AND($J738=0,(SUMPRODUCT((Table1[County]=SummaryPage!$A738)*(Table1[Status]="Not Started"))+SUMPRODUCT((Table1[County]=SummaryPage!$A738)*(Table1[Status]="")))=SUMPRODUCT((Table1[County]=SummaryPage!$A738)*(Table1[Status]&lt;&gt;"Q"))))</f>
        <v/>
      </c>
    </row>
    <row r="739" spans="11:18" x14ac:dyDescent="0.3">
      <c r="K739" s="28" t="str">
        <f>IF($A739="","",VLOOKUP('Input Sheet'!$D$2 &amp; " " &amp; $A739,Pop[#All],4,FALSE))</f>
        <v/>
      </c>
      <c r="L739" s="5" t="str">
        <f t="shared" si="40"/>
        <v/>
      </c>
      <c r="M739" s="7" t="str">
        <f t="shared" ca="1" si="39"/>
        <v/>
      </c>
      <c r="N739" s="17" t="str">
        <f>IF(OR($A739="",$A739="Grand Total"),IF($A739="Grand Total",SUM($N$15:$N738),""),SUMPRODUCT((Table1[County]=SummaryPage!$A739)*(Table1[Status]&lt;&gt;"Complete")))</f>
        <v/>
      </c>
      <c r="O739" s="6" t="str">
        <f ca="1">IF($A739="Grand Total",SUM(INDIRECT(ADDRESS(1,COLUMN())&amp;":"&amp;ADDRESS(ROW()-1,COLUMN()))),IF(OR($A739="State Agencies",IFERROR(AND($L739&gt;='Input Sheet'!$J$2,$A739&lt;&gt;""),0)),$J739,""))</f>
        <v/>
      </c>
      <c r="P739" s="3" t="str">
        <f>IF(OR($A739="",$A739="Grand Total"),"",IF(IFERROR(ROUND($J739/$K739,2),1000)&gt;='Input Sheet'!$J$2,1,""))</f>
        <v/>
      </c>
      <c r="Q739" s="3" t="str">
        <f t="shared" si="41"/>
        <v/>
      </c>
      <c r="R739" s="3" t="str">
        <f>IF(OR($A739="",$A739="Grand Total"),"",AND($J739=0,(SUMPRODUCT((Table1[County]=SummaryPage!$A739)*(Table1[Status]="Not Started"))+SUMPRODUCT((Table1[County]=SummaryPage!$A739)*(Table1[Status]="")))=SUMPRODUCT((Table1[County]=SummaryPage!$A739)*(Table1[Status]&lt;&gt;"Q"))))</f>
        <v/>
      </c>
    </row>
    <row r="740" spans="11:18" x14ac:dyDescent="0.3">
      <c r="K740" s="28" t="str">
        <f>IF($A740="","",VLOOKUP('Input Sheet'!$D$2 &amp; " " &amp; $A740,Pop[#All],4,FALSE))</f>
        <v/>
      </c>
      <c r="L740" s="5" t="str">
        <f t="shared" si="40"/>
        <v/>
      </c>
      <c r="M740" s="7" t="str">
        <f t="shared" ca="1" si="39"/>
        <v/>
      </c>
      <c r="N740" s="17" t="str">
        <f>IF(OR($A740="",$A740="Grand Total"),IF($A740="Grand Total",SUM($N$15:$N739),""),SUMPRODUCT((Table1[County]=SummaryPage!$A740)*(Table1[Status]&lt;&gt;"Complete")))</f>
        <v/>
      </c>
      <c r="O740" s="6" t="str">
        <f ca="1">IF($A740="Grand Total",SUM(INDIRECT(ADDRESS(1,COLUMN())&amp;":"&amp;ADDRESS(ROW()-1,COLUMN()))),IF(OR($A740="State Agencies",IFERROR(AND($L740&gt;='Input Sheet'!$J$2,$A740&lt;&gt;""),0)),$J740,""))</f>
        <v/>
      </c>
      <c r="P740" s="3" t="str">
        <f>IF(OR($A740="",$A740="Grand Total"),"",IF(IFERROR(ROUND($J740/$K740,2),1000)&gt;='Input Sheet'!$J$2,1,""))</f>
        <v/>
      </c>
      <c r="Q740" s="3" t="str">
        <f t="shared" si="41"/>
        <v/>
      </c>
      <c r="R740" s="3" t="str">
        <f>IF(OR($A740="",$A740="Grand Total"),"",AND($J740=0,(SUMPRODUCT((Table1[County]=SummaryPage!$A740)*(Table1[Status]="Not Started"))+SUMPRODUCT((Table1[County]=SummaryPage!$A740)*(Table1[Status]="")))=SUMPRODUCT((Table1[County]=SummaryPage!$A740)*(Table1[Status]&lt;&gt;"Q"))))</f>
        <v/>
      </c>
    </row>
    <row r="741" spans="11:18" x14ac:dyDescent="0.3">
      <c r="K741" s="28" t="str">
        <f>IF($A741="","",VLOOKUP('Input Sheet'!$D$2 &amp; " " &amp; $A741,Pop[#All],4,FALSE))</f>
        <v/>
      </c>
      <c r="L741" s="5" t="str">
        <f t="shared" si="40"/>
        <v/>
      </c>
      <c r="M741" s="7" t="str">
        <f t="shared" ca="1" si="39"/>
        <v/>
      </c>
      <c r="N741" s="17" t="str">
        <f>IF(OR($A741="",$A741="Grand Total"),IF($A741="Grand Total",SUM($N$15:$N740),""),SUMPRODUCT((Table1[County]=SummaryPage!$A741)*(Table1[Status]&lt;&gt;"Complete")))</f>
        <v/>
      </c>
      <c r="O741" s="6" t="str">
        <f ca="1">IF($A741="Grand Total",SUM(INDIRECT(ADDRESS(1,COLUMN())&amp;":"&amp;ADDRESS(ROW()-1,COLUMN()))),IF(OR($A741="State Agencies",IFERROR(AND($L741&gt;='Input Sheet'!$J$2,$A741&lt;&gt;""),0)),$J741,""))</f>
        <v/>
      </c>
      <c r="P741" s="3" t="str">
        <f>IF(OR($A741="",$A741="Grand Total"),"",IF(IFERROR(ROUND($J741/$K741,2),1000)&gt;='Input Sheet'!$J$2,1,""))</f>
        <v/>
      </c>
      <c r="Q741" s="3" t="str">
        <f t="shared" si="41"/>
        <v/>
      </c>
      <c r="R741" s="3" t="str">
        <f>IF(OR($A741="",$A741="Grand Total"),"",AND($J741=0,(SUMPRODUCT((Table1[County]=SummaryPage!$A741)*(Table1[Status]="Not Started"))+SUMPRODUCT((Table1[County]=SummaryPage!$A741)*(Table1[Status]="")))=SUMPRODUCT((Table1[County]=SummaryPage!$A741)*(Table1[Status]&lt;&gt;"Q"))))</f>
        <v/>
      </c>
    </row>
    <row r="742" spans="11:18" x14ac:dyDescent="0.3">
      <c r="K742" s="28" t="str">
        <f>IF($A742="","",VLOOKUP('Input Sheet'!$D$2 &amp; " " &amp; $A742,Pop[#All],4,FALSE))</f>
        <v/>
      </c>
      <c r="L742" s="5" t="str">
        <f t="shared" si="40"/>
        <v/>
      </c>
      <c r="M742" s="7" t="str">
        <f t="shared" ca="1" si="39"/>
        <v/>
      </c>
      <c r="N742" s="17" t="str">
        <f>IF(OR($A742="",$A742="Grand Total"),IF($A742="Grand Total",SUM($N$15:$N741),""),SUMPRODUCT((Table1[County]=SummaryPage!$A742)*(Table1[Status]&lt;&gt;"Complete")))</f>
        <v/>
      </c>
      <c r="O742" s="6" t="str">
        <f ca="1">IF($A742="Grand Total",SUM(INDIRECT(ADDRESS(1,COLUMN())&amp;":"&amp;ADDRESS(ROW()-1,COLUMN()))),IF(OR($A742="State Agencies",IFERROR(AND($L742&gt;='Input Sheet'!$J$2,$A742&lt;&gt;""),0)),$J742,""))</f>
        <v/>
      </c>
      <c r="P742" s="3" t="str">
        <f>IF(OR($A742="",$A742="Grand Total"),"",IF(IFERROR(ROUND($J742/$K742,2),1000)&gt;='Input Sheet'!$J$2,1,""))</f>
        <v/>
      </c>
      <c r="Q742" s="3" t="str">
        <f t="shared" si="41"/>
        <v/>
      </c>
      <c r="R742" s="3" t="str">
        <f>IF(OR($A742="",$A742="Grand Total"),"",AND($J742=0,(SUMPRODUCT((Table1[County]=SummaryPage!$A742)*(Table1[Status]="Not Started"))+SUMPRODUCT((Table1[County]=SummaryPage!$A742)*(Table1[Status]="")))=SUMPRODUCT((Table1[County]=SummaryPage!$A742)*(Table1[Status]&lt;&gt;"Q"))))</f>
        <v/>
      </c>
    </row>
    <row r="743" spans="11:18" x14ac:dyDescent="0.3">
      <c r="K743" s="28" t="str">
        <f>IF($A743="","",VLOOKUP('Input Sheet'!$D$2 &amp; " " &amp; $A743,Pop[#All],4,FALSE))</f>
        <v/>
      </c>
      <c r="L743" s="5" t="str">
        <f t="shared" si="40"/>
        <v/>
      </c>
      <c r="M743" s="7" t="str">
        <f t="shared" ca="1" si="39"/>
        <v/>
      </c>
      <c r="N743" s="17" t="str">
        <f>IF(OR($A743="",$A743="Grand Total"),IF($A743="Grand Total",SUM($N$15:$N742),""),SUMPRODUCT((Table1[County]=SummaryPage!$A743)*(Table1[Status]&lt;&gt;"Complete")))</f>
        <v/>
      </c>
      <c r="O743" s="6" t="str">
        <f ca="1">IF($A743="Grand Total",SUM(INDIRECT(ADDRESS(1,COLUMN())&amp;":"&amp;ADDRESS(ROW()-1,COLUMN()))),IF(OR($A743="State Agencies",IFERROR(AND($L743&gt;='Input Sheet'!$J$2,$A743&lt;&gt;""),0)),$J743,""))</f>
        <v/>
      </c>
      <c r="P743" s="3" t="str">
        <f>IF(OR($A743="",$A743="Grand Total"),"",IF(IFERROR(ROUND($J743/$K743,2),1000)&gt;='Input Sheet'!$J$2,1,""))</f>
        <v/>
      </c>
      <c r="Q743" s="3" t="str">
        <f t="shared" si="41"/>
        <v/>
      </c>
      <c r="R743" s="3" t="str">
        <f>IF(OR($A743="",$A743="Grand Total"),"",AND($J743=0,(SUMPRODUCT((Table1[County]=SummaryPage!$A743)*(Table1[Status]="Not Started"))+SUMPRODUCT((Table1[County]=SummaryPage!$A743)*(Table1[Status]="")))=SUMPRODUCT((Table1[County]=SummaryPage!$A743)*(Table1[Status]&lt;&gt;"Q"))))</f>
        <v/>
      </c>
    </row>
    <row r="744" spans="11:18" x14ac:dyDescent="0.3">
      <c r="K744" s="28" t="str">
        <f>IF($A744="","",VLOOKUP('Input Sheet'!$D$2 &amp; " " &amp; $A744,Pop[#All],4,FALSE))</f>
        <v/>
      </c>
      <c r="L744" s="5" t="str">
        <f t="shared" si="40"/>
        <v/>
      </c>
      <c r="M744" s="7" t="str">
        <f t="shared" ca="1" si="39"/>
        <v/>
      </c>
      <c r="N744" s="17" t="str">
        <f>IF(OR($A744="",$A744="Grand Total"),IF($A744="Grand Total",SUM($N$15:$N743),""),SUMPRODUCT((Table1[County]=SummaryPage!$A744)*(Table1[Status]&lt;&gt;"Complete")))</f>
        <v/>
      </c>
      <c r="O744" s="6" t="str">
        <f ca="1">IF($A744="Grand Total",SUM(INDIRECT(ADDRESS(1,COLUMN())&amp;":"&amp;ADDRESS(ROW()-1,COLUMN()))),IF(OR($A744="State Agencies",IFERROR(AND($L744&gt;='Input Sheet'!$J$2,$A744&lt;&gt;""),0)),$J744,""))</f>
        <v/>
      </c>
      <c r="P744" s="3" t="str">
        <f>IF(OR($A744="",$A744="Grand Total"),"",IF(IFERROR(ROUND($J744/$K744,2),1000)&gt;='Input Sheet'!$J$2,1,""))</f>
        <v/>
      </c>
      <c r="Q744" s="3" t="str">
        <f t="shared" si="41"/>
        <v/>
      </c>
      <c r="R744" s="3" t="str">
        <f>IF(OR($A744="",$A744="Grand Total"),"",AND($J744=0,(SUMPRODUCT((Table1[County]=SummaryPage!$A744)*(Table1[Status]="Not Started"))+SUMPRODUCT((Table1[County]=SummaryPage!$A744)*(Table1[Status]="")))=SUMPRODUCT((Table1[County]=SummaryPage!$A744)*(Table1[Status]&lt;&gt;"Q"))))</f>
        <v/>
      </c>
    </row>
    <row r="745" spans="11:18" x14ac:dyDescent="0.3">
      <c r="K745" s="28" t="str">
        <f>IF($A745="","",VLOOKUP('Input Sheet'!$D$2 &amp; " " &amp; $A745,Pop[#All],4,FALSE))</f>
        <v/>
      </c>
      <c r="L745" s="5" t="str">
        <f t="shared" si="40"/>
        <v/>
      </c>
      <c r="M745" s="7" t="str">
        <f t="shared" ca="1" si="39"/>
        <v/>
      </c>
      <c r="N745" s="17" t="str">
        <f>IF(OR($A745="",$A745="Grand Total"),IF($A745="Grand Total",SUM($N$15:$N744),""),SUMPRODUCT((Table1[County]=SummaryPage!$A745)*(Table1[Status]&lt;&gt;"Complete")))</f>
        <v/>
      </c>
      <c r="O745" s="6" t="str">
        <f ca="1">IF($A745="Grand Total",SUM(INDIRECT(ADDRESS(1,COLUMN())&amp;":"&amp;ADDRESS(ROW()-1,COLUMN()))),IF(OR($A745="State Agencies",IFERROR(AND($L745&gt;='Input Sheet'!$J$2,$A745&lt;&gt;""),0)),$J745,""))</f>
        <v/>
      </c>
      <c r="P745" s="3" t="str">
        <f>IF(OR($A745="",$A745="Grand Total"),"",IF(IFERROR(ROUND($J745/$K745,2),1000)&gt;='Input Sheet'!$J$2,1,""))</f>
        <v/>
      </c>
      <c r="Q745" s="3" t="str">
        <f t="shared" si="41"/>
        <v/>
      </c>
      <c r="R745" s="3" t="str">
        <f>IF(OR($A745="",$A745="Grand Total"),"",AND($J745=0,(SUMPRODUCT((Table1[County]=SummaryPage!$A745)*(Table1[Status]="Not Started"))+SUMPRODUCT((Table1[County]=SummaryPage!$A745)*(Table1[Status]="")))=SUMPRODUCT((Table1[County]=SummaryPage!$A745)*(Table1[Status]&lt;&gt;"Q"))))</f>
        <v/>
      </c>
    </row>
    <row r="746" spans="11:18" x14ac:dyDescent="0.3">
      <c r="K746" s="28" t="str">
        <f>IF($A746="","",VLOOKUP('Input Sheet'!$D$2 &amp; " " &amp; $A746,Pop[#All],4,FALSE))</f>
        <v/>
      </c>
      <c r="L746" s="5" t="str">
        <f t="shared" si="40"/>
        <v/>
      </c>
      <c r="M746" s="7" t="str">
        <f t="shared" ca="1" si="39"/>
        <v/>
      </c>
      <c r="N746" s="17" t="str">
        <f>IF(OR($A746="",$A746="Grand Total"),IF($A746="Grand Total",SUM($N$15:$N745),""),SUMPRODUCT((Table1[County]=SummaryPage!$A746)*(Table1[Status]&lt;&gt;"Complete")))</f>
        <v/>
      </c>
      <c r="O746" s="6" t="str">
        <f ca="1">IF($A746="Grand Total",SUM(INDIRECT(ADDRESS(1,COLUMN())&amp;":"&amp;ADDRESS(ROW()-1,COLUMN()))),IF(OR($A746="State Agencies",IFERROR(AND($L746&gt;='Input Sheet'!$J$2,$A746&lt;&gt;""),0)),$J746,""))</f>
        <v/>
      </c>
      <c r="P746" s="3" t="str">
        <f>IF(OR($A746="",$A746="Grand Total"),"",IF(IFERROR(ROUND($J746/$K746,2),1000)&gt;='Input Sheet'!$J$2,1,""))</f>
        <v/>
      </c>
      <c r="Q746" s="3" t="str">
        <f t="shared" si="41"/>
        <v/>
      </c>
      <c r="R746" s="3" t="str">
        <f>IF(OR($A746="",$A746="Grand Total"),"",AND($J746=0,(SUMPRODUCT((Table1[County]=SummaryPage!$A746)*(Table1[Status]="Not Started"))+SUMPRODUCT((Table1[County]=SummaryPage!$A746)*(Table1[Status]="")))=SUMPRODUCT((Table1[County]=SummaryPage!$A746)*(Table1[Status]&lt;&gt;"Q"))))</f>
        <v/>
      </c>
    </row>
    <row r="747" spans="11:18" x14ac:dyDescent="0.3">
      <c r="K747" s="28" t="str">
        <f>IF($A747="","",VLOOKUP('Input Sheet'!$D$2 &amp; " " &amp; $A747,Pop[#All],4,FALSE))</f>
        <v/>
      </c>
      <c r="L747" s="5" t="str">
        <f t="shared" si="40"/>
        <v/>
      </c>
      <c r="M747" s="7" t="str">
        <f t="shared" ca="1" si="39"/>
        <v/>
      </c>
      <c r="N747" s="17" t="str">
        <f>IF(OR($A747="",$A747="Grand Total"),IF($A747="Grand Total",SUM($N$15:$N746),""),SUMPRODUCT((Table1[County]=SummaryPage!$A747)*(Table1[Status]&lt;&gt;"Complete")))</f>
        <v/>
      </c>
      <c r="O747" s="6" t="str">
        <f ca="1">IF($A747="Grand Total",SUM(INDIRECT(ADDRESS(1,COLUMN())&amp;":"&amp;ADDRESS(ROW()-1,COLUMN()))),IF(OR($A747="State Agencies",IFERROR(AND($L747&gt;='Input Sheet'!$J$2,$A747&lt;&gt;""),0)),$J747,""))</f>
        <v/>
      </c>
      <c r="P747" s="3" t="str">
        <f>IF(OR($A747="",$A747="Grand Total"),"",IF(IFERROR(ROUND($J747/$K747,2),1000)&gt;='Input Sheet'!$J$2,1,""))</f>
        <v/>
      </c>
      <c r="Q747" s="3" t="str">
        <f t="shared" si="41"/>
        <v/>
      </c>
      <c r="R747" s="3" t="str">
        <f>IF(OR($A747="",$A747="Grand Total"),"",AND($J747=0,(SUMPRODUCT((Table1[County]=SummaryPage!$A747)*(Table1[Status]="Not Started"))+SUMPRODUCT((Table1[County]=SummaryPage!$A747)*(Table1[Status]="")))=SUMPRODUCT((Table1[County]=SummaryPage!$A747)*(Table1[Status]&lt;&gt;"Q"))))</f>
        <v/>
      </c>
    </row>
    <row r="748" spans="11:18" x14ac:dyDescent="0.3">
      <c r="K748" s="28" t="str">
        <f>IF($A748="","",VLOOKUP('Input Sheet'!$D$2 &amp; " " &amp; $A748,Pop[#All],4,FALSE))</f>
        <v/>
      </c>
      <c r="L748" s="5" t="str">
        <f t="shared" si="40"/>
        <v/>
      </c>
      <c r="M748" s="7" t="str">
        <f t="shared" ca="1" si="39"/>
        <v/>
      </c>
      <c r="N748" s="17" t="str">
        <f>IF(OR($A748="",$A748="Grand Total"),IF($A748="Grand Total",SUM($N$15:$N747),""),SUMPRODUCT((Table1[County]=SummaryPage!$A748)*(Table1[Status]&lt;&gt;"Complete")))</f>
        <v/>
      </c>
      <c r="O748" s="6" t="str">
        <f ca="1">IF($A748="Grand Total",SUM(INDIRECT(ADDRESS(1,COLUMN())&amp;":"&amp;ADDRESS(ROW()-1,COLUMN()))),IF(OR($A748="State Agencies",IFERROR(AND($L748&gt;='Input Sheet'!$J$2,$A748&lt;&gt;""),0)),$J748,""))</f>
        <v/>
      </c>
      <c r="P748" s="3" t="str">
        <f>IF(OR($A748="",$A748="Grand Total"),"",IF(IFERROR(ROUND($J748/$K748,2),1000)&gt;='Input Sheet'!$J$2,1,""))</f>
        <v/>
      </c>
      <c r="Q748" s="3" t="str">
        <f t="shared" si="41"/>
        <v/>
      </c>
      <c r="R748" s="3" t="str">
        <f>IF(OR($A748="",$A748="Grand Total"),"",AND($J748=0,(SUMPRODUCT((Table1[County]=SummaryPage!$A748)*(Table1[Status]="Not Started"))+SUMPRODUCT((Table1[County]=SummaryPage!$A748)*(Table1[Status]="")))=SUMPRODUCT((Table1[County]=SummaryPage!$A748)*(Table1[Status]&lt;&gt;"Q"))))</f>
        <v/>
      </c>
    </row>
    <row r="749" spans="11:18" x14ac:dyDescent="0.3">
      <c r="K749" s="28" t="str">
        <f>IF($A749="","",VLOOKUP('Input Sheet'!$D$2 &amp; " " &amp; $A749,Pop[#All],4,FALSE))</f>
        <v/>
      </c>
      <c r="L749" s="5" t="str">
        <f t="shared" si="40"/>
        <v/>
      </c>
      <c r="M749" s="7" t="str">
        <f t="shared" ca="1" si="39"/>
        <v/>
      </c>
      <c r="N749" s="17" t="str">
        <f>IF(OR($A749="",$A749="Grand Total"),IF($A749="Grand Total",SUM($N$15:$N748),""),SUMPRODUCT((Table1[County]=SummaryPage!$A749)*(Table1[Status]&lt;&gt;"Complete")))</f>
        <v/>
      </c>
      <c r="O749" s="6" t="str">
        <f ca="1">IF($A749="Grand Total",SUM(INDIRECT(ADDRESS(1,COLUMN())&amp;":"&amp;ADDRESS(ROW()-1,COLUMN()))),IF(OR($A749="State Agencies",IFERROR(AND($L749&gt;='Input Sheet'!$J$2,$A749&lt;&gt;""),0)),$J749,""))</f>
        <v/>
      </c>
      <c r="P749" s="3" t="str">
        <f>IF(OR($A749="",$A749="Grand Total"),"",IF(IFERROR(ROUND($J749/$K749,2),1000)&gt;='Input Sheet'!$J$2,1,""))</f>
        <v/>
      </c>
      <c r="Q749" s="3" t="str">
        <f t="shared" si="41"/>
        <v/>
      </c>
      <c r="R749" s="3" t="str">
        <f>IF(OR($A749="",$A749="Grand Total"),"",AND($J749=0,(SUMPRODUCT((Table1[County]=SummaryPage!$A749)*(Table1[Status]="Not Started"))+SUMPRODUCT((Table1[County]=SummaryPage!$A749)*(Table1[Status]="")))=SUMPRODUCT((Table1[County]=SummaryPage!$A749)*(Table1[Status]&lt;&gt;"Q"))))</f>
        <v/>
      </c>
    </row>
    <row r="750" spans="11:18" x14ac:dyDescent="0.3">
      <c r="K750" s="28" t="str">
        <f>IF($A750="","",VLOOKUP('Input Sheet'!$D$2 &amp; " " &amp; $A750,Pop[#All],4,FALSE))</f>
        <v/>
      </c>
      <c r="L750" s="5" t="str">
        <f t="shared" si="40"/>
        <v/>
      </c>
      <c r="M750" s="7" t="str">
        <f t="shared" ca="1" si="39"/>
        <v/>
      </c>
      <c r="N750" s="17" t="str">
        <f>IF(OR($A750="",$A750="Grand Total"),IF($A750="Grand Total",SUM($N$15:$N749),""),SUMPRODUCT((Table1[County]=SummaryPage!$A750)*(Table1[Status]&lt;&gt;"Complete")))</f>
        <v/>
      </c>
      <c r="O750" s="6" t="str">
        <f ca="1">IF($A750="Grand Total",SUM(INDIRECT(ADDRESS(1,COLUMN())&amp;":"&amp;ADDRESS(ROW()-1,COLUMN()))),IF(OR($A750="State Agencies",IFERROR(AND($L750&gt;='Input Sheet'!$J$2,$A750&lt;&gt;""),0)),$J750,""))</f>
        <v/>
      </c>
      <c r="P750" s="3" t="str">
        <f>IF(OR($A750="",$A750="Grand Total"),"",IF(IFERROR(ROUND($J750/$K750,2),1000)&gt;='Input Sheet'!$J$2,1,""))</f>
        <v/>
      </c>
      <c r="Q750" s="3" t="str">
        <f t="shared" si="41"/>
        <v/>
      </c>
      <c r="R750" s="3" t="str">
        <f>IF(OR($A750="",$A750="Grand Total"),"",AND($J750=0,(SUMPRODUCT((Table1[County]=SummaryPage!$A750)*(Table1[Status]="Not Started"))+SUMPRODUCT((Table1[County]=SummaryPage!$A750)*(Table1[Status]="")))=SUMPRODUCT((Table1[County]=SummaryPage!$A750)*(Table1[Status]&lt;&gt;"Q"))))</f>
        <v/>
      </c>
    </row>
    <row r="751" spans="11:18" x14ac:dyDescent="0.3">
      <c r="K751" s="28" t="str">
        <f>IF($A751="","",VLOOKUP('Input Sheet'!$D$2 &amp; " " &amp; $A751,Pop[#All],4,FALSE))</f>
        <v/>
      </c>
      <c r="L751" s="5" t="str">
        <f t="shared" si="40"/>
        <v/>
      </c>
      <c r="M751" s="7" t="str">
        <f t="shared" ca="1" si="39"/>
        <v/>
      </c>
      <c r="N751" s="17" t="str">
        <f>IF(OR($A751="",$A751="Grand Total"),IF($A751="Grand Total",SUM($N$15:$N750),""),SUMPRODUCT((Table1[County]=SummaryPage!$A751)*(Table1[Status]&lt;&gt;"Complete")))</f>
        <v/>
      </c>
      <c r="O751" s="6" t="str">
        <f ca="1">IF($A751="Grand Total",SUM(INDIRECT(ADDRESS(1,COLUMN())&amp;":"&amp;ADDRESS(ROW()-1,COLUMN()))),IF(OR($A751="State Agencies",IFERROR(AND($L751&gt;='Input Sheet'!$J$2,$A751&lt;&gt;""),0)),$J751,""))</f>
        <v/>
      </c>
      <c r="P751" s="3" t="str">
        <f>IF(OR($A751="",$A751="Grand Total"),"",IF(IFERROR(ROUND($J751/$K751,2),1000)&gt;='Input Sheet'!$J$2,1,""))</f>
        <v/>
      </c>
      <c r="Q751" s="3" t="str">
        <f t="shared" si="41"/>
        <v/>
      </c>
      <c r="R751" s="3" t="str">
        <f>IF(OR($A751="",$A751="Grand Total"),"",AND($J751=0,(SUMPRODUCT((Table1[County]=SummaryPage!$A751)*(Table1[Status]="Not Started"))+SUMPRODUCT((Table1[County]=SummaryPage!$A751)*(Table1[Status]="")))=SUMPRODUCT((Table1[County]=SummaryPage!$A751)*(Table1[Status]&lt;&gt;"Q"))))</f>
        <v/>
      </c>
    </row>
    <row r="752" spans="11:18" x14ac:dyDescent="0.3">
      <c r="K752" s="28" t="str">
        <f>IF($A752="","",VLOOKUP('Input Sheet'!$D$2 &amp; " " &amp; $A752,Pop[#All],4,FALSE))</f>
        <v/>
      </c>
      <c r="L752" s="5" t="str">
        <f t="shared" si="40"/>
        <v/>
      </c>
      <c r="M752" s="7" t="str">
        <f t="shared" ca="1" si="39"/>
        <v/>
      </c>
      <c r="N752" s="17" t="str">
        <f>IF(OR($A752="",$A752="Grand Total"),IF($A752="Grand Total",SUM($N$15:$N751),""),SUMPRODUCT((Table1[County]=SummaryPage!$A752)*(Table1[Status]&lt;&gt;"Complete")))</f>
        <v/>
      </c>
      <c r="O752" s="6" t="str">
        <f ca="1">IF($A752="Grand Total",SUM(INDIRECT(ADDRESS(1,COLUMN())&amp;":"&amp;ADDRESS(ROW()-1,COLUMN()))),IF(OR($A752="State Agencies",IFERROR(AND($L752&gt;='Input Sheet'!$J$2,$A752&lt;&gt;""),0)),$J752,""))</f>
        <v/>
      </c>
      <c r="P752" s="3" t="str">
        <f>IF(OR($A752="",$A752="Grand Total"),"",IF(IFERROR(ROUND($J752/$K752,2),1000)&gt;='Input Sheet'!$J$2,1,""))</f>
        <v/>
      </c>
      <c r="Q752" s="3" t="str">
        <f t="shared" si="41"/>
        <v/>
      </c>
      <c r="R752" s="3" t="str">
        <f>IF(OR($A752="",$A752="Grand Total"),"",AND($J752=0,(SUMPRODUCT((Table1[County]=SummaryPage!$A752)*(Table1[Status]="Not Started"))+SUMPRODUCT((Table1[County]=SummaryPage!$A752)*(Table1[Status]="")))=SUMPRODUCT((Table1[County]=SummaryPage!$A752)*(Table1[Status]&lt;&gt;"Q"))))</f>
        <v/>
      </c>
    </row>
    <row r="753" spans="11:18" x14ac:dyDescent="0.3">
      <c r="K753" s="28" t="str">
        <f>IF($A753="","",VLOOKUP('Input Sheet'!$D$2 &amp; " " &amp; $A753,Pop[#All],4,FALSE))</f>
        <v/>
      </c>
      <c r="L753" s="5" t="str">
        <f t="shared" si="40"/>
        <v/>
      </c>
      <c r="M753" s="7" t="str">
        <f t="shared" ca="1" si="39"/>
        <v/>
      </c>
      <c r="N753" s="17" t="str">
        <f>IF(OR($A753="",$A753="Grand Total"),IF($A753="Grand Total",SUM($N$15:$N752),""),SUMPRODUCT((Table1[County]=SummaryPage!$A753)*(Table1[Status]&lt;&gt;"Complete")))</f>
        <v/>
      </c>
      <c r="O753" s="6" t="str">
        <f ca="1">IF($A753="Grand Total",SUM(INDIRECT(ADDRESS(1,COLUMN())&amp;":"&amp;ADDRESS(ROW()-1,COLUMN()))),IF(OR($A753="State Agencies",IFERROR(AND($L753&gt;='Input Sheet'!$J$2,$A753&lt;&gt;""),0)),$J753,""))</f>
        <v/>
      </c>
      <c r="P753" s="3" t="str">
        <f>IF(OR($A753="",$A753="Grand Total"),"",IF(IFERROR(ROUND($J753/$K753,2),1000)&gt;='Input Sheet'!$J$2,1,""))</f>
        <v/>
      </c>
      <c r="Q753" s="3" t="str">
        <f t="shared" si="41"/>
        <v/>
      </c>
      <c r="R753" s="3" t="str">
        <f>IF(OR($A753="",$A753="Grand Total"),"",AND($J753=0,(SUMPRODUCT((Table1[County]=SummaryPage!$A753)*(Table1[Status]="Not Started"))+SUMPRODUCT((Table1[County]=SummaryPage!$A753)*(Table1[Status]="")))=SUMPRODUCT((Table1[County]=SummaryPage!$A753)*(Table1[Status]&lt;&gt;"Q"))))</f>
        <v/>
      </c>
    </row>
    <row r="754" spans="11:18" x14ac:dyDescent="0.3">
      <c r="K754" s="28" t="str">
        <f>IF($A754="","",VLOOKUP('Input Sheet'!$D$2 &amp; " " &amp; $A754,Pop[#All],4,FALSE))</f>
        <v/>
      </c>
      <c r="L754" s="5" t="str">
        <f t="shared" si="40"/>
        <v/>
      </c>
      <c r="M754" s="7" t="str">
        <f t="shared" ca="1" si="39"/>
        <v/>
      </c>
      <c r="N754" s="17" t="str">
        <f>IF(OR($A754="",$A754="Grand Total"),IF($A754="Grand Total",SUM($N$15:$N753),""),SUMPRODUCT((Table1[County]=SummaryPage!$A754)*(Table1[Status]&lt;&gt;"Complete")))</f>
        <v/>
      </c>
      <c r="O754" s="6" t="str">
        <f ca="1">IF($A754="Grand Total",SUM(INDIRECT(ADDRESS(1,COLUMN())&amp;":"&amp;ADDRESS(ROW()-1,COLUMN()))),IF(OR($A754="State Agencies",IFERROR(AND($L754&gt;='Input Sheet'!$J$2,$A754&lt;&gt;""),0)),$J754,""))</f>
        <v/>
      </c>
      <c r="P754" s="3" t="str">
        <f>IF(OR($A754="",$A754="Grand Total"),"",IF(IFERROR(ROUND($J754/$K754,2),1000)&gt;='Input Sheet'!$J$2,1,""))</f>
        <v/>
      </c>
      <c r="Q754" s="3" t="str">
        <f t="shared" si="41"/>
        <v/>
      </c>
      <c r="R754" s="3" t="str">
        <f>IF(OR($A754="",$A754="Grand Total"),"",AND($J754=0,(SUMPRODUCT((Table1[County]=SummaryPage!$A754)*(Table1[Status]="Not Started"))+SUMPRODUCT((Table1[County]=SummaryPage!$A754)*(Table1[Status]="")))=SUMPRODUCT((Table1[County]=SummaryPage!$A754)*(Table1[Status]&lt;&gt;"Q"))))</f>
        <v/>
      </c>
    </row>
    <row r="755" spans="11:18" x14ac:dyDescent="0.3">
      <c r="K755" s="28" t="str">
        <f>IF($A755="","",VLOOKUP('Input Sheet'!$D$2 &amp; " " &amp; $A755,Pop[#All],4,FALSE))</f>
        <v/>
      </c>
      <c r="L755" s="5" t="str">
        <f t="shared" si="40"/>
        <v/>
      </c>
      <c r="M755" s="7" t="str">
        <f t="shared" ca="1" si="39"/>
        <v/>
      </c>
      <c r="N755" s="17" t="str">
        <f>IF(OR($A755="",$A755="Grand Total"),IF($A755="Grand Total",SUM($N$15:$N754),""),SUMPRODUCT((Table1[County]=SummaryPage!$A755)*(Table1[Status]&lt;&gt;"Complete")))</f>
        <v/>
      </c>
      <c r="O755" s="6" t="str">
        <f ca="1">IF($A755="Grand Total",SUM(INDIRECT(ADDRESS(1,COLUMN())&amp;":"&amp;ADDRESS(ROW()-1,COLUMN()))),IF(OR($A755="State Agencies",IFERROR(AND($L755&gt;='Input Sheet'!$J$2,$A755&lt;&gt;""),0)),$J755,""))</f>
        <v/>
      </c>
      <c r="P755" s="3" t="str">
        <f>IF(OR($A755="",$A755="Grand Total"),"",IF(IFERROR(ROUND($J755/$K755,2),1000)&gt;='Input Sheet'!$J$2,1,""))</f>
        <v/>
      </c>
      <c r="Q755" s="3" t="str">
        <f t="shared" si="41"/>
        <v/>
      </c>
      <c r="R755" s="3" t="str">
        <f>IF(OR($A755="",$A755="Grand Total"),"",AND($J755=0,(SUMPRODUCT((Table1[County]=SummaryPage!$A755)*(Table1[Status]="Not Started"))+SUMPRODUCT((Table1[County]=SummaryPage!$A755)*(Table1[Status]="")))=SUMPRODUCT((Table1[County]=SummaryPage!$A755)*(Table1[Status]&lt;&gt;"Q"))))</f>
        <v/>
      </c>
    </row>
    <row r="756" spans="11:18" x14ac:dyDescent="0.3">
      <c r="K756" s="28" t="str">
        <f>IF($A756="","",VLOOKUP('Input Sheet'!$D$2 &amp; " " &amp; $A756,Pop[#All],4,FALSE))</f>
        <v/>
      </c>
      <c r="L756" s="5" t="str">
        <f t="shared" si="40"/>
        <v/>
      </c>
      <c r="M756" s="7" t="str">
        <f t="shared" ca="1" si="39"/>
        <v/>
      </c>
      <c r="N756" s="17" t="str">
        <f>IF(OR($A756="",$A756="Grand Total"),IF($A756="Grand Total",SUM($N$15:$N755),""),SUMPRODUCT((Table1[County]=SummaryPage!$A756)*(Table1[Status]&lt;&gt;"Complete")))</f>
        <v/>
      </c>
      <c r="O756" s="6" t="str">
        <f ca="1">IF($A756="Grand Total",SUM(INDIRECT(ADDRESS(1,COLUMN())&amp;":"&amp;ADDRESS(ROW()-1,COLUMN()))),IF(OR($A756="State Agencies",IFERROR(AND($L756&gt;='Input Sheet'!$J$2,$A756&lt;&gt;""),0)),$J756,""))</f>
        <v/>
      </c>
      <c r="P756" s="3" t="str">
        <f>IF(OR($A756="",$A756="Grand Total"),"",IF(IFERROR(ROUND($J756/$K756,2),1000)&gt;='Input Sheet'!$J$2,1,""))</f>
        <v/>
      </c>
      <c r="Q756" s="3" t="str">
        <f t="shared" si="41"/>
        <v/>
      </c>
      <c r="R756" s="3" t="str">
        <f>IF(OR($A756="",$A756="Grand Total"),"",AND($J756=0,(SUMPRODUCT((Table1[County]=SummaryPage!$A756)*(Table1[Status]="Not Started"))+SUMPRODUCT((Table1[County]=SummaryPage!$A756)*(Table1[Status]="")))=SUMPRODUCT((Table1[County]=SummaryPage!$A756)*(Table1[Status]&lt;&gt;"Q"))))</f>
        <v/>
      </c>
    </row>
    <row r="757" spans="11:18" x14ac:dyDescent="0.3">
      <c r="K757" s="28" t="str">
        <f>IF($A757="","",VLOOKUP('Input Sheet'!$D$2 &amp; " " &amp; $A757,Pop[#All],4,FALSE))</f>
        <v/>
      </c>
      <c r="L757" s="5" t="str">
        <f t="shared" si="40"/>
        <v/>
      </c>
      <c r="M757" s="7" t="str">
        <f t="shared" ca="1" si="39"/>
        <v/>
      </c>
      <c r="N757" s="17" t="str">
        <f>IF(OR($A757="",$A757="Grand Total"),IF($A757="Grand Total",SUM($N$15:$N756),""),SUMPRODUCT((Table1[County]=SummaryPage!$A757)*(Table1[Status]&lt;&gt;"Complete")))</f>
        <v/>
      </c>
      <c r="O757" s="6" t="str">
        <f ca="1">IF($A757="Grand Total",SUM(INDIRECT(ADDRESS(1,COLUMN())&amp;":"&amp;ADDRESS(ROW()-1,COLUMN()))),IF(OR($A757="State Agencies",IFERROR(AND($L757&gt;='Input Sheet'!$J$2,$A757&lt;&gt;""),0)),$J757,""))</f>
        <v/>
      </c>
      <c r="P757" s="3" t="str">
        <f>IF(OR($A757="",$A757="Grand Total"),"",IF(IFERROR(ROUND($J757/$K757,2),1000)&gt;='Input Sheet'!$J$2,1,""))</f>
        <v/>
      </c>
      <c r="Q757" s="3" t="str">
        <f t="shared" si="41"/>
        <v/>
      </c>
      <c r="R757" s="3" t="str">
        <f>IF(OR($A757="",$A757="Grand Total"),"",AND($J757=0,(SUMPRODUCT((Table1[County]=SummaryPage!$A757)*(Table1[Status]="Not Started"))+SUMPRODUCT((Table1[County]=SummaryPage!$A757)*(Table1[Status]="")))=SUMPRODUCT((Table1[County]=SummaryPage!$A757)*(Table1[Status]&lt;&gt;"Q"))))</f>
        <v/>
      </c>
    </row>
    <row r="758" spans="11:18" x14ac:dyDescent="0.3">
      <c r="K758" s="28" t="str">
        <f>IF($A758="","",VLOOKUP('Input Sheet'!$D$2 &amp; " " &amp; $A758,Pop[#All],4,FALSE))</f>
        <v/>
      </c>
      <c r="L758" s="5" t="str">
        <f t="shared" si="40"/>
        <v/>
      </c>
      <c r="M758" s="7" t="str">
        <f t="shared" ca="1" si="39"/>
        <v/>
      </c>
      <c r="N758" s="17" t="str">
        <f>IF(OR($A758="",$A758="Grand Total"),IF($A758="Grand Total",SUM($N$15:$N757),""),SUMPRODUCT((Table1[County]=SummaryPage!$A758)*(Table1[Status]&lt;&gt;"Complete")))</f>
        <v/>
      </c>
      <c r="O758" s="6" t="str">
        <f ca="1">IF($A758="Grand Total",SUM(INDIRECT(ADDRESS(1,COLUMN())&amp;":"&amp;ADDRESS(ROW()-1,COLUMN()))),IF(OR($A758="State Agencies",IFERROR(AND($L758&gt;='Input Sheet'!$J$2,$A758&lt;&gt;""),0)),$J758,""))</f>
        <v/>
      </c>
      <c r="P758" s="3" t="str">
        <f>IF(OR($A758="",$A758="Grand Total"),"",IF(IFERROR(ROUND($J758/$K758,2),1000)&gt;='Input Sheet'!$J$2,1,""))</f>
        <v/>
      </c>
      <c r="Q758" s="3" t="str">
        <f t="shared" si="41"/>
        <v/>
      </c>
      <c r="R758" s="3" t="str">
        <f>IF(OR($A758="",$A758="Grand Total"),"",AND($J758=0,(SUMPRODUCT((Table1[County]=SummaryPage!$A758)*(Table1[Status]="Not Started"))+SUMPRODUCT((Table1[County]=SummaryPage!$A758)*(Table1[Status]="")))=SUMPRODUCT((Table1[County]=SummaryPage!$A758)*(Table1[Status]&lt;&gt;"Q"))))</f>
        <v/>
      </c>
    </row>
    <row r="759" spans="11:18" x14ac:dyDescent="0.3">
      <c r="K759" s="28" t="str">
        <f>IF($A759="","",VLOOKUP('Input Sheet'!$D$2 &amp; " " &amp; $A759,Pop[#All],4,FALSE))</f>
        <v/>
      </c>
      <c r="L759" s="5" t="str">
        <f t="shared" si="40"/>
        <v/>
      </c>
      <c r="M759" s="7" t="str">
        <f t="shared" ca="1" si="39"/>
        <v/>
      </c>
      <c r="N759" s="17" t="str">
        <f>IF(OR($A759="",$A759="Grand Total"),IF($A759="Grand Total",SUM($N$15:$N758),""),SUMPRODUCT((Table1[County]=SummaryPage!$A759)*(Table1[Status]&lt;&gt;"Complete")))</f>
        <v/>
      </c>
      <c r="O759" s="6" t="str">
        <f ca="1">IF($A759="Grand Total",SUM(INDIRECT(ADDRESS(1,COLUMN())&amp;":"&amp;ADDRESS(ROW()-1,COLUMN()))),IF(OR($A759="State Agencies",IFERROR(AND($L759&gt;='Input Sheet'!$J$2,$A759&lt;&gt;""),0)),$J759,""))</f>
        <v/>
      </c>
      <c r="P759" s="3" t="str">
        <f>IF(OR($A759="",$A759="Grand Total"),"",IF(IFERROR(ROUND($J759/$K759,2),1000)&gt;='Input Sheet'!$J$2,1,""))</f>
        <v/>
      </c>
      <c r="Q759" s="3" t="str">
        <f t="shared" si="41"/>
        <v/>
      </c>
      <c r="R759" s="3" t="str">
        <f>IF(OR($A759="",$A759="Grand Total"),"",AND($J759=0,(SUMPRODUCT((Table1[County]=SummaryPage!$A759)*(Table1[Status]="Not Started"))+SUMPRODUCT((Table1[County]=SummaryPage!$A759)*(Table1[Status]="")))=SUMPRODUCT((Table1[County]=SummaryPage!$A759)*(Table1[Status]&lt;&gt;"Q"))))</f>
        <v/>
      </c>
    </row>
    <row r="760" spans="11:18" x14ac:dyDescent="0.3">
      <c r="K760" s="28" t="str">
        <f>IF($A760="","",VLOOKUP('Input Sheet'!$D$2 &amp; " " &amp; $A760,Pop[#All],4,FALSE))</f>
        <v/>
      </c>
      <c r="L760" s="5" t="str">
        <f t="shared" si="40"/>
        <v/>
      </c>
      <c r="M760" s="7" t="str">
        <f t="shared" ca="1" si="39"/>
        <v/>
      </c>
      <c r="N760" s="17" t="str">
        <f>IF(OR($A760="",$A760="Grand Total"),IF($A760="Grand Total",SUM($N$15:$N759),""),SUMPRODUCT((Table1[County]=SummaryPage!$A760)*(Table1[Status]&lt;&gt;"Complete")))</f>
        <v/>
      </c>
      <c r="O760" s="6" t="str">
        <f ca="1">IF($A760="Grand Total",SUM(INDIRECT(ADDRESS(1,COLUMN())&amp;":"&amp;ADDRESS(ROW()-1,COLUMN()))),IF(OR($A760="State Agencies",IFERROR(AND($L760&gt;='Input Sheet'!$J$2,$A760&lt;&gt;""),0)),$J760,""))</f>
        <v/>
      </c>
      <c r="P760" s="3" t="str">
        <f>IF(OR($A760="",$A760="Grand Total"),"",IF(IFERROR(ROUND($J760/$K760,2),1000)&gt;='Input Sheet'!$J$2,1,""))</f>
        <v/>
      </c>
      <c r="Q760" s="3" t="str">
        <f t="shared" si="41"/>
        <v/>
      </c>
      <c r="R760" s="3" t="str">
        <f>IF(OR($A760="",$A760="Grand Total"),"",AND($J760=0,(SUMPRODUCT((Table1[County]=SummaryPage!$A760)*(Table1[Status]="Not Started"))+SUMPRODUCT((Table1[County]=SummaryPage!$A760)*(Table1[Status]="")))=SUMPRODUCT((Table1[County]=SummaryPage!$A760)*(Table1[Status]&lt;&gt;"Q"))))</f>
        <v/>
      </c>
    </row>
    <row r="761" spans="11:18" x14ac:dyDescent="0.3">
      <c r="K761" s="28" t="str">
        <f>IF($A761="","",VLOOKUP('Input Sheet'!$D$2 &amp; " " &amp; $A761,Pop[#All],4,FALSE))</f>
        <v/>
      </c>
      <c r="L761" s="5" t="str">
        <f t="shared" si="40"/>
        <v/>
      </c>
      <c r="M761" s="7" t="str">
        <f t="shared" ca="1" si="39"/>
        <v/>
      </c>
      <c r="N761" s="17" t="str">
        <f>IF(OR($A761="",$A761="Grand Total"),IF($A761="Grand Total",SUM($N$15:$N760),""),SUMPRODUCT((Table1[County]=SummaryPage!$A761)*(Table1[Status]&lt;&gt;"Complete")))</f>
        <v/>
      </c>
      <c r="O761" s="6" t="str">
        <f ca="1">IF($A761="Grand Total",SUM(INDIRECT(ADDRESS(1,COLUMN())&amp;":"&amp;ADDRESS(ROW()-1,COLUMN()))),IF(OR($A761="State Agencies",IFERROR(AND($L761&gt;='Input Sheet'!$J$2,$A761&lt;&gt;""),0)),$J761,""))</f>
        <v/>
      </c>
      <c r="P761" s="3" t="str">
        <f>IF(OR($A761="",$A761="Grand Total"),"",IF(IFERROR(ROUND($J761/$K761,2),1000)&gt;='Input Sheet'!$J$2,1,""))</f>
        <v/>
      </c>
      <c r="Q761" s="3" t="str">
        <f t="shared" si="41"/>
        <v/>
      </c>
      <c r="R761" s="3" t="str">
        <f>IF(OR($A761="",$A761="Grand Total"),"",AND($J761=0,(SUMPRODUCT((Table1[County]=SummaryPage!$A761)*(Table1[Status]="Not Started"))+SUMPRODUCT((Table1[County]=SummaryPage!$A761)*(Table1[Status]="")))=SUMPRODUCT((Table1[County]=SummaryPage!$A761)*(Table1[Status]&lt;&gt;"Q"))))</f>
        <v/>
      </c>
    </row>
    <row r="762" spans="11:18" x14ac:dyDescent="0.3">
      <c r="K762" s="28" t="str">
        <f>IF($A762="","",VLOOKUP('Input Sheet'!$D$2 &amp; " " &amp; $A762,Pop[#All],4,FALSE))</f>
        <v/>
      </c>
      <c r="L762" s="5" t="str">
        <f t="shared" si="40"/>
        <v/>
      </c>
      <c r="M762" s="7" t="str">
        <f t="shared" ca="1" si="39"/>
        <v/>
      </c>
      <c r="N762" s="17" t="str">
        <f>IF(OR($A762="",$A762="Grand Total"),IF($A762="Grand Total",SUM($N$15:$N761),""),SUMPRODUCT((Table1[County]=SummaryPage!$A762)*(Table1[Status]&lt;&gt;"Complete")))</f>
        <v/>
      </c>
      <c r="O762" s="6" t="str">
        <f ca="1">IF($A762="Grand Total",SUM(INDIRECT(ADDRESS(1,COLUMN())&amp;":"&amp;ADDRESS(ROW()-1,COLUMN()))),IF(OR($A762="State Agencies",IFERROR(AND($L762&gt;='Input Sheet'!$J$2,$A762&lt;&gt;""),0)),$J762,""))</f>
        <v/>
      </c>
      <c r="P762" s="3" t="str">
        <f>IF(OR($A762="",$A762="Grand Total"),"",IF(IFERROR(ROUND($J762/$K762,2),1000)&gt;='Input Sheet'!$J$2,1,""))</f>
        <v/>
      </c>
      <c r="Q762" s="3" t="str">
        <f t="shared" si="41"/>
        <v/>
      </c>
      <c r="R762" s="3" t="str">
        <f>IF(OR($A762="",$A762="Grand Total"),"",AND($J762=0,(SUMPRODUCT((Table1[County]=SummaryPage!$A762)*(Table1[Status]="Not Started"))+SUMPRODUCT((Table1[County]=SummaryPage!$A762)*(Table1[Status]="")))=SUMPRODUCT((Table1[County]=SummaryPage!$A762)*(Table1[Status]&lt;&gt;"Q"))))</f>
        <v/>
      </c>
    </row>
    <row r="763" spans="11:18" x14ac:dyDescent="0.3">
      <c r="K763" s="28" t="str">
        <f>IF($A763="","",VLOOKUP('Input Sheet'!$D$2 &amp; " " &amp; $A763,Pop[#All],4,FALSE))</f>
        <v/>
      </c>
      <c r="L763" s="5" t="str">
        <f t="shared" si="40"/>
        <v/>
      </c>
      <c r="M763" s="7" t="str">
        <f t="shared" ca="1" si="39"/>
        <v/>
      </c>
      <c r="N763" s="17" t="str">
        <f>IF(OR($A763="",$A763="Grand Total"),IF($A763="Grand Total",SUM($N$15:$N762),""),SUMPRODUCT((Table1[County]=SummaryPage!$A763)*(Table1[Status]&lt;&gt;"Complete")))</f>
        <v/>
      </c>
      <c r="O763" s="6" t="str">
        <f ca="1">IF($A763="Grand Total",SUM(INDIRECT(ADDRESS(1,COLUMN())&amp;":"&amp;ADDRESS(ROW()-1,COLUMN()))),IF(OR($A763="State Agencies",IFERROR(AND($L763&gt;='Input Sheet'!$J$2,$A763&lt;&gt;""),0)),$J763,""))</f>
        <v/>
      </c>
      <c r="P763" s="3" t="str">
        <f>IF(OR($A763="",$A763="Grand Total"),"",IF(IFERROR(ROUND($J763/$K763,2),1000)&gt;='Input Sheet'!$J$2,1,""))</f>
        <v/>
      </c>
      <c r="Q763" s="3" t="str">
        <f t="shared" si="41"/>
        <v/>
      </c>
      <c r="R763" s="3" t="str">
        <f>IF(OR($A763="",$A763="Grand Total"),"",AND($J763=0,(SUMPRODUCT((Table1[County]=SummaryPage!$A763)*(Table1[Status]="Not Started"))+SUMPRODUCT((Table1[County]=SummaryPage!$A763)*(Table1[Status]="")))=SUMPRODUCT((Table1[County]=SummaryPage!$A763)*(Table1[Status]&lt;&gt;"Q"))))</f>
        <v/>
      </c>
    </row>
    <row r="764" spans="11:18" x14ac:dyDescent="0.3">
      <c r="K764" s="28" t="str">
        <f>IF($A764="","",VLOOKUP('Input Sheet'!$D$2 &amp; " " &amp; $A764,Pop[#All],4,FALSE))</f>
        <v/>
      </c>
      <c r="L764" s="5" t="str">
        <f t="shared" si="40"/>
        <v/>
      </c>
      <c r="M764" s="7" t="str">
        <f t="shared" ca="1" si="39"/>
        <v/>
      </c>
      <c r="N764" s="17" t="str">
        <f>IF(OR($A764="",$A764="Grand Total"),IF($A764="Grand Total",SUM($N$15:$N763),""),SUMPRODUCT((Table1[County]=SummaryPage!$A764)*(Table1[Status]&lt;&gt;"Complete")))</f>
        <v/>
      </c>
      <c r="O764" s="6" t="str">
        <f ca="1">IF($A764="Grand Total",SUM(INDIRECT(ADDRESS(1,COLUMN())&amp;":"&amp;ADDRESS(ROW()-1,COLUMN()))),IF(OR($A764="State Agencies",IFERROR(AND($L764&gt;='Input Sheet'!$J$2,$A764&lt;&gt;""),0)),$J764,""))</f>
        <v/>
      </c>
      <c r="P764" s="3" t="str">
        <f>IF(OR($A764="",$A764="Grand Total"),"",IF(IFERROR(ROUND($J764/$K764,2),1000)&gt;='Input Sheet'!$J$2,1,""))</f>
        <v/>
      </c>
      <c r="Q764" s="3" t="str">
        <f t="shared" si="41"/>
        <v/>
      </c>
      <c r="R764" s="3" t="str">
        <f>IF(OR($A764="",$A764="Grand Total"),"",AND($J764=0,(SUMPRODUCT((Table1[County]=SummaryPage!$A764)*(Table1[Status]="Not Started"))+SUMPRODUCT((Table1[County]=SummaryPage!$A764)*(Table1[Status]="")))=SUMPRODUCT((Table1[County]=SummaryPage!$A764)*(Table1[Status]&lt;&gt;"Q"))))</f>
        <v/>
      </c>
    </row>
    <row r="765" spans="11:18" x14ac:dyDescent="0.3">
      <c r="K765" s="28" t="str">
        <f>IF($A765="","",VLOOKUP('Input Sheet'!$D$2 &amp; " " &amp; $A765,Pop[#All],4,FALSE))</f>
        <v/>
      </c>
      <c r="L765" s="5" t="str">
        <f t="shared" si="40"/>
        <v/>
      </c>
      <c r="M765" s="7" t="str">
        <f t="shared" ca="1" si="39"/>
        <v/>
      </c>
      <c r="N765" s="17" t="str">
        <f>IF(OR($A765="",$A765="Grand Total"),IF($A765="Grand Total",SUM($N$15:$N764),""),SUMPRODUCT((Table1[County]=SummaryPage!$A765)*(Table1[Status]&lt;&gt;"Complete")))</f>
        <v/>
      </c>
      <c r="O765" s="6" t="str">
        <f ca="1">IF($A765="Grand Total",SUM(INDIRECT(ADDRESS(1,COLUMN())&amp;":"&amp;ADDRESS(ROW()-1,COLUMN()))),IF(OR($A765="State Agencies",IFERROR(AND($L765&gt;='Input Sheet'!$J$2,$A765&lt;&gt;""),0)),$J765,""))</f>
        <v/>
      </c>
      <c r="P765" s="3" t="str">
        <f>IF(OR($A765="",$A765="Grand Total"),"",IF(IFERROR(ROUND($J765/$K765,2),1000)&gt;='Input Sheet'!$J$2,1,""))</f>
        <v/>
      </c>
      <c r="Q765" s="3" t="str">
        <f t="shared" si="41"/>
        <v/>
      </c>
      <c r="R765" s="3" t="str">
        <f>IF(OR($A765="",$A765="Grand Total"),"",AND($J765=0,(SUMPRODUCT((Table1[County]=SummaryPage!$A765)*(Table1[Status]="Not Started"))+SUMPRODUCT((Table1[County]=SummaryPage!$A765)*(Table1[Status]="")))=SUMPRODUCT((Table1[County]=SummaryPage!$A765)*(Table1[Status]&lt;&gt;"Q"))))</f>
        <v/>
      </c>
    </row>
    <row r="766" spans="11:18" x14ac:dyDescent="0.3">
      <c r="K766" s="28" t="str">
        <f>IF($A766="","",VLOOKUP('Input Sheet'!$D$2 &amp; " " &amp; $A766,Pop[#All],4,FALSE))</f>
        <v/>
      </c>
      <c r="L766" s="5" t="str">
        <f t="shared" si="40"/>
        <v/>
      </c>
      <c r="M766" s="7" t="str">
        <f t="shared" ca="1" si="39"/>
        <v/>
      </c>
      <c r="N766" s="17" t="str">
        <f>IF(OR($A766="",$A766="Grand Total"),IF($A766="Grand Total",SUM($N$15:$N765),""),SUMPRODUCT((Table1[County]=SummaryPage!$A766)*(Table1[Status]&lt;&gt;"Complete")))</f>
        <v/>
      </c>
      <c r="O766" s="6" t="str">
        <f ca="1">IF($A766="Grand Total",SUM(INDIRECT(ADDRESS(1,COLUMN())&amp;":"&amp;ADDRESS(ROW()-1,COLUMN()))),IF(OR($A766="State Agencies",IFERROR(AND($L766&gt;='Input Sheet'!$J$2,$A766&lt;&gt;""),0)),$J766,""))</f>
        <v/>
      </c>
      <c r="P766" s="3" t="str">
        <f>IF(OR($A766="",$A766="Grand Total"),"",IF(IFERROR(ROUND($J766/$K766,2),1000)&gt;='Input Sheet'!$J$2,1,""))</f>
        <v/>
      </c>
      <c r="Q766" s="3" t="str">
        <f t="shared" si="41"/>
        <v/>
      </c>
      <c r="R766" s="3" t="str">
        <f>IF(OR($A766="",$A766="Grand Total"),"",AND($J766=0,(SUMPRODUCT((Table1[County]=SummaryPage!$A766)*(Table1[Status]="Not Started"))+SUMPRODUCT((Table1[County]=SummaryPage!$A766)*(Table1[Status]="")))=SUMPRODUCT((Table1[County]=SummaryPage!$A766)*(Table1[Status]&lt;&gt;"Q"))))</f>
        <v/>
      </c>
    </row>
    <row r="767" spans="11:18" x14ac:dyDescent="0.3">
      <c r="K767" s="28" t="str">
        <f>IF($A767="","",VLOOKUP('Input Sheet'!$D$2 &amp; " " &amp; $A767,Pop[#All],4,FALSE))</f>
        <v/>
      </c>
      <c r="L767" s="5" t="str">
        <f t="shared" si="40"/>
        <v/>
      </c>
      <c r="M767" s="7" t="str">
        <f t="shared" ca="1" si="39"/>
        <v/>
      </c>
      <c r="N767" s="17" t="str">
        <f>IF(OR($A767="",$A767="Grand Total"),IF($A767="Grand Total",SUM($N$15:$N766),""),SUMPRODUCT((Table1[County]=SummaryPage!$A767)*(Table1[Status]&lt;&gt;"Complete")))</f>
        <v/>
      </c>
      <c r="O767" s="6" t="str">
        <f ca="1">IF($A767="Grand Total",SUM(INDIRECT(ADDRESS(1,COLUMN())&amp;":"&amp;ADDRESS(ROW()-1,COLUMN()))),IF(OR($A767="State Agencies",IFERROR(AND($L767&gt;='Input Sheet'!$J$2,$A767&lt;&gt;""),0)),$J767,""))</f>
        <v/>
      </c>
      <c r="P767" s="3" t="str">
        <f>IF(OR($A767="",$A767="Grand Total"),"",IF(IFERROR(ROUND($J767/$K767,2),1000)&gt;='Input Sheet'!$J$2,1,""))</f>
        <v/>
      </c>
      <c r="Q767" s="3" t="str">
        <f t="shared" si="41"/>
        <v/>
      </c>
      <c r="R767" s="3" t="str">
        <f>IF(OR($A767="",$A767="Grand Total"),"",AND($J767=0,(SUMPRODUCT((Table1[County]=SummaryPage!$A767)*(Table1[Status]="Not Started"))+SUMPRODUCT((Table1[County]=SummaryPage!$A767)*(Table1[Status]="")))=SUMPRODUCT((Table1[County]=SummaryPage!$A767)*(Table1[Status]&lt;&gt;"Q"))))</f>
        <v/>
      </c>
    </row>
    <row r="768" spans="11:18" x14ac:dyDescent="0.3">
      <c r="K768" s="28" t="str">
        <f>IF($A768="","",VLOOKUP('Input Sheet'!$D$2 &amp; " " &amp; $A768,Pop[#All],4,FALSE))</f>
        <v/>
      </c>
      <c r="L768" s="5" t="str">
        <f t="shared" si="40"/>
        <v/>
      </c>
      <c r="M768" s="7" t="str">
        <f t="shared" ca="1" si="39"/>
        <v/>
      </c>
      <c r="N768" s="17" t="str">
        <f>IF(OR($A768="",$A768="Grand Total"),IF($A768="Grand Total",SUM($N$15:$N767),""),SUMPRODUCT((Table1[County]=SummaryPage!$A768)*(Table1[Status]&lt;&gt;"Complete")))</f>
        <v/>
      </c>
      <c r="O768" s="6" t="str">
        <f ca="1">IF($A768="Grand Total",SUM(INDIRECT(ADDRESS(1,COLUMN())&amp;":"&amp;ADDRESS(ROW()-1,COLUMN()))),IF(OR($A768="State Agencies",IFERROR(AND($L768&gt;='Input Sheet'!$J$2,$A768&lt;&gt;""),0)),$J768,""))</f>
        <v/>
      </c>
      <c r="P768" s="3" t="str">
        <f>IF(OR($A768="",$A768="Grand Total"),"",IF(IFERROR(ROUND($J768/$K768,2),1000)&gt;='Input Sheet'!$J$2,1,""))</f>
        <v/>
      </c>
      <c r="Q768" s="3" t="str">
        <f t="shared" si="41"/>
        <v/>
      </c>
      <c r="R768" s="3" t="str">
        <f>IF(OR($A768="",$A768="Grand Total"),"",AND($J768=0,(SUMPRODUCT((Table1[County]=SummaryPage!$A768)*(Table1[Status]="Not Started"))+SUMPRODUCT((Table1[County]=SummaryPage!$A768)*(Table1[Status]="")))=SUMPRODUCT((Table1[County]=SummaryPage!$A768)*(Table1[Status]&lt;&gt;"Q"))))</f>
        <v/>
      </c>
    </row>
    <row r="769" spans="11:18" x14ac:dyDescent="0.3">
      <c r="K769" s="28" t="str">
        <f>IF($A769="","",VLOOKUP('Input Sheet'!$D$2 &amp; " " &amp; $A769,Pop[#All],4,FALSE))</f>
        <v/>
      </c>
      <c r="L769" s="5" t="str">
        <f t="shared" si="40"/>
        <v/>
      </c>
      <c r="M769" s="7" t="str">
        <f t="shared" ca="1" si="39"/>
        <v/>
      </c>
      <c r="N769" s="17" t="str">
        <f>IF(OR($A769="",$A769="Grand Total"),IF($A769="Grand Total",SUM($N$15:$N768),""),SUMPRODUCT((Table1[County]=SummaryPage!$A769)*(Table1[Status]&lt;&gt;"Complete")))</f>
        <v/>
      </c>
      <c r="O769" s="6" t="str">
        <f ca="1">IF($A769="Grand Total",SUM(INDIRECT(ADDRESS(1,COLUMN())&amp;":"&amp;ADDRESS(ROW()-1,COLUMN()))),IF(OR($A769="State Agencies",IFERROR(AND($L769&gt;='Input Sheet'!$J$2,$A769&lt;&gt;""),0)),$J769,""))</f>
        <v/>
      </c>
      <c r="P769" s="3" t="str">
        <f>IF(OR($A769="",$A769="Grand Total"),"",IF(IFERROR(ROUND($J769/$K769,2),1000)&gt;='Input Sheet'!$J$2,1,""))</f>
        <v/>
      </c>
      <c r="Q769" s="3" t="str">
        <f t="shared" si="41"/>
        <v/>
      </c>
      <c r="R769" s="3" t="str">
        <f>IF(OR($A769="",$A769="Grand Total"),"",AND($J769=0,(SUMPRODUCT((Table1[County]=SummaryPage!$A769)*(Table1[Status]="Not Started"))+SUMPRODUCT((Table1[County]=SummaryPage!$A769)*(Table1[Status]="")))=SUMPRODUCT((Table1[County]=SummaryPage!$A769)*(Table1[Status]&lt;&gt;"Q"))))</f>
        <v/>
      </c>
    </row>
    <row r="770" spans="11:18" x14ac:dyDescent="0.3">
      <c r="K770" s="28" t="str">
        <f>IF($A770="","",VLOOKUP('Input Sheet'!$D$2 &amp; " " &amp; $A770,Pop[#All],4,FALSE))</f>
        <v/>
      </c>
      <c r="L770" s="5" t="str">
        <f t="shared" si="40"/>
        <v/>
      </c>
      <c r="M770" s="7" t="str">
        <f t="shared" ca="1" si="39"/>
        <v/>
      </c>
      <c r="N770" s="17" t="str">
        <f>IF(OR($A770="",$A770="Grand Total"),IF($A770="Grand Total",SUM($N$15:$N769),""),SUMPRODUCT((Table1[County]=SummaryPage!$A770)*(Table1[Status]&lt;&gt;"Complete")))</f>
        <v/>
      </c>
      <c r="O770" s="6" t="str">
        <f ca="1">IF($A770="Grand Total",SUM(INDIRECT(ADDRESS(1,COLUMN())&amp;":"&amp;ADDRESS(ROW()-1,COLUMN()))),IF(OR($A770="State Agencies",IFERROR(AND($L770&gt;='Input Sheet'!$J$2,$A770&lt;&gt;""),0)),$J770,""))</f>
        <v/>
      </c>
      <c r="P770" s="3" t="str">
        <f>IF(OR($A770="",$A770="Grand Total"),"",IF(IFERROR(ROUND($J770/$K770,2),1000)&gt;='Input Sheet'!$J$2,1,""))</f>
        <v/>
      </c>
      <c r="Q770" s="3" t="str">
        <f t="shared" si="41"/>
        <v/>
      </c>
      <c r="R770" s="3" t="str">
        <f>IF(OR($A770="",$A770="Grand Total"),"",AND($J770=0,(SUMPRODUCT((Table1[County]=SummaryPage!$A770)*(Table1[Status]="Not Started"))+SUMPRODUCT((Table1[County]=SummaryPage!$A770)*(Table1[Status]="")))=SUMPRODUCT((Table1[County]=SummaryPage!$A770)*(Table1[Status]&lt;&gt;"Q"))))</f>
        <v/>
      </c>
    </row>
    <row r="771" spans="11:18" x14ac:dyDescent="0.3">
      <c r="K771" s="28" t="str">
        <f>IF($A771="","",VLOOKUP('Input Sheet'!$D$2 &amp; " " &amp; $A771,Pop[#All],4,FALSE))</f>
        <v/>
      </c>
      <c r="L771" s="5" t="str">
        <f t="shared" si="40"/>
        <v/>
      </c>
      <c r="M771" s="7" t="str">
        <f t="shared" ca="1" si="39"/>
        <v/>
      </c>
      <c r="N771" s="17" t="str">
        <f>IF(OR($A771="",$A771="Grand Total"),IF($A771="Grand Total",SUM($N$15:$N770),""),SUMPRODUCT((Table1[County]=SummaryPage!$A771)*(Table1[Status]&lt;&gt;"Complete")))</f>
        <v/>
      </c>
      <c r="O771" s="6" t="str">
        <f ca="1">IF($A771="Grand Total",SUM(INDIRECT(ADDRESS(1,COLUMN())&amp;":"&amp;ADDRESS(ROW()-1,COLUMN()))),IF(OR($A771="State Agencies",IFERROR(AND($L771&gt;='Input Sheet'!$J$2,$A771&lt;&gt;""),0)),$J771,""))</f>
        <v/>
      </c>
      <c r="P771" s="3" t="str">
        <f>IF(OR($A771="",$A771="Grand Total"),"",IF(IFERROR(ROUND($J771/$K771,2),1000)&gt;='Input Sheet'!$J$2,1,""))</f>
        <v/>
      </c>
      <c r="Q771" s="3" t="str">
        <f t="shared" si="41"/>
        <v/>
      </c>
      <c r="R771" s="3" t="str">
        <f>IF(OR($A771="",$A771="Grand Total"),"",AND($J771=0,(SUMPRODUCT((Table1[County]=SummaryPage!$A771)*(Table1[Status]="Not Started"))+SUMPRODUCT((Table1[County]=SummaryPage!$A771)*(Table1[Status]="")))=SUMPRODUCT((Table1[County]=SummaryPage!$A771)*(Table1[Status]&lt;&gt;"Q"))))</f>
        <v/>
      </c>
    </row>
    <row r="772" spans="11:18" x14ac:dyDescent="0.3">
      <c r="K772" s="28" t="str">
        <f>IF($A772="","",VLOOKUP('Input Sheet'!$D$2 &amp; " " &amp; $A772,Pop[#All],4,FALSE))</f>
        <v/>
      </c>
      <c r="L772" s="5" t="str">
        <f t="shared" si="40"/>
        <v/>
      </c>
      <c r="M772" s="7" t="str">
        <f t="shared" ca="1" si="39"/>
        <v/>
      </c>
      <c r="N772" s="17" t="str">
        <f>IF(OR($A772="",$A772="Grand Total"),IF($A772="Grand Total",SUM($N$15:$N771),""),SUMPRODUCT((Table1[County]=SummaryPage!$A772)*(Table1[Status]&lt;&gt;"Complete")))</f>
        <v/>
      </c>
      <c r="O772" s="6" t="str">
        <f ca="1">IF($A772="Grand Total",SUM(INDIRECT(ADDRESS(1,COLUMN())&amp;":"&amp;ADDRESS(ROW()-1,COLUMN()))),IF(OR($A772="State Agencies",IFERROR(AND($L772&gt;='Input Sheet'!$J$2,$A772&lt;&gt;""),0)),$J772,""))</f>
        <v/>
      </c>
      <c r="P772" s="3" t="str">
        <f>IF(OR($A772="",$A772="Grand Total"),"",IF(IFERROR(ROUND($J772/$K772,2),1000)&gt;='Input Sheet'!$J$2,1,""))</f>
        <v/>
      </c>
      <c r="Q772" s="3" t="str">
        <f t="shared" si="41"/>
        <v/>
      </c>
      <c r="R772" s="3" t="str">
        <f>IF(OR($A772="",$A772="Grand Total"),"",AND($J772=0,(SUMPRODUCT((Table1[County]=SummaryPage!$A772)*(Table1[Status]="Not Started"))+SUMPRODUCT((Table1[County]=SummaryPage!$A772)*(Table1[Status]="")))=SUMPRODUCT((Table1[County]=SummaryPage!$A772)*(Table1[Status]&lt;&gt;"Q"))))</f>
        <v/>
      </c>
    </row>
    <row r="773" spans="11:18" x14ac:dyDescent="0.3">
      <c r="K773" s="28" t="str">
        <f>IF($A773="","",VLOOKUP('Input Sheet'!$D$2 &amp; " " &amp; $A773,Pop[#All],4,FALSE))</f>
        <v/>
      </c>
      <c r="L773" s="5" t="str">
        <f t="shared" si="40"/>
        <v/>
      </c>
      <c r="M773" s="7" t="str">
        <f t="shared" ca="1" si="39"/>
        <v/>
      </c>
      <c r="N773" s="17" t="str">
        <f>IF(OR($A773="",$A773="Grand Total"),IF($A773="Grand Total",SUM($N$15:$N772),""),SUMPRODUCT((Table1[County]=SummaryPage!$A773)*(Table1[Status]&lt;&gt;"Complete")))</f>
        <v/>
      </c>
      <c r="O773" s="6" t="str">
        <f ca="1">IF($A773="Grand Total",SUM(INDIRECT(ADDRESS(1,COLUMN())&amp;":"&amp;ADDRESS(ROW()-1,COLUMN()))),IF(OR($A773="State Agencies",IFERROR(AND($L773&gt;='Input Sheet'!$J$2,$A773&lt;&gt;""),0)),$J773,""))</f>
        <v/>
      </c>
      <c r="P773" s="3" t="str">
        <f>IF(OR($A773="",$A773="Grand Total"),"",IF(IFERROR(ROUND($J773/$K773,2),1000)&gt;='Input Sheet'!$J$2,1,""))</f>
        <v/>
      </c>
      <c r="Q773" s="3" t="str">
        <f t="shared" si="41"/>
        <v/>
      </c>
      <c r="R773" s="3" t="str">
        <f>IF(OR($A773="",$A773="Grand Total"),"",AND($J773=0,(SUMPRODUCT((Table1[County]=SummaryPage!$A773)*(Table1[Status]="Not Started"))+SUMPRODUCT((Table1[County]=SummaryPage!$A773)*(Table1[Status]="")))=SUMPRODUCT((Table1[County]=SummaryPage!$A773)*(Table1[Status]&lt;&gt;"Q"))))</f>
        <v/>
      </c>
    </row>
    <row r="774" spans="11:18" x14ac:dyDescent="0.3">
      <c r="K774" s="28" t="str">
        <f>IF($A774="","",VLOOKUP('Input Sheet'!$D$2 &amp; " " &amp; $A774,Pop[#All],4,FALSE))</f>
        <v/>
      </c>
      <c r="L774" s="5" t="str">
        <f t="shared" si="40"/>
        <v/>
      </c>
      <c r="M774" s="7" t="str">
        <f t="shared" ca="1" si="39"/>
        <v/>
      </c>
      <c r="N774" s="17" t="str">
        <f>IF(OR($A774="",$A774="Grand Total"),IF($A774="Grand Total",SUM($N$15:$N773),""),SUMPRODUCT((Table1[County]=SummaryPage!$A774)*(Table1[Status]&lt;&gt;"Complete")))</f>
        <v/>
      </c>
      <c r="O774" s="6" t="str">
        <f ca="1">IF($A774="Grand Total",SUM(INDIRECT(ADDRESS(1,COLUMN())&amp;":"&amp;ADDRESS(ROW()-1,COLUMN()))),IF(OR($A774="State Agencies",IFERROR(AND($L774&gt;='Input Sheet'!$J$2,$A774&lt;&gt;""),0)),$J774,""))</f>
        <v/>
      </c>
      <c r="P774" s="3" t="str">
        <f>IF(OR($A774="",$A774="Grand Total"),"",IF(IFERROR(ROUND($J774/$K774,2),1000)&gt;='Input Sheet'!$J$2,1,""))</f>
        <v/>
      </c>
      <c r="Q774" s="3" t="str">
        <f t="shared" si="41"/>
        <v/>
      </c>
      <c r="R774" s="3" t="str">
        <f>IF(OR($A774="",$A774="Grand Total"),"",AND($J774=0,(SUMPRODUCT((Table1[County]=SummaryPage!$A774)*(Table1[Status]="Not Started"))+SUMPRODUCT((Table1[County]=SummaryPage!$A774)*(Table1[Status]="")))=SUMPRODUCT((Table1[County]=SummaryPage!$A774)*(Table1[Status]&lt;&gt;"Q"))))</f>
        <v/>
      </c>
    </row>
    <row r="775" spans="11:18" x14ac:dyDescent="0.3">
      <c r="K775" s="28" t="str">
        <f>IF($A775="","",VLOOKUP('Input Sheet'!$D$2 &amp; " " &amp; $A775,Pop[#All],4,FALSE))</f>
        <v/>
      </c>
      <c r="L775" s="5" t="str">
        <f t="shared" si="40"/>
        <v/>
      </c>
      <c r="M775" s="7" t="str">
        <f t="shared" ca="1" si="39"/>
        <v/>
      </c>
      <c r="N775" s="17" t="str">
        <f>IF(OR($A775="",$A775="Grand Total"),IF($A775="Grand Total",SUM($N$15:$N774),""),SUMPRODUCT((Table1[County]=SummaryPage!$A775)*(Table1[Status]&lt;&gt;"Complete")))</f>
        <v/>
      </c>
      <c r="O775" s="6" t="str">
        <f ca="1">IF($A775="Grand Total",SUM(INDIRECT(ADDRESS(1,COLUMN())&amp;":"&amp;ADDRESS(ROW()-1,COLUMN()))),IF(OR($A775="State Agencies",IFERROR(AND($L775&gt;='Input Sheet'!$J$2,$A775&lt;&gt;""),0)),$J775,""))</f>
        <v/>
      </c>
      <c r="P775" s="3" t="str">
        <f>IF(OR($A775="",$A775="Grand Total"),"",IF(IFERROR(ROUND($J775/$K775,2),1000)&gt;='Input Sheet'!$J$2,1,""))</f>
        <v/>
      </c>
      <c r="Q775" s="3" t="str">
        <f t="shared" si="41"/>
        <v/>
      </c>
      <c r="R775" s="3" t="str">
        <f>IF(OR($A775="",$A775="Grand Total"),"",AND($J775=0,(SUMPRODUCT((Table1[County]=SummaryPage!$A775)*(Table1[Status]="Not Started"))+SUMPRODUCT((Table1[County]=SummaryPage!$A775)*(Table1[Status]="")))=SUMPRODUCT((Table1[County]=SummaryPage!$A775)*(Table1[Status]&lt;&gt;"Q"))))</f>
        <v/>
      </c>
    </row>
    <row r="776" spans="11:18" x14ac:dyDescent="0.3">
      <c r="K776" s="28" t="str">
        <f>IF($A776="","",VLOOKUP('Input Sheet'!$D$2 &amp; " " &amp; $A776,Pop[#All],4,FALSE))</f>
        <v/>
      </c>
      <c r="L776" s="5" t="str">
        <f t="shared" si="40"/>
        <v/>
      </c>
      <c r="M776" s="7" t="str">
        <f t="shared" ca="1" si="39"/>
        <v/>
      </c>
      <c r="N776" s="17" t="str">
        <f>IF(OR($A776="",$A776="Grand Total"),IF($A776="Grand Total",SUM($N$15:$N775),""),SUMPRODUCT((Table1[County]=SummaryPage!$A776)*(Table1[Status]&lt;&gt;"Complete")))</f>
        <v/>
      </c>
      <c r="O776" s="6" t="str">
        <f ca="1">IF($A776="Grand Total",SUM(INDIRECT(ADDRESS(1,COLUMN())&amp;":"&amp;ADDRESS(ROW()-1,COLUMN()))),IF(OR($A776="State Agencies",IFERROR(AND($L776&gt;='Input Sheet'!$J$2,$A776&lt;&gt;""),0)),$J776,""))</f>
        <v/>
      </c>
      <c r="P776" s="3" t="str">
        <f>IF(OR($A776="",$A776="Grand Total"),"",IF(IFERROR(ROUND($J776/$K776,2),1000)&gt;='Input Sheet'!$J$2,1,""))</f>
        <v/>
      </c>
      <c r="Q776" s="3" t="str">
        <f t="shared" si="41"/>
        <v/>
      </c>
      <c r="R776" s="3" t="str">
        <f>IF(OR($A776="",$A776="Grand Total"),"",AND($J776=0,(SUMPRODUCT((Table1[County]=SummaryPage!$A776)*(Table1[Status]="Not Started"))+SUMPRODUCT((Table1[County]=SummaryPage!$A776)*(Table1[Status]="")))=SUMPRODUCT((Table1[County]=SummaryPage!$A776)*(Table1[Status]&lt;&gt;"Q"))))</f>
        <v/>
      </c>
    </row>
    <row r="777" spans="11:18" x14ac:dyDescent="0.3">
      <c r="K777" s="28" t="str">
        <f>IF($A777="","",VLOOKUP('Input Sheet'!$D$2 &amp; " " &amp; $A777,Pop[#All],4,FALSE))</f>
        <v/>
      </c>
      <c r="L777" s="5" t="str">
        <f t="shared" si="40"/>
        <v/>
      </c>
      <c r="M777" s="7" t="str">
        <f t="shared" ca="1" si="39"/>
        <v/>
      </c>
      <c r="N777" s="17" t="str">
        <f>IF(OR($A777="",$A777="Grand Total"),IF($A777="Grand Total",SUM($N$15:$N776),""),SUMPRODUCT((Table1[County]=SummaryPage!$A777)*(Table1[Status]&lt;&gt;"Complete")))</f>
        <v/>
      </c>
      <c r="O777" s="6" t="str">
        <f ca="1">IF($A777="Grand Total",SUM(INDIRECT(ADDRESS(1,COLUMN())&amp;":"&amp;ADDRESS(ROW()-1,COLUMN()))),IF(OR($A777="State Agencies",IFERROR(AND($L777&gt;='Input Sheet'!$J$2,$A777&lt;&gt;""),0)),$J777,""))</f>
        <v/>
      </c>
      <c r="P777" s="3" t="str">
        <f>IF(OR($A777="",$A777="Grand Total"),"",IF(IFERROR(ROUND($J777/$K777,2),1000)&gt;='Input Sheet'!$J$2,1,""))</f>
        <v/>
      </c>
      <c r="Q777" s="3" t="str">
        <f t="shared" si="41"/>
        <v/>
      </c>
      <c r="R777" s="3" t="str">
        <f>IF(OR($A777="",$A777="Grand Total"),"",AND($J777=0,(SUMPRODUCT((Table1[County]=SummaryPage!$A777)*(Table1[Status]="Not Started"))+SUMPRODUCT((Table1[County]=SummaryPage!$A777)*(Table1[Status]="")))=SUMPRODUCT((Table1[County]=SummaryPage!$A777)*(Table1[Status]&lt;&gt;"Q"))))</f>
        <v/>
      </c>
    </row>
    <row r="778" spans="11:18" x14ac:dyDescent="0.3">
      <c r="K778" s="28" t="str">
        <f>IF($A778="","",VLOOKUP('Input Sheet'!$D$2 &amp; " " &amp; $A778,Pop[#All],4,FALSE))</f>
        <v/>
      </c>
      <c r="L778" s="5" t="str">
        <f t="shared" si="40"/>
        <v/>
      </c>
      <c r="M778" s="7" t="str">
        <f t="shared" ca="1" si="39"/>
        <v/>
      </c>
      <c r="N778" s="17" t="str">
        <f>IF(OR($A778="",$A778="Grand Total"),IF($A778="Grand Total",SUM($N$15:$N777),""),SUMPRODUCT((Table1[County]=SummaryPage!$A778)*(Table1[Status]&lt;&gt;"Complete")))</f>
        <v/>
      </c>
      <c r="O778" s="6" t="str">
        <f ca="1">IF($A778="Grand Total",SUM(INDIRECT(ADDRESS(1,COLUMN())&amp;":"&amp;ADDRESS(ROW()-1,COLUMN()))),IF(OR($A778="State Agencies",IFERROR(AND($L778&gt;='Input Sheet'!$J$2,$A778&lt;&gt;""),0)),$J778,""))</f>
        <v/>
      </c>
      <c r="P778" s="3" t="str">
        <f>IF(OR($A778="",$A778="Grand Total"),"",IF(IFERROR(ROUND($J778/$K778,2),1000)&gt;='Input Sheet'!$J$2,1,""))</f>
        <v/>
      </c>
      <c r="Q778" s="3" t="str">
        <f t="shared" si="41"/>
        <v/>
      </c>
      <c r="R778" s="3" t="str">
        <f>IF(OR($A778="",$A778="Grand Total"),"",AND($J778=0,(SUMPRODUCT((Table1[County]=SummaryPage!$A778)*(Table1[Status]="Not Started"))+SUMPRODUCT((Table1[County]=SummaryPage!$A778)*(Table1[Status]="")))=SUMPRODUCT((Table1[County]=SummaryPage!$A778)*(Table1[Status]&lt;&gt;"Q"))))</f>
        <v/>
      </c>
    </row>
    <row r="779" spans="11:18" x14ac:dyDescent="0.3">
      <c r="K779" s="28" t="str">
        <f>IF($A779="","",VLOOKUP('Input Sheet'!$D$2 &amp; " " &amp; $A779,Pop[#All],4,FALSE))</f>
        <v/>
      </c>
      <c r="L779" s="5" t="str">
        <f t="shared" si="40"/>
        <v/>
      </c>
      <c r="M779" s="7" t="str">
        <f t="shared" ca="1" si="39"/>
        <v/>
      </c>
      <c r="N779" s="17" t="str">
        <f>IF(OR($A779="",$A779="Grand Total"),IF($A779="Grand Total",SUM($N$15:$N778),""),SUMPRODUCT((Table1[County]=SummaryPage!$A779)*(Table1[Status]&lt;&gt;"Complete")))</f>
        <v/>
      </c>
      <c r="O779" s="6" t="str">
        <f ca="1">IF($A779="Grand Total",SUM(INDIRECT(ADDRESS(1,COLUMN())&amp;":"&amp;ADDRESS(ROW()-1,COLUMN()))),IF(OR($A779="State Agencies",IFERROR(AND($L779&gt;='Input Sheet'!$J$2,$A779&lt;&gt;""),0)),$J779,""))</f>
        <v/>
      </c>
      <c r="P779" s="3" t="str">
        <f>IF(OR($A779="",$A779="Grand Total"),"",IF(IFERROR(ROUND($J779/$K779,2),1000)&gt;='Input Sheet'!$J$2,1,""))</f>
        <v/>
      </c>
      <c r="Q779" s="3" t="str">
        <f t="shared" si="41"/>
        <v/>
      </c>
      <c r="R779" s="3" t="str">
        <f>IF(OR($A779="",$A779="Grand Total"),"",AND($J779=0,(SUMPRODUCT((Table1[County]=SummaryPage!$A779)*(Table1[Status]="Not Started"))+SUMPRODUCT((Table1[County]=SummaryPage!$A779)*(Table1[Status]="")))=SUMPRODUCT((Table1[County]=SummaryPage!$A779)*(Table1[Status]&lt;&gt;"Q"))))</f>
        <v/>
      </c>
    </row>
    <row r="780" spans="11:18" x14ac:dyDescent="0.3">
      <c r="K780" s="28" t="str">
        <f>IF($A780="","",VLOOKUP('Input Sheet'!$D$2 &amp; " " &amp; $A780,Pop[#All],4,FALSE))</f>
        <v/>
      </c>
      <c r="L780" s="5" t="str">
        <f t="shared" si="40"/>
        <v/>
      </c>
      <c r="M780" s="7" t="str">
        <f t="shared" ca="1" si="39"/>
        <v/>
      </c>
      <c r="N780" s="17" t="str">
        <f>IF(OR($A780="",$A780="Grand Total"),IF($A780="Grand Total",SUM($N$15:$N779),""),SUMPRODUCT((Table1[County]=SummaryPage!$A780)*(Table1[Status]&lt;&gt;"Complete")))</f>
        <v/>
      </c>
      <c r="O780" s="6" t="str">
        <f ca="1">IF($A780="Grand Total",SUM(INDIRECT(ADDRESS(1,COLUMN())&amp;":"&amp;ADDRESS(ROW()-1,COLUMN()))),IF(OR($A780="State Agencies",IFERROR(AND($L780&gt;='Input Sheet'!$J$2,$A780&lt;&gt;""),0)),$J780,""))</f>
        <v/>
      </c>
      <c r="P780" s="3" t="str">
        <f>IF(OR($A780="",$A780="Grand Total"),"",IF(IFERROR(ROUND($J780/$K780,2),1000)&gt;='Input Sheet'!$J$2,1,""))</f>
        <v/>
      </c>
      <c r="Q780" s="3" t="str">
        <f t="shared" si="41"/>
        <v/>
      </c>
      <c r="R780" s="3" t="str">
        <f>IF(OR($A780="",$A780="Grand Total"),"",AND($J780=0,(SUMPRODUCT((Table1[County]=SummaryPage!$A780)*(Table1[Status]="Not Started"))+SUMPRODUCT((Table1[County]=SummaryPage!$A780)*(Table1[Status]="")))=SUMPRODUCT((Table1[County]=SummaryPage!$A780)*(Table1[Status]&lt;&gt;"Q"))))</f>
        <v/>
      </c>
    </row>
    <row r="781" spans="11:18" x14ac:dyDescent="0.3">
      <c r="K781" s="28" t="str">
        <f>IF($A781="","",VLOOKUP('Input Sheet'!$D$2 &amp; " " &amp; $A781,Pop[#All],4,FALSE))</f>
        <v/>
      </c>
      <c r="L781" s="5" t="str">
        <f t="shared" si="40"/>
        <v/>
      </c>
      <c r="M781" s="7" t="str">
        <f t="shared" ca="1" si="39"/>
        <v/>
      </c>
      <c r="N781" s="17" t="str">
        <f>IF(OR($A781="",$A781="Grand Total"),IF($A781="Grand Total",SUM($N$15:$N780),""),SUMPRODUCT((Table1[County]=SummaryPage!$A781)*(Table1[Status]&lt;&gt;"Complete")))</f>
        <v/>
      </c>
      <c r="O781" s="6" t="str">
        <f ca="1">IF($A781="Grand Total",SUM(INDIRECT(ADDRESS(1,COLUMN())&amp;":"&amp;ADDRESS(ROW()-1,COLUMN()))),IF(OR($A781="State Agencies",IFERROR(AND($L781&gt;='Input Sheet'!$J$2,$A781&lt;&gt;""),0)),$J781,""))</f>
        <v/>
      </c>
      <c r="P781" s="3" t="str">
        <f>IF(OR($A781="",$A781="Grand Total"),"",IF(IFERROR(ROUND($J781/$K781,2),1000)&gt;='Input Sheet'!$J$2,1,""))</f>
        <v/>
      </c>
      <c r="Q781" s="3" t="str">
        <f t="shared" si="41"/>
        <v/>
      </c>
      <c r="R781" s="3" t="str">
        <f>IF(OR($A781="",$A781="Grand Total"),"",AND($J781=0,(SUMPRODUCT((Table1[County]=SummaryPage!$A781)*(Table1[Status]="Not Started"))+SUMPRODUCT((Table1[County]=SummaryPage!$A781)*(Table1[Status]="")))=SUMPRODUCT((Table1[County]=SummaryPage!$A781)*(Table1[Status]&lt;&gt;"Q"))))</f>
        <v/>
      </c>
    </row>
    <row r="782" spans="11:18" x14ac:dyDescent="0.3">
      <c r="K782" s="28" t="str">
        <f>IF($A782="","",VLOOKUP('Input Sheet'!$D$2 &amp; " " &amp; $A782,Pop[#All],4,FALSE))</f>
        <v/>
      </c>
      <c r="L782" s="5" t="str">
        <f t="shared" si="40"/>
        <v/>
      </c>
      <c r="M782" s="7" t="str">
        <f t="shared" ca="1" si="39"/>
        <v/>
      </c>
      <c r="N782" s="17" t="str">
        <f>IF(OR($A782="",$A782="Grand Total"),IF($A782="Grand Total",SUM($N$15:$N781),""),SUMPRODUCT((Table1[County]=SummaryPage!$A782)*(Table1[Status]&lt;&gt;"Complete")))</f>
        <v/>
      </c>
      <c r="O782" s="6" t="str">
        <f ca="1">IF($A782="Grand Total",SUM(INDIRECT(ADDRESS(1,COLUMN())&amp;":"&amp;ADDRESS(ROW()-1,COLUMN()))),IF(OR($A782="State Agencies",IFERROR(AND($L782&gt;='Input Sheet'!$J$2,$A782&lt;&gt;""),0)),$J782,""))</f>
        <v/>
      </c>
      <c r="P782" s="3" t="str">
        <f>IF(OR($A782="",$A782="Grand Total"),"",IF(IFERROR(ROUND($J782/$K782,2),1000)&gt;='Input Sheet'!$J$2,1,""))</f>
        <v/>
      </c>
      <c r="Q782" s="3" t="str">
        <f t="shared" si="41"/>
        <v/>
      </c>
      <c r="R782" s="3" t="str">
        <f>IF(OR($A782="",$A782="Grand Total"),"",AND($J782=0,(SUMPRODUCT((Table1[County]=SummaryPage!$A782)*(Table1[Status]="Not Started"))+SUMPRODUCT((Table1[County]=SummaryPage!$A782)*(Table1[Status]="")))=SUMPRODUCT((Table1[County]=SummaryPage!$A782)*(Table1[Status]&lt;&gt;"Q"))))</f>
        <v/>
      </c>
    </row>
    <row r="783" spans="11:18" x14ac:dyDescent="0.3">
      <c r="K783" s="28" t="str">
        <f>IF($A783="","",VLOOKUP('Input Sheet'!$D$2 &amp; " " &amp; $A783,Pop[#All],4,FALSE))</f>
        <v/>
      </c>
      <c r="L783" s="5" t="str">
        <f t="shared" si="40"/>
        <v/>
      </c>
      <c r="M783" s="7" t="str">
        <f t="shared" ref="M783:M846" ca="1" si="42">IF(A783="Grand Total","",IF(ISNUMBER($O783),$O783*2/SUM($O:$O),""))</f>
        <v/>
      </c>
      <c r="N783" s="17" t="str">
        <f>IF(OR($A783="",$A783="Grand Total"),IF($A783="Grand Total",SUM($N$15:$N782),""),SUMPRODUCT((Table1[County]=SummaryPage!$A783)*(Table1[Status]&lt;&gt;"Complete")))</f>
        <v/>
      </c>
      <c r="O783" s="6" t="str">
        <f ca="1">IF($A783="Grand Total",SUM(INDIRECT(ADDRESS(1,COLUMN())&amp;":"&amp;ADDRESS(ROW()-1,COLUMN()))),IF(OR($A783="State Agencies",IFERROR(AND($L783&gt;='Input Sheet'!$J$2,$A783&lt;&gt;""),0)),$J783,""))</f>
        <v/>
      </c>
      <c r="P783" s="3" t="str">
        <f>IF(OR($A783="",$A783="Grand Total"),"",IF(IFERROR(ROUND($J783/$K783,2),1000)&gt;='Input Sheet'!$J$2,1,""))</f>
        <v/>
      </c>
      <c r="Q783" s="3" t="str">
        <f t="shared" si="41"/>
        <v/>
      </c>
      <c r="R783" s="3" t="str">
        <f>IF(OR($A783="",$A783="Grand Total"),"",AND($J783=0,(SUMPRODUCT((Table1[County]=SummaryPage!$A783)*(Table1[Status]="Not Started"))+SUMPRODUCT((Table1[County]=SummaryPage!$A783)*(Table1[Status]="")))=SUMPRODUCT((Table1[County]=SummaryPage!$A783)*(Table1[Status]&lt;&gt;"Q"))))</f>
        <v/>
      </c>
    </row>
    <row r="784" spans="11:18" x14ac:dyDescent="0.3">
      <c r="K784" s="28" t="str">
        <f>IF($A784="","",VLOOKUP('Input Sheet'!$D$2 &amp; " " &amp; $A784,Pop[#All],4,FALSE))</f>
        <v/>
      </c>
      <c r="L784" s="5" t="str">
        <f t="shared" ref="L784:L847" si="43">IFERROR(IF($A784="","",ROUND($J784/$K784,2)),"")</f>
        <v/>
      </c>
      <c r="M784" s="7" t="str">
        <f t="shared" ca="1" si="42"/>
        <v/>
      </c>
      <c r="N784" s="17" t="str">
        <f>IF(OR($A784="",$A784="Grand Total"),IF($A784="Grand Total",SUM($N$15:$N783),""),SUMPRODUCT((Table1[County]=SummaryPage!$A784)*(Table1[Status]&lt;&gt;"Complete")))</f>
        <v/>
      </c>
      <c r="O784" s="6" t="str">
        <f ca="1">IF($A784="Grand Total",SUM(INDIRECT(ADDRESS(1,COLUMN())&amp;":"&amp;ADDRESS(ROW()-1,COLUMN()))),IF(OR($A784="State Agencies",IFERROR(AND($L784&gt;='Input Sheet'!$J$2,$A784&lt;&gt;""),0)),$J784,""))</f>
        <v/>
      </c>
      <c r="P784" s="3" t="str">
        <f>IF(OR($A784="",$A784="Grand Total"),"",IF(IFERROR(ROUND($J784/$K784,2),1000)&gt;='Input Sheet'!$J$2,1,""))</f>
        <v/>
      </c>
      <c r="Q784" s="3" t="str">
        <f t="shared" ref="Q784:Q847" si="44">IFERROR($L784*$P784,"")</f>
        <v/>
      </c>
      <c r="R784" s="3" t="str">
        <f>IF(OR($A784="",$A784="Grand Total"),"",AND($J784=0,(SUMPRODUCT((Table1[County]=SummaryPage!$A784)*(Table1[Status]="Not Started"))+SUMPRODUCT((Table1[County]=SummaryPage!$A784)*(Table1[Status]="")))=SUMPRODUCT((Table1[County]=SummaryPage!$A784)*(Table1[Status]&lt;&gt;"Q"))))</f>
        <v/>
      </c>
    </row>
    <row r="785" spans="11:18" x14ac:dyDescent="0.3">
      <c r="K785" s="28" t="str">
        <f>IF($A785="","",VLOOKUP('Input Sheet'!$D$2 &amp; " " &amp; $A785,Pop[#All],4,FALSE))</f>
        <v/>
      </c>
      <c r="L785" s="5" t="str">
        <f t="shared" si="43"/>
        <v/>
      </c>
      <c r="M785" s="7" t="str">
        <f t="shared" ca="1" si="42"/>
        <v/>
      </c>
      <c r="N785" s="17" t="str">
        <f>IF(OR($A785="",$A785="Grand Total"),IF($A785="Grand Total",SUM($N$15:$N784),""),SUMPRODUCT((Table1[County]=SummaryPage!$A785)*(Table1[Status]&lt;&gt;"Complete")))</f>
        <v/>
      </c>
      <c r="O785" s="6" t="str">
        <f ca="1">IF($A785="Grand Total",SUM(INDIRECT(ADDRESS(1,COLUMN())&amp;":"&amp;ADDRESS(ROW()-1,COLUMN()))),IF(OR($A785="State Agencies",IFERROR(AND($L785&gt;='Input Sheet'!$J$2,$A785&lt;&gt;""),0)),$J785,""))</f>
        <v/>
      </c>
      <c r="P785" s="3" t="str">
        <f>IF(OR($A785="",$A785="Grand Total"),"",IF(IFERROR(ROUND($J785/$K785,2),1000)&gt;='Input Sheet'!$J$2,1,""))</f>
        <v/>
      </c>
      <c r="Q785" s="3" t="str">
        <f t="shared" si="44"/>
        <v/>
      </c>
      <c r="R785" s="3" t="str">
        <f>IF(OR($A785="",$A785="Grand Total"),"",AND($J785=0,(SUMPRODUCT((Table1[County]=SummaryPage!$A785)*(Table1[Status]="Not Started"))+SUMPRODUCT((Table1[County]=SummaryPage!$A785)*(Table1[Status]="")))=SUMPRODUCT((Table1[County]=SummaryPage!$A785)*(Table1[Status]&lt;&gt;"Q"))))</f>
        <v/>
      </c>
    </row>
    <row r="786" spans="11:18" x14ac:dyDescent="0.3">
      <c r="K786" s="28" t="str">
        <f>IF($A786="","",VLOOKUP('Input Sheet'!$D$2 &amp; " " &amp; $A786,Pop[#All],4,FALSE))</f>
        <v/>
      </c>
      <c r="L786" s="5" t="str">
        <f t="shared" si="43"/>
        <v/>
      </c>
      <c r="M786" s="7" t="str">
        <f t="shared" ca="1" si="42"/>
        <v/>
      </c>
      <c r="N786" s="17" t="str">
        <f>IF(OR($A786="",$A786="Grand Total"),IF($A786="Grand Total",SUM($N$15:$N785),""),SUMPRODUCT((Table1[County]=SummaryPage!$A786)*(Table1[Status]&lt;&gt;"Complete")))</f>
        <v/>
      </c>
      <c r="O786" s="6" t="str">
        <f ca="1">IF($A786="Grand Total",SUM(INDIRECT(ADDRESS(1,COLUMN())&amp;":"&amp;ADDRESS(ROW()-1,COLUMN()))),IF(OR($A786="State Agencies",IFERROR(AND($L786&gt;='Input Sheet'!$J$2,$A786&lt;&gt;""),0)),$J786,""))</f>
        <v/>
      </c>
      <c r="P786" s="3" t="str">
        <f>IF(OR($A786="",$A786="Grand Total"),"",IF(IFERROR(ROUND($J786/$K786,2),1000)&gt;='Input Sheet'!$J$2,1,""))</f>
        <v/>
      </c>
      <c r="Q786" s="3" t="str">
        <f t="shared" si="44"/>
        <v/>
      </c>
      <c r="R786" s="3" t="str">
        <f>IF(OR($A786="",$A786="Grand Total"),"",AND($J786=0,(SUMPRODUCT((Table1[County]=SummaryPage!$A786)*(Table1[Status]="Not Started"))+SUMPRODUCT((Table1[County]=SummaryPage!$A786)*(Table1[Status]="")))=SUMPRODUCT((Table1[County]=SummaryPage!$A786)*(Table1[Status]&lt;&gt;"Q"))))</f>
        <v/>
      </c>
    </row>
    <row r="787" spans="11:18" x14ac:dyDescent="0.3">
      <c r="K787" s="28" t="str">
        <f>IF($A787="","",VLOOKUP('Input Sheet'!$D$2 &amp; " " &amp; $A787,Pop[#All],4,FALSE))</f>
        <v/>
      </c>
      <c r="L787" s="5" t="str">
        <f t="shared" si="43"/>
        <v/>
      </c>
      <c r="M787" s="7" t="str">
        <f t="shared" ca="1" si="42"/>
        <v/>
      </c>
      <c r="N787" s="17" t="str">
        <f>IF(OR($A787="",$A787="Grand Total"),IF($A787="Grand Total",SUM($N$15:$N786),""),SUMPRODUCT((Table1[County]=SummaryPage!$A787)*(Table1[Status]&lt;&gt;"Complete")))</f>
        <v/>
      </c>
      <c r="O787" s="6" t="str">
        <f ca="1">IF($A787="Grand Total",SUM(INDIRECT(ADDRESS(1,COLUMN())&amp;":"&amp;ADDRESS(ROW()-1,COLUMN()))),IF(OR($A787="State Agencies",IFERROR(AND($L787&gt;='Input Sheet'!$J$2,$A787&lt;&gt;""),0)),$J787,""))</f>
        <v/>
      </c>
      <c r="P787" s="3" t="str">
        <f>IF(OR($A787="",$A787="Grand Total"),"",IF(IFERROR(ROUND($J787/$K787,2),1000)&gt;='Input Sheet'!$J$2,1,""))</f>
        <v/>
      </c>
      <c r="Q787" s="3" t="str">
        <f t="shared" si="44"/>
        <v/>
      </c>
      <c r="R787" s="3" t="str">
        <f>IF(OR($A787="",$A787="Grand Total"),"",AND($J787=0,(SUMPRODUCT((Table1[County]=SummaryPage!$A787)*(Table1[Status]="Not Started"))+SUMPRODUCT((Table1[County]=SummaryPage!$A787)*(Table1[Status]="")))=SUMPRODUCT((Table1[County]=SummaryPage!$A787)*(Table1[Status]&lt;&gt;"Q"))))</f>
        <v/>
      </c>
    </row>
    <row r="788" spans="11:18" x14ac:dyDescent="0.3">
      <c r="K788" s="28" t="str">
        <f>IF($A788="","",VLOOKUP('Input Sheet'!$D$2 &amp; " " &amp; $A788,Pop[#All],4,FALSE))</f>
        <v/>
      </c>
      <c r="L788" s="5" t="str">
        <f t="shared" si="43"/>
        <v/>
      </c>
      <c r="M788" s="7" t="str">
        <f t="shared" ca="1" si="42"/>
        <v/>
      </c>
      <c r="N788" s="17" t="str">
        <f>IF(OR($A788="",$A788="Grand Total"),IF($A788="Grand Total",SUM($N$15:$N787),""),SUMPRODUCT((Table1[County]=SummaryPage!$A788)*(Table1[Status]&lt;&gt;"Complete")))</f>
        <v/>
      </c>
      <c r="O788" s="6" t="str">
        <f ca="1">IF($A788="Grand Total",SUM(INDIRECT(ADDRESS(1,COLUMN())&amp;":"&amp;ADDRESS(ROW()-1,COLUMN()))),IF(OR($A788="State Agencies",IFERROR(AND($L788&gt;='Input Sheet'!$J$2,$A788&lt;&gt;""),0)),$J788,""))</f>
        <v/>
      </c>
      <c r="P788" s="3" t="str">
        <f>IF(OR($A788="",$A788="Grand Total"),"",IF(IFERROR(ROUND($J788/$K788,2),1000)&gt;='Input Sheet'!$J$2,1,""))</f>
        <v/>
      </c>
      <c r="Q788" s="3" t="str">
        <f t="shared" si="44"/>
        <v/>
      </c>
      <c r="R788" s="3" t="str">
        <f>IF(OR($A788="",$A788="Grand Total"),"",AND($J788=0,(SUMPRODUCT((Table1[County]=SummaryPage!$A788)*(Table1[Status]="Not Started"))+SUMPRODUCT((Table1[County]=SummaryPage!$A788)*(Table1[Status]="")))=SUMPRODUCT((Table1[County]=SummaryPage!$A788)*(Table1[Status]&lt;&gt;"Q"))))</f>
        <v/>
      </c>
    </row>
    <row r="789" spans="11:18" x14ac:dyDescent="0.3">
      <c r="K789" s="28" t="str">
        <f>IF($A789="","",VLOOKUP('Input Sheet'!$D$2 &amp; " " &amp; $A789,Pop[#All],4,FALSE))</f>
        <v/>
      </c>
      <c r="L789" s="5" t="str">
        <f t="shared" si="43"/>
        <v/>
      </c>
      <c r="M789" s="7" t="str">
        <f t="shared" ca="1" si="42"/>
        <v/>
      </c>
      <c r="N789" s="17" t="str">
        <f>IF(OR($A789="",$A789="Grand Total"),IF($A789="Grand Total",SUM($N$15:$N788),""),SUMPRODUCT((Table1[County]=SummaryPage!$A789)*(Table1[Status]&lt;&gt;"Complete")))</f>
        <v/>
      </c>
      <c r="O789" s="6" t="str">
        <f ca="1">IF($A789="Grand Total",SUM(INDIRECT(ADDRESS(1,COLUMN())&amp;":"&amp;ADDRESS(ROW()-1,COLUMN()))),IF(OR($A789="State Agencies",IFERROR(AND($L789&gt;='Input Sheet'!$J$2,$A789&lt;&gt;""),0)),$J789,""))</f>
        <v/>
      </c>
      <c r="P789" s="3" t="str">
        <f>IF(OR($A789="",$A789="Grand Total"),"",IF(IFERROR(ROUND($J789/$K789,2),1000)&gt;='Input Sheet'!$J$2,1,""))</f>
        <v/>
      </c>
      <c r="Q789" s="3" t="str">
        <f t="shared" si="44"/>
        <v/>
      </c>
      <c r="R789" s="3" t="str">
        <f>IF(OR($A789="",$A789="Grand Total"),"",AND($J789=0,(SUMPRODUCT((Table1[County]=SummaryPage!$A789)*(Table1[Status]="Not Started"))+SUMPRODUCT((Table1[County]=SummaryPage!$A789)*(Table1[Status]="")))=SUMPRODUCT((Table1[County]=SummaryPage!$A789)*(Table1[Status]&lt;&gt;"Q"))))</f>
        <v/>
      </c>
    </row>
    <row r="790" spans="11:18" x14ac:dyDescent="0.3">
      <c r="K790" s="28" t="str">
        <f>IF($A790="","",VLOOKUP('Input Sheet'!$D$2 &amp; " " &amp; $A790,Pop[#All],4,FALSE))</f>
        <v/>
      </c>
      <c r="L790" s="5" t="str">
        <f t="shared" si="43"/>
        <v/>
      </c>
      <c r="M790" s="7" t="str">
        <f t="shared" ca="1" si="42"/>
        <v/>
      </c>
      <c r="N790" s="17" t="str">
        <f>IF(OR($A790="",$A790="Grand Total"),IF($A790="Grand Total",SUM($N$15:$N789),""),SUMPRODUCT((Table1[County]=SummaryPage!$A790)*(Table1[Status]&lt;&gt;"Complete")))</f>
        <v/>
      </c>
      <c r="O790" s="6" t="str">
        <f ca="1">IF($A790="Grand Total",SUM(INDIRECT(ADDRESS(1,COLUMN())&amp;":"&amp;ADDRESS(ROW()-1,COLUMN()))),IF(OR($A790="State Agencies",IFERROR(AND($L790&gt;='Input Sheet'!$J$2,$A790&lt;&gt;""),0)),$J790,""))</f>
        <v/>
      </c>
      <c r="P790" s="3" t="str">
        <f>IF(OR($A790="",$A790="Grand Total"),"",IF(IFERROR(ROUND($J790/$K790,2),1000)&gt;='Input Sheet'!$J$2,1,""))</f>
        <v/>
      </c>
      <c r="Q790" s="3" t="str">
        <f t="shared" si="44"/>
        <v/>
      </c>
      <c r="R790" s="3" t="str">
        <f>IF(OR($A790="",$A790="Grand Total"),"",AND($J790=0,(SUMPRODUCT((Table1[County]=SummaryPage!$A790)*(Table1[Status]="Not Started"))+SUMPRODUCT((Table1[County]=SummaryPage!$A790)*(Table1[Status]="")))=SUMPRODUCT((Table1[County]=SummaryPage!$A790)*(Table1[Status]&lt;&gt;"Q"))))</f>
        <v/>
      </c>
    </row>
    <row r="791" spans="11:18" x14ac:dyDescent="0.3">
      <c r="K791" s="28" t="str">
        <f>IF($A791="","",VLOOKUP('Input Sheet'!$D$2 &amp; " " &amp; $A791,Pop[#All],4,FALSE))</f>
        <v/>
      </c>
      <c r="L791" s="5" t="str">
        <f t="shared" si="43"/>
        <v/>
      </c>
      <c r="M791" s="7" t="str">
        <f t="shared" ca="1" si="42"/>
        <v/>
      </c>
      <c r="N791" s="17" t="str">
        <f>IF(OR($A791="",$A791="Grand Total"),IF($A791="Grand Total",SUM($N$15:$N790),""),SUMPRODUCT((Table1[County]=SummaryPage!$A791)*(Table1[Status]&lt;&gt;"Complete")))</f>
        <v/>
      </c>
      <c r="O791" s="6" t="str">
        <f ca="1">IF($A791="Grand Total",SUM(INDIRECT(ADDRESS(1,COLUMN())&amp;":"&amp;ADDRESS(ROW()-1,COLUMN()))),IF(OR($A791="State Agencies",IFERROR(AND($L791&gt;='Input Sheet'!$J$2,$A791&lt;&gt;""),0)),$J791,""))</f>
        <v/>
      </c>
      <c r="P791" s="3" t="str">
        <f>IF(OR($A791="",$A791="Grand Total"),"",IF(IFERROR(ROUND($J791/$K791,2),1000)&gt;='Input Sheet'!$J$2,1,""))</f>
        <v/>
      </c>
      <c r="Q791" s="3" t="str">
        <f t="shared" si="44"/>
        <v/>
      </c>
      <c r="R791" s="3" t="str">
        <f>IF(OR($A791="",$A791="Grand Total"),"",AND($J791=0,(SUMPRODUCT((Table1[County]=SummaryPage!$A791)*(Table1[Status]="Not Started"))+SUMPRODUCT((Table1[County]=SummaryPage!$A791)*(Table1[Status]="")))=SUMPRODUCT((Table1[County]=SummaryPage!$A791)*(Table1[Status]&lt;&gt;"Q"))))</f>
        <v/>
      </c>
    </row>
    <row r="792" spans="11:18" x14ac:dyDescent="0.3">
      <c r="K792" s="28" t="str">
        <f>IF($A792="","",VLOOKUP('Input Sheet'!$D$2 &amp; " " &amp; $A792,Pop[#All],4,FALSE))</f>
        <v/>
      </c>
      <c r="L792" s="5" t="str">
        <f t="shared" si="43"/>
        <v/>
      </c>
      <c r="M792" s="7" t="str">
        <f t="shared" ca="1" si="42"/>
        <v/>
      </c>
      <c r="N792" s="17" t="str">
        <f>IF(OR($A792="",$A792="Grand Total"),IF($A792="Grand Total",SUM($N$15:$N791),""),SUMPRODUCT((Table1[County]=SummaryPage!$A792)*(Table1[Status]&lt;&gt;"Complete")))</f>
        <v/>
      </c>
      <c r="O792" s="6" t="str">
        <f ca="1">IF($A792="Grand Total",SUM(INDIRECT(ADDRESS(1,COLUMN())&amp;":"&amp;ADDRESS(ROW()-1,COLUMN()))),IF(OR($A792="State Agencies",IFERROR(AND($L792&gt;='Input Sheet'!$J$2,$A792&lt;&gt;""),0)),$J792,""))</f>
        <v/>
      </c>
      <c r="P792" s="3" t="str">
        <f>IF(OR($A792="",$A792="Grand Total"),"",IF(IFERROR(ROUND($J792/$K792,2),1000)&gt;='Input Sheet'!$J$2,1,""))</f>
        <v/>
      </c>
      <c r="Q792" s="3" t="str">
        <f t="shared" si="44"/>
        <v/>
      </c>
      <c r="R792" s="3" t="str">
        <f>IF(OR($A792="",$A792="Grand Total"),"",AND($J792=0,(SUMPRODUCT((Table1[County]=SummaryPage!$A792)*(Table1[Status]="Not Started"))+SUMPRODUCT((Table1[County]=SummaryPage!$A792)*(Table1[Status]="")))=SUMPRODUCT((Table1[County]=SummaryPage!$A792)*(Table1[Status]&lt;&gt;"Q"))))</f>
        <v/>
      </c>
    </row>
    <row r="793" spans="11:18" x14ac:dyDescent="0.3">
      <c r="K793" s="28" t="str">
        <f>IF($A793="","",VLOOKUP('Input Sheet'!$D$2 &amp; " " &amp; $A793,Pop[#All],4,FALSE))</f>
        <v/>
      </c>
      <c r="L793" s="5" t="str">
        <f t="shared" si="43"/>
        <v/>
      </c>
      <c r="M793" s="7" t="str">
        <f t="shared" ca="1" si="42"/>
        <v/>
      </c>
      <c r="N793" s="17" t="str">
        <f>IF(OR($A793="",$A793="Grand Total"),IF($A793="Grand Total",SUM($N$15:$N792),""),SUMPRODUCT((Table1[County]=SummaryPage!$A793)*(Table1[Status]&lt;&gt;"Complete")))</f>
        <v/>
      </c>
      <c r="O793" s="6" t="str">
        <f ca="1">IF($A793="Grand Total",SUM(INDIRECT(ADDRESS(1,COLUMN())&amp;":"&amp;ADDRESS(ROW()-1,COLUMN()))),IF(OR($A793="State Agencies",IFERROR(AND($L793&gt;='Input Sheet'!$J$2,$A793&lt;&gt;""),0)),$J793,""))</f>
        <v/>
      </c>
      <c r="P793" s="3" t="str">
        <f>IF(OR($A793="",$A793="Grand Total"),"",IF(IFERROR(ROUND($J793/$K793,2),1000)&gt;='Input Sheet'!$J$2,1,""))</f>
        <v/>
      </c>
      <c r="Q793" s="3" t="str">
        <f t="shared" si="44"/>
        <v/>
      </c>
      <c r="R793" s="3" t="str">
        <f>IF(OR($A793="",$A793="Grand Total"),"",AND($J793=0,(SUMPRODUCT((Table1[County]=SummaryPage!$A793)*(Table1[Status]="Not Started"))+SUMPRODUCT((Table1[County]=SummaryPage!$A793)*(Table1[Status]="")))=SUMPRODUCT((Table1[County]=SummaryPage!$A793)*(Table1[Status]&lt;&gt;"Q"))))</f>
        <v/>
      </c>
    </row>
    <row r="794" spans="11:18" x14ac:dyDescent="0.3">
      <c r="K794" s="28" t="str">
        <f>IF($A794="","",VLOOKUP('Input Sheet'!$D$2 &amp; " " &amp; $A794,Pop[#All],4,FALSE))</f>
        <v/>
      </c>
      <c r="L794" s="5" t="str">
        <f t="shared" si="43"/>
        <v/>
      </c>
      <c r="M794" s="7" t="str">
        <f t="shared" ca="1" si="42"/>
        <v/>
      </c>
      <c r="N794" s="17" t="str">
        <f>IF(OR($A794="",$A794="Grand Total"),IF($A794="Grand Total",SUM($N$15:$N793),""),SUMPRODUCT((Table1[County]=SummaryPage!$A794)*(Table1[Status]&lt;&gt;"Complete")))</f>
        <v/>
      </c>
      <c r="O794" s="6" t="str">
        <f ca="1">IF($A794="Grand Total",SUM(INDIRECT(ADDRESS(1,COLUMN())&amp;":"&amp;ADDRESS(ROW()-1,COLUMN()))),IF(OR($A794="State Agencies",IFERROR(AND($L794&gt;='Input Sheet'!$J$2,$A794&lt;&gt;""),0)),$J794,""))</f>
        <v/>
      </c>
      <c r="P794" s="3" t="str">
        <f>IF(OR($A794="",$A794="Grand Total"),"",IF(IFERROR(ROUND($J794/$K794,2),1000)&gt;='Input Sheet'!$J$2,1,""))</f>
        <v/>
      </c>
      <c r="Q794" s="3" t="str">
        <f t="shared" si="44"/>
        <v/>
      </c>
      <c r="R794" s="3" t="str">
        <f>IF(OR($A794="",$A794="Grand Total"),"",AND($J794=0,(SUMPRODUCT((Table1[County]=SummaryPage!$A794)*(Table1[Status]="Not Started"))+SUMPRODUCT((Table1[County]=SummaryPage!$A794)*(Table1[Status]="")))=SUMPRODUCT((Table1[County]=SummaryPage!$A794)*(Table1[Status]&lt;&gt;"Q"))))</f>
        <v/>
      </c>
    </row>
    <row r="795" spans="11:18" x14ac:dyDescent="0.3">
      <c r="K795" s="28" t="str">
        <f>IF($A795="","",VLOOKUP('Input Sheet'!$D$2 &amp; " " &amp; $A795,Pop[#All],4,FALSE))</f>
        <v/>
      </c>
      <c r="L795" s="5" t="str">
        <f t="shared" si="43"/>
        <v/>
      </c>
      <c r="M795" s="7" t="str">
        <f t="shared" ca="1" si="42"/>
        <v/>
      </c>
      <c r="N795" s="17" t="str">
        <f>IF(OR($A795="",$A795="Grand Total"),IF($A795="Grand Total",SUM($N$15:$N794),""),SUMPRODUCT((Table1[County]=SummaryPage!$A795)*(Table1[Status]&lt;&gt;"Complete")))</f>
        <v/>
      </c>
      <c r="O795" s="6" t="str">
        <f ca="1">IF($A795="Grand Total",SUM(INDIRECT(ADDRESS(1,COLUMN())&amp;":"&amp;ADDRESS(ROW()-1,COLUMN()))),IF(OR($A795="State Agencies",IFERROR(AND($L795&gt;='Input Sheet'!$J$2,$A795&lt;&gt;""),0)),$J795,""))</f>
        <v/>
      </c>
      <c r="P795" s="3" t="str">
        <f>IF(OR($A795="",$A795="Grand Total"),"",IF(IFERROR(ROUND($J795/$K795,2),1000)&gt;='Input Sheet'!$J$2,1,""))</f>
        <v/>
      </c>
      <c r="Q795" s="3" t="str">
        <f t="shared" si="44"/>
        <v/>
      </c>
      <c r="R795" s="3" t="str">
        <f>IF(OR($A795="",$A795="Grand Total"),"",AND($J795=0,(SUMPRODUCT((Table1[County]=SummaryPage!$A795)*(Table1[Status]="Not Started"))+SUMPRODUCT((Table1[County]=SummaryPage!$A795)*(Table1[Status]="")))=SUMPRODUCT((Table1[County]=SummaryPage!$A795)*(Table1[Status]&lt;&gt;"Q"))))</f>
        <v/>
      </c>
    </row>
    <row r="796" spans="11:18" x14ac:dyDescent="0.3">
      <c r="K796" s="28" t="str">
        <f>IF($A796="","",VLOOKUP('Input Sheet'!$D$2 &amp; " " &amp; $A796,Pop[#All],4,FALSE))</f>
        <v/>
      </c>
      <c r="L796" s="5" t="str">
        <f t="shared" si="43"/>
        <v/>
      </c>
      <c r="M796" s="7" t="str">
        <f t="shared" ca="1" si="42"/>
        <v/>
      </c>
      <c r="N796" s="17" t="str">
        <f>IF(OR($A796="",$A796="Grand Total"),IF($A796="Grand Total",SUM($N$15:$N795),""),SUMPRODUCT((Table1[County]=SummaryPage!$A796)*(Table1[Status]&lt;&gt;"Complete")))</f>
        <v/>
      </c>
      <c r="O796" s="6" t="str">
        <f ca="1">IF($A796="Grand Total",SUM(INDIRECT(ADDRESS(1,COLUMN())&amp;":"&amp;ADDRESS(ROW()-1,COLUMN()))),IF(OR($A796="State Agencies",IFERROR(AND($L796&gt;='Input Sheet'!$J$2,$A796&lt;&gt;""),0)),$J796,""))</f>
        <v/>
      </c>
      <c r="P796" s="3" t="str">
        <f>IF(OR($A796="",$A796="Grand Total"),"",IF(IFERROR(ROUND($J796/$K796,2),1000)&gt;='Input Sheet'!$J$2,1,""))</f>
        <v/>
      </c>
      <c r="Q796" s="3" t="str">
        <f t="shared" si="44"/>
        <v/>
      </c>
      <c r="R796" s="3" t="str">
        <f>IF(OR($A796="",$A796="Grand Total"),"",AND($J796=0,(SUMPRODUCT((Table1[County]=SummaryPage!$A796)*(Table1[Status]="Not Started"))+SUMPRODUCT((Table1[County]=SummaryPage!$A796)*(Table1[Status]="")))=SUMPRODUCT((Table1[County]=SummaryPage!$A796)*(Table1[Status]&lt;&gt;"Q"))))</f>
        <v/>
      </c>
    </row>
    <row r="797" spans="11:18" x14ac:dyDescent="0.3">
      <c r="K797" s="28" t="str">
        <f>IF($A797="","",VLOOKUP('Input Sheet'!$D$2 &amp; " " &amp; $A797,Pop[#All],4,FALSE))</f>
        <v/>
      </c>
      <c r="L797" s="5" t="str">
        <f t="shared" si="43"/>
        <v/>
      </c>
      <c r="M797" s="7" t="str">
        <f t="shared" ca="1" si="42"/>
        <v/>
      </c>
      <c r="N797" s="17" t="str">
        <f>IF(OR($A797="",$A797="Grand Total"),IF($A797="Grand Total",SUM($N$15:$N796),""),SUMPRODUCT((Table1[County]=SummaryPage!$A797)*(Table1[Status]&lt;&gt;"Complete")))</f>
        <v/>
      </c>
      <c r="O797" s="6" t="str">
        <f ca="1">IF($A797="Grand Total",SUM(INDIRECT(ADDRESS(1,COLUMN())&amp;":"&amp;ADDRESS(ROW()-1,COLUMN()))),IF(OR($A797="State Agencies",IFERROR(AND($L797&gt;='Input Sheet'!$J$2,$A797&lt;&gt;""),0)),$J797,""))</f>
        <v/>
      </c>
      <c r="P797" s="3" t="str">
        <f>IF(OR($A797="",$A797="Grand Total"),"",IF(IFERROR(ROUND($J797/$K797,2),1000)&gt;='Input Sheet'!$J$2,1,""))</f>
        <v/>
      </c>
      <c r="Q797" s="3" t="str">
        <f t="shared" si="44"/>
        <v/>
      </c>
      <c r="R797" s="3" t="str">
        <f>IF(OR($A797="",$A797="Grand Total"),"",AND($J797=0,(SUMPRODUCT((Table1[County]=SummaryPage!$A797)*(Table1[Status]="Not Started"))+SUMPRODUCT((Table1[County]=SummaryPage!$A797)*(Table1[Status]="")))=SUMPRODUCT((Table1[County]=SummaryPage!$A797)*(Table1[Status]&lt;&gt;"Q"))))</f>
        <v/>
      </c>
    </row>
    <row r="798" spans="11:18" x14ac:dyDescent="0.3">
      <c r="K798" s="28" t="str">
        <f>IF($A798="","",VLOOKUP('Input Sheet'!$D$2 &amp; " " &amp; $A798,Pop[#All],4,FALSE))</f>
        <v/>
      </c>
      <c r="L798" s="5" t="str">
        <f t="shared" si="43"/>
        <v/>
      </c>
      <c r="M798" s="7" t="str">
        <f t="shared" ca="1" si="42"/>
        <v/>
      </c>
      <c r="N798" s="17" t="str">
        <f>IF(OR($A798="",$A798="Grand Total"),IF($A798="Grand Total",SUM($N$15:$N797),""),SUMPRODUCT((Table1[County]=SummaryPage!$A798)*(Table1[Status]&lt;&gt;"Complete")))</f>
        <v/>
      </c>
      <c r="O798" s="6" t="str">
        <f ca="1">IF($A798="Grand Total",SUM(INDIRECT(ADDRESS(1,COLUMN())&amp;":"&amp;ADDRESS(ROW()-1,COLUMN()))),IF(OR($A798="State Agencies",IFERROR(AND($L798&gt;='Input Sheet'!$J$2,$A798&lt;&gt;""),0)),$J798,""))</f>
        <v/>
      </c>
      <c r="P798" s="3" t="str">
        <f>IF(OR($A798="",$A798="Grand Total"),"",IF(IFERROR(ROUND($J798/$K798,2),1000)&gt;='Input Sheet'!$J$2,1,""))</f>
        <v/>
      </c>
      <c r="Q798" s="3" t="str">
        <f t="shared" si="44"/>
        <v/>
      </c>
      <c r="R798" s="3" t="str">
        <f>IF(OR($A798="",$A798="Grand Total"),"",AND($J798=0,(SUMPRODUCT((Table1[County]=SummaryPage!$A798)*(Table1[Status]="Not Started"))+SUMPRODUCT((Table1[County]=SummaryPage!$A798)*(Table1[Status]="")))=SUMPRODUCT((Table1[County]=SummaryPage!$A798)*(Table1[Status]&lt;&gt;"Q"))))</f>
        <v/>
      </c>
    </row>
    <row r="799" spans="11:18" x14ac:dyDescent="0.3">
      <c r="K799" s="28" t="str">
        <f>IF($A799="","",VLOOKUP('Input Sheet'!$D$2 &amp; " " &amp; $A799,Pop[#All],4,FALSE))</f>
        <v/>
      </c>
      <c r="L799" s="5" t="str">
        <f t="shared" si="43"/>
        <v/>
      </c>
      <c r="M799" s="7" t="str">
        <f t="shared" ca="1" si="42"/>
        <v/>
      </c>
      <c r="N799" s="17" t="str">
        <f>IF(OR($A799="",$A799="Grand Total"),IF($A799="Grand Total",SUM($N$15:$N798),""),SUMPRODUCT((Table1[County]=SummaryPage!$A799)*(Table1[Status]&lt;&gt;"Complete")))</f>
        <v/>
      </c>
      <c r="O799" s="6" t="str">
        <f ca="1">IF($A799="Grand Total",SUM(INDIRECT(ADDRESS(1,COLUMN())&amp;":"&amp;ADDRESS(ROW()-1,COLUMN()))),IF(OR($A799="State Agencies",IFERROR(AND($L799&gt;='Input Sheet'!$J$2,$A799&lt;&gt;""),0)),$J799,""))</f>
        <v/>
      </c>
      <c r="P799" s="3" t="str">
        <f>IF(OR($A799="",$A799="Grand Total"),"",IF(IFERROR(ROUND($J799/$K799,2),1000)&gt;='Input Sheet'!$J$2,1,""))</f>
        <v/>
      </c>
      <c r="Q799" s="3" t="str">
        <f t="shared" si="44"/>
        <v/>
      </c>
      <c r="R799" s="3" t="str">
        <f>IF(OR($A799="",$A799="Grand Total"),"",AND($J799=0,(SUMPRODUCT((Table1[County]=SummaryPage!$A799)*(Table1[Status]="Not Started"))+SUMPRODUCT((Table1[County]=SummaryPage!$A799)*(Table1[Status]="")))=SUMPRODUCT((Table1[County]=SummaryPage!$A799)*(Table1[Status]&lt;&gt;"Q"))))</f>
        <v/>
      </c>
    </row>
    <row r="800" spans="11:18" x14ac:dyDescent="0.3">
      <c r="K800" s="28" t="str">
        <f>IF($A800="","",VLOOKUP('Input Sheet'!$D$2 &amp; " " &amp; $A800,Pop[#All],4,FALSE))</f>
        <v/>
      </c>
      <c r="L800" s="5" t="str">
        <f t="shared" si="43"/>
        <v/>
      </c>
      <c r="M800" s="7" t="str">
        <f t="shared" ca="1" si="42"/>
        <v/>
      </c>
      <c r="N800" s="17" t="str">
        <f>IF(OR($A800="",$A800="Grand Total"),IF($A800="Grand Total",SUM($N$15:$N799),""),SUMPRODUCT((Table1[County]=SummaryPage!$A800)*(Table1[Status]&lt;&gt;"Complete")))</f>
        <v/>
      </c>
      <c r="O800" s="6" t="str">
        <f ca="1">IF($A800="Grand Total",SUM(INDIRECT(ADDRESS(1,COLUMN())&amp;":"&amp;ADDRESS(ROW()-1,COLUMN()))),IF(OR($A800="State Agencies",IFERROR(AND($L800&gt;='Input Sheet'!$J$2,$A800&lt;&gt;""),0)),$J800,""))</f>
        <v/>
      </c>
      <c r="P800" s="3" t="str">
        <f>IF(OR($A800="",$A800="Grand Total"),"",IF(IFERROR(ROUND($J800/$K800,2),1000)&gt;='Input Sheet'!$J$2,1,""))</f>
        <v/>
      </c>
      <c r="Q800" s="3" t="str">
        <f t="shared" si="44"/>
        <v/>
      </c>
      <c r="R800" s="3" t="str">
        <f>IF(OR($A800="",$A800="Grand Total"),"",AND($J800=0,(SUMPRODUCT((Table1[County]=SummaryPage!$A800)*(Table1[Status]="Not Started"))+SUMPRODUCT((Table1[County]=SummaryPage!$A800)*(Table1[Status]="")))=SUMPRODUCT((Table1[County]=SummaryPage!$A800)*(Table1[Status]&lt;&gt;"Q"))))</f>
        <v/>
      </c>
    </row>
    <row r="801" spans="11:18" x14ac:dyDescent="0.3">
      <c r="K801" s="28" t="str">
        <f>IF($A801="","",VLOOKUP('Input Sheet'!$D$2 &amp; " " &amp; $A801,Pop[#All],4,FALSE))</f>
        <v/>
      </c>
      <c r="L801" s="5" t="str">
        <f t="shared" si="43"/>
        <v/>
      </c>
      <c r="M801" s="7" t="str">
        <f t="shared" ca="1" si="42"/>
        <v/>
      </c>
      <c r="N801" s="17" t="str">
        <f>IF(OR($A801="",$A801="Grand Total"),IF($A801="Grand Total",SUM($N$15:$N800),""),SUMPRODUCT((Table1[County]=SummaryPage!$A801)*(Table1[Status]&lt;&gt;"Complete")))</f>
        <v/>
      </c>
      <c r="O801" s="6" t="str">
        <f ca="1">IF($A801="Grand Total",SUM(INDIRECT(ADDRESS(1,COLUMN())&amp;":"&amp;ADDRESS(ROW()-1,COLUMN()))),IF(OR($A801="State Agencies",IFERROR(AND($L801&gt;='Input Sheet'!$J$2,$A801&lt;&gt;""),0)),$J801,""))</f>
        <v/>
      </c>
      <c r="P801" s="3" t="str">
        <f>IF(OR($A801="",$A801="Grand Total"),"",IF(IFERROR(ROUND($J801/$K801,2),1000)&gt;='Input Sheet'!$J$2,1,""))</f>
        <v/>
      </c>
      <c r="Q801" s="3" t="str">
        <f t="shared" si="44"/>
        <v/>
      </c>
      <c r="R801" s="3" t="str">
        <f>IF(OR($A801="",$A801="Grand Total"),"",AND($J801=0,(SUMPRODUCT((Table1[County]=SummaryPage!$A801)*(Table1[Status]="Not Started"))+SUMPRODUCT((Table1[County]=SummaryPage!$A801)*(Table1[Status]="")))=SUMPRODUCT((Table1[County]=SummaryPage!$A801)*(Table1[Status]&lt;&gt;"Q"))))</f>
        <v/>
      </c>
    </row>
    <row r="802" spans="11:18" x14ac:dyDescent="0.3">
      <c r="K802" s="28" t="str">
        <f>IF($A802="","",VLOOKUP('Input Sheet'!$D$2 &amp; " " &amp; $A802,Pop[#All],4,FALSE))</f>
        <v/>
      </c>
      <c r="L802" s="5" t="str">
        <f t="shared" si="43"/>
        <v/>
      </c>
      <c r="M802" s="7" t="str">
        <f t="shared" ca="1" si="42"/>
        <v/>
      </c>
      <c r="N802" s="17" t="str">
        <f>IF(OR($A802="",$A802="Grand Total"),IF($A802="Grand Total",SUM($N$15:$N801),""),SUMPRODUCT((Table1[County]=SummaryPage!$A802)*(Table1[Status]&lt;&gt;"Complete")))</f>
        <v/>
      </c>
      <c r="O802" s="6" t="str">
        <f ca="1">IF($A802="Grand Total",SUM(INDIRECT(ADDRESS(1,COLUMN())&amp;":"&amp;ADDRESS(ROW()-1,COLUMN()))),IF(OR($A802="State Agencies",IFERROR(AND($L802&gt;='Input Sheet'!$J$2,$A802&lt;&gt;""),0)),$J802,""))</f>
        <v/>
      </c>
      <c r="P802" s="3" t="str">
        <f>IF(OR($A802="",$A802="Grand Total"),"",IF(IFERROR(ROUND($J802/$K802,2),1000)&gt;='Input Sheet'!$J$2,1,""))</f>
        <v/>
      </c>
      <c r="Q802" s="3" t="str">
        <f t="shared" si="44"/>
        <v/>
      </c>
      <c r="R802" s="3" t="str">
        <f>IF(OR($A802="",$A802="Grand Total"),"",AND($J802=0,(SUMPRODUCT((Table1[County]=SummaryPage!$A802)*(Table1[Status]="Not Started"))+SUMPRODUCT((Table1[County]=SummaryPage!$A802)*(Table1[Status]="")))=SUMPRODUCT((Table1[County]=SummaryPage!$A802)*(Table1[Status]&lt;&gt;"Q"))))</f>
        <v/>
      </c>
    </row>
    <row r="803" spans="11:18" x14ac:dyDescent="0.3">
      <c r="K803" s="28" t="str">
        <f>IF($A803="","",VLOOKUP('Input Sheet'!$D$2 &amp; " " &amp; $A803,Pop[#All],4,FALSE))</f>
        <v/>
      </c>
      <c r="L803" s="5" t="str">
        <f t="shared" si="43"/>
        <v/>
      </c>
      <c r="M803" s="7" t="str">
        <f t="shared" ca="1" si="42"/>
        <v/>
      </c>
      <c r="N803" s="17" t="str">
        <f>IF(OR($A803="",$A803="Grand Total"),IF($A803="Grand Total",SUM($N$15:$N802),""),SUMPRODUCT((Table1[County]=SummaryPage!$A803)*(Table1[Status]&lt;&gt;"Complete")))</f>
        <v/>
      </c>
      <c r="O803" s="6" t="str">
        <f ca="1">IF($A803="Grand Total",SUM(INDIRECT(ADDRESS(1,COLUMN())&amp;":"&amp;ADDRESS(ROW()-1,COLUMN()))),IF(OR($A803="State Agencies",IFERROR(AND($L803&gt;='Input Sheet'!$J$2,$A803&lt;&gt;""),0)),$J803,""))</f>
        <v/>
      </c>
      <c r="P803" s="3" t="str">
        <f>IF(OR($A803="",$A803="Grand Total"),"",IF(IFERROR(ROUND($J803/$K803,2),1000)&gt;='Input Sheet'!$J$2,1,""))</f>
        <v/>
      </c>
      <c r="Q803" s="3" t="str">
        <f t="shared" si="44"/>
        <v/>
      </c>
      <c r="R803" s="3" t="str">
        <f>IF(OR($A803="",$A803="Grand Total"),"",AND($J803=0,(SUMPRODUCT((Table1[County]=SummaryPage!$A803)*(Table1[Status]="Not Started"))+SUMPRODUCT((Table1[County]=SummaryPage!$A803)*(Table1[Status]="")))=SUMPRODUCT((Table1[County]=SummaryPage!$A803)*(Table1[Status]&lt;&gt;"Q"))))</f>
        <v/>
      </c>
    </row>
    <row r="804" spans="11:18" x14ac:dyDescent="0.3">
      <c r="K804" s="28" t="str">
        <f>IF($A804="","",VLOOKUP('Input Sheet'!$D$2 &amp; " " &amp; $A804,Pop[#All],4,FALSE))</f>
        <v/>
      </c>
      <c r="L804" s="5" t="str">
        <f t="shared" si="43"/>
        <v/>
      </c>
      <c r="M804" s="7" t="str">
        <f t="shared" ca="1" si="42"/>
        <v/>
      </c>
      <c r="N804" s="17" t="str">
        <f>IF(OR($A804="",$A804="Grand Total"),IF($A804="Grand Total",SUM($N$15:$N803),""),SUMPRODUCT((Table1[County]=SummaryPage!$A804)*(Table1[Status]&lt;&gt;"Complete")))</f>
        <v/>
      </c>
      <c r="O804" s="6" t="str">
        <f ca="1">IF($A804="Grand Total",SUM(INDIRECT(ADDRESS(1,COLUMN())&amp;":"&amp;ADDRESS(ROW()-1,COLUMN()))),IF(OR($A804="State Agencies",IFERROR(AND($L804&gt;='Input Sheet'!$J$2,$A804&lt;&gt;""),0)),$J804,""))</f>
        <v/>
      </c>
      <c r="P804" s="3" t="str">
        <f>IF(OR($A804="",$A804="Grand Total"),"",IF(IFERROR(ROUND($J804/$K804,2),1000)&gt;='Input Sheet'!$J$2,1,""))</f>
        <v/>
      </c>
      <c r="Q804" s="3" t="str">
        <f t="shared" si="44"/>
        <v/>
      </c>
      <c r="R804" s="3" t="str">
        <f>IF(OR($A804="",$A804="Grand Total"),"",AND($J804=0,(SUMPRODUCT((Table1[County]=SummaryPage!$A804)*(Table1[Status]="Not Started"))+SUMPRODUCT((Table1[County]=SummaryPage!$A804)*(Table1[Status]="")))=SUMPRODUCT((Table1[County]=SummaryPage!$A804)*(Table1[Status]&lt;&gt;"Q"))))</f>
        <v/>
      </c>
    </row>
    <row r="805" spans="11:18" x14ac:dyDescent="0.3">
      <c r="K805" s="28" t="str">
        <f>IF($A805="","",VLOOKUP('Input Sheet'!$D$2 &amp; " " &amp; $A805,Pop[#All],4,FALSE))</f>
        <v/>
      </c>
      <c r="L805" s="5" t="str">
        <f t="shared" si="43"/>
        <v/>
      </c>
      <c r="M805" s="7" t="str">
        <f t="shared" ca="1" si="42"/>
        <v/>
      </c>
      <c r="N805" s="17" t="str">
        <f>IF(OR($A805="",$A805="Grand Total"),IF($A805="Grand Total",SUM($N$15:$N804),""),SUMPRODUCT((Table1[County]=SummaryPage!$A805)*(Table1[Status]&lt;&gt;"Complete")))</f>
        <v/>
      </c>
      <c r="O805" s="6" t="str">
        <f ca="1">IF($A805="Grand Total",SUM(INDIRECT(ADDRESS(1,COLUMN())&amp;":"&amp;ADDRESS(ROW()-1,COLUMN()))),IF(OR($A805="State Agencies",IFERROR(AND($L805&gt;='Input Sheet'!$J$2,$A805&lt;&gt;""),0)),$J805,""))</f>
        <v/>
      </c>
      <c r="P805" s="3" t="str">
        <f>IF(OR($A805="",$A805="Grand Total"),"",IF(IFERROR(ROUND($J805/$K805,2),1000)&gt;='Input Sheet'!$J$2,1,""))</f>
        <v/>
      </c>
      <c r="Q805" s="3" t="str">
        <f t="shared" si="44"/>
        <v/>
      </c>
      <c r="R805" s="3" t="str">
        <f>IF(OR($A805="",$A805="Grand Total"),"",AND($J805=0,(SUMPRODUCT((Table1[County]=SummaryPage!$A805)*(Table1[Status]="Not Started"))+SUMPRODUCT((Table1[County]=SummaryPage!$A805)*(Table1[Status]="")))=SUMPRODUCT((Table1[County]=SummaryPage!$A805)*(Table1[Status]&lt;&gt;"Q"))))</f>
        <v/>
      </c>
    </row>
    <row r="806" spans="11:18" x14ac:dyDescent="0.3">
      <c r="K806" s="28" t="str">
        <f>IF($A806="","",VLOOKUP('Input Sheet'!$D$2 &amp; " " &amp; $A806,Pop[#All],4,FALSE))</f>
        <v/>
      </c>
      <c r="L806" s="5" t="str">
        <f t="shared" si="43"/>
        <v/>
      </c>
      <c r="M806" s="7" t="str">
        <f t="shared" ca="1" si="42"/>
        <v/>
      </c>
      <c r="N806" s="17" t="str">
        <f>IF(OR($A806="",$A806="Grand Total"),IF($A806="Grand Total",SUM($N$15:$N805),""),SUMPRODUCT((Table1[County]=SummaryPage!$A806)*(Table1[Status]&lt;&gt;"Complete")))</f>
        <v/>
      </c>
      <c r="O806" s="6" t="str">
        <f ca="1">IF($A806="Grand Total",SUM(INDIRECT(ADDRESS(1,COLUMN())&amp;":"&amp;ADDRESS(ROW()-1,COLUMN()))),IF(OR($A806="State Agencies",IFERROR(AND($L806&gt;='Input Sheet'!$J$2,$A806&lt;&gt;""),0)),$J806,""))</f>
        <v/>
      </c>
      <c r="P806" s="3" t="str">
        <f>IF(OR($A806="",$A806="Grand Total"),"",IF(IFERROR(ROUND($J806/$K806,2),1000)&gt;='Input Sheet'!$J$2,1,""))</f>
        <v/>
      </c>
      <c r="Q806" s="3" t="str">
        <f t="shared" si="44"/>
        <v/>
      </c>
      <c r="R806" s="3" t="str">
        <f>IF(OR($A806="",$A806="Grand Total"),"",AND($J806=0,(SUMPRODUCT((Table1[County]=SummaryPage!$A806)*(Table1[Status]="Not Started"))+SUMPRODUCT((Table1[County]=SummaryPage!$A806)*(Table1[Status]="")))=SUMPRODUCT((Table1[County]=SummaryPage!$A806)*(Table1[Status]&lt;&gt;"Q"))))</f>
        <v/>
      </c>
    </row>
    <row r="807" spans="11:18" x14ac:dyDescent="0.3">
      <c r="K807" s="28" t="str">
        <f>IF($A807="","",VLOOKUP('Input Sheet'!$D$2 &amp; " " &amp; $A807,Pop[#All],4,FALSE))</f>
        <v/>
      </c>
      <c r="L807" s="5" t="str">
        <f t="shared" si="43"/>
        <v/>
      </c>
      <c r="M807" s="7" t="str">
        <f t="shared" ca="1" si="42"/>
        <v/>
      </c>
      <c r="N807" s="17" t="str">
        <f>IF(OR($A807="",$A807="Grand Total"),IF($A807="Grand Total",SUM($N$15:$N806),""),SUMPRODUCT((Table1[County]=SummaryPage!$A807)*(Table1[Status]&lt;&gt;"Complete")))</f>
        <v/>
      </c>
      <c r="O807" s="6" t="str">
        <f ca="1">IF($A807="Grand Total",SUM(INDIRECT(ADDRESS(1,COLUMN())&amp;":"&amp;ADDRESS(ROW()-1,COLUMN()))),IF(OR($A807="State Agencies",IFERROR(AND($L807&gt;='Input Sheet'!$J$2,$A807&lt;&gt;""),0)),$J807,""))</f>
        <v/>
      </c>
      <c r="P807" s="3" t="str">
        <f>IF(OR($A807="",$A807="Grand Total"),"",IF(IFERROR(ROUND($J807/$K807,2),1000)&gt;='Input Sheet'!$J$2,1,""))</f>
        <v/>
      </c>
      <c r="Q807" s="3" t="str">
        <f t="shared" si="44"/>
        <v/>
      </c>
      <c r="R807" s="3" t="str">
        <f>IF(OR($A807="",$A807="Grand Total"),"",AND($J807=0,(SUMPRODUCT((Table1[County]=SummaryPage!$A807)*(Table1[Status]="Not Started"))+SUMPRODUCT((Table1[County]=SummaryPage!$A807)*(Table1[Status]="")))=SUMPRODUCT((Table1[County]=SummaryPage!$A807)*(Table1[Status]&lt;&gt;"Q"))))</f>
        <v/>
      </c>
    </row>
    <row r="808" spans="11:18" x14ac:dyDescent="0.3">
      <c r="K808" s="28" t="str">
        <f>IF($A808="","",VLOOKUP('Input Sheet'!$D$2 &amp; " " &amp; $A808,Pop[#All],4,FALSE))</f>
        <v/>
      </c>
      <c r="L808" s="5" t="str">
        <f t="shared" si="43"/>
        <v/>
      </c>
      <c r="M808" s="7" t="str">
        <f t="shared" ca="1" si="42"/>
        <v/>
      </c>
      <c r="N808" s="17" t="str">
        <f>IF(OR($A808="",$A808="Grand Total"),IF($A808="Grand Total",SUM($N$15:$N807),""),SUMPRODUCT((Table1[County]=SummaryPage!$A808)*(Table1[Status]&lt;&gt;"Complete")))</f>
        <v/>
      </c>
      <c r="O808" s="6" t="str">
        <f ca="1">IF($A808="Grand Total",SUM(INDIRECT(ADDRESS(1,COLUMN())&amp;":"&amp;ADDRESS(ROW()-1,COLUMN()))),IF(OR($A808="State Agencies",IFERROR(AND($L808&gt;='Input Sheet'!$J$2,$A808&lt;&gt;""),0)),$J808,""))</f>
        <v/>
      </c>
      <c r="P808" s="3" t="str">
        <f>IF(OR($A808="",$A808="Grand Total"),"",IF(IFERROR(ROUND($J808/$K808,2),1000)&gt;='Input Sheet'!$J$2,1,""))</f>
        <v/>
      </c>
      <c r="Q808" s="3" t="str">
        <f t="shared" si="44"/>
        <v/>
      </c>
      <c r="R808" s="3" t="str">
        <f>IF(OR($A808="",$A808="Grand Total"),"",AND($J808=0,(SUMPRODUCT((Table1[County]=SummaryPage!$A808)*(Table1[Status]="Not Started"))+SUMPRODUCT((Table1[County]=SummaryPage!$A808)*(Table1[Status]="")))=SUMPRODUCT((Table1[County]=SummaryPage!$A808)*(Table1[Status]&lt;&gt;"Q"))))</f>
        <v/>
      </c>
    </row>
    <row r="809" spans="11:18" x14ac:dyDescent="0.3">
      <c r="K809" s="28" t="str">
        <f>IF($A809="","",VLOOKUP('Input Sheet'!$D$2 &amp; " " &amp; $A809,Pop[#All],4,FALSE))</f>
        <v/>
      </c>
      <c r="L809" s="5" t="str">
        <f t="shared" si="43"/>
        <v/>
      </c>
      <c r="M809" s="7" t="str">
        <f t="shared" ca="1" si="42"/>
        <v/>
      </c>
      <c r="N809" s="17" t="str">
        <f>IF(OR($A809="",$A809="Grand Total"),IF($A809="Grand Total",SUM($N$15:$N808),""),SUMPRODUCT((Table1[County]=SummaryPage!$A809)*(Table1[Status]&lt;&gt;"Complete")))</f>
        <v/>
      </c>
      <c r="O809" s="6" t="str">
        <f ca="1">IF($A809="Grand Total",SUM(INDIRECT(ADDRESS(1,COLUMN())&amp;":"&amp;ADDRESS(ROW()-1,COLUMN()))),IF(OR($A809="State Agencies",IFERROR(AND($L809&gt;='Input Sheet'!$J$2,$A809&lt;&gt;""),0)),$J809,""))</f>
        <v/>
      </c>
      <c r="P809" s="3" t="str">
        <f>IF(OR($A809="",$A809="Grand Total"),"",IF(IFERROR(ROUND($J809/$K809,2),1000)&gt;='Input Sheet'!$J$2,1,""))</f>
        <v/>
      </c>
      <c r="Q809" s="3" t="str">
        <f t="shared" si="44"/>
        <v/>
      </c>
      <c r="R809" s="3" t="str">
        <f>IF(OR($A809="",$A809="Grand Total"),"",AND($J809=0,(SUMPRODUCT((Table1[County]=SummaryPage!$A809)*(Table1[Status]="Not Started"))+SUMPRODUCT((Table1[County]=SummaryPage!$A809)*(Table1[Status]="")))=SUMPRODUCT((Table1[County]=SummaryPage!$A809)*(Table1[Status]&lt;&gt;"Q"))))</f>
        <v/>
      </c>
    </row>
    <row r="810" spans="11:18" x14ac:dyDescent="0.3">
      <c r="K810" s="28" t="str">
        <f>IF($A810="","",VLOOKUP('Input Sheet'!$D$2 &amp; " " &amp; $A810,Pop[#All],4,FALSE))</f>
        <v/>
      </c>
      <c r="L810" s="5" t="str">
        <f t="shared" si="43"/>
        <v/>
      </c>
      <c r="M810" s="7" t="str">
        <f t="shared" ca="1" si="42"/>
        <v/>
      </c>
      <c r="N810" s="17" t="str">
        <f>IF(OR($A810="",$A810="Grand Total"),IF($A810="Grand Total",SUM($N$15:$N809),""),SUMPRODUCT((Table1[County]=SummaryPage!$A810)*(Table1[Status]&lt;&gt;"Complete")))</f>
        <v/>
      </c>
      <c r="O810" s="6" t="str">
        <f ca="1">IF($A810="Grand Total",SUM(INDIRECT(ADDRESS(1,COLUMN())&amp;":"&amp;ADDRESS(ROW()-1,COLUMN()))),IF(OR($A810="State Agencies",IFERROR(AND($L810&gt;='Input Sheet'!$J$2,$A810&lt;&gt;""),0)),$J810,""))</f>
        <v/>
      </c>
      <c r="P810" s="3" t="str">
        <f>IF(OR($A810="",$A810="Grand Total"),"",IF(IFERROR(ROUND($J810/$K810,2),1000)&gt;='Input Sheet'!$J$2,1,""))</f>
        <v/>
      </c>
      <c r="Q810" s="3" t="str">
        <f t="shared" si="44"/>
        <v/>
      </c>
      <c r="R810" s="3" t="str">
        <f>IF(OR($A810="",$A810="Grand Total"),"",AND($J810=0,(SUMPRODUCT((Table1[County]=SummaryPage!$A810)*(Table1[Status]="Not Started"))+SUMPRODUCT((Table1[County]=SummaryPage!$A810)*(Table1[Status]="")))=SUMPRODUCT((Table1[County]=SummaryPage!$A810)*(Table1[Status]&lt;&gt;"Q"))))</f>
        <v/>
      </c>
    </row>
    <row r="811" spans="11:18" x14ac:dyDescent="0.3">
      <c r="K811" s="28" t="str">
        <f>IF($A811="","",VLOOKUP('Input Sheet'!$D$2 &amp; " " &amp; $A811,Pop[#All],4,FALSE))</f>
        <v/>
      </c>
      <c r="L811" s="5" t="str">
        <f t="shared" si="43"/>
        <v/>
      </c>
      <c r="M811" s="7" t="str">
        <f t="shared" ca="1" si="42"/>
        <v/>
      </c>
      <c r="N811" s="17" t="str">
        <f>IF(OR($A811="",$A811="Grand Total"),IF($A811="Grand Total",SUM($N$15:$N810),""),SUMPRODUCT((Table1[County]=SummaryPage!$A811)*(Table1[Status]&lt;&gt;"Complete")))</f>
        <v/>
      </c>
      <c r="O811" s="6" t="str">
        <f ca="1">IF($A811="Grand Total",SUM(INDIRECT(ADDRESS(1,COLUMN())&amp;":"&amp;ADDRESS(ROW()-1,COLUMN()))),IF(OR($A811="State Agencies",IFERROR(AND($L811&gt;='Input Sheet'!$J$2,$A811&lt;&gt;""),0)),$J811,""))</f>
        <v/>
      </c>
      <c r="P811" s="3" t="str">
        <f>IF(OR($A811="",$A811="Grand Total"),"",IF(IFERROR(ROUND($J811/$K811,2),1000)&gt;='Input Sheet'!$J$2,1,""))</f>
        <v/>
      </c>
      <c r="Q811" s="3" t="str">
        <f t="shared" si="44"/>
        <v/>
      </c>
      <c r="R811" s="3" t="str">
        <f>IF(OR($A811="",$A811="Grand Total"),"",AND($J811=0,(SUMPRODUCT((Table1[County]=SummaryPage!$A811)*(Table1[Status]="Not Started"))+SUMPRODUCT((Table1[County]=SummaryPage!$A811)*(Table1[Status]="")))=SUMPRODUCT((Table1[County]=SummaryPage!$A811)*(Table1[Status]&lt;&gt;"Q"))))</f>
        <v/>
      </c>
    </row>
    <row r="812" spans="11:18" x14ac:dyDescent="0.3">
      <c r="K812" s="28" t="str">
        <f>IF($A812="","",VLOOKUP('Input Sheet'!$D$2 &amp; " " &amp; $A812,Pop[#All],4,FALSE))</f>
        <v/>
      </c>
      <c r="L812" s="5" t="str">
        <f t="shared" si="43"/>
        <v/>
      </c>
      <c r="M812" s="7" t="str">
        <f t="shared" ca="1" si="42"/>
        <v/>
      </c>
      <c r="N812" s="17" t="str">
        <f>IF(OR($A812="",$A812="Grand Total"),IF($A812="Grand Total",SUM($N$15:$N811),""),SUMPRODUCT((Table1[County]=SummaryPage!$A812)*(Table1[Status]&lt;&gt;"Complete")))</f>
        <v/>
      </c>
      <c r="O812" s="6" t="str">
        <f ca="1">IF($A812="Grand Total",SUM(INDIRECT(ADDRESS(1,COLUMN())&amp;":"&amp;ADDRESS(ROW()-1,COLUMN()))),IF(OR($A812="State Agencies",IFERROR(AND($L812&gt;='Input Sheet'!$J$2,$A812&lt;&gt;""),0)),$J812,""))</f>
        <v/>
      </c>
      <c r="P812" s="3" t="str">
        <f>IF(OR($A812="",$A812="Grand Total"),"",IF(IFERROR(ROUND($J812/$K812,2),1000)&gt;='Input Sheet'!$J$2,1,""))</f>
        <v/>
      </c>
      <c r="Q812" s="3" t="str">
        <f t="shared" si="44"/>
        <v/>
      </c>
      <c r="R812" s="3" t="str">
        <f>IF(OR($A812="",$A812="Grand Total"),"",AND($J812=0,(SUMPRODUCT((Table1[County]=SummaryPage!$A812)*(Table1[Status]="Not Started"))+SUMPRODUCT((Table1[County]=SummaryPage!$A812)*(Table1[Status]="")))=SUMPRODUCT((Table1[County]=SummaryPage!$A812)*(Table1[Status]&lt;&gt;"Q"))))</f>
        <v/>
      </c>
    </row>
    <row r="813" spans="11:18" x14ac:dyDescent="0.3">
      <c r="K813" s="28" t="str">
        <f>IF($A813="","",VLOOKUP('Input Sheet'!$D$2 &amp; " " &amp; $A813,Pop[#All],4,FALSE))</f>
        <v/>
      </c>
      <c r="L813" s="5" t="str">
        <f t="shared" si="43"/>
        <v/>
      </c>
      <c r="M813" s="7" t="str">
        <f t="shared" ca="1" si="42"/>
        <v/>
      </c>
      <c r="N813" s="17" t="str">
        <f>IF(OR($A813="",$A813="Grand Total"),IF($A813="Grand Total",SUM($N$15:$N812),""),SUMPRODUCT((Table1[County]=SummaryPage!$A813)*(Table1[Status]&lt;&gt;"Complete")))</f>
        <v/>
      </c>
      <c r="O813" s="6" t="str">
        <f ca="1">IF($A813="Grand Total",SUM(INDIRECT(ADDRESS(1,COLUMN())&amp;":"&amp;ADDRESS(ROW()-1,COLUMN()))),IF(OR($A813="State Agencies",IFERROR(AND($L813&gt;='Input Sheet'!$J$2,$A813&lt;&gt;""),0)),$J813,""))</f>
        <v/>
      </c>
      <c r="P813" s="3" t="str">
        <f>IF(OR($A813="",$A813="Grand Total"),"",IF(IFERROR(ROUND($J813/$K813,2),1000)&gt;='Input Sheet'!$J$2,1,""))</f>
        <v/>
      </c>
      <c r="Q813" s="3" t="str">
        <f t="shared" si="44"/>
        <v/>
      </c>
      <c r="R813" s="3" t="str">
        <f>IF(OR($A813="",$A813="Grand Total"),"",AND($J813=0,(SUMPRODUCT((Table1[County]=SummaryPage!$A813)*(Table1[Status]="Not Started"))+SUMPRODUCT((Table1[County]=SummaryPage!$A813)*(Table1[Status]="")))=SUMPRODUCT((Table1[County]=SummaryPage!$A813)*(Table1[Status]&lt;&gt;"Q"))))</f>
        <v/>
      </c>
    </row>
    <row r="814" spans="11:18" x14ac:dyDescent="0.3">
      <c r="K814" s="28" t="str">
        <f>IF($A814="","",VLOOKUP('Input Sheet'!$D$2 &amp; " " &amp; $A814,Pop[#All],4,FALSE))</f>
        <v/>
      </c>
      <c r="L814" s="5" t="str">
        <f t="shared" si="43"/>
        <v/>
      </c>
      <c r="M814" s="7" t="str">
        <f t="shared" ca="1" si="42"/>
        <v/>
      </c>
      <c r="N814" s="17" t="str">
        <f>IF(OR($A814="",$A814="Grand Total"),IF($A814="Grand Total",SUM($N$15:$N813),""),SUMPRODUCT((Table1[County]=SummaryPage!$A814)*(Table1[Status]&lt;&gt;"Complete")))</f>
        <v/>
      </c>
      <c r="O814" s="6" t="str">
        <f ca="1">IF($A814="Grand Total",SUM(INDIRECT(ADDRESS(1,COLUMN())&amp;":"&amp;ADDRESS(ROW()-1,COLUMN()))),IF(OR($A814="State Agencies",IFERROR(AND($L814&gt;='Input Sheet'!$J$2,$A814&lt;&gt;""),0)),$J814,""))</f>
        <v/>
      </c>
      <c r="P814" s="3" t="str">
        <f>IF(OR($A814="",$A814="Grand Total"),"",IF(IFERROR(ROUND($J814/$K814,2),1000)&gt;='Input Sheet'!$J$2,1,""))</f>
        <v/>
      </c>
      <c r="Q814" s="3" t="str">
        <f t="shared" si="44"/>
        <v/>
      </c>
      <c r="R814" s="3" t="str">
        <f>IF(OR($A814="",$A814="Grand Total"),"",AND($J814=0,(SUMPRODUCT((Table1[County]=SummaryPage!$A814)*(Table1[Status]="Not Started"))+SUMPRODUCT((Table1[County]=SummaryPage!$A814)*(Table1[Status]="")))=SUMPRODUCT((Table1[County]=SummaryPage!$A814)*(Table1[Status]&lt;&gt;"Q"))))</f>
        <v/>
      </c>
    </row>
    <row r="815" spans="11:18" x14ac:dyDescent="0.3">
      <c r="K815" s="28" t="str">
        <f>IF($A815="","",VLOOKUP('Input Sheet'!$D$2 &amp; " " &amp; $A815,Pop[#All],4,FALSE))</f>
        <v/>
      </c>
      <c r="L815" s="5" t="str">
        <f t="shared" si="43"/>
        <v/>
      </c>
      <c r="M815" s="7" t="str">
        <f t="shared" ca="1" si="42"/>
        <v/>
      </c>
      <c r="N815" s="17" t="str">
        <f>IF(OR($A815="",$A815="Grand Total"),IF($A815="Grand Total",SUM($N$15:$N814),""),SUMPRODUCT((Table1[County]=SummaryPage!$A815)*(Table1[Status]&lt;&gt;"Complete")))</f>
        <v/>
      </c>
      <c r="O815" s="6" t="str">
        <f ca="1">IF($A815="Grand Total",SUM(INDIRECT(ADDRESS(1,COLUMN())&amp;":"&amp;ADDRESS(ROW()-1,COLUMN()))),IF(OR($A815="State Agencies",IFERROR(AND($L815&gt;='Input Sheet'!$J$2,$A815&lt;&gt;""),0)),$J815,""))</f>
        <v/>
      </c>
      <c r="P815" s="3" t="str">
        <f>IF(OR($A815="",$A815="Grand Total"),"",IF(IFERROR(ROUND($J815/$K815,2),1000)&gt;='Input Sheet'!$J$2,1,""))</f>
        <v/>
      </c>
      <c r="Q815" s="3" t="str">
        <f t="shared" si="44"/>
        <v/>
      </c>
      <c r="R815" s="3" t="str">
        <f>IF(OR($A815="",$A815="Grand Total"),"",AND($J815=0,(SUMPRODUCT((Table1[County]=SummaryPage!$A815)*(Table1[Status]="Not Started"))+SUMPRODUCT((Table1[County]=SummaryPage!$A815)*(Table1[Status]="")))=SUMPRODUCT((Table1[County]=SummaryPage!$A815)*(Table1[Status]&lt;&gt;"Q"))))</f>
        <v/>
      </c>
    </row>
    <row r="816" spans="11:18" x14ac:dyDescent="0.3">
      <c r="K816" s="28" t="str">
        <f>IF($A816="","",VLOOKUP('Input Sheet'!$D$2 &amp; " " &amp; $A816,Pop[#All],4,FALSE))</f>
        <v/>
      </c>
      <c r="L816" s="5" t="str">
        <f t="shared" si="43"/>
        <v/>
      </c>
      <c r="M816" s="7" t="str">
        <f t="shared" ca="1" si="42"/>
        <v/>
      </c>
      <c r="N816" s="17" t="str">
        <f>IF(OR($A816="",$A816="Grand Total"),IF($A816="Grand Total",SUM($N$15:$N815),""),SUMPRODUCT((Table1[County]=SummaryPage!$A816)*(Table1[Status]&lt;&gt;"Complete")))</f>
        <v/>
      </c>
      <c r="O816" s="6" t="str">
        <f ca="1">IF($A816="Grand Total",SUM(INDIRECT(ADDRESS(1,COLUMN())&amp;":"&amp;ADDRESS(ROW()-1,COLUMN()))),IF(OR($A816="State Agencies",IFERROR(AND($L816&gt;='Input Sheet'!$J$2,$A816&lt;&gt;""),0)),$J816,""))</f>
        <v/>
      </c>
      <c r="P816" s="3" t="str">
        <f>IF(OR($A816="",$A816="Grand Total"),"",IF(IFERROR(ROUND($J816/$K816,2),1000)&gt;='Input Sheet'!$J$2,1,""))</f>
        <v/>
      </c>
      <c r="Q816" s="3" t="str">
        <f t="shared" si="44"/>
        <v/>
      </c>
      <c r="R816" s="3" t="str">
        <f>IF(OR($A816="",$A816="Grand Total"),"",AND($J816=0,(SUMPRODUCT((Table1[County]=SummaryPage!$A816)*(Table1[Status]="Not Started"))+SUMPRODUCT((Table1[County]=SummaryPage!$A816)*(Table1[Status]="")))=SUMPRODUCT((Table1[County]=SummaryPage!$A816)*(Table1[Status]&lt;&gt;"Q"))))</f>
        <v/>
      </c>
    </row>
    <row r="817" spans="11:18" x14ac:dyDescent="0.3">
      <c r="K817" s="28" t="str">
        <f>IF($A817="","",VLOOKUP('Input Sheet'!$D$2 &amp; " " &amp; $A817,Pop[#All],4,FALSE))</f>
        <v/>
      </c>
      <c r="L817" s="5" t="str">
        <f t="shared" si="43"/>
        <v/>
      </c>
      <c r="M817" s="7" t="str">
        <f t="shared" ca="1" si="42"/>
        <v/>
      </c>
      <c r="N817" s="17" t="str">
        <f>IF(OR($A817="",$A817="Grand Total"),IF($A817="Grand Total",SUM($N$15:$N816),""),SUMPRODUCT((Table1[County]=SummaryPage!$A817)*(Table1[Status]&lt;&gt;"Complete")))</f>
        <v/>
      </c>
      <c r="O817" s="6" t="str">
        <f ca="1">IF($A817="Grand Total",SUM(INDIRECT(ADDRESS(1,COLUMN())&amp;":"&amp;ADDRESS(ROW()-1,COLUMN()))),IF(OR($A817="State Agencies",IFERROR(AND($L817&gt;='Input Sheet'!$J$2,$A817&lt;&gt;""),0)),$J817,""))</f>
        <v/>
      </c>
      <c r="P817" s="3" t="str">
        <f>IF(OR($A817="",$A817="Grand Total"),"",IF(IFERROR(ROUND($J817/$K817,2),1000)&gt;='Input Sheet'!$J$2,1,""))</f>
        <v/>
      </c>
      <c r="Q817" s="3" t="str">
        <f t="shared" si="44"/>
        <v/>
      </c>
      <c r="R817" s="3" t="str">
        <f>IF(OR($A817="",$A817="Grand Total"),"",AND($J817=0,(SUMPRODUCT((Table1[County]=SummaryPage!$A817)*(Table1[Status]="Not Started"))+SUMPRODUCT((Table1[County]=SummaryPage!$A817)*(Table1[Status]="")))=SUMPRODUCT((Table1[County]=SummaryPage!$A817)*(Table1[Status]&lt;&gt;"Q"))))</f>
        <v/>
      </c>
    </row>
    <row r="818" spans="11:18" x14ac:dyDescent="0.3">
      <c r="K818" s="28" t="str">
        <f>IF($A818="","",VLOOKUP('Input Sheet'!$D$2 &amp; " " &amp; $A818,Pop[#All],4,FALSE))</f>
        <v/>
      </c>
      <c r="L818" s="5" t="str">
        <f t="shared" si="43"/>
        <v/>
      </c>
      <c r="M818" s="7" t="str">
        <f t="shared" ca="1" si="42"/>
        <v/>
      </c>
      <c r="N818" s="17" t="str">
        <f>IF(OR($A818="",$A818="Grand Total"),IF($A818="Grand Total",SUM($N$15:$N817),""),SUMPRODUCT((Table1[County]=SummaryPage!$A818)*(Table1[Status]&lt;&gt;"Complete")))</f>
        <v/>
      </c>
      <c r="O818" s="6" t="str">
        <f ca="1">IF($A818="Grand Total",SUM(INDIRECT(ADDRESS(1,COLUMN())&amp;":"&amp;ADDRESS(ROW()-1,COLUMN()))),IF(OR($A818="State Agencies",IFERROR(AND($L818&gt;='Input Sheet'!$J$2,$A818&lt;&gt;""),0)),$J818,""))</f>
        <v/>
      </c>
      <c r="P818" s="3" t="str">
        <f>IF(OR($A818="",$A818="Grand Total"),"",IF(IFERROR(ROUND($J818/$K818,2),1000)&gt;='Input Sheet'!$J$2,1,""))</f>
        <v/>
      </c>
      <c r="Q818" s="3" t="str">
        <f t="shared" si="44"/>
        <v/>
      </c>
      <c r="R818" s="3" t="str">
        <f>IF(OR($A818="",$A818="Grand Total"),"",AND($J818=0,(SUMPRODUCT((Table1[County]=SummaryPage!$A818)*(Table1[Status]="Not Started"))+SUMPRODUCT((Table1[County]=SummaryPage!$A818)*(Table1[Status]="")))=SUMPRODUCT((Table1[County]=SummaryPage!$A818)*(Table1[Status]&lt;&gt;"Q"))))</f>
        <v/>
      </c>
    </row>
    <row r="819" spans="11:18" x14ac:dyDescent="0.3">
      <c r="K819" s="28" t="str">
        <f>IF($A819="","",VLOOKUP('Input Sheet'!$D$2 &amp; " " &amp; $A819,Pop[#All],4,FALSE))</f>
        <v/>
      </c>
      <c r="L819" s="5" t="str">
        <f t="shared" si="43"/>
        <v/>
      </c>
      <c r="M819" s="7" t="str">
        <f t="shared" ca="1" si="42"/>
        <v/>
      </c>
      <c r="N819" s="17" t="str">
        <f>IF(OR($A819="",$A819="Grand Total"),IF($A819="Grand Total",SUM($N$15:$N818),""),SUMPRODUCT((Table1[County]=SummaryPage!$A819)*(Table1[Status]&lt;&gt;"Complete")))</f>
        <v/>
      </c>
      <c r="O819" s="6" t="str">
        <f ca="1">IF($A819="Grand Total",SUM(INDIRECT(ADDRESS(1,COLUMN())&amp;":"&amp;ADDRESS(ROW()-1,COLUMN()))),IF(OR($A819="State Agencies",IFERROR(AND($L819&gt;='Input Sheet'!$J$2,$A819&lt;&gt;""),0)),$J819,""))</f>
        <v/>
      </c>
      <c r="P819" s="3" t="str">
        <f>IF(OR($A819="",$A819="Grand Total"),"",IF(IFERROR(ROUND($J819/$K819,2),1000)&gt;='Input Sheet'!$J$2,1,""))</f>
        <v/>
      </c>
      <c r="Q819" s="3" t="str">
        <f t="shared" si="44"/>
        <v/>
      </c>
      <c r="R819" s="3" t="str">
        <f>IF(OR($A819="",$A819="Grand Total"),"",AND($J819=0,(SUMPRODUCT((Table1[County]=SummaryPage!$A819)*(Table1[Status]="Not Started"))+SUMPRODUCT((Table1[County]=SummaryPage!$A819)*(Table1[Status]="")))=SUMPRODUCT((Table1[County]=SummaryPage!$A819)*(Table1[Status]&lt;&gt;"Q"))))</f>
        <v/>
      </c>
    </row>
    <row r="820" spans="11:18" x14ac:dyDescent="0.3">
      <c r="K820" s="28" t="str">
        <f>IF($A820="","",VLOOKUP('Input Sheet'!$D$2 &amp; " " &amp; $A820,Pop[#All],4,FALSE))</f>
        <v/>
      </c>
      <c r="L820" s="5" t="str">
        <f t="shared" si="43"/>
        <v/>
      </c>
      <c r="M820" s="7" t="str">
        <f t="shared" ca="1" si="42"/>
        <v/>
      </c>
      <c r="N820" s="17" t="str">
        <f>IF(OR($A820="",$A820="Grand Total"),IF($A820="Grand Total",SUM($N$15:$N819),""),SUMPRODUCT((Table1[County]=SummaryPage!$A820)*(Table1[Status]&lt;&gt;"Complete")))</f>
        <v/>
      </c>
      <c r="O820" s="6" t="str">
        <f ca="1">IF($A820="Grand Total",SUM(INDIRECT(ADDRESS(1,COLUMN())&amp;":"&amp;ADDRESS(ROW()-1,COLUMN()))),IF(OR($A820="State Agencies",IFERROR(AND($L820&gt;='Input Sheet'!$J$2,$A820&lt;&gt;""),0)),$J820,""))</f>
        <v/>
      </c>
      <c r="P820" s="3" t="str">
        <f>IF(OR($A820="",$A820="Grand Total"),"",IF(IFERROR(ROUND($J820/$K820,2),1000)&gt;='Input Sheet'!$J$2,1,""))</f>
        <v/>
      </c>
      <c r="Q820" s="3" t="str">
        <f t="shared" si="44"/>
        <v/>
      </c>
      <c r="R820" s="3" t="str">
        <f>IF(OR($A820="",$A820="Grand Total"),"",AND($J820=0,(SUMPRODUCT((Table1[County]=SummaryPage!$A820)*(Table1[Status]="Not Started"))+SUMPRODUCT((Table1[County]=SummaryPage!$A820)*(Table1[Status]="")))=SUMPRODUCT((Table1[County]=SummaryPage!$A820)*(Table1[Status]&lt;&gt;"Q"))))</f>
        <v/>
      </c>
    </row>
    <row r="821" spans="11:18" x14ac:dyDescent="0.3">
      <c r="K821" s="28" t="str">
        <f>IF($A821="","",VLOOKUP('Input Sheet'!$D$2 &amp; " " &amp; $A821,Pop[#All],4,FALSE))</f>
        <v/>
      </c>
      <c r="L821" s="5" t="str">
        <f t="shared" si="43"/>
        <v/>
      </c>
      <c r="M821" s="7" t="str">
        <f t="shared" ca="1" si="42"/>
        <v/>
      </c>
      <c r="N821" s="17" t="str">
        <f>IF(OR($A821="",$A821="Grand Total"),IF($A821="Grand Total",SUM($N$15:$N820),""),SUMPRODUCT((Table1[County]=SummaryPage!$A821)*(Table1[Status]&lt;&gt;"Complete")))</f>
        <v/>
      </c>
      <c r="O821" s="6" t="str">
        <f ca="1">IF($A821="Grand Total",SUM(INDIRECT(ADDRESS(1,COLUMN())&amp;":"&amp;ADDRESS(ROW()-1,COLUMN()))),IF(OR($A821="State Agencies",IFERROR(AND($L821&gt;='Input Sheet'!$J$2,$A821&lt;&gt;""),0)),$J821,""))</f>
        <v/>
      </c>
      <c r="P821" s="3" t="str">
        <f>IF(OR($A821="",$A821="Grand Total"),"",IF(IFERROR(ROUND($J821/$K821,2),1000)&gt;='Input Sheet'!$J$2,1,""))</f>
        <v/>
      </c>
      <c r="Q821" s="3" t="str">
        <f t="shared" si="44"/>
        <v/>
      </c>
      <c r="R821" s="3" t="str">
        <f>IF(OR($A821="",$A821="Grand Total"),"",AND($J821=0,(SUMPRODUCT((Table1[County]=SummaryPage!$A821)*(Table1[Status]="Not Started"))+SUMPRODUCT((Table1[County]=SummaryPage!$A821)*(Table1[Status]="")))=SUMPRODUCT((Table1[County]=SummaryPage!$A821)*(Table1[Status]&lt;&gt;"Q"))))</f>
        <v/>
      </c>
    </row>
    <row r="822" spans="11:18" x14ac:dyDescent="0.3">
      <c r="K822" s="28" t="str">
        <f>IF($A822="","",VLOOKUP('Input Sheet'!$D$2 &amp; " " &amp; $A822,Pop[#All],4,FALSE))</f>
        <v/>
      </c>
      <c r="L822" s="5" t="str">
        <f t="shared" si="43"/>
        <v/>
      </c>
      <c r="M822" s="7" t="str">
        <f t="shared" ca="1" si="42"/>
        <v/>
      </c>
      <c r="N822" s="17" t="str">
        <f>IF(OR($A822="",$A822="Grand Total"),IF($A822="Grand Total",SUM($N$15:$N821),""),SUMPRODUCT((Table1[County]=SummaryPage!$A822)*(Table1[Status]&lt;&gt;"Complete")))</f>
        <v/>
      </c>
      <c r="O822" s="6" t="str">
        <f ca="1">IF($A822="Grand Total",SUM(INDIRECT(ADDRESS(1,COLUMN())&amp;":"&amp;ADDRESS(ROW()-1,COLUMN()))),IF(OR($A822="State Agencies",IFERROR(AND($L822&gt;='Input Sheet'!$J$2,$A822&lt;&gt;""),0)),$J822,""))</f>
        <v/>
      </c>
      <c r="P822" s="3" t="str">
        <f>IF(OR($A822="",$A822="Grand Total"),"",IF(IFERROR(ROUND($J822/$K822,2),1000)&gt;='Input Sheet'!$J$2,1,""))</f>
        <v/>
      </c>
      <c r="Q822" s="3" t="str">
        <f t="shared" si="44"/>
        <v/>
      </c>
      <c r="R822" s="3" t="str">
        <f>IF(OR($A822="",$A822="Grand Total"),"",AND($J822=0,(SUMPRODUCT((Table1[County]=SummaryPage!$A822)*(Table1[Status]="Not Started"))+SUMPRODUCT((Table1[County]=SummaryPage!$A822)*(Table1[Status]="")))=SUMPRODUCT((Table1[County]=SummaryPage!$A822)*(Table1[Status]&lt;&gt;"Q"))))</f>
        <v/>
      </c>
    </row>
    <row r="823" spans="11:18" x14ac:dyDescent="0.3">
      <c r="K823" s="28" t="str">
        <f>IF($A823="","",VLOOKUP('Input Sheet'!$D$2 &amp; " " &amp; $A823,Pop[#All],4,FALSE))</f>
        <v/>
      </c>
      <c r="L823" s="5" t="str">
        <f t="shared" si="43"/>
        <v/>
      </c>
      <c r="M823" s="7" t="str">
        <f t="shared" ca="1" si="42"/>
        <v/>
      </c>
      <c r="N823" s="17" t="str">
        <f>IF(OR($A823="",$A823="Grand Total"),IF($A823="Grand Total",SUM($N$15:$N822),""),SUMPRODUCT((Table1[County]=SummaryPage!$A823)*(Table1[Status]&lt;&gt;"Complete")))</f>
        <v/>
      </c>
      <c r="O823" s="6" t="str">
        <f ca="1">IF($A823="Grand Total",SUM(INDIRECT(ADDRESS(1,COLUMN())&amp;":"&amp;ADDRESS(ROW()-1,COLUMN()))),IF(OR($A823="State Agencies",IFERROR(AND($L823&gt;='Input Sheet'!$J$2,$A823&lt;&gt;""),0)),$J823,""))</f>
        <v/>
      </c>
      <c r="P823" s="3" t="str">
        <f>IF(OR($A823="",$A823="Grand Total"),"",IF(IFERROR(ROUND($J823/$K823,2),1000)&gt;='Input Sheet'!$J$2,1,""))</f>
        <v/>
      </c>
      <c r="Q823" s="3" t="str">
        <f t="shared" si="44"/>
        <v/>
      </c>
      <c r="R823" s="3" t="str">
        <f>IF(OR($A823="",$A823="Grand Total"),"",AND($J823=0,(SUMPRODUCT((Table1[County]=SummaryPage!$A823)*(Table1[Status]="Not Started"))+SUMPRODUCT((Table1[County]=SummaryPage!$A823)*(Table1[Status]="")))=SUMPRODUCT((Table1[County]=SummaryPage!$A823)*(Table1[Status]&lt;&gt;"Q"))))</f>
        <v/>
      </c>
    </row>
    <row r="824" spans="11:18" x14ac:dyDescent="0.3">
      <c r="K824" s="28" t="str">
        <f>IF($A824="","",VLOOKUP('Input Sheet'!$D$2 &amp; " " &amp; $A824,Pop[#All],4,FALSE))</f>
        <v/>
      </c>
      <c r="L824" s="5" t="str">
        <f t="shared" si="43"/>
        <v/>
      </c>
      <c r="M824" s="7" t="str">
        <f t="shared" ca="1" si="42"/>
        <v/>
      </c>
      <c r="N824" s="17" t="str">
        <f>IF(OR($A824="",$A824="Grand Total"),IF($A824="Grand Total",SUM($N$15:$N823),""),SUMPRODUCT((Table1[County]=SummaryPage!$A824)*(Table1[Status]&lt;&gt;"Complete")))</f>
        <v/>
      </c>
      <c r="O824" s="6" t="str">
        <f ca="1">IF($A824="Grand Total",SUM(INDIRECT(ADDRESS(1,COLUMN())&amp;":"&amp;ADDRESS(ROW()-1,COLUMN()))),IF(OR($A824="State Agencies",IFERROR(AND($L824&gt;='Input Sheet'!$J$2,$A824&lt;&gt;""),0)),$J824,""))</f>
        <v/>
      </c>
      <c r="P824" s="3" t="str">
        <f>IF(OR($A824="",$A824="Grand Total"),"",IF(IFERROR(ROUND($J824/$K824,2),1000)&gt;='Input Sheet'!$J$2,1,""))</f>
        <v/>
      </c>
      <c r="Q824" s="3" t="str">
        <f t="shared" si="44"/>
        <v/>
      </c>
      <c r="R824" s="3" t="str">
        <f>IF(OR($A824="",$A824="Grand Total"),"",AND($J824=0,(SUMPRODUCT((Table1[County]=SummaryPage!$A824)*(Table1[Status]="Not Started"))+SUMPRODUCT((Table1[County]=SummaryPage!$A824)*(Table1[Status]="")))=SUMPRODUCT((Table1[County]=SummaryPage!$A824)*(Table1[Status]&lt;&gt;"Q"))))</f>
        <v/>
      </c>
    </row>
    <row r="825" spans="11:18" x14ac:dyDescent="0.3">
      <c r="K825" s="28" t="str">
        <f>IF($A825="","",VLOOKUP('Input Sheet'!$D$2 &amp; " " &amp; $A825,Pop[#All],4,FALSE))</f>
        <v/>
      </c>
      <c r="L825" s="5" t="str">
        <f t="shared" si="43"/>
        <v/>
      </c>
      <c r="M825" s="7" t="str">
        <f t="shared" ca="1" si="42"/>
        <v/>
      </c>
      <c r="N825" s="17" t="str">
        <f>IF(OR($A825="",$A825="Grand Total"),IF($A825="Grand Total",SUM($N$15:$N824),""),SUMPRODUCT((Table1[County]=SummaryPage!$A825)*(Table1[Status]&lt;&gt;"Complete")))</f>
        <v/>
      </c>
      <c r="O825" s="6" t="str">
        <f ca="1">IF($A825="Grand Total",SUM(INDIRECT(ADDRESS(1,COLUMN())&amp;":"&amp;ADDRESS(ROW()-1,COLUMN()))),IF(OR($A825="State Agencies",IFERROR(AND($L825&gt;='Input Sheet'!$J$2,$A825&lt;&gt;""),0)),$J825,""))</f>
        <v/>
      </c>
      <c r="P825" s="3" t="str">
        <f>IF(OR($A825="",$A825="Grand Total"),"",IF(IFERROR(ROUND($J825/$K825,2),1000)&gt;='Input Sheet'!$J$2,1,""))</f>
        <v/>
      </c>
      <c r="Q825" s="3" t="str">
        <f t="shared" si="44"/>
        <v/>
      </c>
      <c r="R825" s="3" t="str">
        <f>IF(OR($A825="",$A825="Grand Total"),"",AND($J825=0,(SUMPRODUCT((Table1[County]=SummaryPage!$A825)*(Table1[Status]="Not Started"))+SUMPRODUCT((Table1[County]=SummaryPage!$A825)*(Table1[Status]="")))=SUMPRODUCT((Table1[County]=SummaryPage!$A825)*(Table1[Status]&lt;&gt;"Q"))))</f>
        <v/>
      </c>
    </row>
    <row r="826" spans="11:18" x14ac:dyDescent="0.3">
      <c r="K826" s="28" t="str">
        <f>IF($A826="","",VLOOKUP('Input Sheet'!$D$2 &amp; " " &amp; $A826,Pop[#All],4,FALSE))</f>
        <v/>
      </c>
      <c r="L826" s="5" t="str">
        <f t="shared" si="43"/>
        <v/>
      </c>
      <c r="M826" s="7" t="str">
        <f t="shared" ca="1" si="42"/>
        <v/>
      </c>
      <c r="N826" s="17" t="str">
        <f>IF(OR($A826="",$A826="Grand Total"),IF($A826="Grand Total",SUM($N$15:$N825),""),SUMPRODUCT((Table1[County]=SummaryPage!$A826)*(Table1[Status]&lt;&gt;"Complete")))</f>
        <v/>
      </c>
      <c r="O826" s="6" t="str">
        <f ca="1">IF($A826="Grand Total",SUM(INDIRECT(ADDRESS(1,COLUMN())&amp;":"&amp;ADDRESS(ROW()-1,COLUMN()))),IF(OR($A826="State Agencies",IFERROR(AND($L826&gt;='Input Sheet'!$J$2,$A826&lt;&gt;""),0)),$J826,""))</f>
        <v/>
      </c>
      <c r="P826" s="3" t="str">
        <f>IF(OR($A826="",$A826="Grand Total"),"",IF(IFERROR(ROUND($J826/$K826,2),1000)&gt;='Input Sheet'!$J$2,1,""))</f>
        <v/>
      </c>
      <c r="Q826" s="3" t="str">
        <f t="shared" si="44"/>
        <v/>
      </c>
      <c r="R826" s="3" t="str">
        <f>IF(OR($A826="",$A826="Grand Total"),"",AND($J826=0,(SUMPRODUCT((Table1[County]=SummaryPage!$A826)*(Table1[Status]="Not Started"))+SUMPRODUCT((Table1[County]=SummaryPage!$A826)*(Table1[Status]="")))=SUMPRODUCT((Table1[County]=SummaryPage!$A826)*(Table1[Status]&lt;&gt;"Q"))))</f>
        <v/>
      </c>
    </row>
    <row r="827" spans="11:18" x14ac:dyDescent="0.3">
      <c r="K827" s="28" t="str">
        <f>IF($A827="","",VLOOKUP('Input Sheet'!$D$2 &amp; " " &amp; $A827,Pop[#All],4,FALSE))</f>
        <v/>
      </c>
      <c r="L827" s="5" t="str">
        <f t="shared" si="43"/>
        <v/>
      </c>
      <c r="M827" s="7" t="str">
        <f t="shared" ca="1" si="42"/>
        <v/>
      </c>
      <c r="N827" s="17" t="str">
        <f>IF(OR($A827="",$A827="Grand Total"),IF($A827="Grand Total",SUM($N$15:$N826),""),SUMPRODUCT((Table1[County]=SummaryPage!$A827)*(Table1[Status]&lt;&gt;"Complete")))</f>
        <v/>
      </c>
      <c r="O827" s="6" t="str">
        <f ca="1">IF($A827="Grand Total",SUM(INDIRECT(ADDRESS(1,COLUMN())&amp;":"&amp;ADDRESS(ROW()-1,COLUMN()))),IF(OR($A827="State Agencies",IFERROR(AND($L827&gt;='Input Sheet'!$J$2,$A827&lt;&gt;""),0)),$J827,""))</f>
        <v/>
      </c>
      <c r="P827" s="3" t="str">
        <f>IF(OR($A827="",$A827="Grand Total"),"",IF(IFERROR(ROUND($J827/$K827,2),1000)&gt;='Input Sheet'!$J$2,1,""))</f>
        <v/>
      </c>
      <c r="Q827" s="3" t="str">
        <f t="shared" si="44"/>
        <v/>
      </c>
      <c r="R827" s="3" t="str">
        <f>IF(OR($A827="",$A827="Grand Total"),"",AND($J827=0,(SUMPRODUCT((Table1[County]=SummaryPage!$A827)*(Table1[Status]="Not Started"))+SUMPRODUCT((Table1[County]=SummaryPage!$A827)*(Table1[Status]="")))=SUMPRODUCT((Table1[County]=SummaryPage!$A827)*(Table1[Status]&lt;&gt;"Q"))))</f>
        <v/>
      </c>
    </row>
    <row r="828" spans="11:18" x14ac:dyDescent="0.3">
      <c r="K828" s="28" t="str">
        <f>IF($A828="","",VLOOKUP('Input Sheet'!$D$2 &amp; " " &amp; $A828,Pop[#All],4,FALSE))</f>
        <v/>
      </c>
      <c r="L828" s="5" t="str">
        <f t="shared" si="43"/>
        <v/>
      </c>
      <c r="M828" s="7" t="str">
        <f t="shared" ca="1" si="42"/>
        <v/>
      </c>
      <c r="N828" s="17" t="str">
        <f>IF(OR($A828="",$A828="Grand Total"),IF($A828="Grand Total",SUM($N$15:$N827),""),SUMPRODUCT((Table1[County]=SummaryPage!$A828)*(Table1[Status]&lt;&gt;"Complete")))</f>
        <v/>
      </c>
      <c r="O828" s="6" t="str">
        <f ca="1">IF($A828="Grand Total",SUM(INDIRECT(ADDRESS(1,COLUMN())&amp;":"&amp;ADDRESS(ROW()-1,COLUMN()))),IF(OR($A828="State Agencies",IFERROR(AND($L828&gt;='Input Sheet'!$J$2,$A828&lt;&gt;""),0)),$J828,""))</f>
        <v/>
      </c>
      <c r="P828" s="3" t="str">
        <f>IF(OR($A828="",$A828="Grand Total"),"",IF(IFERROR(ROUND($J828/$K828,2),1000)&gt;='Input Sheet'!$J$2,1,""))</f>
        <v/>
      </c>
      <c r="Q828" s="3" t="str">
        <f t="shared" si="44"/>
        <v/>
      </c>
      <c r="R828" s="3" t="str">
        <f>IF(OR($A828="",$A828="Grand Total"),"",AND($J828=0,(SUMPRODUCT((Table1[County]=SummaryPage!$A828)*(Table1[Status]="Not Started"))+SUMPRODUCT((Table1[County]=SummaryPage!$A828)*(Table1[Status]="")))=SUMPRODUCT((Table1[County]=SummaryPage!$A828)*(Table1[Status]&lt;&gt;"Q"))))</f>
        <v/>
      </c>
    </row>
    <row r="829" spans="11:18" x14ac:dyDescent="0.3">
      <c r="K829" s="28" t="str">
        <f>IF($A829="","",VLOOKUP('Input Sheet'!$D$2 &amp; " " &amp; $A829,Pop[#All],4,FALSE))</f>
        <v/>
      </c>
      <c r="L829" s="5" t="str">
        <f t="shared" si="43"/>
        <v/>
      </c>
      <c r="M829" s="7" t="str">
        <f t="shared" ca="1" si="42"/>
        <v/>
      </c>
      <c r="N829" s="17" t="str">
        <f>IF(OR($A829="",$A829="Grand Total"),IF($A829="Grand Total",SUM($N$15:$N828),""),SUMPRODUCT((Table1[County]=SummaryPage!$A829)*(Table1[Status]&lt;&gt;"Complete")))</f>
        <v/>
      </c>
      <c r="O829" s="6" t="str">
        <f ca="1">IF($A829="Grand Total",SUM(INDIRECT(ADDRESS(1,COLUMN())&amp;":"&amp;ADDRESS(ROW()-1,COLUMN()))),IF(OR($A829="State Agencies",IFERROR(AND($L829&gt;='Input Sheet'!$J$2,$A829&lt;&gt;""),0)),$J829,""))</f>
        <v/>
      </c>
      <c r="P829" s="3" t="str">
        <f>IF(OR($A829="",$A829="Grand Total"),"",IF(IFERROR(ROUND($J829/$K829,2),1000)&gt;='Input Sheet'!$J$2,1,""))</f>
        <v/>
      </c>
      <c r="Q829" s="3" t="str">
        <f t="shared" si="44"/>
        <v/>
      </c>
      <c r="R829" s="3" t="str">
        <f>IF(OR($A829="",$A829="Grand Total"),"",AND($J829=0,(SUMPRODUCT((Table1[County]=SummaryPage!$A829)*(Table1[Status]="Not Started"))+SUMPRODUCT((Table1[County]=SummaryPage!$A829)*(Table1[Status]="")))=SUMPRODUCT((Table1[County]=SummaryPage!$A829)*(Table1[Status]&lt;&gt;"Q"))))</f>
        <v/>
      </c>
    </row>
    <row r="830" spans="11:18" x14ac:dyDescent="0.3">
      <c r="K830" s="28" t="str">
        <f>IF($A830="","",VLOOKUP('Input Sheet'!$D$2 &amp; " " &amp; $A830,Pop[#All],4,FALSE))</f>
        <v/>
      </c>
      <c r="L830" s="5" t="str">
        <f t="shared" si="43"/>
        <v/>
      </c>
      <c r="M830" s="7" t="str">
        <f t="shared" ca="1" si="42"/>
        <v/>
      </c>
      <c r="N830" s="17" t="str">
        <f>IF(OR($A830="",$A830="Grand Total"),IF($A830="Grand Total",SUM($N$15:$N829),""),SUMPRODUCT((Table1[County]=SummaryPage!$A830)*(Table1[Status]&lt;&gt;"Complete")))</f>
        <v/>
      </c>
      <c r="O830" s="6" t="str">
        <f ca="1">IF($A830="Grand Total",SUM(INDIRECT(ADDRESS(1,COLUMN())&amp;":"&amp;ADDRESS(ROW()-1,COLUMN()))),IF(OR($A830="State Agencies",IFERROR(AND($L830&gt;='Input Sheet'!$J$2,$A830&lt;&gt;""),0)),$J830,""))</f>
        <v/>
      </c>
      <c r="P830" s="3" t="str">
        <f>IF(OR($A830="",$A830="Grand Total"),"",IF(IFERROR(ROUND($J830/$K830,2),1000)&gt;='Input Sheet'!$J$2,1,""))</f>
        <v/>
      </c>
      <c r="Q830" s="3" t="str">
        <f t="shared" si="44"/>
        <v/>
      </c>
      <c r="R830" s="3" t="str">
        <f>IF(OR($A830="",$A830="Grand Total"),"",AND($J830=0,(SUMPRODUCT((Table1[County]=SummaryPage!$A830)*(Table1[Status]="Not Started"))+SUMPRODUCT((Table1[County]=SummaryPage!$A830)*(Table1[Status]="")))=SUMPRODUCT((Table1[County]=SummaryPage!$A830)*(Table1[Status]&lt;&gt;"Q"))))</f>
        <v/>
      </c>
    </row>
    <row r="831" spans="11:18" x14ac:dyDescent="0.3">
      <c r="K831" s="28" t="str">
        <f>IF($A831="","",VLOOKUP('Input Sheet'!$D$2 &amp; " " &amp; $A831,Pop[#All],4,FALSE))</f>
        <v/>
      </c>
      <c r="L831" s="5" t="str">
        <f t="shared" si="43"/>
        <v/>
      </c>
      <c r="M831" s="7" t="str">
        <f t="shared" ca="1" si="42"/>
        <v/>
      </c>
      <c r="N831" s="17" t="str">
        <f>IF(OR($A831="",$A831="Grand Total"),IF($A831="Grand Total",SUM($N$15:$N830),""),SUMPRODUCT((Table1[County]=SummaryPage!$A831)*(Table1[Status]&lt;&gt;"Complete")))</f>
        <v/>
      </c>
      <c r="O831" s="6" t="str">
        <f ca="1">IF($A831="Grand Total",SUM(INDIRECT(ADDRESS(1,COLUMN())&amp;":"&amp;ADDRESS(ROW()-1,COLUMN()))),IF(OR($A831="State Agencies",IFERROR(AND($L831&gt;='Input Sheet'!$J$2,$A831&lt;&gt;""),0)),$J831,""))</f>
        <v/>
      </c>
      <c r="P831" s="3" t="str">
        <f>IF(OR($A831="",$A831="Grand Total"),"",IF(IFERROR(ROUND($J831/$K831,2),1000)&gt;='Input Sheet'!$J$2,1,""))</f>
        <v/>
      </c>
      <c r="Q831" s="3" t="str">
        <f t="shared" si="44"/>
        <v/>
      </c>
      <c r="R831" s="3" t="str">
        <f>IF(OR($A831="",$A831="Grand Total"),"",AND($J831=0,(SUMPRODUCT((Table1[County]=SummaryPage!$A831)*(Table1[Status]="Not Started"))+SUMPRODUCT((Table1[County]=SummaryPage!$A831)*(Table1[Status]="")))=SUMPRODUCT((Table1[County]=SummaryPage!$A831)*(Table1[Status]&lt;&gt;"Q"))))</f>
        <v/>
      </c>
    </row>
    <row r="832" spans="11:18" x14ac:dyDescent="0.3">
      <c r="K832" s="28" t="str">
        <f>IF($A832="","",VLOOKUP('Input Sheet'!$D$2 &amp; " " &amp; $A832,Pop[#All],4,FALSE))</f>
        <v/>
      </c>
      <c r="L832" s="5" t="str">
        <f t="shared" si="43"/>
        <v/>
      </c>
      <c r="M832" s="7" t="str">
        <f t="shared" ca="1" si="42"/>
        <v/>
      </c>
      <c r="N832" s="17" t="str">
        <f>IF(OR($A832="",$A832="Grand Total"),IF($A832="Grand Total",SUM($N$15:$N831),""),SUMPRODUCT((Table1[County]=SummaryPage!$A832)*(Table1[Status]&lt;&gt;"Complete")))</f>
        <v/>
      </c>
      <c r="O832" s="6" t="str">
        <f ca="1">IF($A832="Grand Total",SUM(INDIRECT(ADDRESS(1,COLUMN())&amp;":"&amp;ADDRESS(ROW()-1,COLUMN()))),IF(OR($A832="State Agencies",IFERROR(AND($L832&gt;='Input Sheet'!$J$2,$A832&lt;&gt;""),0)),$J832,""))</f>
        <v/>
      </c>
      <c r="P832" s="3" t="str">
        <f>IF(OR($A832="",$A832="Grand Total"),"",IF(IFERROR(ROUND($J832/$K832,2),1000)&gt;='Input Sheet'!$J$2,1,""))</f>
        <v/>
      </c>
      <c r="Q832" s="3" t="str">
        <f t="shared" si="44"/>
        <v/>
      </c>
      <c r="R832" s="3" t="str">
        <f>IF(OR($A832="",$A832="Grand Total"),"",AND($J832=0,(SUMPRODUCT((Table1[County]=SummaryPage!$A832)*(Table1[Status]="Not Started"))+SUMPRODUCT((Table1[County]=SummaryPage!$A832)*(Table1[Status]="")))=SUMPRODUCT((Table1[County]=SummaryPage!$A832)*(Table1[Status]&lt;&gt;"Q"))))</f>
        <v/>
      </c>
    </row>
    <row r="833" spans="11:18" x14ac:dyDescent="0.3">
      <c r="K833" s="28" t="str">
        <f>IF($A833="","",VLOOKUP('Input Sheet'!$D$2 &amp; " " &amp; $A833,Pop[#All],4,FALSE))</f>
        <v/>
      </c>
      <c r="L833" s="5" t="str">
        <f t="shared" si="43"/>
        <v/>
      </c>
      <c r="M833" s="7" t="str">
        <f t="shared" ca="1" si="42"/>
        <v/>
      </c>
      <c r="N833" s="17" t="str">
        <f>IF(OR($A833="",$A833="Grand Total"),IF($A833="Grand Total",SUM($N$15:$N832),""),SUMPRODUCT((Table1[County]=SummaryPage!$A833)*(Table1[Status]&lt;&gt;"Complete")))</f>
        <v/>
      </c>
      <c r="O833" s="6" t="str">
        <f ca="1">IF($A833="Grand Total",SUM(INDIRECT(ADDRESS(1,COLUMN())&amp;":"&amp;ADDRESS(ROW()-1,COLUMN()))),IF(OR($A833="State Agencies",IFERROR(AND($L833&gt;='Input Sheet'!$J$2,$A833&lt;&gt;""),0)),$J833,""))</f>
        <v/>
      </c>
      <c r="P833" s="3" t="str">
        <f>IF(OR($A833="",$A833="Grand Total"),"",IF(IFERROR(ROUND($J833/$K833,2),1000)&gt;='Input Sheet'!$J$2,1,""))</f>
        <v/>
      </c>
      <c r="Q833" s="3" t="str">
        <f t="shared" si="44"/>
        <v/>
      </c>
      <c r="R833" s="3" t="str">
        <f>IF(OR($A833="",$A833="Grand Total"),"",AND($J833=0,(SUMPRODUCT((Table1[County]=SummaryPage!$A833)*(Table1[Status]="Not Started"))+SUMPRODUCT((Table1[County]=SummaryPage!$A833)*(Table1[Status]="")))=SUMPRODUCT((Table1[County]=SummaryPage!$A833)*(Table1[Status]&lt;&gt;"Q"))))</f>
        <v/>
      </c>
    </row>
    <row r="834" spans="11:18" x14ac:dyDescent="0.3">
      <c r="K834" s="28" t="str">
        <f>IF($A834="","",VLOOKUP('Input Sheet'!$D$2 &amp; " " &amp; $A834,Pop[#All],4,FALSE))</f>
        <v/>
      </c>
      <c r="L834" s="5" t="str">
        <f t="shared" si="43"/>
        <v/>
      </c>
      <c r="M834" s="7" t="str">
        <f t="shared" ca="1" si="42"/>
        <v/>
      </c>
      <c r="N834" s="17" t="str">
        <f>IF(OR($A834="",$A834="Grand Total"),IF($A834="Grand Total",SUM($N$15:$N833),""),SUMPRODUCT((Table1[County]=SummaryPage!$A834)*(Table1[Status]&lt;&gt;"Complete")))</f>
        <v/>
      </c>
      <c r="O834" s="6" t="str">
        <f ca="1">IF($A834="Grand Total",SUM(INDIRECT(ADDRESS(1,COLUMN())&amp;":"&amp;ADDRESS(ROW()-1,COLUMN()))),IF(OR($A834="State Agencies",IFERROR(AND($L834&gt;='Input Sheet'!$J$2,$A834&lt;&gt;""),0)),$J834,""))</f>
        <v/>
      </c>
      <c r="P834" s="3" t="str">
        <f>IF(OR($A834="",$A834="Grand Total"),"",IF(IFERROR(ROUND($J834/$K834,2),1000)&gt;='Input Sheet'!$J$2,1,""))</f>
        <v/>
      </c>
      <c r="Q834" s="3" t="str">
        <f t="shared" si="44"/>
        <v/>
      </c>
      <c r="R834" s="3" t="str">
        <f>IF(OR($A834="",$A834="Grand Total"),"",AND($J834=0,(SUMPRODUCT((Table1[County]=SummaryPage!$A834)*(Table1[Status]="Not Started"))+SUMPRODUCT((Table1[County]=SummaryPage!$A834)*(Table1[Status]="")))=SUMPRODUCT((Table1[County]=SummaryPage!$A834)*(Table1[Status]&lt;&gt;"Q"))))</f>
        <v/>
      </c>
    </row>
    <row r="835" spans="11:18" x14ac:dyDescent="0.3">
      <c r="K835" s="28" t="str">
        <f>IF($A835="","",VLOOKUP('Input Sheet'!$D$2 &amp; " " &amp; $A835,Pop[#All],4,FALSE))</f>
        <v/>
      </c>
      <c r="L835" s="5" t="str">
        <f t="shared" si="43"/>
        <v/>
      </c>
      <c r="M835" s="7" t="str">
        <f t="shared" ca="1" si="42"/>
        <v/>
      </c>
      <c r="N835" s="17" t="str">
        <f>IF(OR($A835="",$A835="Grand Total"),IF($A835="Grand Total",SUM($N$15:$N834),""),SUMPRODUCT((Table1[County]=SummaryPage!$A835)*(Table1[Status]&lt;&gt;"Complete")))</f>
        <v/>
      </c>
      <c r="O835" s="6" t="str">
        <f ca="1">IF($A835="Grand Total",SUM(INDIRECT(ADDRESS(1,COLUMN())&amp;":"&amp;ADDRESS(ROW()-1,COLUMN()))),IF(OR($A835="State Agencies",IFERROR(AND($L835&gt;='Input Sheet'!$J$2,$A835&lt;&gt;""),0)),$J835,""))</f>
        <v/>
      </c>
      <c r="P835" s="3" t="str">
        <f>IF(OR($A835="",$A835="Grand Total"),"",IF(IFERROR(ROUND($J835/$K835,2),1000)&gt;='Input Sheet'!$J$2,1,""))</f>
        <v/>
      </c>
      <c r="Q835" s="3" t="str">
        <f t="shared" si="44"/>
        <v/>
      </c>
      <c r="R835" s="3" t="str">
        <f>IF(OR($A835="",$A835="Grand Total"),"",AND($J835=0,(SUMPRODUCT((Table1[County]=SummaryPage!$A835)*(Table1[Status]="Not Started"))+SUMPRODUCT((Table1[County]=SummaryPage!$A835)*(Table1[Status]="")))=SUMPRODUCT((Table1[County]=SummaryPage!$A835)*(Table1[Status]&lt;&gt;"Q"))))</f>
        <v/>
      </c>
    </row>
    <row r="836" spans="11:18" x14ac:dyDescent="0.3">
      <c r="K836" s="28" t="str">
        <f>IF($A836="","",VLOOKUP('Input Sheet'!$D$2 &amp; " " &amp; $A836,Pop[#All],4,FALSE))</f>
        <v/>
      </c>
      <c r="L836" s="5" t="str">
        <f t="shared" si="43"/>
        <v/>
      </c>
      <c r="M836" s="7" t="str">
        <f t="shared" ca="1" si="42"/>
        <v/>
      </c>
      <c r="N836" s="17" t="str">
        <f>IF(OR($A836="",$A836="Grand Total"),IF($A836="Grand Total",SUM($N$15:$N835),""),SUMPRODUCT((Table1[County]=SummaryPage!$A836)*(Table1[Status]&lt;&gt;"Complete")))</f>
        <v/>
      </c>
      <c r="O836" s="6" t="str">
        <f ca="1">IF($A836="Grand Total",SUM(INDIRECT(ADDRESS(1,COLUMN())&amp;":"&amp;ADDRESS(ROW()-1,COLUMN()))),IF(OR($A836="State Agencies",IFERROR(AND($L836&gt;='Input Sheet'!$J$2,$A836&lt;&gt;""),0)),$J836,""))</f>
        <v/>
      </c>
      <c r="P836" s="3" t="str">
        <f>IF(OR($A836="",$A836="Grand Total"),"",IF(IFERROR(ROUND($J836/$K836,2),1000)&gt;='Input Sheet'!$J$2,1,""))</f>
        <v/>
      </c>
      <c r="Q836" s="3" t="str">
        <f t="shared" si="44"/>
        <v/>
      </c>
      <c r="R836" s="3" t="str">
        <f>IF(OR($A836="",$A836="Grand Total"),"",AND($J836=0,(SUMPRODUCT((Table1[County]=SummaryPage!$A836)*(Table1[Status]="Not Started"))+SUMPRODUCT((Table1[County]=SummaryPage!$A836)*(Table1[Status]="")))=SUMPRODUCT((Table1[County]=SummaryPage!$A836)*(Table1[Status]&lt;&gt;"Q"))))</f>
        <v/>
      </c>
    </row>
    <row r="837" spans="11:18" x14ac:dyDescent="0.3">
      <c r="K837" s="28" t="str">
        <f>IF($A837="","",VLOOKUP('Input Sheet'!$D$2 &amp; " " &amp; $A837,Pop[#All],4,FALSE))</f>
        <v/>
      </c>
      <c r="L837" s="5" t="str">
        <f t="shared" si="43"/>
        <v/>
      </c>
      <c r="M837" s="7" t="str">
        <f t="shared" ca="1" si="42"/>
        <v/>
      </c>
      <c r="N837" s="17" t="str">
        <f>IF(OR($A837="",$A837="Grand Total"),IF($A837="Grand Total",SUM($N$15:$N836),""),SUMPRODUCT((Table1[County]=SummaryPage!$A837)*(Table1[Status]&lt;&gt;"Complete")))</f>
        <v/>
      </c>
      <c r="O837" s="6" t="str">
        <f ca="1">IF($A837="Grand Total",SUM(INDIRECT(ADDRESS(1,COLUMN())&amp;":"&amp;ADDRESS(ROW()-1,COLUMN()))),IF(OR($A837="State Agencies",IFERROR(AND($L837&gt;='Input Sheet'!$J$2,$A837&lt;&gt;""),0)),$J837,""))</f>
        <v/>
      </c>
      <c r="P837" s="3" t="str">
        <f>IF(OR($A837="",$A837="Grand Total"),"",IF(IFERROR(ROUND($J837/$K837,2),1000)&gt;='Input Sheet'!$J$2,1,""))</f>
        <v/>
      </c>
      <c r="Q837" s="3" t="str">
        <f t="shared" si="44"/>
        <v/>
      </c>
      <c r="R837" s="3" t="str">
        <f>IF(OR($A837="",$A837="Grand Total"),"",AND($J837=0,(SUMPRODUCT((Table1[County]=SummaryPage!$A837)*(Table1[Status]="Not Started"))+SUMPRODUCT((Table1[County]=SummaryPage!$A837)*(Table1[Status]="")))=SUMPRODUCT((Table1[County]=SummaryPage!$A837)*(Table1[Status]&lt;&gt;"Q"))))</f>
        <v/>
      </c>
    </row>
    <row r="838" spans="11:18" x14ac:dyDescent="0.3">
      <c r="K838" s="28" t="str">
        <f>IF($A838="","",VLOOKUP('Input Sheet'!$D$2 &amp; " " &amp; $A838,Pop[#All],4,FALSE))</f>
        <v/>
      </c>
      <c r="L838" s="5" t="str">
        <f t="shared" si="43"/>
        <v/>
      </c>
      <c r="M838" s="7" t="str">
        <f t="shared" ca="1" si="42"/>
        <v/>
      </c>
      <c r="N838" s="17" t="str">
        <f>IF(OR($A838="",$A838="Grand Total"),IF($A838="Grand Total",SUM($N$15:$N837),""),SUMPRODUCT((Table1[County]=SummaryPage!$A838)*(Table1[Status]&lt;&gt;"Complete")))</f>
        <v/>
      </c>
      <c r="O838" s="6" t="str">
        <f ca="1">IF($A838="Grand Total",SUM(INDIRECT(ADDRESS(1,COLUMN())&amp;":"&amp;ADDRESS(ROW()-1,COLUMN()))),IF(OR($A838="State Agencies",IFERROR(AND($L838&gt;='Input Sheet'!$J$2,$A838&lt;&gt;""),0)),$J838,""))</f>
        <v/>
      </c>
      <c r="P838" s="3" t="str">
        <f>IF(OR($A838="",$A838="Grand Total"),"",IF(IFERROR(ROUND($J838/$K838,2),1000)&gt;='Input Sheet'!$J$2,1,""))</f>
        <v/>
      </c>
      <c r="Q838" s="3" t="str">
        <f t="shared" si="44"/>
        <v/>
      </c>
      <c r="R838" s="3" t="str">
        <f>IF(OR($A838="",$A838="Grand Total"),"",AND($J838=0,(SUMPRODUCT((Table1[County]=SummaryPage!$A838)*(Table1[Status]="Not Started"))+SUMPRODUCT((Table1[County]=SummaryPage!$A838)*(Table1[Status]="")))=SUMPRODUCT((Table1[County]=SummaryPage!$A838)*(Table1[Status]&lt;&gt;"Q"))))</f>
        <v/>
      </c>
    </row>
    <row r="839" spans="11:18" x14ac:dyDescent="0.3">
      <c r="K839" s="28" t="str">
        <f>IF($A839="","",VLOOKUP('Input Sheet'!$D$2 &amp; " " &amp; $A839,Pop[#All],4,FALSE))</f>
        <v/>
      </c>
      <c r="L839" s="5" t="str">
        <f t="shared" si="43"/>
        <v/>
      </c>
      <c r="M839" s="7" t="str">
        <f t="shared" ca="1" si="42"/>
        <v/>
      </c>
      <c r="N839" s="17" t="str">
        <f>IF(OR($A839="",$A839="Grand Total"),IF($A839="Grand Total",SUM($N$15:$N838),""),SUMPRODUCT((Table1[County]=SummaryPage!$A839)*(Table1[Status]&lt;&gt;"Complete")))</f>
        <v/>
      </c>
      <c r="O839" s="6" t="str">
        <f ca="1">IF($A839="Grand Total",SUM(INDIRECT(ADDRESS(1,COLUMN())&amp;":"&amp;ADDRESS(ROW()-1,COLUMN()))),IF(OR($A839="State Agencies",IFERROR(AND($L839&gt;='Input Sheet'!$J$2,$A839&lt;&gt;""),0)),$J839,""))</f>
        <v/>
      </c>
      <c r="P839" s="3" t="str">
        <f>IF(OR($A839="",$A839="Grand Total"),"",IF(IFERROR(ROUND($J839/$K839,2),1000)&gt;='Input Sheet'!$J$2,1,""))</f>
        <v/>
      </c>
      <c r="Q839" s="3" t="str">
        <f t="shared" si="44"/>
        <v/>
      </c>
      <c r="R839" s="3" t="str">
        <f>IF(OR($A839="",$A839="Grand Total"),"",AND($J839=0,(SUMPRODUCT((Table1[County]=SummaryPage!$A839)*(Table1[Status]="Not Started"))+SUMPRODUCT((Table1[County]=SummaryPage!$A839)*(Table1[Status]="")))=SUMPRODUCT((Table1[County]=SummaryPage!$A839)*(Table1[Status]&lt;&gt;"Q"))))</f>
        <v/>
      </c>
    </row>
    <row r="840" spans="11:18" x14ac:dyDescent="0.3">
      <c r="K840" s="28" t="str">
        <f>IF($A840="","",VLOOKUP('Input Sheet'!$D$2 &amp; " " &amp; $A840,Pop[#All],4,FALSE))</f>
        <v/>
      </c>
      <c r="L840" s="5" t="str">
        <f t="shared" si="43"/>
        <v/>
      </c>
      <c r="M840" s="7" t="str">
        <f t="shared" ca="1" si="42"/>
        <v/>
      </c>
      <c r="N840" s="17" t="str">
        <f>IF(OR($A840="",$A840="Grand Total"),IF($A840="Grand Total",SUM($N$15:$N839),""),SUMPRODUCT((Table1[County]=SummaryPage!$A840)*(Table1[Status]&lt;&gt;"Complete")))</f>
        <v/>
      </c>
      <c r="O840" s="6" t="str">
        <f ca="1">IF($A840="Grand Total",SUM(INDIRECT(ADDRESS(1,COLUMN())&amp;":"&amp;ADDRESS(ROW()-1,COLUMN()))),IF(OR($A840="State Agencies",IFERROR(AND($L840&gt;='Input Sheet'!$J$2,$A840&lt;&gt;""),0)),$J840,""))</f>
        <v/>
      </c>
      <c r="P840" s="3" t="str">
        <f>IF(OR($A840="",$A840="Grand Total"),"",IF(IFERROR(ROUND($J840/$K840,2),1000)&gt;='Input Sheet'!$J$2,1,""))</f>
        <v/>
      </c>
      <c r="Q840" s="3" t="str">
        <f t="shared" si="44"/>
        <v/>
      </c>
      <c r="R840" s="3" t="str">
        <f>IF(OR($A840="",$A840="Grand Total"),"",AND($J840=0,(SUMPRODUCT((Table1[County]=SummaryPage!$A840)*(Table1[Status]="Not Started"))+SUMPRODUCT((Table1[County]=SummaryPage!$A840)*(Table1[Status]="")))=SUMPRODUCT((Table1[County]=SummaryPage!$A840)*(Table1[Status]&lt;&gt;"Q"))))</f>
        <v/>
      </c>
    </row>
    <row r="841" spans="11:18" x14ac:dyDescent="0.3">
      <c r="K841" s="28" t="str">
        <f>IF($A841="","",VLOOKUP('Input Sheet'!$D$2 &amp; " " &amp; $A841,Pop[#All],4,FALSE))</f>
        <v/>
      </c>
      <c r="L841" s="5" t="str">
        <f t="shared" si="43"/>
        <v/>
      </c>
      <c r="M841" s="7" t="str">
        <f t="shared" ca="1" si="42"/>
        <v/>
      </c>
      <c r="N841" s="17" t="str">
        <f>IF(OR($A841="",$A841="Grand Total"),IF($A841="Grand Total",SUM($N$15:$N840),""),SUMPRODUCT((Table1[County]=SummaryPage!$A841)*(Table1[Status]&lt;&gt;"Complete")))</f>
        <v/>
      </c>
      <c r="O841" s="6" t="str">
        <f ca="1">IF($A841="Grand Total",SUM(INDIRECT(ADDRESS(1,COLUMN())&amp;":"&amp;ADDRESS(ROW()-1,COLUMN()))),IF(OR($A841="State Agencies",IFERROR(AND($L841&gt;='Input Sheet'!$J$2,$A841&lt;&gt;""),0)),$J841,""))</f>
        <v/>
      </c>
      <c r="P841" s="3" t="str">
        <f>IF(OR($A841="",$A841="Grand Total"),"",IF(IFERROR(ROUND($J841/$K841,2),1000)&gt;='Input Sheet'!$J$2,1,""))</f>
        <v/>
      </c>
      <c r="Q841" s="3" t="str">
        <f t="shared" si="44"/>
        <v/>
      </c>
      <c r="R841" s="3" t="str">
        <f>IF(OR($A841="",$A841="Grand Total"),"",AND($J841=0,(SUMPRODUCT((Table1[County]=SummaryPage!$A841)*(Table1[Status]="Not Started"))+SUMPRODUCT((Table1[County]=SummaryPage!$A841)*(Table1[Status]="")))=SUMPRODUCT((Table1[County]=SummaryPage!$A841)*(Table1[Status]&lt;&gt;"Q"))))</f>
        <v/>
      </c>
    </row>
    <row r="842" spans="11:18" x14ac:dyDescent="0.3">
      <c r="K842" s="28" t="str">
        <f>IF($A842="","",VLOOKUP('Input Sheet'!$D$2 &amp; " " &amp; $A842,Pop[#All],4,FALSE))</f>
        <v/>
      </c>
      <c r="L842" s="5" t="str">
        <f t="shared" si="43"/>
        <v/>
      </c>
      <c r="M842" s="7" t="str">
        <f t="shared" ca="1" si="42"/>
        <v/>
      </c>
      <c r="N842" s="17" t="str">
        <f>IF(OR($A842="",$A842="Grand Total"),IF($A842="Grand Total",SUM($N$15:$N841),""),SUMPRODUCT((Table1[County]=SummaryPage!$A842)*(Table1[Status]&lt;&gt;"Complete")))</f>
        <v/>
      </c>
      <c r="O842" s="6" t="str">
        <f ca="1">IF($A842="Grand Total",SUM(INDIRECT(ADDRESS(1,COLUMN())&amp;":"&amp;ADDRESS(ROW()-1,COLUMN()))),IF(OR($A842="State Agencies",IFERROR(AND($L842&gt;='Input Sheet'!$J$2,$A842&lt;&gt;""),0)),$J842,""))</f>
        <v/>
      </c>
      <c r="P842" s="3" t="str">
        <f>IF(OR($A842="",$A842="Grand Total"),"",IF(IFERROR(ROUND($J842/$K842,2),1000)&gt;='Input Sheet'!$J$2,1,""))</f>
        <v/>
      </c>
      <c r="Q842" s="3" t="str">
        <f t="shared" si="44"/>
        <v/>
      </c>
      <c r="R842" s="3" t="str">
        <f>IF(OR($A842="",$A842="Grand Total"),"",AND($J842=0,(SUMPRODUCT((Table1[County]=SummaryPage!$A842)*(Table1[Status]="Not Started"))+SUMPRODUCT((Table1[County]=SummaryPage!$A842)*(Table1[Status]="")))=SUMPRODUCT((Table1[County]=SummaryPage!$A842)*(Table1[Status]&lt;&gt;"Q"))))</f>
        <v/>
      </c>
    </row>
    <row r="843" spans="11:18" x14ac:dyDescent="0.3">
      <c r="K843" s="28" t="str">
        <f>IF($A843="","",VLOOKUP('Input Sheet'!$D$2 &amp; " " &amp; $A843,Pop[#All],4,FALSE))</f>
        <v/>
      </c>
      <c r="L843" s="5" t="str">
        <f t="shared" si="43"/>
        <v/>
      </c>
      <c r="M843" s="7" t="str">
        <f t="shared" ca="1" si="42"/>
        <v/>
      </c>
      <c r="N843" s="17" t="str">
        <f>IF(OR($A843="",$A843="Grand Total"),IF($A843="Grand Total",SUM($N$15:$N842),""),SUMPRODUCT((Table1[County]=SummaryPage!$A843)*(Table1[Status]&lt;&gt;"Complete")))</f>
        <v/>
      </c>
      <c r="O843" s="6" t="str">
        <f ca="1">IF($A843="Grand Total",SUM(INDIRECT(ADDRESS(1,COLUMN())&amp;":"&amp;ADDRESS(ROW()-1,COLUMN()))),IF(OR($A843="State Agencies",IFERROR(AND($L843&gt;='Input Sheet'!$J$2,$A843&lt;&gt;""),0)),$J843,""))</f>
        <v/>
      </c>
      <c r="P843" s="3" t="str">
        <f>IF(OR($A843="",$A843="Grand Total"),"",IF(IFERROR(ROUND($J843/$K843,2),1000)&gt;='Input Sheet'!$J$2,1,""))</f>
        <v/>
      </c>
      <c r="Q843" s="3" t="str">
        <f t="shared" si="44"/>
        <v/>
      </c>
      <c r="R843" s="3" t="str">
        <f>IF(OR($A843="",$A843="Grand Total"),"",AND($J843=0,(SUMPRODUCT((Table1[County]=SummaryPage!$A843)*(Table1[Status]="Not Started"))+SUMPRODUCT((Table1[County]=SummaryPage!$A843)*(Table1[Status]="")))=SUMPRODUCT((Table1[County]=SummaryPage!$A843)*(Table1[Status]&lt;&gt;"Q"))))</f>
        <v/>
      </c>
    </row>
    <row r="844" spans="11:18" x14ac:dyDescent="0.3">
      <c r="K844" s="28" t="str">
        <f>IF($A844="","",VLOOKUP('Input Sheet'!$D$2 &amp; " " &amp; $A844,Pop[#All],4,FALSE))</f>
        <v/>
      </c>
      <c r="L844" s="5" t="str">
        <f t="shared" si="43"/>
        <v/>
      </c>
      <c r="M844" s="7" t="str">
        <f t="shared" ca="1" si="42"/>
        <v/>
      </c>
      <c r="N844" s="17" t="str">
        <f>IF(OR($A844="",$A844="Grand Total"),IF($A844="Grand Total",SUM($N$15:$N843),""),SUMPRODUCT((Table1[County]=SummaryPage!$A844)*(Table1[Status]&lt;&gt;"Complete")))</f>
        <v/>
      </c>
      <c r="O844" s="6" t="str">
        <f ca="1">IF($A844="Grand Total",SUM(INDIRECT(ADDRESS(1,COLUMN())&amp;":"&amp;ADDRESS(ROW()-1,COLUMN()))),IF(OR($A844="State Agencies",IFERROR(AND($L844&gt;='Input Sheet'!$J$2,$A844&lt;&gt;""),0)),$J844,""))</f>
        <v/>
      </c>
      <c r="P844" s="3" t="str">
        <f>IF(OR($A844="",$A844="Grand Total"),"",IF(IFERROR(ROUND($J844/$K844,2),1000)&gt;='Input Sheet'!$J$2,1,""))</f>
        <v/>
      </c>
      <c r="Q844" s="3" t="str">
        <f t="shared" si="44"/>
        <v/>
      </c>
      <c r="R844" s="3" t="str">
        <f>IF(OR($A844="",$A844="Grand Total"),"",AND($J844=0,(SUMPRODUCT((Table1[County]=SummaryPage!$A844)*(Table1[Status]="Not Started"))+SUMPRODUCT((Table1[County]=SummaryPage!$A844)*(Table1[Status]="")))=SUMPRODUCT((Table1[County]=SummaryPage!$A844)*(Table1[Status]&lt;&gt;"Q"))))</f>
        <v/>
      </c>
    </row>
    <row r="845" spans="11:18" x14ac:dyDescent="0.3">
      <c r="K845" s="28" t="str">
        <f>IF($A845="","",VLOOKUP('Input Sheet'!$D$2 &amp; " " &amp; $A845,Pop[#All],4,FALSE))</f>
        <v/>
      </c>
      <c r="L845" s="5" t="str">
        <f t="shared" si="43"/>
        <v/>
      </c>
      <c r="M845" s="7" t="str">
        <f t="shared" ca="1" si="42"/>
        <v/>
      </c>
      <c r="N845" s="17" t="str">
        <f>IF(OR($A845="",$A845="Grand Total"),IF($A845="Grand Total",SUM($N$15:$N844),""),SUMPRODUCT((Table1[County]=SummaryPage!$A845)*(Table1[Status]&lt;&gt;"Complete")))</f>
        <v/>
      </c>
      <c r="O845" s="6" t="str">
        <f ca="1">IF($A845="Grand Total",SUM(INDIRECT(ADDRESS(1,COLUMN())&amp;":"&amp;ADDRESS(ROW()-1,COLUMN()))),IF(OR($A845="State Agencies",IFERROR(AND($L845&gt;='Input Sheet'!$J$2,$A845&lt;&gt;""),0)),$J845,""))</f>
        <v/>
      </c>
      <c r="P845" s="3" t="str">
        <f>IF(OR($A845="",$A845="Grand Total"),"",IF(IFERROR(ROUND($J845/$K845,2),1000)&gt;='Input Sheet'!$J$2,1,""))</f>
        <v/>
      </c>
      <c r="Q845" s="3" t="str">
        <f t="shared" si="44"/>
        <v/>
      </c>
      <c r="R845" s="3" t="str">
        <f>IF(OR($A845="",$A845="Grand Total"),"",AND($J845=0,(SUMPRODUCT((Table1[County]=SummaryPage!$A845)*(Table1[Status]="Not Started"))+SUMPRODUCT((Table1[County]=SummaryPage!$A845)*(Table1[Status]="")))=SUMPRODUCT((Table1[County]=SummaryPage!$A845)*(Table1[Status]&lt;&gt;"Q"))))</f>
        <v/>
      </c>
    </row>
    <row r="846" spans="11:18" x14ac:dyDescent="0.3">
      <c r="K846" s="28" t="str">
        <f>IF($A846="","",VLOOKUP('Input Sheet'!$D$2 &amp; " " &amp; $A846,Pop[#All],4,FALSE))</f>
        <v/>
      </c>
      <c r="L846" s="5" t="str">
        <f t="shared" si="43"/>
        <v/>
      </c>
      <c r="M846" s="7" t="str">
        <f t="shared" ca="1" si="42"/>
        <v/>
      </c>
      <c r="N846" s="17" t="str">
        <f>IF(OR($A846="",$A846="Grand Total"),IF($A846="Grand Total",SUM($N$15:$N845),""),SUMPRODUCT((Table1[County]=SummaryPage!$A846)*(Table1[Status]&lt;&gt;"Complete")))</f>
        <v/>
      </c>
      <c r="O846" s="6" t="str">
        <f ca="1">IF($A846="Grand Total",SUM(INDIRECT(ADDRESS(1,COLUMN())&amp;":"&amp;ADDRESS(ROW()-1,COLUMN()))),IF(OR($A846="State Agencies",IFERROR(AND($L846&gt;='Input Sheet'!$J$2,$A846&lt;&gt;""),0)),$J846,""))</f>
        <v/>
      </c>
      <c r="P846" s="3" t="str">
        <f>IF(OR($A846="",$A846="Grand Total"),"",IF(IFERROR(ROUND($J846/$K846,2),1000)&gt;='Input Sheet'!$J$2,1,""))</f>
        <v/>
      </c>
      <c r="Q846" s="3" t="str">
        <f t="shared" si="44"/>
        <v/>
      </c>
      <c r="R846" s="3" t="str">
        <f>IF(OR($A846="",$A846="Grand Total"),"",AND($J846=0,(SUMPRODUCT((Table1[County]=SummaryPage!$A846)*(Table1[Status]="Not Started"))+SUMPRODUCT((Table1[County]=SummaryPage!$A846)*(Table1[Status]="")))=SUMPRODUCT((Table1[County]=SummaryPage!$A846)*(Table1[Status]&lt;&gt;"Q"))))</f>
        <v/>
      </c>
    </row>
    <row r="847" spans="11:18" x14ac:dyDescent="0.3">
      <c r="K847" s="28" t="str">
        <f>IF($A847="","",VLOOKUP('Input Sheet'!$D$2 &amp; " " &amp; $A847,Pop[#All],4,FALSE))</f>
        <v/>
      </c>
      <c r="L847" s="5" t="str">
        <f t="shared" si="43"/>
        <v/>
      </c>
      <c r="M847" s="7" t="str">
        <f t="shared" ref="M847:M905" ca="1" si="45">IF(A847="Grand Total","",IF(ISNUMBER($O847),$O847*2/SUM($O:$O),""))</f>
        <v/>
      </c>
      <c r="N847" s="17" t="str">
        <f>IF(OR($A847="",$A847="Grand Total"),IF($A847="Grand Total",SUM($N$15:$N846),""),SUMPRODUCT((Table1[County]=SummaryPage!$A847)*(Table1[Status]&lt;&gt;"Complete")))</f>
        <v/>
      </c>
      <c r="O847" s="6" t="str">
        <f ca="1">IF($A847="Grand Total",SUM(INDIRECT(ADDRESS(1,COLUMN())&amp;":"&amp;ADDRESS(ROW()-1,COLUMN()))),IF(OR($A847="State Agencies",IFERROR(AND($L847&gt;='Input Sheet'!$J$2,$A847&lt;&gt;""),0)),$J847,""))</f>
        <v/>
      </c>
      <c r="P847" s="3" t="str">
        <f>IF(OR($A847="",$A847="Grand Total"),"",IF(IFERROR(ROUND($J847/$K847,2),1000)&gt;='Input Sheet'!$J$2,1,""))</f>
        <v/>
      </c>
      <c r="Q847" s="3" t="str">
        <f t="shared" si="44"/>
        <v/>
      </c>
      <c r="R847" s="3" t="str">
        <f>IF(OR($A847="",$A847="Grand Total"),"",AND($J847=0,(SUMPRODUCT((Table1[County]=SummaryPage!$A847)*(Table1[Status]="Not Started"))+SUMPRODUCT((Table1[County]=SummaryPage!$A847)*(Table1[Status]="")))=SUMPRODUCT((Table1[County]=SummaryPage!$A847)*(Table1[Status]&lt;&gt;"Q"))))</f>
        <v/>
      </c>
    </row>
    <row r="848" spans="11:18" x14ac:dyDescent="0.3">
      <c r="K848" s="28" t="str">
        <f>IF($A848="","",VLOOKUP('Input Sheet'!$D$2 &amp; " " &amp; $A848,Pop[#All],4,FALSE))</f>
        <v/>
      </c>
      <c r="L848" s="5" t="str">
        <f t="shared" ref="L848:L904" si="46">IFERROR(IF($A848="","",ROUND($J848/$K848,2)),"")</f>
        <v/>
      </c>
      <c r="M848" s="7" t="str">
        <f t="shared" ca="1" si="45"/>
        <v/>
      </c>
      <c r="N848" s="17" t="str">
        <f>IF(OR($A848="",$A848="Grand Total"),IF($A848="Grand Total",SUM($N$15:$N847),""),SUMPRODUCT((Table1[County]=SummaryPage!$A848)*(Table1[Status]&lt;&gt;"Complete")))</f>
        <v/>
      </c>
      <c r="O848" s="6" t="str">
        <f ca="1">IF($A848="Grand Total",SUM(INDIRECT(ADDRESS(1,COLUMN())&amp;":"&amp;ADDRESS(ROW()-1,COLUMN()))),IF(OR($A848="State Agencies",IFERROR(AND($L848&gt;='Input Sheet'!$J$2,$A848&lt;&gt;""),0)),$J848,""))</f>
        <v/>
      </c>
      <c r="P848" s="3" t="str">
        <f>IF(OR($A848="",$A848="Grand Total"),"",IF(IFERROR(ROUND($J848/$K848,2),1000)&gt;='Input Sheet'!$J$2,1,""))</f>
        <v/>
      </c>
      <c r="Q848" s="3" t="str">
        <f t="shared" ref="Q848:Q905" si="47">IFERROR($L848*$P848,"")</f>
        <v/>
      </c>
      <c r="R848" s="3" t="str">
        <f>IF(OR($A848="",$A848="Grand Total"),"",AND($J848=0,(SUMPRODUCT((Table1[County]=SummaryPage!$A848)*(Table1[Status]="Not Started"))+SUMPRODUCT((Table1[County]=SummaryPage!$A848)*(Table1[Status]="")))=SUMPRODUCT((Table1[County]=SummaryPage!$A848)*(Table1[Status]&lt;&gt;"Q"))))</f>
        <v/>
      </c>
    </row>
    <row r="849" spans="11:18" x14ac:dyDescent="0.3">
      <c r="K849" s="28" t="str">
        <f>IF($A849="","",VLOOKUP('Input Sheet'!$D$2 &amp; " " &amp; $A849,Pop[#All],4,FALSE))</f>
        <v/>
      </c>
      <c r="L849" s="5" t="str">
        <f t="shared" si="46"/>
        <v/>
      </c>
      <c r="M849" s="7" t="str">
        <f t="shared" ca="1" si="45"/>
        <v/>
      </c>
      <c r="N849" s="17" t="str">
        <f>IF(OR($A849="",$A849="Grand Total"),IF($A849="Grand Total",SUM($N$15:$N848),""),SUMPRODUCT((Table1[County]=SummaryPage!$A849)*(Table1[Status]&lt;&gt;"Complete")))</f>
        <v/>
      </c>
      <c r="O849" s="6" t="str">
        <f ca="1">IF($A849="Grand Total",SUM(INDIRECT(ADDRESS(1,COLUMN())&amp;":"&amp;ADDRESS(ROW()-1,COLUMN()))),IF(OR($A849="State Agencies",IFERROR(AND($L849&gt;='Input Sheet'!$J$2,$A849&lt;&gt;""),0)),$J849,""))</f>
        <v/>
      </c>
      <c r="P849" s="3" t="str">
        <f>IF(OR($A849="",$A849="Grand Total"),"",IF(IFERROR(ROUND($J849/$K849,2),1000)&gt;='Input Sheet'!$J$2,1,""))</f>
        <v/>
      </c>
      <c r="Q849" s="3" t="str">
        <f t="shared" si="47"/>
        <v/>
      </c>
      <c r="R849" s="3" t="str">
        <f>IF(OR($A849="",$A849="Grand Total"),"",AND($J849=0,(SUMPRODUCT((Table1[County]=SummaryPage!$A849)*(Table1[Status]="Not Started"))+SUMPRODUCT((Table1[County]=SummaryPage!$A849)*(Table1[Status]="")))=SUMPRODUCT((Table1[County]=SummaryPage!$A849)*(Table1[Status]&lt;&gt;"Q"))))</f>
        <v/>
      </c>
    </row>
    <row r="850" spans="11:18" x14ac:dyDescent="0.3">
      <c r="K850" s="28" t="str">
        <f>IF($A850="","",VLOOKUP('Input Sheet'!$D$2 &amp; " " &amp; $A850,Pop[#All],4,FALSE))</f>
        <v/>
      </c>
      <c r="L850" s="5" t="str">
        <f t="shared" si="46"/>
        <v/>
      </c>
      <c r="M850" s="7" t="str">
        <f t="shared" ca="1" si="45"/>
        <v/>
      </c>
      <c r="N850" s="17" t="str">
        <f>IF(OR($A850="",$A850="Grand Total"),IF($A850="Grand Total",SUM($N$15:$N849),""),SUMPRODUCT((Table1[County]=SummaryPage!$A850)*(Table1[Status]&lt;&gt;"Complete")))</f>
        <v/>
      </c>
      <c r="O850" s="6" t="str">
        <f ca="1">IF($A850="Grand Total",SUM(INDIRECT(ADDRESS(1,COLUMN())&amp;":"&amp;ADDRESS(ROW()-1,COLUMN()))),IF(OR($A850="State Agencies",IFERROR(AND($L850&gt;='Input Sheet'!$J$2,$A850&lt;&gt;""),0)),$J850,""))</f>
        <v/>
      </c>
      <c r="P850" s="3" t="str">
        <f>IF(OR($A850="",$A850="Grand Total"),"",IF(IFERROR(ROUND($J850/$K850,2),1000)&gt;='Input Sheet'!$J$2,1,""))</f>
        <v/>
      </c>
      <c r="Q850" s="3" t="str">
        <f t="shared" si="47"/>
        <v/>
      </c>
      <c r="R850" s="3" t="str">
        <f>IF(OR($A850="",$A850="Grand Total"),"",AND($J850=0,(SUMPRODUCT((Table1[County]=SummaryPage!$A850)*(Table1[Status]="Not Started"))+SUMPRODUCT((Table1[County]=SummaryPage!$A850)*(Table1[Status]="")))=SUMPRODUCT((Table1[County]=SummaryPage!$A850)*(Table1[Status]&lt;&gt;"Q"))))</f>
        <v/>
      </c>
    </row>
    <row r="851" spans="11:18" x14ac:dyDescent="0.3">
      <c r="K851" s="28" t="str">
        <f>IF($A851="","",VLOOKUP('Input Sheet'!$D$2 &amp; " " &amp; $A851,Pop[#All],4,FALSE))</f>
        <v/>
      </c>
      <c r="L851" s="5" t="str">
        <f t="shared" si="46"/>
        <v/>
      </c>
      <c r="M851" s="7" t="str">
        <f t="shared" ca="1" si="45"/>
        <v/>
      </c>
      <c r="N851" s="17" t="str">
        <f>IF(OR($A851="",$A851="Grand Total"),IF($A851="Grand Total",SUM($N$15:$N850),""),SUMPRODUCT((Table1[County]=SummaryPage!$A851)*(Table1[Status]&lt;&gt;"Complete")))</f>
        <v/>
      </c>
      <c r="O851" s="6" t="str">
        <f ca="1">IF($A851="Grand Total",SUM(INDIRECT(ADDRESS(1,COLUMN())&amp;":"&amp;ADDRESS(ROW()-1,COLUMN()))),IF(OR($A851="State Agencies",IFERROR(AND($L851&gt;='Input Sheet'!$J$2,$A851&lt;&gt;""),0)),$J851,""))</f>
        <v/>
      </c>
      <c r="P851" s="3" t="str">
        <f>IF(OR($A851="",$A851="Grand Total"),"",IF(IFERROR(ROUND($J851/$K851,2),1000)&gt;='Input Sheet'!$J$2,1,""))</f>
        <v/>
      </c>
      <c r="Q851" s="3" t="str">
        <f t="shared" si="47"/>
        <v/>
      </c>
      <c r="R851" s="3" t="str">
        <f>IF(OR($A851="",$A851="Grand Total"),"",AND($J851=0,(SUMPRODUCT((Table1[County]=SummaryPage!$A851)*(Table1[Status]="Not Started"))+SUMPRODUCT((Table1[County]=SummaryPage!$A851)*(Table1[Status]="")))=SUMPRODUCT((Table1[County]=SummaryPage!$A851)*(Table1[Status]&lt;&gt;"Q"))))</f>
        <v/>
      </c>
    </row>
    <row r="852" spans="11:18" x14ac:dyDescent="0.3">
      <c r="K852" s="28" t="str">
        <f>IF($A852="","",VLOOKUP('Input Sheet'!$D$2 &amp; " " &amp; $A852,Pop[#All],4,FALSE))</f>
        <v/>
      </c>
      <c r="L852" s="5" t="str">
        <f t="shared" si="46"/>
        <v/>
      </c>
      <c r="M852" s="7" t="str">
        <f t="shared" ca="1" si="45"/>
        <v/>
      </c>
      <c r="N852" s="17" t="str">
        <f>IF(OR($A852="",$A852="Grand Total"),IF($A852="Grand Total",SUM($N$15:$N851),""),SUMPRODUCT((Table1[County]=SummaryPage!$A852)*(Table1[Status]&lt;&gt;"Complete")))</f>
        <v/>
      </c>
      <c r="O852" s="6" t="str">
        <f ca="1">IF($A852="Grand Total",SUM(INDIRECT(ADDRESS(1,COLUMN())&amp;":"&amp;ADDRESS(ROW()-1,COLUMN()))),IF(OR($A852="State Agencies",IFERROR(AND($L852&gt;='Input Sheet'!$J$2,$A852&lt;&gt;""),0)),$J852,""))</f>
        <v/>
      </c>
      <c r="P852" s="3" t="str">
        <f>IF(OR($A852="",$A852="Grand Total"),"",IF(IFERROR(ROUND($J852/$K852,2),1000)&gt;='Input Sheet'!$J$2,1,""))</f>
        <v/>
      </c>
      <c r="Q852" s="3" t="str">
        <f t="shared" si="47"/>
        <v/>
      </c>
      <c r="R852" s="3" t="str">
        <f>IF(OR($A852="",$A852="Grand Total"),"",AND($J852=0,(SUMPRODUCT((Table1[County]=SummaryPage!$A852)*(Table1[Status]="Not Started"))+SUMPRODUCT((Table1[County]=SummaryPage!$A852)*(Table1[Status]="")))=SUMPRODUCT((Table1[County]=SummaryPage!$A852)*(Table1[Status]&lt;&gt;"Q"))))</f>
        <v/>
      </c>
    </row>
    <row r="853" spans="11:18" x14ac:dyDescent="0.3">
      <c r="K853" s="28" t="str">
        <f>IF($A853="","",VLOOKUP('Input Sheet'!$D$2 &amp; " " &amp; $A853,Pop[#All],4,FALSE))</f>
        <v/>
      </c>
      <c r="L853" s="5" t="str">
        <f t="shared" si="46"/>
        <v/>
      </c>
      <c r="M853" s="7" t="str">
        <f t="shared" ca="1" si="45"/>
        <v/>
      </c>
      <c r="N853" s="17" t="str">
        <f>IF(OR($A853="",$A853="Grand Total"),IF($A853="Grand Total",SUM($N$15:$N852),""),SUMPRODUCT((Table1[County]=SummaryPage!$A853)*(Table1[Status]&lt;&gt;"Complete")))</f>
        <v/>
      </c>
      <c r="O853" s="6" t="str">
        <f ca="1">IF($A853="Grand Total",SUM(INDIRECT(ADDRESS(1,COLUMN())&amp;":"&amp;ADDRESS(ROW()-1,COLUMN()))),IF(OR($A853="State Agencies",IFERROR(AND($L853&gt;='Input Sheet'!$J$2,$A853&lt;&gt;""),0)),$J853,""))</f>
        <v/>
      </c>
      <c r="P853" s="3" t="str">
        <f>IF(OR($A853="",$A853="Grand Total"),"",IF(IFERROR(ROUND($J853/$K853,2),1000)&gt;='Input Sheet'!$J$2,1,""))</f>
        <v/>
      </c>
      <c r="Q853" s="3" t="str">
        <f t="shared" si="47"/>
        <v/>
      </c>
      <c r="R853" s="3" t="str">
        <f>IF(OR($A853="",$A853="Grand Total"),"",AND($J853=0,(SUMPRODUCT((Table1[County]=SummaryPage!$A853)*(Table1[Status]="Not Started"))+SUMPRODUCT((Table1[County]=SummaryPage!$A853)*(Table1[Status]="")))=SUMPRODUCT((Table1[County]=SummaryPage!$A853)*(Table1[Status]&lt;&gt;"Q"))))</f>
        <v/>
      </c>
    </row>
    <row r="854" spans="11:18" x14ac:dyDescent="0.3">
      <c r="K854" s="28" t="str">
        <f>IF($A854="","",VLOOKUP('Input Sheet'!$D$2 &amp; " " &amp; $A854,Pop[#All],4,FALSE))</f>
        <v/>
      </c>
      <c r="L854" s="5" t="str">
        <f t="shared" si="46"/>
        <v/>
      </c>
      <c r="M854" s="7" t="str">
        <f t="shared" ca="1" si="45"/>
        <v/>
      </c>
      <c r="N854" s="17" t="str">
        <f>IF(OR($A854="",$A854="Grand Total"),IF($A854="Grand Total",SUM($N$15:$N853),""),SUMPRODUCT((Table1[County]=SummaryPage!$A854)*(Table1[Status]&lt;&gt;"Complete")))</f>
        <v/>
      </c>
      <c r="O854" s="6" t="str">
        <f ca="1">IF($A854="Grand Total",SUM(INDIRECT(ADDRESS(1,COLUMN())&amp;":"&amp;ADDRESS(ROW()-1,COLUMN()))),IF(OR($A854="State Agencies",IFERROR(AND($L854&gt;='Input Sheet'!$J$2,$A854&lt;&gt;""),0)),$J854,""))</f>
        <v/>
      </c>
      <c r="P854" s="3" t="str">
        <f>IF(OR($A854="",$A854="Grand Total"),"",IF(IFERROR(ROUND($J854/$K854,2),1000)&gt;='Input Sheet'!$J$2,1,""))</f>
        <v/>
      </c>
      <c r="Q854" s="3" t="str">
        <f t="shared" si="47"/>
        <v/>
      </c>
      <c r="R854" s="3" t="str">
        <f>IF(OR($A854="",$A854="Grand Total"),"",AND($J854=0,(SUMPRODUCT((Table1[County]=SummaryPage!$A854)*(Table1[Status]="Not Started"))+SUMPRODUCT((Table1[County]=SummaryPage!$A854)*(Table1[Status]="")))=SUMPRODUCT((Table1[County]=SummaryPage!$A854)*(Table1[Status]&lt;&gt;"Q"))))</f>
        <v/>
      </c>
    </row>
    <row r="855" spans="11:18" x14ac:dyDescent="0.3">
      <c r="K855" s="28" t="str">
        <f>IF($A855="","",VLOOKUP('Input Sheet'!$D$2 &amp; " " &amp; $A855,Pop[#All],4,FALSE))</f>
        <v/>
      </c>
      <c r="L855" s="5" t="str">
        <f t="shared" si="46"/>
        <v/>
      </c>
      <c r="M855" s="7" t="str">
        <f t="shared" ca="1" si="45"/>
        <v/>
      </c>
      <c r="N855" s="17" t="str">
        <f>IF(OR($A855="",$A855="Grand Total"),IF($A855="Grand Total",SUM($N$15:$N854),""),SUMPRODUCT((Table1[County]=SummaryPage!$A855)*(Table1[Status]&lt;&gt;"Complete")))</f>
        <v/>
      </c>
      <c r="O855" s="6" t="str">
        <f ca="1">IF($A855="Grand Total",SUM(INDIRECT(ADDRESS(1,COLUMN())&amp;":"&amp;ADDRESS(ROW()-1,COLUMN()))),IF(OR($A855="State Agencies",IFERROR(AND($L855&gt;='Input Sheet'!$J$2,$A855&lt;&gt;""),0)),$J855,""))</f>
        <v/>
      </c>
      <c r="P855" s="3" t="str">
        <f>IF(OR($A855="",$A855="Grand Total"),"",IF(IFERROR(ROUND($J855/$K855,2),1000)&gt;='Input Sheet'!$J$2,1,""))</f>
        <v/>
      </c>
      <c r="Q855" s="3" t="str">
        <f t="shared" si="47"/>
        <v/>
      </c>
      <c r="R855" s="3" t="str">
        <f>IF(OR($A855="",$A855="Grand Total"),"",AND($J855=0,(SUMPRODUCT((Table1[County]=SummaryPage!$A855)*(Table1[Status]="Not Started"))+SUMPRODUCT((Table1[County]=SummaryPage!$A855)*(Table1[Status]="")))=SUMPRODUCT((Table1[County]=SummaryPage!$A855)*(Table1[Status]&lt;&gt;"Q"))))</f>
        <v/>
      </c>
    </row>
    <row r="856" spans="11:18" x14ac:dyDescent="0.3">
      <c r="K856" s="28" t="str">
        <f>IF($A856="","",VLOOKUP('Input Sheet'!$D$2 &amp; " " &amp; $A856,Pop[#All],4,FALSE))</f>
        <v/>
      </c>
      <c r="L856" s="5" t="str">
        <f t="shared" si="46"/>
        <v/>
      </c>
      <c r="M856" s="7" t="str">
        <f t="shared" ca="1" si="45"/>
        <v/>
      </c>
      <c r="N856" s="17" t="str">
        <f>IF(OR($A856="",$A856="Grand Total"),IF($A856="Grand Total",SUM($N$15:$N855),""),SUMPRODUCT((Table1[County]=SummaryPage!$A856)*(Table1[Status]&lt;&gt;"Complete")))</f>
        <v/>
      </c>
      <c r="O856" s="6" t="str">
        <f ca="1">IF($A856="Grand Total",SUM(INDIRECT(ADDRESS(1,COLUMN())&amp;":"&amp;ADDRESS(ROW()-1,COLUMN()))),IF(OR($A856="State Agencies",IFERROR(AND($L856&gt;='Input Sheet'!$J$2,$A856&lt;&gt;""),0)),$J856,""))</f>
        <v/>
      </c>
      <c r="P856" s="3" t="str">
        <f>IF(OR($A856="",$A856="Grand Total"),"",IF(IFERROR(ROUND($J856/$K856,2),1000)&gt;='Input Sheet'!$J$2,1,""))</f>
        <v/>
      </c>
      <c r="Q856" s="3" t="str">
        <f t="shared" si="47"/>
        <v/>
      </c>
      <c r="R856" s="3" t="str">
        <f>IF(OR($A856="",$A856="Grand Total"),"",AND($J856=0,(SUMPRODUCT((Table1[County]=SummaryPage!$A856)*(Table1[Status]="Not Started"))+SUMPRODUCT((Table1[County]=SummaryPage!$A856)*(Table1[Status]="")))=SUMPRODUCT((Table1[County]=SummaryPage!$A856)*(Table1[Status]&lt;&gt;"Q"))))</f>
        <v/>
      </c>
    </row>
    <row r="857" spans="11:18" x14ac:dyDescent="0.3">
      <c r="K857" s="28" t="str">
        <f>IF($A857="","",VLOOKUP('Input Sheet'!$D$2 &amp; " " &amp; $A857,Pop[#All],4,FALSE))</f>
        <v/>
      </c>
      <c r="L857" s="5" t="str">
        <f t="shared" si="46"/>
        <v/>
      </c>
      <c r="M857" s="7" t="str">
        <f t="shared" ca="1" si="45"/>
        <v/>
      </c>
      <c r="N857" s="17" t="str">
        <f>IF(OR($A857="",$A857="Grand Total"),IF($A857="Grand Total",SUM($N$15:$N856),""),SUMPRODUCT((Table1[County]=SummaryPage!$A857)*(Table1[Status]&lt;&gt;"Complete")))</f>
        <v/>
      </c>
      <c r="O857" s="6" t="str">
        <f ca="1">IF($A857="Grand Total",SUM(INDIRECT(ADDRESS(1,COLUMN())&amp;":"&amp;ADDRESS(ROW()-1,COLUMN()))),IF(OR($A857="State Agencies",IFERROR(AND($L857&gt;='Input Sheet'!$J$2,$A857&lt;&gt;""),0)),$J857,""))</f>
        <v/>
      </c>
      <c r="P857" s="3" t="str">
        <f>IF(OR($A857="",$A857="Grand Total"),"",IF(IFERROR(ROUND($J857/$K857,2),1000)&gt;='Input Sheet'!$J$2,1,""))</f>
        <v/>
      </c>
      <c r="Q857" s="3" t="str">
        <f t="shared" si="47"/>
        <v/>
      </c>
      <c r="R857" s="3" t="str">
        <f>IF(OR($A857="",$A857="Grand Total"),"",AND($J857=0,(SUMPRODUCT((Table1[County]=SummaryPage!$A857)*(Table1[Status]="Not Started"))+SUMPRODUCT((Table1[County]=SummaryPage!$A857)*(Table1[Status]="")))=SUMPRODUCT((Table1[County]=SummaryPage!$A857)*(Table1[Status]&lt;&gt;"Q"))))</f>
        <v/>
      </c>
    </row>
    <row r="858" spans="11:18" x14ac:dyDescent="0.3">
      <c r="K858" s="28" t="str">
        <f>IF($A858="","",VLOOKUP('Input Sheet'!$D$2 &amp; " " &amp; $A858,Pop[#All],4,FALSE))</f>
        <v/>
      </c>
      <c r="L858" s="5" t="str">
        <f t="shared" si="46"/>
        <v/>
      </c>
      <c r="M858" s="7" t="str">
        <f t="shared" ca="1" si="45"/>
        <v/>
      </c>
      <c r="N858" s="17" t="str">
        <f>IF(OR($A858="",$A858="Grand Total"),IF($A858="Grand Total",SUM($N$15:$N857),""),SUMPRODUCT((Table1[County]=SummaryPage!$A858)*(Table1[Status]&lt;&gt;"Complete")))</f>
        <v/>
      </c>
      <c r="O858" s="6" t="str">
        <f ca="1">IF($A858="Grand Total",SUM(INDIRECT(ADDRESS(1,COLUMN())&amp;":"&amp;ADDRESS(ROW()-1,COLUMN()))),IF(OR($A858="State Agencies",IFERROR(AND($L858&gt;='Input Sheet'!$J$2,$A858&lt;&gt;""),0)),$J858,""))</f>
        <v/>
      </c>
      <c r="P858" s="3" t="str">
        <f>IF(OR($A858="",$A858="Grand Total"),"",IF(IFERROR(ROUND($J858/$K858,2),1000)&gt;='Input Sheet'!$J$2,1,""))</f>
        <v/>
      </c>
      <c r="Q858" s="3" t="str">
        <f t="shared" si="47"/>
        <v/>
      </c>
      <c r="R858" s="3" t="str">
        <f>IF(OR($A858="",$A858="Grand Total"),"",AND($J858=0,(SUMPRODUCT((Table1[County]=SummaryPage!$A858)*(Table1[Status]="Not Started"))+SUMPRODUCT((Table1[County]=SummaryPage!$A858)*(Table1[Status]="")))=SUMPRODUCT((Table1[County]=SummaryPage!$A858)*(Table1[Status]&lt;&gt;"Q"))))</f>
        <v/>
      </c>
    </row>
    <row r="859" spans="11:18" x14ac:dyDescent="0.3">
      <c r="K859" s="28" t="str">
        <f>IF($A859="","",VLOOKUP('Input Sheet'!$D$2 &amp; " " &amp; $A859,Pop[#All],4,FALSE))</f>
        <v/>
      </c>
      <c r="L859" s="5" t="str">
        <f t="shared" si="46"/>
        <v/>
      </c>
      <c r="M859" s="7" t="str">
        <f t="shared" ca="1" si="45"/>
        <v/>
      </c>
      <c r="N859" s="17" t="str">
        <f>IF(OR($A859="",$A859="Grand Total"),IF($A859="Grand Total",SUM($N$15:$N858),""),SUMPRODUCT((Table1[County]=SummaryPage!$A859)*(Table1[Status]&lt;&gt;"Complete")))</f>
        <v/>
      </c>
      <c r="O859" s="6" t="str">
        <f ca="1">IF($A859="Grand Total",SUM(INDIRECT(ADDRESS(1,COLUMN())&amp;":"&amp;ADDRESS(ROW()-1,COLUMN()))),IF(OR($A859="State Agencies",IFERROR(AND($L859&gt;='Input Sheet'!$J$2,$A859&lt;&gt;""),0)),$J859,""))</f>
        <v/>
      </c>
      <c r="P859" s="3" t="str">
        <f>IF(OR($A859="",$A859="Grand Total"),"",IF(IFERROR(ROUND($J859/$K859,2),1000)&gt;='Input Sheet'!$J$2,1,""))</f>
        <v/>
      </c>
      <c r="Q859" s="3" t="str">
        <f t="shared" si="47"/>
        <v/>
      </c>
      <c r="R859" s="3" t="str">
        <f>IF(OR($A859="",$A859="Grand Total"),"",AND($J859=0,(SUMPRODUCT((Table1[County]=SummaryPage!$A859)*(Table1[Status]="Not Started"))+SUMPRODUCT((Table1[County]=SummaryPage!$A859)*(Table1[Status]="")))=SUMPRODUCT((Table1[County]=SummaryPage!$A859)*(Table1[Status]&lt;&gt;"Q"))))</f>
        <v/>
      </c>
    </row>
    <row r="860" spans="11:18" x14ac:dyDescent="0.3">
      <c r="K860" s="28" t="str">
        <f>IF($A860="","",VLOOKUP('Input Sheet'!$D$2 &amp; " " &amp; $A860,Pop[#All],4,FALSE))</f>
        <v/>
      </c>
      <c r="L860" s="5" t="str">
        <f t="shared" si="46"/>
        <v/>
      </c>
      <c r="M860" s="7" t="str">
        <f t="shared" ca="1" si="45"/>
        <v/>
      </c>
      <c r="N860" s="17" t="str">
        <f>IF(OR($A860="",$A860="Grand Total"),IF($A860="Grand Total",SUM($N$15:$N859),""),SUMPRODUCT((Table1[County]=SummaryPage!$A860)*(Table1[Status]&lt;&gt;"Complete")))</f>
        <v/>
      </c>
      <c r="O860" s="6" t="str">
        <f ca="1">IF($A860="Grand Total",SUM(INDIRECT(ADDRESS(1,COLUMN())&amp;":"&amp;ADDRESS(ROW()-1,COLUMN()))),IF(OR($A860="State Agencies",IFERROR(AND($L860&gt;='Input Sheet'!$J$2,$A860&lt;&gt;""),0)),$J860,""))</f>
        <v/>
      </c>
      <c r="P860" s="3" t="str">
        <f>IF(OR($A860="",$A860="Grand Total"),"",IF(IFERROR(ROUND($J860/$K860,2),1000)&gt;='Input Sheet'!$J$2,1,""))</f>
        <v/>
      </c>
      <c r="Q860" s="3" t="str">
        <f t="shared" si="47"/>
        <v/>
      </c>
      <c r="R860" s="3" t="str">
        <f>IF(OR($A860="",$A860="Grand Total"),"",AND($J860=0,(SUMPRODUCT((Table1[County]=SummaryPage!$A860)*(Table1[Status]="Not Started"))+SUMPRODUCT((Table1[County]=SummaryPage!$A860)*(Table1[Status]="")))=SUMPRODUCT((Table1[County]=SummaryPage!$A860)*(Table1[Status]&lt;&gt;"Q"))))</f>
        <v/>
      </c>
    </row>
    <row r="861" spans="11:18" x14ac:dyDescent="0.3">
      <c r="K861" s="28" t="str">
        <f>IF($A861="","",VLOOKUP('Input Sheet'!$D$2 &amp; " " &amp; $A861,Pop[#All],4,FALSE))</f>
        <v/>
      </c>
      <c r="L861" s="5" t="str">
        <f t="shared" si="46"/>
        <v/>
      </c>
      <c r="M861" s="7" t="str">
        <f t="shared" ca="1" si="45"/>
        <v/>
      </c>
      <c r="N861" s="17" t="str">
        <f>IF(OR($A861="",$A861="Grand Total"),IF($A861="Grand Total",SUM($N$15:$N860),""),SUMPRODUCT((Table1[County]=SummaryPage!$A861)*(Table1[Status]&lt;&gt;"Complete")))</f>
        <v/>
      </c>
      <c r="O861" s="6" t="str">
        <f ca="1">IF($A861="Grand Total",SUM(INDIRECT(ADDRESS(1,COLUMN())&amp;":"&amp;ADDRESS(ROW()-1,COLUMN()))),IF(OR($A861="State Agencies",IFERROR(AND($L861&gt;='Input Sheet'!$J$2,$A861&lt;&gt;""),0)),$J861,""))</f>
        <v/>
      </c>
      <c r="P861" s="3" t="str">
        <f>IF(OR($A861="",$A861="Grand Total"),"",IF(IFERROR(ROUND($J861/$K861,2),1000)&gt;='Input Sheet'!$J$2,1,""))</f>
        <v/>
      </c>
      <c r="Q861" s="3" t="str">
        <f t="shared" si="47"/>
        <v/>
      </c>
      <c r="R861" s="3" t="str">
        <f>IF(OR($A861="",$A861="Grand Total"),"",AND($J861=0,(SUMPRODUCT((Table1[County]=SummaryPage!$A861)*(Table1[Status]="Not Started"))+SUMPRODUCT((Table1[County]=SummaryPage!$A861)*(Table1[Status]="")))=SUMPRODUCT((Table1[County]=SummaryPage!$A861)*(Table1[Status]&lt;&gt;"Q"))))</f>
        <v/>
      </c>
    </row>
    <row r="862" spans="11:18" x14ac:dyDescent="0.3">
      <c r="K862" s="28" t="str">
        <f>IF($A862="","",VLOOKUP('Input Sheet'!$D$2 &amp; " " &amp; $A862,Pop[#All],4,FALSE))</f>
        <v/>
      </c>
      <c r="L862" s="5" t="str">
        <f t="shared" si="46"/>
        <v/>
      </c>
      <c r="M862" s="7" t="str">
        <f t="shared" ca="1" si="45"/>
        <v/>
      </c>
      <c r="N862" s="17" t="str">
        <f>IF(OR($A862="",$A862="Grand Total"),IF($A862="Grand Total",SUM($N$15:$N861),""),SUMPRODUCT((Table1[County]=SummaryPage!$A862)*(Table1[Status]&lt;&gt;"Complete")))</f>
        <v/>
      </c>
      <c r="O862" s="6" t="str">
        <f ca="1">IF($A862="Grand Total",SUM(INDIRECT(ADDRESS(1,COLUMN())&amp;":"&amp;ADDRESS(ROW()-1,COLUMN()))),IF(OR($A862="State Agencies",IFERROR(AND($L862&gt;='Input Sheet'!$J$2,$A862&lt;&gt;""),0)),$J862,""))</f>
        <v/>
      </c>
      <c r="P862" s="3" t="str">
        <f>IF(OR($A862="",$A862="Grand Total"),"",IF(IFERROR(ROUND($J862/$K862,2),1000)&gt;='Input Sheet'!$J$2,1,""))</f>
        <v/>
      </c>
      <c r="Q862" s="3" t="str">
        <f t="shared" si="47"/>
        <v/>
      </c>
      <c r="R862" s="3" t="str">
        <f>IF(OR($A862="",$A862="Grand Total"),"",AND($J862=0,(SUMPRODUCT((Table1[County]=SummaryPage!$A862)*(Table1[Status]="Not Started"))+SUMPRODUCT((Table1[County]=SummaryPage!$A862)*(Table1[Status]="")))=SUMPRODUCT((Table1[County]=SummaryPage!$A862)*(Table1[Status]&lt;&gt;"Q"))))</f>
        <v/>
      </c>
    </row>
    <row r="863" spans="11:18" x14ac:dyDescent="0.3">
      <c r="K863" s="28" t="str">
        <f>IF($A863="","",VLOOKUP('Input Sheet'!$D$2 &amp; " " &amp; $A863,Pop[#All],4,FALSE))</f>
        <v/>
      </c>
      <c r="L863" s="5" t="str">
        <f t="shared" si="46"/>
        <v/>
      </c>
      <c r="M863" s="7" t="str">
        <f t="shared" ca="1" si="45"/>
        <v/>
      </c>
      <c r="N863" s="17" t="str">
        <f>IF(OR($A863="",$A863="Grand Total"),IF($A863="Grand Total",SUM($N$15:$N862),""),SUMPRODUCT((Table1[County]=SummaryPage!$A863)*(Table1[Status]&lt;&gt;"Complete")))</f>
        <v/>
      </c>
      <c r="O863" s="6" t="str">
        <f ca="1">IF($A863="Grand Total",SUM(INDIRECT(ADDRESS(1,COLUMN())&amp;":"&amp;ADDRESS(ROW()-1,COLUMN()))),IF(OR($A863="State Agencies",IFERROR(AND($L863&gt;='Input Sheet'!$J$2,$A863&lt;&gt;""),0)),$J863,""))</f>
        <v/>
      </c>
      <c r="P863" s="3" t="str">
        <f>IF(OR($A863="",$A863="Grand Total"),"",IF(IFERROR(ROUND($J863/$K863,2),1000)&gt;='Input Sheet'!$J$2,1,""))</f>
        <v/>
      </c>
      <c r="Q863" s="3" t="str">
        <f t="shared" si="47"/>
        <v/>
      </c>
      <c r="R863" s="3" t="str">
        <f>IF(OR($A863="",$A863="Grand Total"),"",AND($J863=0,(SUMPRODUCT((Table1[County]=SummaryPage!$A863)*(Table1[Status]="Not Started"))+SUMPRODUCT((Table1[County]=SummaryPage!$A863)*(Table1[Status]="")))=SUMPRODUCT((Table1[County]=SummaryPage!$A863)*(Table1[Status]&lt;&gt;"Q"))))</f>
        <v/>
      </c>
    </row>
    <row r="864" spans="11:18" x14ac:dyDescent="0.3">
      <c r="K864" s="28" t="str">
        <f>IF($A864="","",VLOOKUP('Input Sheet'!$D$2 &amp; " " &amp; $A864,Pop[#All],4,FALSE))</f>
        <v/>
      </c>
      <c r="L864" s="5" t="str">
        <f t="shared" si="46"/>
        <v/>
      </c>
      <c r="M864" s="7" t="str">
        <f t="shared" ca="1" si="45"/>
        <v/>
      </c>
      <c r="N864" s="17" t="str">
        <f>IF(OR($A864="",$A864="Grand Total"),IF($A864="Grand Total",SUM($N$15:$N863),""),SUMPRODUCT((Table1[County]=SummaryPage!$A864)*(Table1[Status]&lt;&gt;"Complete")))</f>
        <v/>
      </c>
      <c r="O864" s="6" t="str">
        <f ca="1">IF($A864="Grand Total",SUM(INDIRECT(ADDRESS(1,COLUMN())&amp;":"&amp;ADDRESS(ROW()-1,COLUMN()))),IF(OR($A864="State Agencies",IFERROR(AND($L864&gt;='Input Sheet'!$J$2,$A864&lt;&gt;""),0)),$J864,""))</f>
        <v/>
      </c>
      <c r="P864" s="3" t="str">
        <f>IF(OR($A864="",$A864="Grand Total"),"",IF(IFERROR(ROUND($J864/$K864,2),1000)&gt;='Input Sheet'!$J$2,1,""))</f>
        <v/>
      </c>
      <c r="Q864" s="3" t="str">
        <f t="shared" si="47"/>
        <v/>
      </c>
      <c r="R864" s="3" t="str">
        <f>IF(OR($A864="",$A864="Grand Total"),"",AND($J864=0,(SUMPRODUCT((Table1[County]=SummaryPage!$A864)*(Table1[Status]="Not Started"))+SUMPRODUCT((Table1[County]=SummaryPage!$A864)*(Table1[Status]="")))=SUMPRODUCT((Table1[County]=SummaryPage!$A864)*(Table1[Status]&lt;&gt;"Q"))))</f>
        <v/>
      </c>
    </row>
    <row r="865" spans="11:18" x14ac:dyDescent="0.3">
      <c r="K865" s="28" t="str">
        <f>IF($A865="","",VLOOKUP('Input Sheet'!$D$2 &amp; " " &amp; $A865,Pop[#All],4,FALSE))</f>
        <v/>
      </c>
      <c r="L865" s="5" t="str">
        <f t="shared" si="46"/>
        <v/>
      </c>
      <c r="M865" s="7" t="str">
        <f t="shared" ca="1" si="45"/>
        <v/>
      </c>
      <c r="N865" s="17" t="str">
        <f>IF(OR($A865="",$A865="Grand Total"),IF($A865="Grand Total",SUM($N$15:$N864),""),SUMPRODUCT((Table1[County]=SummaryPage!$A865)*(Table1[Status]&lt;&gt;"Complete")))</f>
        <v/>
      </c>
      <c r="O865" s="6" t="str">
        <f ca="1">IF($A865="Grand Total",SUM(INDIRECT(ADDRESS(1,COLUMN())&amp;":"&amp;ADDRESS(ROW()-1,COLUMN()))),IF(OR($A865="State Agencies",IFERROR(AND($L865&gt;='Input Sheet'!$J$2,$A865&lt;&gt;""),0)),$J865,""))</f>
        <v/>
      </c>
      <c r="P865" s="3" t="str">
        <f>IF(OR($A865="",$A865="Grand Total"),"",IF(IFERROR(ROUND($J865/$K865,2),1000)&gt;='Input Sheet'!$J$2,1,""))</f>
        <v/>
      </c>
      <c r="Q865" s="3" t="str">
        <f t="shared" si="47"/>
        <v/>
      </c>
      <c r="R865" s="3" t="str">
        <f>IF(OR($A865="",$A865="Grand Total"),"",AND($J865=0,(SUMPRODUCT((Table1[County]=SummaryPage!$A865)*(Table1[Status]="Not Started"))+SUMPRODUCT((Table1[County]=SummaryPage!$A865)*(Table1[Status]="")))=SUMPRODUCT((Table1[County]=SummaryPage!$A865)*(Table1[Status]&lt;&gt;"Q"))))</f>
        <v/>
      </c>
    </row>
    <row r="866" spans="11:18" x14ac:dyDescent="0.3">
      <c r="K866" s="28" t="str">
        <f>IF($A866="","",VLOOKUP('Input Sheet'!$D$2 &amp; " " &amp; $A866,Pop[#All],4,FALSE))</f>
        <v/>
      </c>
      <c r="L866" s="5" t="str">
        <f t="shared" si="46"/>
        <v/>
      </c>
      <c r="M866" s="7" t="str">
        <f t="shared" ca="1" si="45"/>
        <v/>
      </c>
      <c r="N866" s="17" t="str">
        <f>IF(OR($A866="",$A866="Grand Total"),IF($A866="Grand Total",SUM($N$15:$N865),""),SUMPRODUCT((Table1[County]=SummaryPage!$A866)*(Table1[Status]&lt;&gt;"Complete")))</f>
        <v/>
      </c>
      <c r="O866" s="6" t="str">
        <f ca="1">IF($A866="Grand Total",SUM(INDIRECT(ADDRESS(1,COLUMN())&amp;":"&amp;ADDRESS(ROW()-1,COLUMN()))),IF(OR($A866="State Agencies",IFERROR(AND($L866&gt;='Input Sheet'!$J$2,$A866&lt;&gt;""),0)),$J866,""))</f>
        <v/>
      </c>
      <c r="P866" s="3" t="str">
        <f>IF(OR($A866="",$A866="Grand Total"),"",IF(IFERROR(ROUND($J866/$K866,2),1000)&gt;='Input Sheet'!$J$2,1,""))</f>
        <v/>
      </c>
      <c r="Q866" s="3" t="str">
        <f t="shared" si="47"/>
        <v/>
      </c>
      <c r="R866" s="3" t="str">
        <f>IF(OR($A866="",$A866="Grand Total"),"",AND($J866=0,(SUMPRODUCT((Table1[County]=SummaryPage!$A866)*(Table1[Status]="Not Started"))+SUMPRODUCT((Table1[County]=SummaryPage!$A866)*(Table1[Status]="")))=SUMPRODUCT((Table1[County]=SummaryPage!$A866)*(Table1[Status]&lt;&gt;"Q"))))</f>
        <v/>
      </c>
    </row>
    <row r="867" spans="11:18" x14ac:dyDescent="0.3">
      <c r="K867" s="28" t="str">
        <f>IF($A867="","",VLOOKUP('Input Sheet'!$D$2 &amp; " " &amp; $A867,Pop[#All],4,FALSE))</f>
        <v/>
      </c>
      <c r="L867" s="5" t="str">
        <f t="shared" si="46"/>
        <v/>
      </c>
      <c r="M867" s="7" t="str">
        <f t="shared" ca="1" si="45"/>
        <v/>
      </c>
      <c r="N867" s="17" t="str">
        <f>IF(OR($A867="",$A867="Grand Total"),IF($A867="Grand Total",SUM($N$15:$N866),""),SUMPRODUCT((Table1[County]=SummaryPage!$A867)*(Table1[Status]&lt;&gt;"Complete")))</f>
        <v/>
      </c>
      <c r="O867" s="6" t="str">
        <f ca="1">IF($A867="Grand Total",SUM(INDIRECT(ADDRESS(1,COLUMN())&amp;":"&amp;ADDRESS(ROW()-1,COLUMN()))),IF(OR($A867="State Agencies",IFERROR(AND($L867&gt;='Input Sheet'!$J$2,$A867&lt;&gt;""),0)),$J867,""))</f>
        <v/>
      </c>
      <c r="P867" s="3" t="str">
        <f>IF(OR($A867="",$A867="Grand Total"),"",IF(IFERROR(ROUND($J867/$K867,2),1000)&gt;='Input Sheet'!$J$2,1,""))</f>
        <v/>
      </c>
      <c r="Q867" s="3" t="str">
        <f t="shared" si="47"/>
        <v/>
      </c>
      <c r="R867" s="3" t="str">
        <f>IF(OR($A867="",$A867="Grand Total"),"",AND($J867=0,(SUMPRODUCT((Table1[County]=SummaryPage!$A867)*(Table1[Status]="Not Started"))+SUMPRODUCT((Table1[County]=SummaryPage!$A867)*(Table1[Status]="")))=SUMPRODUCT((Table1[County]=SummaryPage!$A867)*(Table1[Status]&lt;&gt;"Q"))))</f>
        <v/>
      </c>
    </row>
    <row r="868" spans="11:18" x14ac:dyDescent="0.3">
      <c r="K868" s="28" t="str">
        <f>IF($A868="","",VLOOKUP('Input Sheet'!$D$2 &amp; " " &amp; $A868,Pop[#All],4,FALSE))</f>
        <v/>
      </c>
      <c r="L868" s="5" t="str">
        <f t="shared" si="46"/>
        <v/>
      </c>
      <c r="M868" s="7" t="str">
        <f t="shared" ca="1" si="45"/>
        <v/>
      </c>
      <c r="N868" s="17" t="str">
        <f>IF(OR($A868="",$A868="Grand Total"),IF($A868="Grand Total",SUM($N$15:$N867),""),SUMPRODUCT((Table1[County]=SummaryPage!$A868)*(Table1[Status]&lt;&gt;"Complete")))</f>
        <v/>
      </c>
      <c r="O868" s="6" t="str">
        <f ca="1">IF($A868="Grand Total",SUM(INDIRECT(ADDRESS(1,COLUMN())&amp;":"&amp;ADDRESS(ROW()-1,COLUMN()))),IF(OR($A868="State Agencies",IFERROR(AND($L868&gt;='Input Sheet'!$J$2,$A868&lt;&gt;""),0)),$J868,""))</f>
        <v/>
      </c>
      <c r="P868" s="3" t="str">
        <f>IF(OR($A868="",$A868="Grand Total"),"",IF(IFERROR(ROUND($J868/$K868,2),1000)&gt;='Input Sheet'!$J$2,1,""))</f>
        <v/>
      </c>
      <c r="Q868" s="3" t="str">
        <f t="shared" si="47"/>
        <v/>
      </c>
      <c r="R868" s="3" t="str">
        <f>IF(OR($A868="",$A868="Grand Total"),"",AND($J868=0,(SUMPRODUCT((Table1[County]=SummaryPage!$A868)*(Table1[Status]="Not Started"))+SUMPRODUCT((Table1[County]=SummaryPage!$A868)*(Table1[Status]="")))=SUMPRODUCT((Table1[County]=SummaryPage!$A868)*(Table1[Status]&lt;&gt;"Q"))))</f>
        <v/>
      </c>
    </row>
    <row r="869" spans="11:18" x14ac:dyDescent="0.3">
      <c r="K869" s="28" t="str">
        <f>IF($A869="","",VLOOKUP('Input Sheet'!$D$2 &amp; " " &amp; $A869,Pop[#All],4,FALSE))</f>
        <v/>
      </c>
      <c r="L869" s="5" t="str">
        <f t="shared" si="46"/>
        <v/>
      </c>
      <c r="M869" s="7" t="str">
        <f t="shared" ca="1" si="45"/>
        <v/>
      </c>
      <c r="N869" s="17" t="str">
        <f>IF(OR($A869="",$A869="Grand Total"),IF($A869="Grand Total",SUM($N$15:$N868),""),SUMPRODUCT((Table1[County]=SummaryPage!$A869)*(Table1[Status]&lt;&gt;"Complete")))</f>
        <v/>
      </c>
      <c r="O869" s="6" t="str">
        <f ca="1">IF($A869="Grand Total",SUM(INDIRECT(ADDRESS(1,COLUMN())&amp;":"&amp;ADDRESS(ROW()-1,COLUMN()))),IF(OR($A869="State Agencies",IFERROR(AND($L869&gt;='Input Sheet'!$J$2,$A869&lt;&gt;""),0)),$J869,""))</f>
        <v/>
      </c>
      <c r="P869" s="3" t="str">
        <f>IF(OR($A869="",$A869="Grand Total"),"",IF(IFERROR(ROUND($J869/$K869,2),1000)&gt;='Input Sheet'!$J$2,1,""))</f>
        <v/>
      </c>
      <c r="Q869" s="3" t="str">
        <f t="shared" si="47"/>
        <v/>
      </c>
      <c r="R869" s="3" t="str">
        <f>IF(OR($A869="",$A869="Grand Total"),"",AND($J869=0,(SUMPRODUCT((Table1[County]=SummaryPage!$A869)*(Table1[Status]="Not Started"))+SUMPRODUCT((Table1[County]=SummaryPage!$A869)*(Table1[Status]="")))=SUMPRODUCT((Table1[County]=SummaryPage!$A869)*(Table1[Status]&lt;&gt;"Q"))))</f>
        <v/>
      </c>
    </row>
    <row r="870" spans="11:18" x14ac:dyDescent="0.3">
      <c r="K870" s="28" t="str">
        <f>IF($A870="","",VLOOKUP('Input Sheet'!$D$2 &amp; " " &amp; $A870,Pop[#All],4,FALSE))</f>
        <v/>
      </c>
      <c r="L870" s="5" t="str">
        <f t="shared" si="46"/>
        <v/>
      </c>
      <c r="M870" s="7" t="str">
        <f t="shared" ca="1" si="45"/>
        <v/>
      </c>
      <c r="N870" s="17" t="str">
        <f>IF(OR($A870="",$A870="Grand Total"),IF($A870="Grand Total",SUM($N$15:$N869),""),SUMPRODUCT((Table1[County]=SummaryPage!$A870)*(Table1[Status]&lt;&gt;"Complete")))</f>
        <v/>
      </c>
      <c r="O870" s="6" t="str">
        <f ca="1">IF($A870="Grand Total",SUM(INDIRECT(ADDRESS(1,COLUMN())&amp;":"&amp;ADDRESS(ROW()-1,COLUMN()))),IF(OR($A870="State Agencies",IFERROR(AND($L870&gt;='Input Sheet'!$J$2,$A870&lt;&gt;""),0)),$J870,""))</f>
        <v/>
      </c>
      <c r="P870" s="3" t="str">
        <f>IF(OR($A870="",$A870="Grand Total"),"",IF(IFERROR(ROUND($J870/$K870,2),1000)&gt;='Input Sheet'!$J$2,1,""))</f>
        <v/>
      </c>
      <c r="Q870" s="3" t="str">
        <f t="shared" si="47"/>
        <v/>
      </c>
      <c r="R870" s="3" t="str">
        <f>IF(OR($A870="",$A870="Grand Total"),"",AND($J870=0,(SUMPRODUCT((Table1[County]=SummaryPage!$A870)*(Table1[Status]="Not Started"))+SUMPRODUCT((Table1[County]=SummaryPage!$A870)*(Table1[Status]="")))=SUMPRODUCT((Table1[County]=SummaryPage!$A870)*(Table1[Status]&lt;&gt;"Q"))))</f>
        <v/>
      </c>
    </row>
    <row r="871" spans="11:18" x14ac:dyDescent="0.3">
      <c r="K871" s="28" t="str">
        <f>IF($A871="","",VLOOKUP('Input Sheet'!$D$2 &amp; " " &amp; $A871,Pop[#All],4,FALSE))</f>
        <v/>
      </c>
      <c r="L871" s="5" t="str">
        <f t="shared" si="46"/>
        <v/>
      </c>
      <c r="M871" s="7" t="str">
        <f t="shared" ca="1" si="45"/>
        <v/>
      </c>
      <c r="N871" s="17" t="str">
        <f>IF(OR($A871="",$A871="Grand Total"),IF($A871="Grand Total",SUM($N$15:$N870),""),SUMPRODUCT((Table1[County]=SummaryPage!$A871)*(Table1[Status]&lt;&gt;"Complete")))</f>
        <v/>
      </c>
      <c r="O871" s="6" t="str">
        <f ca="1">IF($A871="Grand Total",SUM(INDIRECT(ADDRESS(1,COLUMN())&amp;":"&amp;ADDRESS(ROW()-1,COLUMN()))),IF(OR($A871="State Agencies",IFERROR(AND($L871&gt;='Input Sheet'!$J$2,$A871&lt;&gt;""),0)),$J871,""))</f>
        <v/>
      </c>
      <c r="P871" s="3" t="str">
        <f>IF(OR($A871="",$A871="Grand Total"),"",IF(IFERROR(ROUND($J871/$K871,2),1000)&gt;='Input Sheet'!$J$2,1,""))</f>
        <v/>
      </c>
      <c r="Q871" s="3" t="str">
        <f t="shared" si="47"/>
        <v/>
      </c>
      <c r="R871" s="3" t="str">
        <f>IF(OR($A871="",$A871="Grand Total"),"",AND($J871=0,(SUMPRODUCT((Table1[County]=SummaryPage!$A871)*(Table1[Status]="Not Started"))+SUMPRODUCT((Table1[County]=SummaryPage!$A871)*(Table1[Status]="")))=SUMPRODUCT((Table1[County]=SummaryPage!$A871)*(Table1[Status]&lt;&gt;"Q"))))</f>
        <v/>
      </c>
    </row>
    <row r="872" spans="11:18" x14ac:dyDescent="0.3">
      <c r="K872" s="28" t="str">
        <f>IF($A872="","",VLOOKUP('Input Sheet'!$D$2 &amp; " " &amp; $A872,Pop[#All],4,FALSE))</f>
        <v/>
      </c>
      <c r="L872" s="5" t="str">
        <f t="shared" si="46"/>
        <v/>
      </c>
      <c r="M872" s="7" t="str">
        <f t="shared" ca="1" si="45"/>
        <v/>
      </c>
      <c r="N872" s="17" t="str">
        <f>IF(OR($A872="",$A872="Grand Total"),IF($A872="Grand Total",SUM($N$15:$N871),""),SUMPRODUCT((Table1[County]=SummaryPage!$A872)*(Table1[Status]&lt;&gt;"Complete")))</f>
        <v/>
      </c>
      <c r="O872" s="6" t="str">
        <f ca="1">IF($A872="Grand Total",SUM(INDIRECT(ADDRESS(1,COLUMN())&amp;":"&amp;ADDRESS(ROW()-1,COLUMN()))),IF(OR($A872="State Agencies",IFERROR(AND($L872&gt;='Input Sheet'!$J$2,$A872&lt;&gt;""),0)),$J872,""))</f>
        <v/>
      </c>
      <c r="P872" s="3" t="str">
        <f>IF(OR($A872="",$A872="Grand Total"),"",IF(IFERROR(ROUND($J872/$K872,2),1000)&gt;='Input Sheet'!$J$2,1,""))</f>
        <v/>
      </c>
      <c r="Q872" s="3" t="str">
        <f t="shared" si="47"/>
        <v/>
      </c>
      <c r="R872" s="3" t="str">
        <f>IF(OR($A872="",$A872="Grand Total"),"",AND($J872=0,(SUMPRODUCT((Table1[County]=SummaryPage!$A872)*(Table1[Status]="Not Started"))+SUMPRODUCT((Table1[County]=SummaryPage!$A872)*(Table1[Status]="")))=SUMPRODUCT((Table1[County]=SummaryPage!$A872)*(Table1[Status]&lt;&gt;"Q"))))</f>
        <v/>
      </c>
    </row>
    <row r="873" spans="11:18" x14ac:dyDescent="0.3">
      <c r="K873" s="28" t="str">
        <f>IF($A873="","",VLOOKUP('Input Sheet'!$D$2 &amp; " " &amp; $A873,Pop[#All],4,FALSE))</f>
        <v/>
      </c>
      <c r="L873" s="5" t="str">
        <f t="shared" si="46"/>
        <v/>
      </c>
      <c r="M873" s="7" t="str">
        <f t="shared" ca="1" si="45"/>
        <v/>
      </c>
      <c r="N873" s="17" t="str">
        <f>IF(OR($A873="",$A873="Grand Total"),IF($A873="Grand Total",SUM($N$15:$N872),""),SUMPRODUCT((Table1[County]=SummaryPage!$A873)*(Table1[Status]&lt;&gt;"Complete")))</f>
        <v/>
      </c>
      <c r="O873" s="6" t="str">
        <f ca="1">IF($A873="Grand Total",SUM(INDIRECT(ADDRESS(1,COLUMN())&amp;":"&amp;ADDRESS(ROW()-1,COLUMN()))),IF(OR($A873="State Agencies",IFERROR(AND($L873&gt;='Input Sheet'!$J$2,$A873&lt;&gt;""),0)),$J873,""))</f>
        <v/>
      </c>
      <c r="P873" s="3" t="str">
        <f>IF(OR($A873="",$A873="Grand Total"),"",IF(IFERROR(ROUND($J873/$K873,2),1000)&gt;='Input Sheet'!$J$2,1,""))</f>
        <v/>
      </c>
      <c r="Q873" s="3" t="str">
        <f t="shared" si="47"/>
        <v/>
      </c>
      <c r="R873" s="3" t="str">
        <f>IF(OR($A873="",$A873="Grand Total"),"",AND($J873=0,(SUMPRODUCT((Table1[County]=SummaryPage!$A873)*(Table1[Status]="Not Started"))+SUMPRODUCT((Table1[County]=SummaryPage!$A873)*(Table1[Status]="")))=SUMPRODUCT((Table1[County]=SummaryPage!$A873)*(Table1[Status]&lt;&gt;"Q"))))</f>
        <v/>
      </c>
    </row>
    <row r="874" spans="11:18" x14ac:dyDescent="0.3">
      <c r="K874" s="28" t="str">
        <f>IF($A874="","",VLOOKUP('Input Sheet'!$D$2 &amp; " " &amp; $A874,Pop[#All],4,FALSE))</f>
        <v/>
      </c>
      <c r="L874" s="5" t="str">
        <f t="shared" si="46"/>
        <v/>
      </c>
      <c r="M874" s="7" t="str">
        <f t="shared" ca="1" si="45"/>
        <v/>
      </c>
      <c r="N874" s="17" t="str">
        <f>IF(OR($A874="",$A874="Grand Total"),IF($A874="Grand Total",SUM($N$15:$N873),""),SUMPRODUCT((Table1[County]=SummaryPage!$A874)*(Table1[Status]&lt;&gt;"Complete")))</f>
        <v/>
      </c>
      <c r="O874" s="6" t="str">
        <f ca="1">IF($A874="Grand Total",SUM(INDIRECT(ADDRESS(1,COLUMN())&amp;":"&amp;ADDRESS(ROW()-1,COLUMN()))),IF(OR($A874="State Agencies",IFERROR(AND($L874&gt;='Input Sheet'!$J$2,$A874&lt;&gt;""),0)),$J874,""))</f>
        <v/>
      </c>
      <c r="P874" s="3" t="str">
        <f>IF(OR($A874="",$A874="Grand Total"),"",IF(IFERROR(ROUND($J874/$K874,2),1000)&gt;='Input Sheet'!$J$2,1,""))</f>
        <v/>
      </c>
      <c r="Q874" s="3" t="str">
        <f t="shared" si="47"/>
        <v/>
      </c>
      <c r="R874" s="3" t="str">
        <f>IF(OR($A874="",$A874="Grand Total"),"",AND($J874=0,(SUMPRODUCT((Table1[County]=SummaryPage!$A874)*(Table1[Status]="Not Started"))+SUMPRODUCT((Table1[County]=SummaryPage!$A874)*(Table1[Status]="")))=SUMPRODUCT((Table1[County]=SummaryPage!$A874)*(Table1[Status]&lt;&gt;"Q"))))</f>
        <v/>
      </c>
    </row>
    <row r="875" spans="11:18" x14ac:dyDescent="0.3">
      <c r="K875" s="28" t="str">
        <f>IF($A875="","",VLOOKUP('Input Sheet'!$D$2 &amp; " " &amp; $A875,Pop[#All],4,FALSE))</f>
        <v/>
      </c>
      <c r="L875" s="5" t="str">
        <f t="shared" si="46"/>
        <v/>
      </c>
      <c r="M875" s="7" t="str">
        <f t="shared" ca="1" si="45"/>
        <v/>
      </c>
      <c r="N875" s="17" t="str">
        <f>IF(OR($A875="",$A875="Grand Total"),IF($A875="Grand Total",SUM($N$15:$N874),""),SUMPRODUCT((Table1[County]=SummaryPage!$A875)*(Table1[Status]&lt;&gt;"Complete")))</f>
        <v/>
      </c>
      <c r="O875" s="6" t="str">
        <f ca="1">IF($A875="Grand Total",SUM(INDIRECT(ADDRESS(1,COLUMN())&amp;":"&amp;ADDRESS(ROW()-1,COLUMN()))),IF(OR($A875="State Agencies",IFERROR(AND($L875&gt;='Input Sheet'!$J$2,$A875&lt;&gt;""),0)),$J875,""))</f>
        <v/>
      </c>
      <c r="P875" s="3" t="str">
        <f>IF(OR($A875="",$A875="Grand Total"),"",IF(IFERROR(ROUND($J875/$K875,2),1000)&gt;='Input Sheet'!$J$2,1,""))</f>
        <v/>
      </c>
      <c r="Q875" s="3" t="str">
        <f t="shared" si="47"/>
        <v/>
      </c>
      <c r="R875" s="3" t="str">
        <f>IF(OR($A875="",$A875="Grand Total"),"",AND($J875=0,(SUMPRODUCT((Table1[County]=SummaryPage!$A875)*(Table1[Status]="Not Started"))+SUMPRODUCT((Table1[County]=SummaryPage!$A875)*(Table1[Status]="")))=SUMPRODUCT((Table1[County]=SummaryPage!$A875)*(Table1[Status]&lt;&gt;"Q"))))</f>
        <v/>
      </c>
    </row>
    <row r="876" spans="11:18" x14ac:dyDescent="0.3">
      <c r="K876" s="28" t="str">
        <f>IF($A876="","",VLOOKUP('Input Sheet'!$D$2 &amp; " " &amp; $A876,Pop[#All],4,FALSE))</f>
        <v/>
      </c>
      <c r="L876" s="5" t="str">
        <f t="shared" si="46"/>
        <v/>
      </c>
      <c r="M876" s="7" t="str">
        <f t="shared" ca="1" si="45"/>
        <v/>
      </c>
      <c r="N876" s="17" t="str">
        <f>IF(OR($A876="",$A876="Grand Total"),IF($A876="Grand Total",SUM($N$15:$N875),""),SUMPRODUCT((Table1[County]=SummaryPage!$A876)*(Table1[Status]&lt;&gt;"Complete")))</f>
        <v/>
      </c>
      <c r="O876" s="6" t="str">
        <f ca="1">IF($A876="Grand Total",SUM(INDIRECT(ADDRESS(1,COLUMN())&amp;":"&amp;ADDRESS(ROW()-1,COLUMN()))),IF(OR($A876="State Agencies",IFERROR(AND($L876&gt;='Input Sheet'!$J$2,$A876&lt;&gt;""),0)),$J876,""))</f>
        <v/>
      </c>
      <c r="P876" s="3" t="str">
        <f>IF(OR($A876="",$A876="Grand Total"),"",IF(IFERROR(ROUND($J876/$K876,2),1000)&gt;='Input Sheet'!$J$2,1,""))</f>
        <v/>
      </c>
      <c r="Q876" s="3" t="str">
        <f t="shared" si="47"/>
        <v/>
      </c>
      <c r="R876" s="3" t="str">
        <f>IF(OR($A876="",$A876="Grand Total"),"",AND($J876=0,(SUMPRODUCT((Table1[County]=SummaryPage!$A876)*(Table1[Status]="Not Started"))+SUMPRODUCT((Table1[County]=SummaryPage!$A876)*(Table1[Status]="")))=SUMPRODUCT((Table1[County]=SummaryPage!$A876)*(Table1[Status]&lt;&gt;"Q"))))</f>
        <v/>
      </c>
    </row>
    <row r="877" spans="11:18" x14ac:dyDescent="0.3">
      <c r="K877" s="28" t="str">
        <f>IF($A877="","",VLOOKUP('Input Sheet'!$D$2 &amp; " " &amp; $A877,Pop[#All],4,FALSE))</f>
        <v/>
      </c>
      <c r="L877" s="5" t="str">
        <f t="shared" si="46"/>
        <v/>
      </c>
      <c r="M877" s="7" t="str">
        <f t="shared" ca="1" si="45"/>
        <v/>
      </c>
      <c r="N877" s="17" t="str">
        <f>IF(OR($A877="",$A877="Grand Total"),IF($A877="Grand Total",SUM($N$15:$N876),""),SUMPRODUCT((Table1[County]=SummaryPage!$A877)*(Table1[Status]&lt;&gt;"Complete")))</f>
        <v/>
      </c>
      <c r="O877" s="6" t="str">
        <f ca="1">IF($A877="Grand Total",SUM(INDIRECT(ADDRESS(1,COLUMN())&amp;":"&amp;ADDRESS(ROW()-1,COLUMN()))),IF(OR($A877="State Agencies",IFERROR(AND($L877&gt;='Input Sheet'!$J$2,$A877&lt;&gt;""),0)),$J877,""))</f>
        <v/>
      </c>
      <c r="P877" s="3" t="str">
        <f>IF(OR($A877="",$A877="Grand Total"),"",IF(IFERROR(ROUND($J877/$K877,2),1000)&gt;='Input Sheet'!$J$2,1,""))</f>
        <v/>
      </c>
      <c r="Q877" s="3" t="str">
        <f t="shared" si="47"/>
        <v/>
      </c>
      <c r="R877" s="3" t="str">
        <f>IF(OR($A877="",$A877="Grand Total"),"",AND($J877=0,(SUMPRODUCT((Table1[County]=SummaryPage!$A877)*(Table1[Status]="Not Started"))+SUMPRODUCT((Table1[County]=SummaryPage!$A877)*(Table1[Status]="")))=SUMPRODUCT((Table1[County]=SummaryPage!$A877)*(Table1[Status]&lt;&gt;"Q"))))</f>
        <v/>
      </c>
    </row>
    <row r="878" spans="11:18" x14ac:dyDescent="0.3">
      <c r="K878" s="28" t="str">
        <f>IF($A878="","",VLOOKUP('Input Sheet'!$D$2 &amp; " " &amp; $A878,Pop[#All],4,FALSE))</f>
        <v/>
      </c>
      <c r="L878" s="5" t="str">
        <f t="shared" si="46"/>
        <v/>
      </c>
      <c r="M878" s="7" t="str">
        <f t="shared" ca="1" si="45"/>
        <v/>
      </c>
      <c r="N878" s="17" t="str">
        <f>IF(OR($A878="",$A878="Grand Total"),IF($A878="Grand Total",SUM($N$15:$N877),""),SUMPRODUCT((Table1[County]=SummaryPage!$A878)*(Table1[Status]&lt;&gt;"Complete")))</f>
        <v/>
      </c>
      <c r="O878" s="6" t="str">
        <f ca="1">IF($A878="Grand Total",SUM(INDIRECT(ADDRESS(1,COLUMN())&amp;":"&amp;ADDRESS(ROW()-1,COLUMN()))),IF(OR($A878="State Agencies",IFERROR(AND($L878&gt;='Input Sheet'!$J$2,$A878&lt;&gt;""),0)),$J878,""))</f>
        <v/>
      </c>
      <c r="P878" s="3" t="str">
        <f>IF(OR($A878="",$A878="Grand Total"),"",IF(IFERROR(ROUND($J878/$K878,2),1000)&gt;='Input Sheet'!$J$2,1,""))</f>
        <v/>
      </c>
      <c r="Q878" s="3" t="str">
        <f t="shared" si="47"/>
        <v/>
      </c>
      <c r="R878" s="3" t="str">
        <f>IF(OR($A878="",$A878="Grand Total"),"",AND($J878=0,(SUMPRODUCT((Table1[County]=SummaryPage!$A878)*(Table1[Status]="Not Started"))+SUMPRODUCT((Table1[County]=SummaryPage!$A878)*(Table1[Status]="")))=SUMPRODUCT((Table1[County]=SummaryPage!$A878)*(Table1[Status]&lt;&gt;"Q"))))</f>
        <v/>
      </c>
    </row>
    <row r="879" spans="11:18" x14ac:dyDescent="0.3">
      <c r="K879" s="28" t="str">
        <f>IF($A879="","",VLOOKUP('Input Sheet'!$D$2 &amp; " " &amp; $A879,Pop[#All],4,FALSE))</f>
        <v/>
      </c>
      <c r="L879" s="5" t="str">
        <f t="shared" si="46"/>
        <v/>
      </c>
      <c r="M879" s="7" t="str">
        <f t="shared" ca="1" si="45"/>
        <v/>
      </c>
      <c r="N879" s="17" t="str">
        <f>IF(OR($A879="",$A879="Grand Total"),IF($A879="Grand Total",SUM($N$15:$N878),""),SUMPRODUCT((Table1[County]=SummaryPage!$A879)*(Table1[Status]&lt;&gt;"Complete")))</f>
        <v/>
      </c>
      <c r="O879" s="6" t="str">
        <f ca="1">IF($A879="Grand Total",SUM(INDIRECT(ADDRESS(1,COLUMN())&amp;":"&amp;ADDRESS(ROW()-1,COLUMN()))),IF(OR($A879="State Agencies",IFERROR(AND($L879&gt;='Input Sheet'!$J$2,$A879&lt;&gt;""),0)),$J879,""))</f>
        <v/>
      </c>
      <c r="P879" s="3" t="str">
        <f>IF(OR($A879="",$A879="Grand Total"),"",IF(IFERROR(ROUND($J879/$K879,2),1000)&gt;='Input Sheet'!$J$2,1,""))</f>
        <v/>
      </c>
      <c r="Q879" s="3" t="str">
        <f t="shared" si="47"/>
        <v/>
      </c>
      <c r="R879" s="3" t="str">
        <f>IF(OR($A879="",$A879="Grand Total"),"",AND($J879=0,(SUMPRODUCT((Table1[County]=SummaryPage!$A879)*(Table1[Status]="Not Started"))+SUMPRODUCT((Table1[County]=SummaryPage!$A879)*(Table1[Status]="")))=SUMPRODUCT((Table1[County]=SummaryPage!$A879)*(Table1[Status]&lt;&gt;"Q"))))</f>
        <v/>
      </c>
    </row>
    <row r="880" spans="11:18" x14ac:dyDescent="0.3">
      <c r="K880" s="28" t="str">
        <f>IF($A880="","",VLOOKUP('Input Sheet'!$D$2 &amp; " " &amp; $A880,Pop[#All],4,FALSE))</f>
        <v/>
      </c>
      <c r="L880" s="5" t="str">
        <f t="shared" si="46"/>
        <v/>
      </c>
      <c r="M880" s="7" t="str">
        <f t="shared" ca="1" si="45"/>
        <v/>
      </c>
      <c r="N880" s="17" t="str">
        <f>IF(OR($A880="",$A880="Grand Total"),IF($A880="Grand Total",SUM($N$15:$N879),""),SUMPRODUCT((Table1[County]=SummaryPage!$A880)*(Table1[Status]&lt;&gt;"Complete")))</f>
        <v/>
      </c>
      <c r="O880" s="6" t="str">
        <f ca="1">IF($A880="Grand Total",SUM(INDIRECT(ADDRESS(1,COLUMN())&amp;":"&amp;ADDRESS(ROW()-1,COLUMN()))),IF(OR($A880="State Agencies",IFERROR(AND($L880&gt;='Input Sheet'!$J$2,$A880&lt;&gt;""),0)),$J880,""))</f>
        <v/>
      </c>
      <c r="P880" s="3" t="str">
        <f>IF(OR($A880="",$A880="Grand Total"),"",IF(IFERROR(ROUND($J880/$K880,2),1000)&gt;='Input Sheet'!$J$2,1,""))</f>
        <v/>
      </c>
      <c r="Q880" s="3" t="str">
        <f t="shared" si="47"/>
        <v/>
      </c>
      <c r="R880" s="3" t="str">
        <f>IF(OR($A880="",$A880="Grand Total"),"",AND($J880=0,(SUMPRODUCT((Table1[County]=SummaryPage!$A880)*(Table1[Status]="Not Started"))+SUMPRODUCT((Table1[County]=SummaryPage!$A880)*(Table1[Status]="")))=SUMPRODUCT((Table1[County]=SummaryPage!$A880)*(Table1[Status]&lt;&gt;"Q"))))</f>
        <v/>
      </c>
    </row>
    <row r="881" spans="11:18" x14ac:dyDescent="0.3">
      <c r="K881" s="28" t="str">
        <f>IF($A881="","",VLOOKUP('Input Sheet'!$D$2 &amp; " " &amp; $A881,Pop[#All],4,FALSE))</f>
        <v/>
      </c>
      <c r="L881" s="5" t="str">
        <f t="shared" si="46"/>
        <v/>
      </c>
      <c r="M881" s="7" t="str">
        <f t="shared" ca="1" si="45"/>
        <v/>
      </c>
      <c r="N881" s="17" t="str">
        <f>IF(OR($A881="",$A881="Grand Total"),IF($A881="Grand Total",SUM($N$15:$N880),""),SUMPRODUCT((Table1[County]=SummaryPage!$A881)*(Table1[Status]&lt;&gt;"Complete")))</f>
        <v/>
      </c>
      <c r="O881" s="6" t="str">
        <f ca="1">IF($A881="Grand Total",SUM(INDIRECT(ADDRESS(1,COLUMN())&amp;":"&amp;ADDRESS(ROW()-1,COLUMN()))),IF(OR($A881="State Agencies",IFERROR(AND($L881&gt;='Input Sheet'!$J$2,$A881&lt;&gt;""),0)),$J881,""))</f>
        <v/>
      </c>
      <c r="P881" s="3" t="str">
        <f>IF(OR($A881="",$A881="Grand Total"),"",IF(IFERROR(ROUND($J881/$K881,2),1000)&gt;='Input Sheet'!$J$2,1,""))</f>
        <v/>
      </c>
      <c r="Q881" s="3" t="str">
        <f t="shared" si="47"/>
        <v/>
      </c>
      <c r="R881" s="3" t="str">
        <f>IF(OR($A881="",$A881="Grand Total"),"",AND($J881=0,(SUMPRODUCT((Table1[County]=SummaryPage!$A881)*(Table1[Status]="Not Started"))+SUMPRODUCT((Table1[County]=SummaryPage!$A881)*(Table1[Status]="")))=SUMPRODUCT((Table1[County]=SummaryPage!$A881)*(Table1[Status]&lt;&gt;"Q"))))</f>
        <v/>
      </c>
    </row>
    <row r="882" spans="11:18" x14ac:dyDescent="0.3">
      <c r="K882" s="28" t="str">
        <f>IF($A882="","",VLOOKUP('Input Sheet'!$D$2 &amp; " " &amp; $A882,Pop[#All],4,FALSE))</f>
        <v/>
      </c>
      <c r="L882" s="5" t="str">
        <f t="shared" si="46"/>
        <v/>
      </c>
      <c r="M882" s="7" t="str">
        <f t="shared" ca="1" si="45"/>
        <v/>
      </c>
      <c r="N882" s="17" t="str">
        <f>IF(OR($A882="",$A882="Grand Total"),IF($A882="Grand Total",SUM($N$15:$N881),""),SUMPRODUCT((Table1[County]=SummaryPage!$A882)*(Table1[Status]&lt;&gt;"Complete")))</f>
        <v/>
      </c>
      <c r="O882" s="6" t="str">
        <f ca="1">IF($A882="Grand Total",SUM(INDIRECT(ADDRESS(1,COLUMN())&amp;":"&amp;ADDRESS(ROW()-1,COLUMN()))),IF(OR($A882="State Agencies",IFERROR(AND($L882&gt;='Input Sheet'!$J$2,$A882&lt;&gt;""),0)),$J882,""))</f>
        <v/>
      </c>
      <c r="P882" s="3" t="str">
        <f>IF(OR($A882="",$A882="Grand Total"),"",IF(IFERROR(ROUND($J882/$K882,2),1000)&gt;='Input Sheet'!$J$2,1,""))</f>
        <v/>
      </c>
      <c r="Q882" s="3" t="str">
        <f t="shared" si="47"/>
        <v/>
      </c>
      <c r="R882" s="3" t="str">
        <f>IF(OR($A882="",$A882="Grand Total"),"",AND($J882=0,(SUMPRODUCT((Table1[County]=SummaryPage!$A882)*(Table1[Status]="Not Started"))+SUMPRODUCT((Table1[County]=SummaryPage!$A882)*(Table1[Status]="")))=SUMPRODUCT((Table1[County]=SummaryPage!$A882)*(Table1[Status]&lt;&gt;"Q"))))</f>
        <v/>
      </c>
    </row>
    <row r="883" spans="11:18" x14ac:dyDescent="0.3">
      <c r="K883" s="28" t="str">
        <f>IF($A883="","",VLOOKUP('Input Sheet'!$D$2 &amp; " " &amp; $A883,Pop[#All],4,FALSE))</f>
        <v/>
      </c>
      <c r="L883" s="5" t="str">
        <f t="shared" si="46"/>
        <v/>
      </c>
      <c r="M883" s="7" t="str">
        <f t="shared" ca="1" si="45"/>
        <v/>
      </c>
      <c r="N883" s="17" t="str">
        <f>IF(OR($A883="",$A883="Grand Total"),IF($A883="Grand Total",SUM($N$15:$N882),""),SUMPRODUCT((Table1[County]=SummaryPage!$A883)*(Table1[Status]&lt;&gt;"Complete")))</f>
        <v/>
      </c>
      <c r="O883" s="6" t="str">
        <f ca="1">IF($A883="Grand Total",SUM(INDIRECT(ADDRESS(1,COLUMN())&amp;":"&amp;ADDRESS(ROW()-1,COLUMN()))),IF(OR($A883="State Agencies",IFERROR(AND($L883&gt;='Input Sheet'!$J$2,$A883&lt;&gt;""),0)),$J883,""))</f>
        <v/>
      </c>
      <c r="P883" s="3" t="str">
        <f>IF(OR($A883="",$A883="Grand Total"),"",IF(IFERROR(ROUND($J883/$K883,2),1000)&gt;='Input Sheet'!$J$2,1,""))</f>
        <v/>
      </c>
      <c r="Q883" s="3" t="str">
        <f t="shared" si="47"/>
        <v/>
      </c>
      <c r="R883" s="3" t="str">
        <f>IF(OR($A883="",$A883="Grand Total"),"",AND($J883=0,(SUMPRODUCT((Table1[County]=SummaryPage!$A883)*(Table1[Status]="Not Started"))+SUMPRODUCT((Table1[County]=SummaryPage!$A883)*(Table1[Status]="")))=SUMPRODUCT((Table1[County]=SummaryPage!$A883)*(Table1[Status]&lt;&gt;"Q"))))</f>
        <v/>
      </c>
    </row>
    <row r="884" spans="11:18" x14ac:dyDescent="0.3">
      <c r="K884" s="28" t="str">
        <f>IF($A884="","",VLOOKUP('Input Sheet'!$D$2 &amp; " " &amp; $A884,Pop[#All],4,FALSE))</f>
        <v/>
      </c>
      <c r="L884" s="5" t="str">
        <f t="shared" si="46"/>
        <v/>
      </c>
      <c r="M884" s="7" t="str">
        <f t="shared" ca="1" si="45"/>
        <v/>
      </c>
      <c r="N884" s="17" t="str">
        <f>IF(OR($A884="",$A884="Grand Total"),IF($A884="Grand Total",SUM($N$15:$N883),""),SUMPRODUCT((Table1[County]=SummaryPage!$A884)*(Table1[Status]&lt;&gt;"Complete")))</f>
        <v/>
      </c>
      <c r="O884" s="6" t="str">
        <f ca="1">IF($A884="Grand Total",SUM(INDIRECT(ADDRESS(1,COLUMN())&amp;":"&amp;ADDRESS(ROW()-1,COLUMN()))),IF(OR($A884="State Agencies",IFERROR(AND($L884&gt;='Input Sheet'!$J$2,$A884&lt;&gt;""),0)),$J884,""))</f>
        <v/>
      </c>
      <c r="P884" s="3" t="str">
        <f>IF(OR($A884="",$A884="Grand Total"),"",IF(IFERROR(ROUND($J884/$K884,2),1000)&gt;='Input Sheet'!$J$2,1,""))</f>
        <v/>
      </c>
      <c r="Q884" s="3" t="str">
        <f t="shared" si="47"/>
        <v/>
      </c>
      <c r="R884" s="3" t="str">
        <f>IF(OR($A884="",$A884="Grand Total"),"",AND($J884=0,(SUMPRODUCT((Table1[County]=SummaryPage!$A884)*(Table1[Status]="Not Started"))+SUMPRODUCT((Table1[County]=SummaryPage!$A884)*(Table1[Status]="")))=SUMPRODUCT((Table1[County]=SummaryPage!$A884)*(Table1[Status]&lt;&gt;"Q"))))</f>
        <v/>
      </c>
    </row>
    <row r="885" spans="11:18" x14ac:dyDescent="0.3">
      <c r="K885" s="28" t="str">
        <f>IF($A885="","",VLOOKUP('Input Sheet'!$D$2 &amp; " " &amp; $A885,Pop[#All],4,FALSE))</f>
        <v/>
      </c>
      <c r="L885" s="5" t="str">
        <f t="shared" si="46"/>
        <v/>
      </c>
      <c r="M885" s="7" t="str">
        <f t="shared" ca="1" si="45"/>
        <v/>
      </c>
      <c r="N885" s="17" t="str">
        <f>IF(OR($A885="",$A885="Grand Total"),IF($A885="Grand Total",SUM($N$15:$N884),""),SUMPRODUCT((Table1[County]=SummaryPage!$A885)*(Table1[Status]&lt;&gt;"Complete")))</f>
        <v/>
      </c>
      <c r="O885" s="6" t="str">
        <f ca="1">IF($A885="Grand Total",SUM(INDIRECT(ADDRESS(1,COLUMN())&amp;":"&amp;ADDRESS(ROW()-1,COLUMN()))),IF(OR($A885="State Agencies",IFERROR(AND($L885&gt;='Input Sheet'!$J$2,$A885&lt;&gt;""),0)),$J885,""))</f>
        <v/>
      </c>
      <c r="P885" s="3" t="str">
        <f>IF(OR($A885="",$A885="Grand Total"),"",IF(IFERROR(ROUND($J885/$K885,2),1000)&gt;='Input Sheet'!$J$2,1,""))</f>
        <v/>
      </c>
      <c r="Q885" s="3" t="str">
        <f t="shared" si="47"/>
        <v/>
      </c>
      <c r="R885" s="3" t="str">
        <f>IF(OR($A885="",$A885="Grand Total"),"",AND($J885=0,(SUMPRODUCT((Table1[County]=SummaryPage!$A885)*(Table1[Status]="Not Started"))+SUMPRODUCT((Table1[County]=SummaryPage!$A885)*(Table1[Status]="")))=SUMPRODUCT((Table1[County]=SummaryPage!$A885)*(Table1[Status]&lt;&gt;"Q"))))</f>
        <v/>
      </c>
    </row>
    <row r="886" spans="11:18" x14ac:dyDescent="0.3">
      <c r="K886" s="28" t="str">
        <f>IF($A886="","",VLOOKUP('Input Sheet'!$D$2 &amp; " " &amp; $A886,Pop[#All],4,FALSE))</f>
        <v/>
      </c>
      <c r="L886" s="5" t="str">
        <f t="shared" si="46"/>
        <v/>
      </c>
      <c r="M886" s="7" t="str">
        <f t="shared" ca="1" si="45"/>
        <v/>
      </c>
      <c r="N886" s="17" t="str">
        <f>IF(OR($A886="",$A886="Grand Total"),IF($A886="Grand Total",SUM($N$15:$N885),""),SUMPRODUCT((Table1[County]=SummaryPage!$A886)*(Table1[Status]&lt;&gt;"Complete")))</f>
        <v/>
      </c>
      <c r="O886" s="6" t="str">
        <f ca="1">IF($A886="Grand Total",SUM(INDIRECT(ADDRESS(1,COLUMN())&amp;":"&amp;ADDRESS(ROW()-1,COLUMN()))),IF(OR($A886="State Agencies",IFERROR(AND($L886&gt;='Input Sheet'!$J$2,$A886&lt;&gt;""),0)),$J886,""))</f>
        <v/>
      </c>
      <c r="P886" s="3" t="str">
        <f>IF(OR($A886="",$A886="Grand Total"),"",IF(IFERROR(ROUND($J886/$K886,2),1000)&gt;='Input Sheet'!$J$2,1,""))</f>
        <v/>
      </c>
      <c r="Q886" s="3" t="str">
        <f t="shared" si="47"/>
        <v/>
      </c>
      <c r="R886" s="3" t="str">
        <f>IF(OR($A886="",$A886="Grand Total"),"",AND($J886=0,(SUMPRODUCT((Table1[County]=SummaryPage!$A886)*(Table1[Status]="Not Started"))+SUMPRODUCT((Table1[County]=SummaryPage!$A886)*(Table1[Status]="")))=SUMPRODUCT((Table1[County]=SummaryPage!$A886)*(Table1[Status]&lt;&gt;"Q"))))</f>
        <v/>
      </c>
    </row>
    <row r="887" spans="11:18" x14ac:dyDescent="0.3">
      <c r="K887" s="28" t="str">
        <f>IF($A887="","",VLOOKUP('Input Sheet'!$D$2 &amp; " " &amp; $A887,Pop[#All],4,FALSE))</f>
        <v/>
      </c>
      <c r="L887" s="5" t="str">
        <f t="shared" si="46"/>
        <v/>
      </c>
      <c r="M887" s="7" t="str">
        <f t="shared" ca="1" si="45"/>
        <v/>
      </c>
      <c r="N887" s="17" t="str">
        <f>IF(OR($A887="",$A887="Grand Total"),IF($A887="Grand Total",SUM($N$15:$N886),""),SUMPRODUCT((Table1[County]=SummaryPage!$A887)*(Table1[Status]&lt;&gt;"Complete")))</f>
        <v/>
      </c>
      <c r="O887" s="6" t="str">
        <f ca="1">IF($A887="Grand Total",SUM(INDIRECT(ADDRESS(1,COLUMN())&amp;":"&amp;ADDRESS(ROW()-1,COLUMN()))),IF(OR($A887="State Agencies",IFERROR(AND($L887&gt;='Input Sheet'!$J$2,$A887&lt;&gt;""),0)),$J887,""))</f>
        <v/>
      </c>
      <c r="P887" s="3" t="str">
        <f>IF(OR($A887="",$A887="Grand Total"),"",IF(IFERROR(ROUND($J887/$K887,2),1000)&gt;='Input Sheet'!$J$2,1,""))</f>
        <v/>
      </c>
      <c r="Q887" s="3" t="str">
        <f t="shared" si="47"/>
        <v/>
      </c>
      <c r="R887" s="3" t="str">
        <f>IF(OR($A887="",$A887="Grand Total"),"",AND($J887=0,(SUMPRODUCT((Table1[County]=SummaryPage!$A887)*(Table1[Status]="Not Started"))+SUMPRODUCT((Table1[County]=SummaryPage!$A887)*(Table1[Status]="")))=SUMPRODUCT((Table1[County]=SummaryPage!$A887)*(Table1[Status]&lt;&gt;"Q"))))</f>
        <v/>
      </c>
    </row>
    <row r="888" spans="11:18" x14ac:dyDescent="0.3">
      <c r="K888" s="28" t="str">
        <f>IF($A888="","",VLOOKUP('Input Sheet'!$D$2 &amp; " " &amp; $A888,Pop[#All],4,FALSE))</f>
        <v/>
      </c>
      <c r="L888" s="5" t="str">
        <f t="shared" si="46"/>
        <v/>
      </c>
      <c r="M888" s="7" t="str">
        <f t="shared" ca="1" si="45"/>
        <v/>
      </c>
      <c r="N888" s="17" t="str">
        <f>IF(OR($A888="",$A888="Grand Total"),IF($A888="Grand Total",SUM($N$15:$N887),""),SUMPRODUCT((Table1[County]=SummaryPage!$A888)*(Table1[Status]&lt;&gt;"Complete")))</f>
        <v/>
      </c>
      <c r="O888" s="6" t="str">
        <f ca="1">IF($A888="Grand Total",SUM(INDIRECT(ADDRESS(1,COLUMN())&amp;":"&amp;ADDRESS(ROW()-1,COLUMN()))),IF(OR($A888="State Agencies",IFERROR(AND($L888&gt;='Input Sheet'!$J$2,$A888&lt;&gt;""),0)),$J888,""))</f>
        <v/>
      </c>
      <c r="P888" s="3" t="str">
        <f>IF(OR($A888="",$A888="Grand Total"),"",IF(IFERROR(ROUND($J888/$K888,2),1000)&gt;='Input Sheet'!$J$2,1,""))</f>
        <v/>
      </c>
      <c r="Q888" s="3" t="str">
        <f t="shared" si="47"/>
        <v/>
      </c>
      <c r="R888" s="3" t="str">
        <f>IF(OR($A888="",$A888="Grand Total"),"",AND($J888=0,(SUMPRODUCT((Table1[County]=SummaryPage!$A888)*(Table1[Status]="Not Started"))+SUMPRODUCT((Table1[County]=SummaryPage!$A888)*(Table1[Status]="")))=SUMPRODUCT((Table1[County]=SummaryPage!$A888)*(Table1[Status]&lt;&gt;"Q"))))</f>
        <v/>
      </c>
    </row>
    <row r="889" spans="11:18" x14ac:dyDescent="0.3">
      <c r="K889" s="28" t="str">
        <f>IF($A889="","",VLOOKUP('Input Sheet'!$D$2 &amp; " " &amp; $A889,Pop[#All],4,FALSE))</f>
        <v/>
      </c>
      <c r="L889" s="5" t="str">
        <f t="shared" si="46"/>
        <v/>
      </c>
      <c r="M889" s="7" t="str">
        <f t="shared" ca="1" si="45"/>
        <v/>
      </c>
      <c r="N889" s="17" t="str">
        <f>IF(OR($A889="",$A889="Grand Total"),IF($A889="Grand Total",SUM($N$15:$N888),""),SUMPRODUCT((Table1[County]=SummaryPage!$A889)*(Table1[Status]&lt;&gt;"Complete")))</f>
        <v/>
      </c>
      <c r="O889" s="6" t="str">
        <f ca="1">IF($A889="Grand Total",SUM(INDIRECT(ADDRESS(1,COLUMN())&amp;":"&amp;ADDRESS(ROW()-1,COLUMN()))),IF(OR($A889="State Agencies",IFERROR(AND($L889&gt;='Input Sheet'!$J$2,$A889&lt;&gt;""),0)),$J889,""))</f>
        <v/>
      </c>
      <c r="P889" s="3" t="str">
        <f>IF(OR($A889="",$A889="Grand Total"),"",IF(IFERROR(ROUND($J889/$K889,2),1000)&gt;='Input Sheet'!$J$2,1,""))</f>
        <v/>
      </c>
      <c r="Q889" s="3" t="str">
        <f t="shared" si="47"/>
        <v/>
      </c>
      <c r="R889" s="3" t="str">
        <f>IF(OR($A889="",$A889="Grand Total"),"",AND($J889=0,(SUMPRODUCT((Table1[County]=SummaryPage!$A889)*(Table1[Status]="Not Started"))+SUMPRODUCT((Table1[County]=SummaryPage!$A889)*(Table1[Status]="")))=SUMPRODUCT((Table1[County]=SummaryPage!$A889)*(Table1[Status]&lt;&gt;"Q"))))</f>
        <v/>
      </c>
    </row>
    <row r="890" spans="11:18" x14ac:dyDescent="0.3">
      <c r="K890" s="28" t="str">
        <f>IF($A890="","",VLOOKUP('Input Sheet'!$D$2 &amp; " " &amp; $A890,Pop[#All],4,FALSE))</f>
        <v/>
      </c>
      <c r="L890" s="5" t="str">
        <f t="shared" si="46"/>
        <v/>
      </c>
      <c r="M890" s="7" t="str">
        <f t="shared" ca="1" si="45"/>
        <v/>
      </c>
      <c r="N890" s="17" t="str">
        <f>IF(OR($A890="",$A890="Grand Total"),IF($A890="Grand Total",SUM($N$15:$N889),""),SUMPRODUCT((Table1[County]=SummaryPage!$A890)*(Table1[Status]&lt;&gt;"Complete")))</f>
        <v/>
      </c>
      <c r="O890" s="6" t="str">
        <f ca="1">IF($A890="Grand Total",SUM(INDIRECT(ADDRESS(1,COLUMN())&amp;":"&amp;ADDRESS(ROW()-1,COLUMN()))),IF(OR($A890="State Agencies",IFERROR(AND($L890&gt;='Input Sheet'!$J$2,$A890&lt;&gt;""),0)),$J890,""))</f>
        <v/>
      </c>
      <c r="P890" s="3" t="str">
        <f>IF(OR($A890="",$A890="Grand Total"),"",IF(IFERROR(ROUND($J890/$K890,2),1000)&gt;='Input Sheet'!$J$2,1,""))</f>
        <v/>
      </c>
      <c r="Q890" s="3" t="str">
        <f t="shared" si="47"/>
        <v/>
      </c>
      <c r="R890" s="3" t="str">
        <f>IF(OR($A890="",$A890="Grand Total"),"",AND($J890=0,(SUMPRODUCT((Table1[County]=SummaryPage!$A890)*(Table1[Status]="Not Started"))+SUMPRODUCT((Table1[County]=SummaryPage!$A890)*(Table1[Status]="")))=SUMPRODUCT((Table1[County]=SummaryPage!$A890)*(Table1[Status]&lt;&gt;"Q"))))</f>
        <v/>
      </c>
    </row>
    <row r="891" spans="11:18" x14ac:dyDescent="0.3">
      <c r="K891" s="28" t="str">
        <f>IF($A891="","",VLOOKUP('Input Sheet'!$D$2 &amp; " " &amp; $A891,Pop[#All],4,FALSE))</f>
        <v/>
      </c>
      <c r="L891" s="5" t="str">
        <f t="shared" si="46"/>
        <v/>
      </c>
      <c r="M891" s="7" t="str">
        <f t="shared" ca="1" si="45"/>
        <v/>
      </c>
      <c r="N891" s="17" t="str">
        <f>IF(OR($A891="",$A891="Grand Total"),IF($A891="Grand Total",SUM($N$15:$N890),""),SUMPRODUCT((Table1[County]=SummaryPage!$A891)*(Table1[Status]&lt;&gt;"Complete")))</f>
        <v/>
      </c>
      <c r="O891" s="6" t="str">
        <f ca="1">IF($A891="Grand Total",SUM(INDIRECT(ADDRESS(1,COLUMN())&amp;":"&amp;ADDRESS(ROW()-1,COLUMN()))),IF(OR($A891="State Agencies",IFERROR(AND($L891&gt;='Input Sheet'!$J$2,$A891&lt;&gt;""),0)),$J891,""))</f>
        <v/>
      </c>
      <c r="P891" s="3" t="str">
        <f>IF(OR($A891="",$A891="Grand Total"),"",IF(IFERROR(ROUND($J891/$K891,2),1000)&gt;='Input Sheet'!$J$2,1,""))</f>
        <v/>
      </c>
      <c r="Q891" s="3" t="str">
        <f t="shared" si="47"/>
        <v/>
      </c>
      <c r="R891" s="3" t="str">
        <f>IF(OR($A891="",$A891="Grand Total"),"",AND($J891=0,(SUMPRODUCT((Table1[County]=SummaryPage!$A891)*(Table1[Status]="Not Started"))+SUMPRODUCT((Table1[County]=SummaryPage!$A891)*(Table1[Status]="")))=SUMPRODUCT((Table1[County]=SummaryPage!$A891)*(Table1[Status]&lt;&gt;"Q"))))</f>
        <v/>
      </c>
    </row>
    <row r="892" spans="11:18" x14ac:dyDescent="0.3">
      <c r="K892" s="28" t="str">
        <f>IF($A892="","",VLOOKUP('Input Sheet'!$D$2 &amp; " " &amp; $A892,Pop[#All],4,FALSE))</f>
        <v/>
      </c>
      <c r="L892" s="5" t="str">
        <f t="shared" si="46"/>
        <v/>
      </c>
      <c r="M892" s="7" t="str">
        <f t="shared" ca="1" si="45"/>
        <v/>
      </c>
      <c r="N892" s="17" t="str">
        <f>IF(OR($A892="",$A892="Grand Total"),IF($A892="Grand Total",SUM($N$15:$N891),""),SUMPRODUCT((Table1[County]=SummaryPage!$A892)*(Table1[Status]&lt;&gt;"Complete")))</f>
        <v/>
      </c>
      <c r="O892" s="6" t="str">
        <f ca="1">IF($A892="Grand Total",SUM(INDIRECT(ADDRESS(1,COLUMN())&amp;":"&amp;ADDRESS(ROW()-1,COLUMN()))),IF(OR($A892="State Agencies",IFERROR(AND($L892&gt;='Input Sheet'!$J$2,$A892&lt;&gt;""),0)),$J892,""))</f>
        <v/>
      </c>
      <c r="P892" s="3" t="str">
        <f>IF(OR($A892="",$A892="Grand Total"),"",IF(IFERROR(ROUND($J892/$K892,2),1000)&gt;='Input Sheet'!$J$2,1,""))</f>
        <v/>
      </c>
      <c r="Q892" s="3" t="str">
        <f t="shared" si="47"/>
        <v/>
      </c>
      <c r="R892" s="3" t="str">
        <f>IF(OR($A892="",$A892="Grand Total"),"",AND($J892=0,(SUMPRODUCT((Table1[County]=SummaryPage!$A892)*(Table1[Status]="Not Started"))+SUMPRODUCT((Table1[County]=SummaryPage!$A892)*(Table1[Status]="")))=SUMPRODUCT((Table1[County]=SummaryPage!$A892)*(Table1[Status]&lt;&gt;"Q"))))</f>
        <v/>
      </c>
    </row>
    <row r="893" spans="11:18" x14ac:dyDescent="0.3">
      <c r="K893" s="28" t="str">
        <f>IF($A893="","",VLOOKUP('Input Sheet'!$D$2 &amp; " " &amp; $A893,Pop[#All],4,FALSE))</f>
        <v/>
      </c>
      <c r="L893" s="5" t="str">
        <f t="shared" si="46"/>
        <v/>
      </c>
      <c r="M893" s="7" t="str">
        <f t="shared" ca="1" si="45"/>
        <v/>
      </c>
      <c r="N893" s="17" t="str">
        <f>IF(OR($A893="",$A893="Grand Total"),IF($A893="Grand Total",SUM($N$15:$N892),""),SUMPRODUCT((Table1[County]=SummaryPage!$A893)*(Table1[Status]&lt;&gt;"Complete")))</f>
        <v/>
      </c>
      <c r="O893" s="6" t="str">
        <f ca="1">IF($A893="Grand Total",SUM(INDIRECT(ADDRESS(1,COLUMN())&amp;":"&amp;ADDRESS(ROW()-1,COLUMN()))),IF(OR($A893="State Agencies",IFERROR(AND($L893&gt;='Input Sheet'!$J$2,$A893&lt;&gt;""),0)),$J893,""))</f>
        <v/>
      </c>
      <c r="P893" s="3" t="str">
        <f>IF(OR($A893="",$A893="Grand Total"),"",IF(IFERROR(ROUND($J893/$K893,2),1000)&gt;='Input Sheet'!$J$2,1,""))</f>
        <v/>
      </c>
      <c r="Q893" s="3" t="str">
        <f t="shared" si="47"/>
        <v/>
      </c>
      <c r="R893" s="3" t="str">
        <f>IF(OR($A893="",$A893="Grand Total"),"",AND($J893=0,(SUMPRODUCT((Table1[County]=SummaryPage!$A893)*(Table1[Status]="Not Started"))+SUMPRODUCT((Table1[County]=SummaryPage!$A893)*(Table1[Status]="")))=SUMPRODUCT((Table1[County]=SummaryPage!$A893)*(Table1[Status]&lt;&gt;"Q"))))</f>
        <v/>
      </c>
    </row>
    <row r="894" spans="11:18" x14ac:dyDescent="0.3">
      <c r="K894" s="28" t="str">
        <f>IF($A894="","",VLOOKUP('Input Sheet'!$D$2 &amp; " " &amp; $A894,Pop[#All],4,FALSE))</f>
        <v/>
      </c>
      <c r="L894" s="5" t="str">
        <f t="shared" si="46"/>
        <v/>
      </c>
      <c r="M894" s="7" t="str">
        <f t="shared" ca="1" si="45"/>
        <v/>
      </c>
      <c r="N894" s="17" t="str">
        <f>IF(OR($A894="",$A894="Grand Total"),IF($A894="Grand Total",SUM($N$15:$N893),""),SUMPRODUCT((Table1[County]=SummaryPage!$A894)*(Table1[Status]&lt;&gt;"Complete")))</f>
        <v/>
      </c>
      <c r="O894" s="6" t="str">
        <f ca="1">IF($A894="Grand Total",SUM(INDIRECT(ADDRESS(1,COLUMN())&amp;":"&amp;ADDRESS(ROW()-1,COLUMN()))),IF(OR($A894="State Agencies",IFERROR(AND($L894&gt;='Input Sheet'!$J$2,$A894&lt;&gt;""),0)),$J894,""))</f>
        <v/>
      </c>
      <c r="P894" s="3" t="str">
        <f>IF(OR($A894="",$A894="Grand Total"),"",IF(IFERROR(ROUND($J894/$K894,2),1000)&gt;='Input Sheet'!$J$2,1,""))</f>
        <v/>
      </c>
      <c r="Q894" s="3" t="str">
        <f t="shared" si="47"/>
        <v/>
      </c>
      <c r="R894" s="3" t="str">
        <f>IF(OR($A894="",$A894="Grand Total"),"",AND($J894=0,(SUMPRODUCT((Table1[County]=SummaryPage!$A894)*(Table1[Status]="Not Started"))+SUMPRODUCT((Table1[County]=SummaryPage!$A894)*(Table1[Status]="")))=SUMPRODUCT((Table1[County]=SummaryPage!$A894)*(Table1[Status]&lt;&gt;"Q"))))</f>
        <v/>
      </c>
    </row>
    <row r="895" spans="11:18" x14ac:dyDescent="0.3">
      <c r="K895" s="28" t="str">
        <f>IF($A895="","",VLOOKUP('Input Sheet'!$D$2 &amp; " " &amp; $A895,Pop[#All],4,FALSE))</f>
        <v/>
      </c>
      <c r="L895" s="5" t="str">
        <f t="shared" si="46"/>
        <v/>
      </c>
      <c r="M895" s="7" t="str">
        <f t="shared" ca="1" si="45"/>
        <v/>
      </c>
      <c r="N895" s="17" t="str">
        <f>IF(OR($A895="",$A895="Grand Total"),IF($A895="Grand Total",SUM($N$15:$N894),""),SUMPRODUCT((Table1[County]=SummaryPage!$A895)*(Table1[Status]&lt;&gt;"Complete")))</f>
        <v/>
      </c>
      <c r="O895" s="6" t="str">
        <f ca="1">IF($A895="Grand Total",SUM(INDIRECT(ADDRESS(1,COLUMN())&amp;":"&amp;ADDRESS(ROW()-1,COLUMN()))),IF(OR($A895="State Agencies",IFERROR(AND($L895&gt;='Input Sheet'!$J$2,$A895&lt;&gt;""),0)),$J895,""))</f>
        <v/>
      </c>
      <c r="P895" s="3" t="str">
        <f>IF(OR($A895="",$A895="Grand Total"),"",IF(IFERROR(ROUND($J895/$K895,2),1000)&gt;='Input Sheet'!$J$2,1,""))</f>
        <v/>
      </c>
      <c r="Q895" s="3" t="str">
        <f t="shared" si="47"/>
        <v/>
      </c>
      <c r="R895" s="3" t="str">
        <f>IF(OR($A895="",$A895="Grand Total"),"",AND($J895=0,(SUMPRODUCT((Table1[County]=SummaryPage!$A895)*(Table1[Status]="Not Started"))+SUMPRODUCT((Table1[County]=SummaryPage!$A895)*(Table1[Status]="")))=SUMPRODUCT((Table1[County]=SummaryPage!$A895)*(Table1[Status]&lt;&gt;"Q"))))</f>
        <v/>
      </c>
    </row>
    <row r="896" spans="11:18" x14ac:dyDescent="0.3">
      <c r="K896" s="28" t="str">
        <f>IF($A896="","",VLOOKUP('Input Sheet'!$D$2 &amp; " " &amp; $A896,Pop[#All],4,FALSE))</f>
        <v/>
      </c>
      <c r="L896" s="5" t="str">
        <f t="shared" si="46"/>
        <v/>
      </c>
      <c r="M896" s="7" t="str">
        <f t="shared" ca="1" si="45"/>
        <v/>
      </c>
      <c r="N896" s="17" t="str">
        <f>IF(OR($A896="",$A896="Grand Total"),IF($A896="Grand Total",SUM($N$15:$N895),""),SUMPRODUCT((Table1[County]=SummaryPage!$A896)*(Table1[Status]&lt;&gt;"Complete")))</f>
        <v/>
      </c>
      <c r="O896" s="6" t="str">
        <f ca="1">IF($A896="Grand Total",SUM(INDIRECT(ADDRESS(1,COLUMN())&amp;":"&amp;ADDRESS(ROW()-1,COLUMN()))),IF(OR($A896="State Agencies",IFERROR(AND($L896&gt;='Input Sheet'!$J$2,$A896&lt;&gt;""),0)),$J896,""))</f>
        <v/>
      </c>
      <c r="P896" s="3" t="str">
        <f>IF(OR($A896="",$A896="Grand Total"),"",IF(IFERROR(ROUND($J896/$K896,2),1000)&gt;='Input Sheet'!$J$2,1,""))</f>
        <v/>
      </c>
      <c r="Q896" s="3" t="str">
        <f t="shared" si="47"/>
        <v/>
      </c>
      <c r="R896" s="3" t="str">
        <f>IF(OR($A896="",$A896="Grand Total"),"",AND($J896=0,(SUMPRODUCT((Table1[County]=SummaryPage!$A896)*(Table1[Status]="Not Started"))+SUMPRODUCT((Table1[County]=SummaryPage!$A896)*(Table1[Status]="")))=SUMPRODUCT((Table1[County]=SummaryPage!$A896)*(Table1[Status]&lt;&gt;"Q"))))</f>
        <v/>
      </c>
    </row>
    <row r="897" spans="11:18" x14ac:dyDescent="0.3">
      <c r="K897" s="28" t="str">
        <f>IF($A897="","",VLOOKUP('Input Sheet'!$D$2 &amp; " " &amp; $A897,Pop[#All],4,FALSE))</f>
        <v/>
      </c>
      <c r="L897" s="5" t="str">
        <f t="shared" si="46"/>
        <v/>
      </c>
      <c r="M897" s="7" t="str">
        <f t="shared" ca="1" si="45"/>
        <v/>
      </c>
      <c r="N897" s="17" t="str">
        <f>IF(OR($A897="",$A897="Grand Total"),IF($A897="Grand Total",SUM($N$15:$N896),""),SUMPRODUCT((Table1[County]=SummaryPage!$A897)*(Table1[Status]&lt;&gt;"Complete")))</f>
        <v/>
      </c>
      <c r="O897" s="6" t="str">
        <f ca="1">IF($A897="Grand Total",SUM(INDIRECT(ADDRESS(1,COLUMN())&amp;":"&amp;ADDRESS(ROW()-1,COLUMN()))),IF(OR($A897="State Agencies",IFERROR(AND($L897&gt;='Input Sheet'!$J$2,$A897&lt;&gt;""),0)),$J897,""))</f>
        <v/>
      </c>
      <c r="P897" s="3" t="str">
        <f>IF(OR($A897="",$A897="Grand Total"),"",IF(IFERROR(ROUND($J897/$K897,2),1000)&gt;='Input Sheet'!$J$2,1,""))</f>
        <v/>
      </c>
      <c r="Q897" s="3" t="str">
        <f t="shared" si="47"/>
        <v/>
      </c>
      <c r="R897" s="3" t="str">
        <f>IF(OR($A897="",$A897="Grand Total"),"",AND($J897=0,(SUMPRODUCT((Table1[County]=SummaryPage!$A897)*(Table1[Status]="Not Started"))+SUMPRODUCT((Table1[County]=SummaryPage!$A897)*(Table1[Status]="")))=SUMPRODUCT((Table1[County]=SummaryPage!$A897)*(Table1[Status]&lt;&gt;"Q"))))</f>
        <v/>
      </c>
    </row>
    <row r="898" spans="11:18" x14ac:dyDescent="0.3">
      <c r="K898" s="28" t="str">
        <f>IF($A898="","",VLOOKUP('Input Sheet'!$D$2 &amp; " " &amp; $A898,Pop[#All],4,FALSE))</f>
        <v/>
      </c>
      <c r="L898" s="5" t="str">
        <f t="shared" si="46"/>
        <v/>
      </c>
      <c r="M898" s="7" t="str">
        <f t="shared" ca="1" si="45"/>
        <v/>
      </c>
      <c r="N898" s="17" t="str">
        <f>IF(OR($A898="",$A898="Grand Total"),IF($A898="Grand Total",SUM($N$15:$N897),""),SUMPRODUCT((Table1[County]=SummaryPage!$A898)*(Table1[Status]&lt;&gt;"Complete")))</f>
        <v/>
      </c>
      <c r="O898" s="6" t="str">
        <f ca="1">IF($A898="Grand Total",SUM(INDIRECT(ADDRESS(1,COLUMN())&amp;":"&amp;ADDRESS(ROW()-1,COLUMN()))),IF(OR($A898="State Agencies",IFERROR(AND($L898&gt;='Input Sheet'!$J$2,$A898&lt;&gt;""),0)),$J898,""))</f>
        <v/>
      </c>
      <c r="P898" s="3" t="str">
        <f>IF(OR($A898="",$A898="Grand Total"),"",IF(IFERROR(ROUND($J898/$K898,2),1000)&gt;='Input Sheet'!$J$2,1,""))</f>
        <v/>
      </c>
      <c r="Q898" s="3" t="str">
        <f t="shared" si="47"/>
        <v/>
      </c>
      <c r="R898" s="3" t="str">
        <f>IF(OR($A898="",$A898="Grand Total"),"",AND($J898=0,(SUMPRODUCT((Table1[County]=SummaryPage!$A898)*(Table1[Status]="Not Started"))+SUMPRODUCT((Table1[County]=SummaryPage!$A898)*(Table1[Status]="")))=SUMPRODUCT((Table1[County]=SummaryPage!$A898)*(Table1[Status]&lt;&gt;"Q"))))</f>
        <v/>
      </c>
    </row>
    <row r="899" spans="11:18" x14ac:dyDescent="0.3">
      <c r="K899" s="28" t="str">
        <f>IF($A899="","",VLOOKUP('Input Sheet'!$D$2 &amp; " " &amp; $A899,Pop[#All],4,FALSE))</f>
        <v/>
      </c>
      <c r="L899" s="5" t="str">
        <f t="shared" si="46"/>
        <v/>
      </c>
      <c r="M899" s="7" t="str">
        <f t="shared" ca="1" si="45"/>
        <v/>
      </c>
      <c r="N899" s="17" t="str">
        <f>IF(OR($A899="",$A899="Grand Total"),IF($A899="Grand Total",SUM($N$15:$N898),""),SUMPRODUCT((Table1[County]=SummaryPage!$A899)*(Table1[Status]&lt;&gt;"Complete")))</f>
        <v/>
      </c>
      <c r="O899" s="6" t="str">
        <f ca="1">IF($A899="Grand Total",SUM(INDIRECT(ADDRESS(1,COLUMN())&amp;":"&amp;ADDRESS(ROW()-1,COLUMN()))),IF(OR($A899="State Agencies",IFERROR(AND($L899&gt;='Input Sheet'!$J$2,$A899&lt;&gt;""),0)),$J899,""))</f>
        <v/>
      </c>
      <c r="P899" s="3" t="str">
        <f>IF(OR($A899="",$A899="Grand Total"),"",IF(IFERROR(ROUND($J899/$K899,2),1000)&gt;='Input Sheet'!$J$2,1,""))</f>
        <v/>
      </c>
      <c r="Q899" s="3" t="str">
        <f t="shared" si="47"/>
        <v/>
      </c>
      <c r="R899" s="3" t="str">
        <f>IF(OR($A899="",$A899="Grand Total"),"",AND($J899=0,(SUMPRODUCT((Table1[County]=SummaryPage!$A899)*(Table1[Status]="Not Started"))+SUMPRODUCT((Table1[County]=SummaryPage!$A899)*(Table1[Status]="")))=SUMPRODUCT((Table1[County]=SummaryPage!$A899)*(Table1[Status]&lt;&gt;"Q"))))</f>
        <v/>
      </c>
    </row>
    <row r="900" spans="11:18" x14ac:dyDescent="0.3">
      <c r="K900" s="28" t="str">
        <f>IF($A900="","",VLOOKUP('Input Sheet'!$D$2 &amp; " " &amp; $A900,Pop[#All],4,FALSE))</f>
        <v/>
      </c>
      <c r="L900" s="5" t="str">
        <f t="shared" si="46"/>
        <v/>
      </c>
      <c r="M900" s="7" t="str">
        <f t="shared" ca="1" si="45"/>
        <v/>
      </c>
      <c r="N900" s="17" t="str">
        <f>IF(OR($A900="",$A900="Grand Total"),IF($A900="Grand Total",SUM($N$15:$N899),""),SUMPRODUCT((Table1[County]=SummaryPage!$A900)*(Table1[Status]&lt;&gt;"Complete")))</f>
        <v/>
      </c>
      <c r="O900" s="6" t="str">
        <f ca="1">IF($A900="Grand Total",SUM(INDIRECT(ADDRESS(1,COLUMN())&amp;":"&amp;ADDRESS(ROW()-1,COLUMN()))),IF(OR($A900="State Agencies",IFERROR(AND($L900&gt;='Input Sheet'!$J$2,$A900&lt;&gt;""),0)),$J900,""))</f>
        <v/>
      </c>
      <c r="P900" s="3" t="str">
        <f>IF(OR($A900="",$A900="Grand Total"),"",IF(IFERROR(ROUND($J900/$K900,2),1000)&gt;='Input Sheet'!$J$2,1,""))</f>
        <v/>
      </c>
      <c r="Q900" s="3" t="str">
        <f t="shared" si="47"/>
        <v/>
      </c>
      <c r="R900" s="3" t="str">
        <f>IF(OR($A900="",$A900="Grand Total"),"",AND($J900=0,(SUMPRODUCT((Table1[County]=SummaryPage!$A900)*(Table1[Status]="Not Started"))+SUMPRODUCT((Table1[County]=SummaryPage!$A900)*(Table1[Status]="")))=SUMPRODUCT((Table1[County]=SummaryPage!$A900)*(Table1[Status]&lt;&gt;"Q"))))</f>
        <v/>
      </c>
    </row>
    <row r="901" spans="11:18" x14ac:dyDescent="0.3">
      <c r="K901" s="28" t="str">
        <f>IF($A901="","",VLOOKUP('Input Sheet'!$D$2 &amp; " " &amp; $A901,Pop[#All],4,FALSE))</f>
        <v/>
      </c>
      <c r="L901" s="5" t="str">
        <f t="shared" si="46"/>
        <v/>
      </c>
      <c r="M901" s="7" t="str">
        <f t="shared" ca="1" si="45"/>
        <v/>
      </c>
      <c r="N901" s="17" t="str">
        <f>IF(OR($A901="",$A901="Grand Total"),IF($A901="Grand Total",SUM($N$15:$N900),""),SUMPRODUCT((Table1[County]=SummaryPage!$A901)*(Table1[Status]&lt;&gt;"Complete")))</f>
        <v/>
      </c>
      <c r="O901" s="6" t="str">
        <f ca="1">IF($A901="Grand Total",SUM(INDIRECT(ADDRESS(1,COLUMN())&amp;":"&amp;ADDRESS(ROW()-1,COLUMN()))),IF(OR($A901="State Agencies",IFERROR(AND($L901&gt;='Input Sheet'!$J$2,$A901&lt;&gt;""),0)),$J901,""))</f>
        <v/>
      </c>
      <c r="P901" s="3" t="str">
        <f>IF(OR($A901="",$A901="Grand Total"),"",IF(IFERROR(ROUND($J901/$K901,2),1000)&gt;='Input Sheet'!$J$2,1,""))</f>
        <v/>
      </c>
      <c r="Q901" s="3" t="str">
        <f t="shared" si="47"/>
        <v/>
      </c>
      <c r="R901" s="3" t="str">
        <f>IF(OR($A901="",$A901="Grand Total"),"",AND($J901=0,(SUMPRODUCT((Table1[County]=SummaryPage!$A901)*(Table1[Status]="Not Started"))+SUMPRODUCT((Table1[County]=SummaryPage!$A901)*(Table1[Status]="")))=SUMPRODUCT((Table1[County]=SummaryPage!$A901)*(Table1[Status]&lt;&gt;"Q"))))</f>
        <v/>
      </c>
    </row>
    <row r="902" spans="11:18" x14ac:dyDescent="0.3">
      <c r="K902" s="28" t="str">
        <f>IF($A902="","",VLOOKUP('Input Sheet'!$D$2 &amp; " " &amp; $A902,Pop[#All],4,FALSE))</f>
        <v/>
      </c>
      <c r="L902" s="5" t="str">
        <f t="shared" si="46"/>
        <v/>
      </c>
      <c r="M902" s="7" t="str">
        <f t="shared" ca="1" si="45"/>
        <v/>
      </c>
      <c r="N902" s="17" t="str">
        <f>IF(OR($A902="",$A902="Grand Total"),IF($A902="Grand Total",SUM($N$15:$N901),""),SUMPRODUCT((Table1[County]=SummaryPage!$A902)*(Table1[Status]&lt;&gt;"Complete")))</f>
        <v/>
      </c>
      <c r="O902" s="6" t="str">
        <f ca="1">IF($A902="Grand Total",SUM(INDIRECT(ADDRESS(1,COLUMN())&amp;":"&amp;ADDRESS(ROW()-1,COLUMN()))),IF(OR($A902="State Agencies",IFERROR(AND($L902&gt;='Input Sheet'!$J$2,$A902&lt;&gt;""),0)),$J902,""))</f>
        <v/>
      </c>
      <c r="P902" s="3" t="str">
        <f>IF(OR($A902="",$A902="Grand Total"),"",IF(IFERROR(ROUND($J902/$K902,2),1000)&gt;='Input Sheet'!$J$2,1,""))</f>
        <v/>
      </c>
      <c r="Q902" s="3" t="str">
        <f t="shared" si="47"/>
        <v/>
      </c>
      <c r="R902" s="3" t="str">
        <f>IF(OR($A902="",$A902="Grand Total"),"",AND($J902=0,(SUMPRODUCT((Table1[County]=SummaryPage!$A902)*(Table1[Status]="Not Started"))+SUMPRODUCT((Table1[County]=SummaryPage!$A902)*(Table1[Status]="")))=SUMPRODUCT((Table1[County]=SummaryPage!$A902)*(Table1[Status]&lt;&gt;"Q"))))</f>
        <v/>
      </c>
    </row>
    <row r="903" spans="11:18" x14ac:dyDescent="0.3">
      <c r="K903" s="28" t="str">
        <f>IF($A903="","",VLOOKUP('Input Sheet'!$D$2 &amp; " " &amp; $A903,Pop[#All],4,FALSE))</f>
        <v/>
      </c>
      <c r="L903" s="5" t="str">
        <f t="shared" si="46"/>
        <v/>
      </c>
      <c r="M903" s="7" t="str">
        <f t="shared" ca="1" si="45"/>
        <v/>
      </c>
      <c r="N903" s="17" t="str">
        <f>IF(OR($A903="",$A903="Grand Total"),IF($A903="Grand Total",SUM($N$15:$N902),""),SUMPRODUCT((Table1[County]=SummaryPage!$A903)*(Table1[Status]&lt;&gt;"Complete")))</f>
        <v/>
      </c>
      <c r="O903" s="6" t="str">
        <f ca="1">IF($A903="Grand Total",SUM(INDIRECT(ADDRESS(1,COLUMN())&amp;":"&amp;ADDRESS(ROW()-1,COLUMN()))),IF(OR($A903="State Agencies",IFERROR(AND($L903&gt;='Input Sheet'!$J$2,$A903&lt;&gt;""),0)),$J903,""))</f>
        <v/>
      </c>
      <c r="P903" s="3" t="str">
        <f>IF(OR($A903="",$A903="Grand Total"),"",IF(IFERROR(ROUND($J903/$K903,2),1000)&gt;='Input Sheet'!$J$2,1,""))</f>
        <v/>
      </c>
      <c r="Q903" s="3" t="str">
        <f t="shared" si="47"/>
        <v/>
      </c>
      <c r="R903" s="3" t="str">
        <f>IF(OR($A903="",$A903="Grand Total"),"",AND($J903=0,(SUMPRODUCT((Table1[County]=SummaryPage!$A903)*(Table1[Status]="Not Started"))+SUMPRODUCT((Table1[County]=SummaryPage!$A903)*(Table1[Status]="")))=SUMPRODUCT((Table1[County]=SummaryPage!$A903)*(Table1[Status]&lt;&gt;"Q"))))</f>
        <v/>
      </c>
    </row>
    <row r="904" spans="11:18" x14ac:dyDescent="0.3">
      <c r="K904" s="28" t="str">
        <f>IF($A904="","",VLOOKUP('Input Sheet'!$D$2 &amp; " " &amp; $A904,Pop[#All],4,FALSE))</f>
        <v/>
      </c>
      <c r="L904" s="5" t="str">
        <f t="shared" si="46"/>
        <v/>
      </c>
      <c r="M904" s="7" t="str">
        <f t="shared" ca="1" si="45"/>
        <v/>
      </c>
      <c r="N904" s="17" t="str">
        <f>IF(OR($A904="",$A904="Grand Total"),IF($A904="Grand Total",SUM($N$15:$N903),""),SUMPRODUCT((Table1[County]=SummaryPage!$A904)*(Table1[Status]&lt;&gt;"Complete")))</f>
        <v/>
      </c>
      <c r="O904" s="6" t="str">
        <f ca="1">IF($A904="Grand Total",SUM(INDIRECT(ADDRESS(1,COLUMN())&amp;":"&amp;ADDRESS(ROW()-1,COLUMN()))),IF(OR($A904="State Agencies",IFERROR(AND($L904&gt;='Input Sheet'!$J$2,$A904&lt;&gt;""),0)),$J904,""))</f>
        <v/>
      </c>
      <c r="P904" s="3" t="str">
        <f>IF(OR($A904="",$A904="Grand Total"),"",IF(IFERROR(ROUND($J904/$K904,2),1000)&gt;='Input Sheet'!$J$2,1,""))</f>
        <v/>
      </c>
      <c r="Q904" s="3" t="str">
        <f t="shared" si="47"/>
        <v/>
      </c>
      <c r="R904" s="3" t="str">
        <f>IF(OR($A904="",$A904="Grand Total"),"",AND($J904=0,(SUMPRODUCT((Table1[County]=SummaryPage!$A904)*(Table1[Status]="Not Started"))+SUMPRODUCT((Table1[County]=SummaryPage!$A904)*(Table1[Status]="")))=SUMPRODUCT((Table1[County]=SummaryPage!$A904)*(Table1[Status]&lt;&gt;"Q"))))</f>
        <v/>
      </c>
    </row>
    <row r="905" spans="11:18" x14ac:dyDescent="0.3">
      <c r="K905" s="28" t="str">
        <f>IF($A905="","",VLOOKUP('Input Sheet'!$D$2 &amp; " " &amp; $A905,Pop[#All],4,FALSE))</f>
        <v/>
      </c>
      <c r="L905" s="5" t="str">
        <f t="shared" ref="L905" si="48">IFERROR(IF($A905="","",$J905/$K905),"")</f>
        <v/>
      </c>
      <c r="M905" s="7" t="str">
        <f t="shared" ca="1" si="45"/>
        <v/>
      </c>
      <c r="N905" s="17" t="str">
        <f>IF(OR($A905="",$A905="Grand Total"),IF($A905="Grand Total",SUM($N$15:$N904),""),SUMPRODUCT((Table1[County]=SummaryPage!$A905)*(Table1[Status]&lt;&gt;"Complete")))</f>
        <v/>
      </c>
      <c r="O905" s="6" t="str">
        <f ca="1">IF($A905="Grand Total",SUM(INDIRECT(ADDRESS(1,COLUMN())&amp;":"&amp;ADDRESS(ROW()-1,COLUMN()))),IF(OR($A905="State Agencies",IFERROR(AND($L905&gt;='Input Sheet'!$J$2,$A905&lt;&gt;""),0)),$J905,""))</f>
        <v/>
      </c>
      <c r="P905" s="3" t="str">
        <f>IF(OR($A905="",$A905="Grand Total"),"",IF(IFERROR($J905/$K905,1000)&gt;'Input Sheet'!$J$2,1,""))</f>
        <v/>
      </c>
      <c r="Q905" s="3" t="str">
        <f t="shared" si="47"/>
        <v/>
      </c>
      <c r="R905" s="3" t="str">
        <f>IF(OR($A905="",$A905="Grand Total"),"",AND($J905=0,(SUMPRODUCT((Table1[County]=SummaryPage!$A905)*(Table1[Status]="Not Started"))+SUMPRODUCT((Table1[County]=SummaryPage!$A905)*(Table1[Status]="")))=SUMPRODUCT((Table1[County]=SummaryPage!$A905)*(Table1[Status]&lt;&gt;"Q"))))</f>
        <v/>
      </c>
    </row>
  </sheetData>
  <sheetProtection selectLockedCells="1" autoFilter="0" pivotTables="0" selectUnlockedCells="1"/>
  <mergeCells count="9">
    <mergeCell ref="A7:A8"/>
    <mergeCell ref="A11:A12"/>
    <mergeCell ref="O12:T12"/>
    <mergeCell ref="C1:M1"/>
    <mergeCell ref="C2:M2"/>
    <mergeCell ref="G3:H3"/>
    <mergeCell ref="G4:H4"/>
    <mergeCell ref="G5:H5"/>
    <mergeCell ref="A9:A10"/>
  </mergeCells>
  <conditionalFormatting sqref="A1:B2 N1:N2 A6:B14 K6:N14 A172:B1048576 K172:N1048576">
    <cfRule type="expression" dxfId="192" priority="199">
      <formula>AND(ISNUMBER($N1),$R1=TRUE)</formula>
    </cfRule>
    <cfRule type="expression" dxfId="191" priority="208">
      <formula>AND(ISNUMBER($N1),$N1&gt;0,$R1=FALSE)</formula>
    </cfRule>
    <cfRule type="expression" dxfId="190" priority="209">
      <formula>AND(ISNUMBER($N1),$A1="State Agencies")</formula>
    </cfRule>
  </conditionalFormatting>
  <printOptions horizontalCentered="1"/>
  <pageMargins left="0.25" right="0.25" top="0.5" bottom="0.6" header="0.3" footer="0.3"/>
  <pageSetup scale="58" fitToHeight="0" orientation="landscape" r:id="rId2"/>
  <headerFooter>
    <oddFooter>&amp;LPrint Date: &amp;D &amp;T&amp;C&amp;G&amp;R&amp;P of &amp;N</oddFooter>
  </headerFooter>
  <drawing r:id="rId3"/>
  <legacyDrawingHF r:id="rId4"/>
  <extLst>
    <ext xmlns:x14="http://schemas.microsoft.com/office/spreadsheetml/2009/9/main" uri="{78C0D931-6437-407d-A8EE-F0AAD7539E65}">
      <x14:conditionalFormattings>
        <x14:conditionalFormatting xmlns:xm="http://schemas.microsoft.com/office/excel/2006/main">
          <x14:cfRule type="expression" priority="145" id="{4F63F31D-B85C-43DA-9376-9170E25C4936}">
            <xm:f>'Input Sheet'!$D$2=""</xm:f>
            <x14:dxf>
              <font>
                <b/>
                <i val="0"/>
                <color theme="0"/>
              </font>
              <fill>
                <patternFill>
                  <bgColor rgb="FFFF0000"/>
                </patternFill>
              </fill>
            </x14:dxf>
          </x14:cfRule>
          <xm:sqref>A1</xm:sqref>
        </x14:conditionalFormatting>
        <x14:conditionalFormatting xmlns:xm="http://schemas.microsoft.com/office/excel/2006/main">
          <x14:cfRule type="expression" priority="280" id="{48F6740A-5216-45E8-B21D-AB7ACBEB6010}">
            <xm:f>AND(ISNUMBER($L1),$L1&gt;=IF($A1="Grand Total",'Input Sheet'!$J$1,'Input Sheet'!$J$2))</xm:f>
            <x14:dxf>
              <font>
                <color auto="1"/>
              </font>
              <fill>
                <patternFill>
                  <bgColor theme="6"/>
                </patternFill>
              </fill>
            </x14:dxf>
          </x14:cfRule>
          <xm:sqref>A1:B2 N1:N2 A6:B14 K6:N14 A172:B1048576 K172:N1048576</xm:sqref>
        </x14:conditionalFormatting>
        <x14:conditionalFormatting xmlns:xm="http://schemas.microsoft.com/office/excel/2006/main">
          <x14:cfRule type="expression" priority="275" id="{AB6AC0D8-F3E2-4386-8A8A-61C84E310556}">
            <xm:f>($J7/$K7)&lt;'Input Sheet'!$J$1</xm:f>
            <x14:dxf>
              <fill>
                <patternFill>
                  <bgColor theme="5"/>
                </patternFill>
              </fill>
            </x14:dxf>
          </x14:cfRule>
          <x14:cfRule type="expression" priority="276" id="{5A63DBC6-5F03-4F0F-B207-91C058B19379}">
            <xm:f>($J7/$K7)&gt;'Input Sheet'!$J$1</xm:f>
            <x14:dxf>
              <fill>
                <patternFill>
                  <bgColor theme="6"/>
                </patternFill>
              </fill>
            </x14:dxf>
          </x14:cfRule>
          <xm:sqref>C7:M7 C11:M11</xm:sqref>
        </x14:conditionalFormatting>
        <x14:conditionalFormatting xmlns:xm="http://schemas.microsoft.com/office/excel/2006/main">
          <x14:cfRule type="expression" priority="279" id="{CC5C288C-7B56-41CC-89F6-0D95CB1A69DD}">
            <xm:f>AND(ISNUMBER($L1),$L1&lt;IF($A1="Grand Total",'Input Sheet'!$J$1,'Input Sheet'!$J$2))</xm:f>
            <x14:dxf>
              <font>
                <color auto="1"/>
              </font>
              <fill>
                <patternFill>
                  <bgColor theme="5"/>
                </patternFill>
              </fill>
            </x14:dxf>
          </x14:cfRule>
          <xm:sqref>K6:N14 A1:B2 N1:N2 A6:B14 A172:B1048576 K172:N1048576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M123"/>
  <sheetViews>
    <sheetView showZeros="0" workbookViewId="0">
      <pane xSplit="2" ySplit="4" topLeftCell="C5" activePane="bottomRight" state="frozen"/>
      <selection pane="topRight" activeCell="C1" sqref="C1"/>
      <selection pane="bottomLeft" activeCell="A5" sqref="A5"/>
      <selection pane="bottomRight" activeCell="J60" sqref="J60"/>
    </sheetView>
  </sheetViews>
  <sheetFormatPr defaultColWidth="9.109375" defaultRowHeight="14.4" x14ac:dyDescent="0.3"/>
  <cols>
    <col min="1" max="1" width="42" style="40" bestFit="1" customWidth="1"/>
    <col min="2" max="2" width="15.33203125" style="41" customWidth="1"/>
    <col min="3" max="3" width="14.109375" style="41" customWidth="1"/>
    <col min="4" max="4" width="14.33203125" style="42" customWidth="1"/>
    <col min="5" max="5" width="15.6640625" style="42" customWidth="1"/>
    <col min="6" max="6" width="15.88671875" style="42" customWidth="1"/>
    <col min="7" max="7" width="14.33203125" style="42" customWidth="1"/>
    <col min="8" max="8" width="15.33203125" style="42" customWidth="1"/>
    <col min="9" max="9" width="16.5546875" style="42" customWidth="1"/>
    <col min="10" max="10" width="14.33203125" style="42" customWidth="1"/>
    <col min="11" max="11" width="9.109375" style="40"/>
    <col min="12" max="12" width="6.6640625" style="40" customWidth="1"/>
    <col min="13" max="13" width="19.88671875" style="40" customWidth="1"/>
    <col min="14" max="16384" width="9.109375" style="40"/>
  </cols>
  <sheetData>
    <row r="1" spans="1:13" s="49" customFormat="1" x14ac:dyDescent="0.3">
      <c r="A1" s="282" t="s">
        <v>68</v>
      </c>
      <c r="B1" s="283"/>
      <c r="C1" s="43" t="s">
        <v>69</v>
      </c>
      <c r="D1" s="36">
        <v>5</v>
      </c>
      <c r="E1" s="44" t="s">
        <v>70</v>
      </c>
      <c r="F1" s="157" t="s">
        <v>2150</v>
      </c>
      <c r="G1" s="44" t="s">
        <v>71</v>
      </c>
      <c r="H1" s="37">
        <v>46122</v>
      </c>
      <c r="I1" s="45" t="s">
        <v>72</v>
      </c>
      <c r="J1" s="65">
        <v>1.94</v>
      </c>
      <c r="K1" s="284" t="s">
        <v>2294</v>
      </c>
      <c r="L1" s="284"/>
      <c r="M1" s="284"/>
    </row>
    <row r="2" spans="1:13" s="49" customFormat="1" ht="15" thickBot="1" x14ac:dyDescent="0.35">
      <c r="A2" s="282"/>
      <c r="B2" s="283"/>
      <c r="C2" s="46" t="s">
        <v>73</v>
      </c>
      <c r="D2" s="38" t="s">
        <v>235</v>
      </c>
      <c r="E2" s="74" t="s">
        <v>75</v>
      </c>
      <c r="F2" s="39">
        <v>46161</v>
      </c>
      <c r="G2" s="47" t="s">
        <v>76</v>
      </c>
      <c r="H2" s="39">
        <v>46133</v>
      </c>
      <c r="I2" s="48" t="s">
        <v>77</v>
      </c>
      <c r="J2" s="66">
        <v>4.8600000000000003</v>
      </c>
      <c r="K2" s="284"/>
      <c r="L2" s="284"/>
      <c r="M2" s="284"/>
    </row>
    <row r="3" spans="1:13" s="49" customFormat="1" x14ac:dyDescent="0.3">
      <c r="A3" s="64" t="s">
        <v>78</v>
      </c>
      <c r="B3" s="50"/>
      <c r="C3" s="50"/>
      <c r="D3" s="51"/>
      <c r="E3" s="51"/>
      <c r="F3" s="51"/>
      <c r="G3" s="51"/>
      <c r="H3" s="51"/>
      <c r="I3" s="51"/>
      <c r="J3" s="51"/>
      <c r="K3" s="285" t="str" cm="1">
        <f t="array" ref="K3">_xlfn.CONCAT(SUM(1/COUNTIFS(B5:B123,B5:B123))," Counties")</f>
        <v>37 Counties</v>
      </c>
      <c r="L3" s="285"/>
      <c r="M3" s="285"/>
    </row>
    <row r="4" spans="1:13" s="49" customFormat="1" x14ac:dyDescent="0.3">
      <c r="A4" s="52" t="s">
        <v>18</v>
      </c>
      <c r="B4" s="53" t="s">
        <v>17</v>
      </c>
      <c r="C4" s="53" t="s">
        <v>79</v>
      </c>
      <c r="D4" s="72" t="s">
        <v>80</v>
      </c>
      <c r="E4" s="72" t="s">
        <v>81</v>
      </c>
      <c r="F4" s="73" t="s">
        <v>82</v>
      </c>
      <c r="G4" s="73" t="s">
        <v>83</v>
      </c>
      <c r="H4" s="73" t="s">
        <v>84</v>
      </c>
      <c r="I4" s="73" t="s">
        <v>85</v>
      </c>
      <c r="J4" s="73" t="s">
        <v>86</v>
      </c>
      <c r="K4" s="285"/>
      <c r="L4" s="285"/>
      <c r="M4" s="285"/>
    </row>
    <row r="5" spans="1:13" hidden="1" x14ac:dyDescent="0.3">
      <c r="A5" s="171" t="s">
        <v>2175</v>
      </c>
      <c r="B5" s="69" t="s">
        <v>1068</v>
      </c>
      <c r="C5" s="63" t="s">
        <v>87</v>
      </c>
      <c r="D5" s="70"/>
      <c r="E5" s="70">
        <v>78740.63</v>
      </c>
      <c r="F5" s="70">
        <v>370322.78</v>
      </c>
      <c r="G5" s="70"/>
      <c r="H5" s="70"/>
      <c r="I5" s="70"/>
      <c r="J5" s="70"/>
    </row>
    <row r="6" spans="1:13" hidden="1" x14ac:dyDescent="0.3">
      <c r="A6" s="171" t="s">
        <v>2290</v>
      </c>
      <c r="B6" s="69" t="s">
        <v>1068</v>
      </c>
      <c r="C6" s="63" t="s">
        <v>87</v>
      </c>
      <c r="D6" s="172"/>
      <c r="E6" s="172">
        <v>836</v>
      </c>
      <c r="F6" s="172"/>
      <c r="G6" s="172"/>
      <c r="H6" s="172"/>
      <c r="I6" s="172"/>
      <c r="J6" s="172"/>
    </row>
    <row r="7" spans="1:13" hidden="1" x14ac:dyDescent="0.3">
      <c r="A7" s="68" t="s">
        <v>2228</v>
      </c>
      <c r="B7" s="69" t="s">
        <v>1070</v>
      </c>
      <c r="C7" s="63" t="s">
        <v>87</v>
      </c>
      <c r="D7" s="70"/>
      <c r="E7" s="70"/>
      <c r="F7" s="70">
        <v>89967</v>
      </c>
      <c r="G7" s="70"/>
      <c r="H7" s="70"/>
      <c r="I7" s="70"/>
      <c r="J7" s="70"/>
    </row>
    <row r="8" spans="1:13" hidden="1" x14ac:dyDescent="0.3">
      <c r="A8" s="89" t="s">
        <v>2229</v>
      </c>
      <c r="B8" s="69" t="s">
        <v>1070</v>
      </c>
      <c r="C8" s="63" t="s">
        <v>87</v>
      </c>
      <c r="D8" s="70">
        <v>33497.300000000003</v>
      </c>
      <c r="E8" s="70"/>
      <c r="F8" s="70"/>
      <c r="G8" s="70"/>
      <c r="H8" s="70"/>
      <c r="I8" s="70"/>
      <c r="J8" s="70"/>
    </row>
    <row r="9" spans="1:13" hidden="1" x14ac:dyDescent="0.3">
      <c r="A9" s="68" t="s">
        <v>2230</v>
      </c>
      <c r="B9" s="69" t="s">
        <v>1070</v>
      </c>
      <c r="C9" s="63" t="s">
        <v>87</v>
      </c>
      <c r="D9" s="70">
        <v>70650</v>
      </c>
      <c r="E9" s="70"/>
      <c r="F9" s="70"/>
      <c r="G9" s="70">
        <v>20282</v>
      </c>
      <c r="H9" s="70"/>
      <c r="I9" s="70"/>
      <c r="J9" s="70"/>
    </row>
    <row r="10" spans="1:13" hidden="1" x14ac:dyDescent="0.3">
      <c r="A10" s="68" t="s">
        <v>2208</v>
      </c>
      <c r="B10" s="69" t="s">
        <v>1071</v>
      </c>
      <c r="C10" s="63" t="s">
        <v>87</v>
      </c>
      <c r="D10" s="70"/>
      <c r="E10" s="70"/>
      <c r="F10" s="70">
        <v>147388</v>
      </c>
      <c r="G10" s="70"/>
      <c r="H10" s="70"/>
      <c r="I10" s="70"/>
      <c r="J10" s="70"/>
    </row>
    <row r="11" spans="1:13" hidden="1" x14ac:dyDescent="0.3">
      <c r="A11" s="68" t="s">
        <v>2209</v>
      </c>
      <c r="B11" s="69" t="s">
        <v>1071</v>
      </c>
      <c r="C11" s="63" t="s">
        <v>87</v>
      </c>
      <c r="D11" s="70"/>
      <c r="E11" s="70"/>
      <c r="F11" s="70"/>
      <c r="G11" s="70">
        <v>73375.929999999993</v>
      </c>
      <c r="H11" s="70"/>
      <c r="I11" s="70"/>
      <c r="J11" s="70"/>
    </row>
    <row r="12" spans="1:13" hidden="1" x14ac:dyDescent="0.3">
      <c r="A12" s="89" t="s">
        <v>2226</v>
      </c>
      <c r="B12" s="69" t="s">
        <v>1072</v>
      </c>
      <c r="C12" s="63" t="s">
        <v>87</v>
      </c>
      <c r="D12" s="199"/>
      <c r="E12" s="201">
        <v>28062.99</v>
      </c>
      <c r="F12" s="200"/>
      <c r="G12" s="201">
        <v>20183.439999999999</v>
      </c>
      <c r="H12" s="199"/>
      <c r="I12" s="199"/>
      <c r="J12" s="199"/>
    </row>
    <row r="13" spans="1:13" hidden="1" x14ac:dyDescent="0.3">
      <c r="A13" s="68" t="s">
        <v>2225</v>
      </c>
      <c r="B13" s="69" t="s">
        <v>1072</v>
      </c>
      <c r="C13" s="63" t="s">
        <v>87</v>
      </c>
      <c r="D13" s="70"/>
      <c r="E13" s="70"/>
      <c r="F13" s="70"/>
      <c r="G13" s="70"/>
      <c r="H13" s="70"/>
      <c r="I13" s="70"/>
      <c r="J13" s="70"/>
    </row>
    <row r="14" spans="1:13" hidden="1" x14ac:dyDescent="0.3">
      <c r="A14" s="68" t="s">
        <v>2186</v>
      </c>
      <c r="B14" s="69" t="s">
        <v>1076</v>
      </c>
      <c r="C14" s="63" t="s">
        <v>87</v>
      </c>
      <c r="D14" s="70"/>
      <c r="E14" s="70"/>
      <c r="F14" s="70"/>
      <c r="G14" s="70"/>
      <c r="H14" s="70"/>
      <c r="I14" s="70"/>
      <c r="J14" s="70"/>
    </row>
    <row r="15" spans="1:13" hidden="1" x14ac:dyDescent="0.3">
      <c r="A15" s="68" t="s">
        <v>2187</v>
      </c>
      <c r="B15" s="69" t="s">
        <v>1076</v>
      </c>
      <c r="C15" s="63" t="s">
        <v>87</v>
      </c>
      <c r="D15" s="70"/>
      <c r="E15" s="70"/>
      <c r="F15" s="70"/>
      <c r="G15" s="70"/>
      <c r="H15" s="70"/>
      <c r="I15" s="70"/>
      <c r="J15" s="70">
        <v>7812</v>
      </c>
    </row>
    <row r="16" spans="1:13" hidden="1" x14ac:dyDescent="0.3">
      <c r="A16" s="68" t="s">
        <v>2188</v>
      </c>
      <c r="B16" s="69" t="s">
        <v>1076</v>
      </c>
      <c r="C16" s="63" t="s">
        <v>87</v>
      </c>
      <c r="D16" s="70"/>
      <c r="E16" s="70"/>
      <c r="F16" s="70"/>
      <c r="G16" s="70"/>
      <c r="H16" s="70"/>
      <c r="I16" s="70"/>
      <c r="J16" s="70"/>
    </row>
    <row r="17" spans="1:10" hidden="1" x14ac:dyDescent="0.3">
      <c r="A17" s="68" t="s">
        <v>2189</v>
      </c>
      <c r="B17" s="69" t="s">
        <v>1076</v>
      </c>
      <c r="C17" s="63" t="s">
        <v>87</v>
      </c>
      <c r="D17" s="70"/>
      <c r="E17" s="70"/>
      <c r="F17" s="70"/>
      <c r="G17" s="70"/>
      <c r="H17" s="70"/>
      <c r="I17" s="70"/>
      <c r="J17" s="70"/>
    </row>
    <row r="18" spans="1:10" hidden="1" x14ac:dyDescent="0.3">
      <c r="A18" s="68" t="s">
        <v>2292</v>
      </c>
      <c r="B18" s="69" t="s">
        <v>1076</v>
      </c>
      <c r="C18" s="63" t="s">
        <v>87</v>
      </c>
      <c r="D18" s="70"/>
      <c r="E18" s="70"/>
      <c r="F18" s="70"/>
      <c r="G18" s="70">
        <v>35892.619999999995</v>
      </c>
      <c r="H18" s="70"/>
      <c r="I18" s="70"/>
      <c r="J18" s="70"/>
    </row>
    <row r="19" spans="1:10" hidden="1" x14ac:dyDescent="0.3">
      <c r="A19" s="68" t="s">
        <v>2190</v>
      </c>
      <c r="B19" s="69" t="s">
        <v>1076</v>
      </c>
      <c r="C19" s="63" t="s">
        <v>87</v>
      </c>
      <c r="D19" s="70"/>
      <c r="E19" s="70"/>
      <c r="F19" s="70"/>
      <c r="G19" s="70"/>
      <c r="H19" s="70"/>
      <c r="I19" s="70">
        <v>187982</v>
      </c>
      <c r="J19" s="70"/>
    </row>
    <row r="20" spans="1:10" hidden="1" x14ac:dyDescent="0.3">
      <c r="A20" s="68" t="s">
        <v>2202</v>
      </c>
      <c r="B20" s="69" t="s">
        <v>1078</v>
      </c>
      <c r="C20" s="63" t="s">
        <v>87</v>
      </c>
      <c r="D20" s="70"/>
      <c r="E20" s="70"/>
      <c r="F20" s="70">
        <v>190676.5</v>
      </c>
      <c r="G20" s="70"/>
      <c r="H20" s="70"/>
      <c r="I20" s="70"/>
      <c r="J20" s="70"/>
    </row>
    <row r="21" spans="1:10" hidden="1" x14ac:dyDescent="0.3">
      <c r="A21" s="68" t="s">
        <v>2203</v>
      </c>
      <c r="B21" s="69" t="s">
        <v>1078</v>
      </c>
      <c r="C21" s="63" t="s">
        <v>87</v>
      </c>
      <c r="D21" s="70"/>
      <c r="E21" s="70"/>
      <c r="F21" s="70"/>
      <c r="G21" s="70"/>
      <c r="H21" s="70"/>
      <c r="I21" s="70">
        <v>0</v>
      </c>
      <c r="J21" s="70"/>
    </row>
    <row r="22" spans="1:10" hidden="1" x14ac:dyDescent="0.3">
      <c r="A22" s="68" t="s">
        <v>2204</v>
      </c>
      <c r="B22" s="69" t="s">
        <v>1078</v>
      </c>
      <c r="C22" s="63" t="s">
        <v>87</v>
      </c>
      <c r="D22" s="70"/>
      <c r="E22" s="70"/>
      <c r="F22" s="70"/>
      <c r="G22" s="70"/>
      <c r="H22" s="70"/>
      <c r="I22" s="70">
        <v>7936</v>
      </c>
      <c r="J22" s="70"/>
    </row>
    <row r="23" spans="1:10" hidden="1" x14ac:dyDescent="0.3">
      <c r="A23" s="68" t="s">
        <v>2205</v>
      </c>
      <c r="B23" s="69" t="s">
        <v>1078</v>
      </c>
      <c r="C23" s="63" t="s">
        <v>87</v>
      </c>
      <c r="D23" s="70"/>
      <c r="E23" s="70"/>
      <c r="F23" s="70"/>
      <c r="G23" s="70">
        <v>26145</v>
      </c>
      <c r="H23" s="70"/>
      <c r="I23" s="70"/>
      <c r="J23" s="70"/>
    </row>
    <row r="24" spans="1:10" hidden="1" x14ac:dyDescent="0.3">
      <c r="A24" s="68" t="s">
        <v>2279</v>
      </c>
      <c r="B24" s="69" t="s">
        <v>1079</v>
      </c>
      <c r="C24" s="69" t="s">
        <v>87</v>
      </c>
      <c r="D24" s="70"/>
      <c r="E24" s="70">
        <v>31621</v>
      </c>
      <c r="F24" s="70">
        <v>905964</v>
      </c>
      <c r="G24" s="70"/>
      <c r="H24" s="70"/>
      <c r="I24" s="70"/>
      <c r="J24" s="70"/>
    </row>
    <row r="25" spans="1:10" hidden="1" x14ac:dyDescent="0.3">
      <c r="A25" s="68" t="s">
        <v>2280</v>
      </c>
      <c r="B25" s="69" t="s">
        <v>1079</v>
      </c>
      <c r="C25" s="69" t="s">
        <v>87</v>
      </c>
      <c r="D25" s="70">
        <v>350000</v>
      </c>
      <c r="E25" s="70">
        <v>48044.53</v>
      </c>
      <c r="F25" s="70"/>
      <c r="G25" s="70"/>
      <c r="H25" s="70"/>
      <c r="I25" s="70"/>
      <c r="J25" s="70"/>
    </row>
    <row r="26" spans="1:10" hidden="1" x14ac:dyDescent="0.3">
      <c r="A26" s="68" t="s">
        <v>2284</v>
      </c>
      <c r="B26" s="69" t="s">
        <v>1079</v>
      </c>
      <c r="C26" s="69" t="s">
        <v>87</v>
      </c>
      <c r="D26" s="70">
        <v>470369.85</v>
      </c>
      <c r="E26" s="70">
        <v>5084849.45</v>
      </c>
      <c r="F26" s="70"/>
      <c r="G26" s="70">
        <v>624844.77</v>
      </c>
      <c r="H26" s="70"/>
      <c r="I26" s="70"/>
      <c r="J26" s="70">
        <v>604436</v>
      </c>
    </row>
    <row r="27" spans="1:10" hidden="1" x14ac:dyDescent="0.3">
      <c r="A27" s="68" t="s">
        <v>2283</v>
      </c>
      <c r="B27" s="69" t="s">
        <v>1079</v>
      </c>
      <c r="C27" s="69" t="s">
        <v>87</v>
      </c>
      <c r="D27" s="70"/>
      <c r="E27" s="70">
        <v>66516</v>
      </c>
      <c r="F27" s="70"/>
      <c r="G27" s="70"/>
      <c r="H27" s="70"/>
      <c r="I27" s="70"/>
      <c r="J27" s="70"/>
    </row>
    <row r="28" spans="1:10" hidden="1" x14ac:dyDescent="0.3">
      <c r="A28" s="68" t="s">
        <v>2282</v>
      </c>
      <c r="B28" s="69" t="s">
        <v>1079</v>
      </c>
      <c r="C28" s="69" t="s">
        <v>87</v>
      </c>
      <c r="D28" s="70"/>
      <c r="E28" s="70"/>
      <c r="F28" s="70"/>
      <c r="G28" s="70"/>
      <c r="H28" s="70"/>
      <c r="I28" s="70">
        <v>66138</v>
      </c>
      <c r="J28" s="70"/>
    </row>
    <row r="29" spans="1:10" hidden="1" x14ac:dyDescent="0.3">
      <c r="A29" s="68" t="s">
        <v>2281</v>
      </c>
      <c r="B29" s="69" t="s">
        <v>1079</v>
      </c>
      <c r="C29" s="69" t="s">
        <v>87</v>
      </c>
      <c r="D29" s="70">
        <v>0</v>
      </c>
      <c r="E29" s="70">
        <v>24657.62</v>
      </c>
      <c r="F29" s="70">
        <v>0</v>
      </c>
      <c r="G29" s="70"/>
      <c r="H29" s="70"/>
      <c r="I29" s="70"/>
      <c r="J29" s="70">
        <v>185467</v>
      </c>
    </row>
    <row r="30" spans="1:10" hidden="1" x14ac:dyDescent="0.3">
      <c r="A30" s="68" t="s">
        <v>2207</v>
      </c>
      <c r="B30" s="69" t="s">
        <v>1081</v>
      </c>
      <c r="C30" s="63" t="s">
        <v>87</v>
      </c>
      <c r="D30" s="70"/>
      <c r="E30" s="70"/>
      <c r="F30" s="70">
        <v>38906.370000000003</v>
      </c>
      <c r="G30" s="70"/>
      <c r="H30" s="70"/>
      <c r="I30" s="70"/>
      <c r="J30" s="70"/>
    </row>
    <row r="31" spans="1:10" hidden="1" x14ac:dyDescent="0.3">
      <c r="A31" s="68" t="s">
        <v>2250</v>
      </c>
      <c r="B31" s="69" t="s">
        <v>1081</v>
      </c>
      <c r="C31" s="63" t="s">
        <v>87</v>
      </c>
      <c r="D31" s="70"/>
      <c r="E31" s="70"/>
      <c r="F31" s="70"/>
      <c r="G31" s="70"/>
      <c r="H31" s="70"/>
      <c r="I31" s="70">
        <v>4075</v>
      </c>
      <c r="J31" s="70"/>
    </row>
    <row r="32" spans="1:10" hidden="1" x14ac:dyDescent="0.3">
      <c r="A32" s="68" t="s">
        <v>2220</v>
      </c>
      <c r="B32" s="69" t="s">
        <v>40</v>
      </c>
      <c r="C32" s="63" t="s">
        <v>87</v>
      </c>
      <c r="D32" s="70"/>
      <c r="E32" s="70"/>
      <c r="F32" s="70">
        <v>20080</v>
      </c>
      <c r="G32" s="70"/>
      <c r="H32" s="70"/>
      <c r="I32" s="70"/>
      <c r="J32" s="70"/>
    </row>
    <row r="33" spans="1:10" hidden="1" x14ac:dyDescent="0.3">
      <c r="A33" s="68" t="s">
        <v>2217</v>
      </c>
      <c r="B33" s="69" t="s">
        <v>40</v>
      </c>
      <c r="C33" s="63" t="s">
        <v>87</v>
      </c>
      <c r="D33" s="70"/>
      <c r="E33" s="70">
        <v>5500</v>
      </c>
      <c r="F33" s="70"/>
      <c r="G33" s="70"/>
      <c r="H33" s="70"/>
      <c r="I33" s="70"/>
      <c r="J33" s="70"/>
    </row>
    <row r="34" spans="1:10" hidden="1" x14ac:dyDescent="0.3">
      <c r="A34" s="68" t="s">
        <v>2218</v>
      </c>
      <c r="B34" s="69" t="s">
        <v>40</v>
      </c>
      <c r="C34" s="63" t="s">
        <v>87</v>
      </c>
      <c r="D34" s="70"/>
      <c r="E34" s="70"/>
      <c r="F34" s="70">
        <v>29208</v>
      </c>
      <c r="G34" s="70"/>
      <c r="H34" s="70"/>
      <c r="I34" s="70"/>
      <c r="J34" s="70"/>
    </row>
    <row r="35" spans="1:10" hidden="1" x14ac:dyDescent="0.3">
      <c r="A35" s="68" t="s">
        <v>2232</v>
      </c>
      <c r="B35" s="69" t="s">
        <v>40</v>
      </c>
      <c r="C35" s="63" t="s">
        <v>87</v>
      </c>
      <c r="D35" s="70"/>
      <c r="E35" s="70"/>
      <c r="F35" s="70"/>
      <c r="G35" s="70"/>
      <c r="H35" s="70"/>
      <c r="I35" s="70"/>
      <c r="J35" s="70">
        <v>804</v>
      </c>
    </row>
    <row r="36" spans="1:10" hidden="1" x14ac:dyDescent="0.3">
      <c r="A36" s="68" t="s">
        <v>2219</v>
      </c>
      <c r="B36" s="69" t="s">
        <v>40</v>
      </c>
      <c r="C36" s="63" t="s">
        <v>87</v>
      </c>
      <c r="D36" s="70"/>
      <c r="E36" s="70">
        <v>11923</v>
      </c>
      <c r="F36" s="70"/>
      <c r="G36" s="70"/>
      <c r="H36" s="70"/>
      <c r="I36" s="70"/>
      <c r="J36" s="70"/>
    </row>
    <row r="37" spans="1:10" hidden="1" x14ac:dyDescent="0.3">
      <c r="A37" s="67" t="s">
        <v>2233</v>
      </c>
      <c r="B37" s="69" t="s">
        <v>1082</v>
      </c>
      <c r="C37" s="63" t="s">
        <v>87</v>
      </c>
      <c r="D37" s="70"/>
      <c r="E37" s="70"/>
      <c r="F37" s="70"/>
      <c r="G37" s="70"/>
      <c r="H37" s="70"/>
      <c r="I37" s="70"/>
      <c r="J37" s="70"/>
    </row>
    <row r="38" spans="1:10" hidden="1" x14ac:dyDescent="0.3">
      <c r="A38" s="89" t="s">
        <v>2234</v>
      </c>
      <c r="B38" s="69" t="s">
        <v>1082</v>
      </c>
      <c r="C38" s="63" t="s">
        <v>87</v>
      </c>
      <c r="D38" s="71"/>
      <c r="E38" s="71">
        <v>8565.56</v>
      </c>
      <c r="F38" s="71">
        <v>503921.9</v>
      </c>
      <c r="G38" s="71"/>
      <c r="H38" s="71"/>
      <c r="I38" s="71"/>
      <c r="J38" s="71"/>
    </row>
    <row r="39" spans="1:10" hidden="1" x14ac:dyDescent="0.3">
      <c r="A39" s="68" t="s">
        <v>2236</v>
      </c>
      <c r="B39" s="69" t="s">
        <v>1082</v>
      </c>
      <c r="C39" s="63" t="s">
        <v>87</v>
      </c>
      <c r="D39" s="70"/>
      <c r="E39" s="70">
        <v>15666.48</v>
      </c>
      <c r="F39" s="70"/>
      <c r="G39" s="70"/>
      <c r="H39" s="70"/>
      <c r="I39" s="70"/>
      <c r="J39" s="70"/>
    </row>
    <row r="40" spans="1:10" hidden="1" x14ac:dyDescent="0.3">
      <c r="A40" s="68" t="s">
        <v>2237</v>
      </c>
      <c r="B40" s="69" t="s">
        <v>1082</v>
      </c>
      <c r="C40" s="63" t="s">
        <v>87</v>
      </c>
      <c r="D40" s="70"/>
      <c r="E40" s="70">
        <v>172059</v>
      </c>
      <c r="F40" s="70"/>
      <c r="G40" s="70"/>
      <c r="H40" s="70"/>
      <c r="I40" s="70"/>
      <c r="J40" s="70"/>
    </row>
    <row r="41" spans="1:10" hidden="1" x14ac:dyDescent="0.3">
      <c r="A41" s="67" t="s">
        <v>2235</v>
      </c>
      <c r="B41" s="69" t="s">
        <v>1082</v>
      </c>
      <c r="C41" s="63" t="s">
        <v>87</v>
      </c>
      <c r="D41" s="70"/>
      <c r="E41" s="70"/>
      <c r="F41" s="70"/>
      <c r="G41" s="70">
        <v>124264.1</v>
      </c>
      <c r="H41" s="70"/>
      <c r="I41" s="70"/>
      <c r="J41" s="70"/>
    </row>
    <row r="42" spans="1:10" hidden="1" x14ac:dyDescent="0.3">
      <c r="A42" s="68" t="s">
        <v>2270</v>
      </c>
      <c r="B42" s="69" t="s">
        <v>720</v>
      </c>
      <c r="C42" s="69" t="s">
        <v>87</v>
      </c>
      <c r="D42" s="70"/>
      <c r="E42" s="70"/>
      <c r="F42" s="70"/>
      <c r="G42" s="70"/>
      <c r="H42" s="70"/>
      <c r="I42" s="70"/>
      <c r="J42" s="70">
        <v>75175.759999999995</v>
      </c>
    </row>
    <row r="43" spans="1:10" hidden="1" x14ac:dyDescent="0.3">
      <c r="A43" s="68" t="s">
        <v>2271</v>
      </c>
      <c r="B43" s="69" t="s">
        <v>720</v>
      </c>
      <c r="C43" s="69" t="s">
        <v>87</v>
      </c>
      <c r="D43" s="70"/>
      <c r="E43" s="70"/>
      <c r="F43" s="70"/>
      <c r="G43" s="70"/>
      <c r="H43" s="70"/>
      <c r="I43" s="70"/>
      <c r="J43" s="70">
        <v>5468</v>
      </c>
    </row>
    <row r="44" spans="1:10" hidden="1" x14ac:dyDescent="0.3">
      <c r="A44" s="68" t="s">
        <v>2269</v>
      </c>
      <c r="B44" s="69" t="s">
        <v>720</v>
      </c>
      <c r="C44" s="69" t="s">
        <v>87</v>
      </c>
      <c r="D44" s="70"/>
      <c r="E44" s="70">
        <v>191373.9</v>
      </c>
      <c r="F44" s="70"/>
      <c r="G44" s="70"/>
      <c r="H44" s="70">
        <v>6000</v>
      </c>
      <c r="I44" s="70"/>
      <c r="J44" s="70"/>
    </row>
    <row r="45" spans="1:10" hidden="1" x14ac:dyDescent="0.3">
      <c r="A45" s="68" t="s">
        <v>2285</v>
      </c>
      <c r="B45" s="69" t="s">
        <v>1086</v>
      </c>
      <c r="C45" s="69" t="s">
        <v>87</v>
      </c>
      <c r="D45" s="70"/>
      <c r="E45" s="70"/>
      <c r="F45" s="70"/>
      <c r="G45" s="70"/>
      <c r="H45" s="70">
        <v>73925.119999999995</v>
      </c>
      <c r="I45" s="70"/>
      <c r="J45" s="70">
        <v>60346.27</v>
      </c>
    </row>
    <row r="46" spans="1:10" hidden="1" x14ac:dyDescent="0.3">
      <c r="A46" s="68" t="s">
        <v>2288</v>
      </c>
      <c r="B46" s="69" t="s">
        <v>1086</v>
      </c>
      <c r="C46" s="69" t="s">
        <v>87</v>
      </c>
      <c r="D46" s="70"/>
      <c r="E46" s="70">
        <v>4500</v>
      </c>
      <c r="F46" s="70"/>
      <c r="G46" s="70"/>
      <c r="H46" s="70"/>
      <c r="I46" s="70"/>
      <c r="J46" s="70">
        <v>226075.57</v>
      </c>
    </row>
    <row r="47" spans="1:10" hidden="1" x14ac:dyDescent="0.3">
      <c r="A47" s="68" t="s">
        <v>2287</v>
      </c>
      <c r="B47" s="69" t="s">
        <v>1086</v>
      </c>
      <c r="C47" s="69" t="s">
        <v>87</v>
      </c>
      <c r="D47" s="70">
        <v>198000</v>
      </c>
      <c r="E47" s="70">
        <v>138929.51999999999</v>
      </c>
      <c r="F47" s="70">
        <v>1657333.52</v>
      </c>
      <c r="G47" s="70"/>
      <c r="H47" s="70"/>
      <c r="I47" s="70"/>
      <c r="J47" s="70"/>
    </row>
    <row r="48" spans="1:10" hidden="1" x14ac:dyDescent="0.3">
      <c r="A48" s="68" t="s">
        <v>2289</v>
      </c>
      <c r="B48" s="69" t="s">
        <v>1086</v>
      </c>
      <c r="C48" s="69" t="s">
        <v>87</v>
      </c>
      <c r="D48" s="70"/>
      <c r="E48" s="70"/>
      <c r="F48" s="70"/>
      <c r="G48" s="70"/>
      <c r="H48" s="70"/>
      <c r="I48" s="70"/>
      <c r="J48" s="70">
        <v>1400</v>
      </c>
    </row>
    <row r="49" spans="1:10" hidden="1" x14ac:dyDescent="0.3">
      <c r="A49" s="68" t="s">
        <v>2286</v>
      </c>
      <c r="B49" s="69" t="s">
        <v>1086</v>
      </c>
      <c r="C49" s="69" t="s">
        <v>87</v>
      </c>
      <c r="D49" s="70">
        <v>0</v>
      </c>
      <c r="E49" s="70">
        <v>0</v>
      </c>
      <c r="F49" s="70">
        <v>35750</v>
      </c>
      <c r="G49" s="70"/>
      <c r="H49" s="70"/>
      <c r="I49" s="70"/>
      <c r="J49" s="70">
        <v>294071</v>
      </c>
    </row>
    <row r="50" spans="1:10" hidden="1" x14ac:dyDescent="0.3">
      <c r="A50" s="68" t="s">
        <v>2176</v>
      </c>
      <c r="B50" s="69" t="s">
        <v>1087</v>
      </c>
      <c r="C50" s="63" t="s">
        <v>87</v>
      </c>
      <c r="D50" s="70"/>
      <c r="E50" s="70"/>
      <c r="F50" s="70">
        <v>15580</v>
      </c>
      <c r="G50" s="70"/>
      <c r="H50" s="70"/>
      <c r="I50" s="70"/>
      <c r="J50" s="70"/>
    </row>
    <row r="51" spans="1:10" hidden="1" x14ac:dyDescent="0.3">
      <c r="A51" s="68" t="s">
        <v>2177</v>
      </c>
      <c r="B51" s="69" t="s">
        <v>1087</v>
      </c>
      <c r="C51" s="63" t="s">
        <v>87</v>
      </c>
      <c r="D51" s="70"/>
      <c r="E51" s="70"/>
      <c r="F51" s="70"/>
      <c r="G51" s="70"/>
      <c r="H51" s="70">
        <v>8591.26</v>
      </c>
      <c r="I51" s="70"/>
      <c r="J51" s="70"/>
    </row>
    <row r="52" spans="1:10" hidden="1" x14ac:dyDescent="0.3">
      <c r="A52" s="68" t="s">
        <v>2178</v>
      </c>
      <c r="B52" s="69" t="s">
        <v>1087</v>
      </c>
      <c r="C52" s="63" t="s">
        <v>87</v>
      </c>
      <c r="D52" s="70"/>
      <c r="E52" s="70"/>
      <c r="F52" s="70">
        <v>44730</v>
      </c>
      <c r="G52" s="70"/>
      <c r="H52" s="70"/>
      <c r="I52" s="70"/>
      <c r="J52" s="70"/>
    </row>
    <row r="53" spans="1:10" hidden="1" x14ac:dyDescent="0.3">
      <c r="A53" s="68" t="s">
        <v>2179</v>
      </c>
      <c r="B53" s="69" t="s">
        <v>1087</v>
      </c>
      <c r="C53" s="63" t="s">
        <v>87</v>
      </c>
      <c r="D53" s="70"/>
      <c r="E53" s="70">
        <v>19284.330000000002</v>
      </c>
      <c r="F53" s="70"/>
      <c r="G53" s="70"/>
      <c r="H53" s="70"/>
      <c r="I53" s="70">
        <v>4683.93</v>
      </c>
      <c r="J53" s="70"/>
    </row>
    <row r="54" spans="1:10" hidden="1" x14ac:dyDescent="0.3">
      <c r="A54" s="68" t="s">
        <v>2180</v>
      </c>
      <c r="B54" s="69" t="s">
        <v>1087</v>
      </c>
      <c r="C54" s="63" t="s">
        <v>87</v>
      </c>
      <c r="D54" s="70">
        <v>5750</v>
      </c>
      <c r="E54" s="70"/>
      <c r="F54" s="70"/>
      <c r="G54" s="70">
        <v>95900</v>
      </c>
      <c r="H54" s="70"/>
      <c r="I54" s="70"/>
      <c r="J54" s="70"/>
    </row>
    <row r="55" spans="1:10" hidden="1" x14ac:dyDescent="0.3">
      <c r="A55" s="68" t="s">
        <v>2181</v>
      </c>
      <c r="B55" s="69" t="s">
        <v>1087</v>
      </c>
      <c r="C55" s="63" t="s">
        <v>87</v>
      </c>
      <c r="D55" s="70">
        <v>6337.22</v>
      </c>
      <c r="E55" s="70"/>
      <c r="F55" s="70"/>
      <c r="G55" s="70"/>
      <c r="H55" s="70"/>
      <c r="I55" s="70">
        <v>5324.17</v>
      </c>
      <c r="J55" s="70"/>
    </row>
    <row r="56" spans="1:10" hidden="1" x14ac:dyDescent="0.3">
      <c r="A56" s="68" t="s">
        <v>2191</v>
      </c>
      <c r="B56" s="69" t="s">
        <v>1094</v>
      </c>
      <c r="C56" s="63" t="s">
        <v>87</v>
      </c>
      <c r="D56" s="70"/>
      <c r="E56" s="70"/>
      <c r="F56" s="70">
        <v>383314</v>
      </c>
      <c r="G56" s="70"/>
      <c r="H56" s="70"/>
      <c r="I56" s="70"/>
      <c r="J56" s="70"/>
    </row>
    <row r="57" spans="1:10" hidden="1" x14ac:dyDescent="0.3">
      <c r="A57" s="68" t="s">
        <v>2238</v>
      </c>
      <c r="B57" s="69" t="s">
        <v>46</v>
      </c>
      <c r="C57" s="63" t="s">
        <v>87</v>
      </c>
      <c r="D57" s="70"/>
      <c r="E57" s="70"/>
      <c r="F57" s="70">
        <v>117700</v>
      </c>
      <c r="G57" s="70"/>
      <c r="H57" s="70"/>
      <c r="I57" s="70"/>
      <c r="J57" s="70"/>
    </row>
    <row r="58" spans="1:10" hidden="1" x14ac:dyDescent="0.3">
      <c r="A58" s="68" t="s">
        <v>2239</v>
      </c>
      <c r="B58" s="69" t="s">
        <v>46</v>
      </c>
      <c r="C58" s="63" t="s">
        <v>87</v>
      </c>
      <c r="D58" s="70"/>
      <c r="E58" s="70"/>
      <c r="F58" s="70"/>
      <c r="G58" s="70"/>
      <c r="H58" s="70"/>
      <c r="I58" s="70"/>
      <c r="J58" s="70"/>
    </row>
    <row r="59" spans="1:10" hidden="1" x14ac:dyDescent="0.3">
      <c r="A59" s="68" t="s">
        <v>2240</v>
      </c>
      <c r="B59" s="69" t="s">
        <v>46</v>
      </c>
      <c r="C59" s="63" t="s">
        <v>87</v>
      </c>
      <c r="D59" s="70"/>
      <c r="E59" s="70"/>
      <c r="F59" s="70"/>
      <c r="G59" s="70">
        <v>123738</v>
      </c>
      <c r="H59" s="70"/>
      <c r="I59" s="70"/>
      <c r="J59" s="70"/>
    </row>
    <row r="60" spans="1:10" x14ac:dyDescent="0.3">
      <c r="A60" s="68" t="s">
        <v>2182</v>
      </c>
      <c r="B60" s="69" t="s">
        <v>1096</v>
      </c>
      <c r="C60" s="63" t="s">
        <v>87</v>
      </c>
      <c r="D60" s="70">
        <v>6742</v>
      </c>
      <c r="E60" s="70"/>
      <c r="F60" s="70"/>
      <c r="G60" s="70"/>
      <c r="H60" s="70">
        <v>11795</v>
      </c>
      <c r="I60" s="70"/>
      <c r="J60" s="70"/>
    </row>
    <row r="61" spans="1:10" hidden="1" x14ac:dyDescent="0.3">
      <c r="A61" s="68" t="s">
        <v>2295</v>
      </c>
      <c r="B61" s="69" t="s">
        <v>1097</v>
      </c>
      <c r="C61" s="69" t="s">
        <v>87</v>
      </c>
      <c r="D61" s="70"/>
      <c r="E61" s="70"/>
      <c r="F61" s="70"/>
      <c r="G61" s="70">
        <v>91670</v>
      </c>
      <c r="H61" s="70"/>
      <c r="I61" s="70"/>
      <c r="J61" s="70"/>
    </row>
    <row r="62" spans="1:10" hidden="1" x14ac:dyDescent="0.3">
      <c r="A62" s="68" t="s">
        <v>2296</v>
      </c>
      <c r="B62" s="69" t="s">
        <v>1097</v>
      </c>
      <c r="C62" s="69" t="s">
        <v>87</v>
      </c>
      <c r="D62" s="70"/>
      <c r="E62" s="70"/>
      <c r="F62" s="70"/>
      <c r="G62" s="70"/>
      <c r="H62" s="70"/>
      <c r="I62" s="70"/>
      <c r="J62" s="70"/>
    </row>
    <row r="63" spans="1:10" hidden="1" x14ac:dyDescent="0.3">
      <c r="A63" s="68" t="s">
        <v>2298</v>
      </c>
      <c r="B63" s="69" t="s">
        <v>1097</v>
      </c>
      <c r="C63" s="69" t="s">
        <v>87</v>
      </c>
      <c r="D63" s="70"/>
      <c r="E63" s="70"/>
      <c r="F63" s="70"/>
      <c r="G63" s="70">
        <v>41889.269999999997</v>
      </c>
      <c r="H63" s="70"/>
      <c r="I63" s="70"/>
      <c r="J63" s="70"/>
    </row>
    <row r="64" spans="1:10" hidden="1" x14ac:dyDescent="0.3">
      <c r="A64" s="68" t="s">
        <v>2297</v>
      </c>
      <c r="B64" s="69" t="s">
        <v>1097</v>
      </c>
      <c r="C64" s="69" t="s">
        <v>87</v>
      </c>
      <c r="D64" s="70"/>
      <c r="E64" s="70"/>
      <c r="F64" s="70">
        <v>178470.59</v>
      </c>
      <c r="G64" s="70"/>
      <c r="H64" s="70"/>
      <c r="I64" s="70"/>
      <c r="J64" s="70"/>
    </row>
    <row r="65" spans="1:10" hidden="1" x14ac:dyDescent="0.3">
      <c r="A65" s="68" t="s">
        <v>2299</v>
      </c>
      <c r="B65" s="69" t="s">
        <v>1097</v>
      </c>
      <c r="C65" s="69" t="s">
        <v>87</v>
      </c>
      <c r="D65" s="70"/>
      <c r="E65" s="70"/>
      <c r="F65" s="70"/>
      <c r="G65" s="70"/>
      <c r="H65" s="70">
        <v>60035</v>
      </c>
      <c r="I65" s="70"/>
      <c r="J65" s="70"/>
    </row>
    <row r="66" spans="1:10" hidden="1" x14ac:dyDescent="0.3">
      <c r="A66" s="68" t="s">
        <v>2241</v>
      </c>
      <c r="B66" s="69" t="s">
        <v>439</v>
      </c>
      <c r="C66" s="202" t="s">
        <v>87</v>
      </c>
      <c r="D66" s="70"/>
      <c r="E66" s="70"/>
      <c r="F66" s="70"/>
      <c r="G66" s="70"/>
      <c r="H66" s="70"/>
      <c r="I66" s="70"/>
      <c r="J66" s="70">
        <v>13554.29</v>
      </c>
    </row>
    <row r="67" spans="1:10" hidden="1" x14ac:dyDescent="0.3">
      <c r="A67" s="68" t="s">
        <v>2195</v>
      </c>
      <c r="B67" s="69" t="s">
        <v>439</v>
      </c>
      <c r="C67" s="63" t="s">
        <v>87</v>
      </c>
      <c r="D67" s="70"/>
      <c r="E67" s="70"/>
      <c r="F67" s="70">
        <v>123782.58</v>
      </c>
      <c r="G67" s="70"/>
      <c r="H67" s="70"/>
      <c r="I67" s="70"/>
      <c r="J67" s="70"/>
    </row>
    <row r="68" spans="1:10" hidden="1" x14ac:dyDescent="0.3">
      <c r="A68" s="68" t="s">
        <v>2242</v>
      </c>
      <c r="B68" s="69" t="s">
        <v>1100</v>
      </c>
      <c r="C68" s="63" t="s">
        <v>87</v>
      </c>
      <c r="D68" s="70"/>
      <c r="E68" s="70"/>
      <c r="F68" s="70">
        <v>5458.15</v>
      </c>
      <c r="G68" s="70"/>
      <c r="H68" s="70"/>
      <c r="I68" s="70"/>
      <c r="J68" s="70"/>
    </row>
    <row r="69" spans="1:10" hidden="1" x14ac:dyDescent="0.3">
      <c r="A69" s="68" t="s">
        <v>2243</v>
      </c>
      <c r="B69" s="69" t="s">
        <v>1100</v>
      </c>
      <c r="C69" s="63" t="s">
        <v>87</v>
      </c>
      <c r="D69" s="70"/>
      <c r="E69" s="70"/>
      <c r="F69" s="70"/>
      <c r="G69" s="70"/>
      <c r="H69" s="70"/>
      <c r="I69" s="70"/>
      <c r="J69" s="70">
        <v>400</v>
      </c>
    </row>
    <row r="70" spans="1:10" hidden="1" x14ac:dyDescent="0.3">
      <c r="A70" s="68" t="s">
        <v>2272</v>
      </c>
      <c r="B70" s="69" t="s">
        <v>1105</v>
      </c>
      <c r="C70" s="202" t="s">
        <v>87</v>
      </c>
      <c r="D70" s="70"/>
      <c r="E70" s="70">
        <v>8275</v>
      </c>
      <c r="F70" s="70"/>
      <c r="G70" s="70">
        <v>0</v>
      </c>
      <c r="H70" s="70">
        <v>0</v>
      </c>
      <c r="I70" s="70"/>
      <c r="J70" s="70"/>
    </row>
    <row r="71" spans="1:10" hidden="1" x14ac:dyDescent="0.3">
      <c r="A71" s="68" t="s">
        <v>2273</v>
      </c>
      <c r="B71" s="69" t="s">
        <v>1105</v>
      </c>
      <c r="C71" s="202" t="s">
        <v>87</v>
      </c>
      <c r="D71" s="70">
        <v>4202</v>
      </c>
      <c r="E71" s="70"/>
      <c r="F71" s="70">
        <v>1932750</v>
      </c>
      <c r="G71" s="70"/>
      <c r="H71" s="70"/>
      <c r="I71" s="70"/>
      <c r="J71" s="70"/>
    </row>
    <row r="72" spans="1:10" hidden="1" x14ac:dyDescent="0.3">
      <c r="A72" s="68" t="s">
        <v>2274</v>
      </c>
      <c r="B72" s="69" t="s">
        <v>1105</v>
      </c>
      <c r="C72" s="202" t="s">
        <v>87</v>
      </c>
      <c r="D72" s="70"/>
      <c r="E72" s="70"/>
      <c r="F72" s="70"/>
      <c r="G72" s="70"/>
      <c r="H72" s="70"/>
      <c r="I72" s="70"/>
      <c r="J72" s="70">
        <v>7744.61</v>
      </c>
    </row>
    <row r="73" spans="1:10" hidden="1" x14ac:dyDescent="0.3">
      <c r="A73" s="68" t="s">
        <v>2184</v>
      </c>
      <c r="B73" s="69" t="s">
        <v>1106</v>
      </c>
      <c r="C73" s="63" t="s">
        <v>87</v>
      </c>
      <c r="D73" s="70"/>
      <c r="E73" s="70">
        <v>12326</v>
      </c>
      <c r="F73" s="70"/>
      <c r="G73" s="70"/>
      <c r="H73" s="70"/>
      <c r="I73" s="70"/>
      <c r="J73" s="70"/>
    </row>
    <row r="74" spans="1:10" hidden="1" x14ac:dyDescent="0.3">
      <c r="A74" s="68" t="s">
        <v>2183</v>
      </c>
      <c r="B74" s="69" t="s">
        <v>1106</v>
      </c>
      <c r="C74" s="63" t="s">
        <v>87</v>
      </c>
      <c r="D74" s="70"/>
      <c r="E74" s="70">
        <v>7619</v>
      </c>
      <c r="F74" s="70">
        <v>380617</v>
      </c>
      <c r="G74" s="70"/>
      <c r="H74" s="70"/>
      <c r="I74" s="70"/>
      <c r="J74" s="70"/>
    </row>
    <row r="75" spans="1:10" hidden="1" x14ac:dyDescent="0.3">
      <c r="A75" s="68" t="s">
        <v>2210</v>
      </c>
      <c r="B75" s="69" t="s">
        <v>1107</v>
      </c>
      <c r="C75" s="63" t="s">
        <v>87</v>
      </c>
      <c r="D75" s="70"/>
      <c r="E75" s="70"/>
      <c r="F75" s="70"/>
      <c r="G75" s="70"/>
      <c r="H75" s="70"/>
      <c r="I75" s="70"/>
      <c r="J75" s="70">
        <v>632000</v>
      </c>
    </row>
    <row r="76" spans="1:10" hidden="1" x14ac:dyDescent="0.3">
      <c r="A76" s="171" t="s">
        <v>2211</v>
      </c>
      <c r="B76" s="69" t="s">
        <v>1108</v>
      </c>
      <c r="C76" s="63" t="s">
        <v>87</v>
      </c>
      <c r="D76" s="70"/>
      <c r="E76" s="70"/>
      <c r="F76" s="70">
        <v>403474</v>
      </c>
      <c r="G76" s="70"/>
      <c r="H76" s="70"/>
      <c r="I76" s="70"/>
      <c r="J76" s="70"/>
    </row>
    <row r="77" spans="1:10" hidden="1" x14ac:dyDescent="0.3">
      <c r="A77" s="68" t="s">
        <v>2185</v>
      </c>
      <c r="B77" s="69" t="s">
        <v>1110</v>
      </c>
      <c r="C77" s="63" t="s">
        <v>87</v>
      </c>
      <c r="D77" s="70"/>
      <c r="E77" s="70"/>
      <c r="F77" s="70">
        <v>286453</v>
      </c>
      <c r="G77" s="70"/>
      <c r="H77" s="70"/>
      <c r="I77" s="70"/>
      <c r="J77" s="70"/>
    </row>
    <row r="78" spans="1:10" hidden="1" x14ac:dyDescent="0.3">
      <c r="A78" s="68" t="s">
        <v>2246</v>
      </c>
      <c r="B78" s="69" t="s">
        <v>1111</v>
      </c>
      <c r="C78" s="63" t="s">
        <v>87</v>
      </c>
      <c r="D78" s="70">
        <v>23413.01</v>
      </c>
      <c r="E78" s="70">
        <v>16029.02</v>
      </c>
      <c r="F78" s="70"/>
      <c r="G78" s="70"/>
      <c r="H78" s="70"/>
      <c r="I78" s="70"/>
      <c r="J78" s="70"/>
    </row>
    <row r="79" spans="1:10" hidden="1" x14ac:dyDescent="0.3">
      <c r="A79" s="68" t="s">
        <v>2244</v>
      </c>
      <c r="B79" s="69" t="s">
        <v>1111</v>
      </c>
      <c r="C79" s="63" t="s">
        <v>87</v>
      </c>
      <c r="D79" s="70"/>
      <c r="E79" s="70">
        <v>12521.62</v>
      </c>
      <c r="F79" s="70"/>
      <c r="G79" s="70"/>
      <c r="H79" s="70"/>
      <c r="I79" s="70"/>
      <c r="J79" s="70"/>
    </row>
    <row r="80" spans="1:10" hidden="1" x14ac:dyDescent="0.3">
      <c r="A80" s="68" t="s">
        <v>2245</v>
      </c>
      <c r="B80" s="69" t="s">
        <v>1111</v>
      </c>
      <c r="C80" s="63" t="s">
        <v>87</v>
      </c>
      <c r="D80" s="70"/>
      <c r="E80" s="70"/>
      <c r="F80" s="70"/>
      <c r="G80" s="70"/>
      <c r="H80" s="70"/>
      <c r="I80" s="70"/>
      <c r="J80" s="70"/>
    </row>
    <row r="81" spans="1:10" hidden="1" x14ac:dyDescent="0.3">
      <c r="A81" s="68" t="s">
        <v>2212</v>
      </c>
      <c r="B81" s="69" t="s">
        <v>1112</v>
      </c>
      <c r="C81" s="63" t="s">
        <v>87</v>
      </c>
      <c r="D81" s="70"/>
      <c r="E81" s="70"/>
      <c r="F81" s="70">
        <v>57128</v>
      </c>
      <c r="G81" s="70"/>
      <c r="H81" s="70"/>
      <c r="I81" s="70"/>
      <c r="J81" s="70"/>
    </row>
    <row r="82" spans="1:10" hidden="1" x14ac:dyDescent="0.3">
      <c r="A82" s="68" t="s">
        <v>2214</v>
      </c>
      <c r="B82" s="69" t="s">
        <v>1112</v>
      </c>
      <c r="C82" s="63" t="s">
        <v>87</v>
      </c>
      <c r="D82" s="70"/>
      <c r="E82" s="70">
        <v>2852.51</v>
      </c>
      <c r="F82" s="70"/>
      <c r="G82" s="70"/>
      <c r="H82" s="70"/>
      <c r="I82" s="70"/>
      <c r="J82" s="70"/>
    </row>
    <row r="83" spans="1:10" hidden="1" x14ac:dyDescent="0.3">
      <c r="A83" s="68" t="s">
        <v>2247</v>
      </c>
      <c r="B83" s="69" t="s">
        <v>1113</v>
      </c>
      <c r="C83" s="202" t="s">
        <v>87</v>
      </c>
      <c r="D83" s="70"/>
      <c r="E83" s="70">
        <v>28154.28</v>
      </c>
      <c r="F83" s="70">
        <v>109000</v>
      </c>
      <c r="G83" s="70"/>
      <c r="H83" s="70"/>
      <c r="I83" s="70"/>
      <c r="J83" s="70">
        <v>168313.65</v>
      </c>
    </row>
    <row r="84" spans="1:10" hidden="1" x14ac:dyDescent="0.3">
      <c r="A84" s="68" t="s">
        <v>2197</v>
      </c>
      <c r="B84" s="69" t="s">
        <v>1114</v>
      </c>
      <c r="C84" s="63" t="s">
        <v>87</v>
      </c>
      <c r="D84" s="70"/>
      <c r="E84" s="70"/>
      <c r="F84" s="70"/>
      <c r="G84" s="70"/>
      <c r="H84" s="70"/>
      <c r="I84" s="70"/>
      <c r="J84" s="70"/>
    </row>
    <row r="85" spans="1:10" hidden="1" x14ac:dyDescent="0.3">
      <c r="A85" s="68" t="s">
        <v>2198</v>
      </c>
      <c r="B85" s="69" t="s">
        <v>1114</v>
      </c>
      <c r="C85" s="63" t="s">
        <v>87</v>
      </c>
      <c r="D85" s="70"/>
      <c r="E85" s="70"/>
      <c r="F85" s="70"/>
      <c r="G85" s="70"/>
      <c r="H85" s="70"/>
      <c r="I85" s="70"/>
      <c r="J85" s="70"/>
    </row>
    <row r="86" spans="1:10" hidden="1" x14ac:dyDescent="0.3">
      <c r="A86" s="68" t="s">
        <v>2199</v>
      </c>
      <c r="B86" s="69" t="s">
        <v>1114</v>
      </c>
      <c r="C86" s="63" t="s">
        <v>87</v>
      </c>
      <c r="D86" s="70"/>
      <c r="E86" s="70">
        <v>5422.4</v>
      </c>
      <c r="F86" s="70"/>
      <c r="G86" s="70"/>
      <c r="H86" s="70"/>
      <c r="I86" s="70"/>
      <c r="J86" s="70"/>
    </row>
    <row r="87" spans="1:10" hidden="1" x14ac:dyDescent="0.3">
      <c r="A87" s="68" t="s">
        <v>2200</v>
      </c>
      <c r="B87" s="69" t="s">
        <v>1114</v>
      </c>
      <c r="C87" s="63" t="s">
        <v>87</v>
      </c>
      <c r="D87" s="70"/>
      <c r="E87" s="70">
        <v>11142</v>
      </c>
      <c r="F87" s="70">
        <v>248373.84</v>
      </c>
      <c r="G87" s="70"/>
      <c r="H87" s="70"/>
      <c r="I87" s="70"/>
      <c r="J87" s="70"/>
    </row>
    <row r="88" spans="1:10" hidden="1" x14ac:dyDescent="0.3">
      <c r="A88" s="68" t="s">
        <v>2249</v>
      </c>
      <c r="B88" s="69" t="s">
        <v>1114</v>
      </c>
      <c r="C88" s="63" t="s">
        <v>87</v>
      </c>
      <c r="D88" s="70"/>
      <c r="E88" s="70"/>
      <c r="F88" s="70"/>
      <c r="G88" s="70"/>
      <c r="H88" s="70"/>
      <c r="I88" s="70">
        <v>11697.359999999999</v>
      </c>
      <c r="J88" s="70"/>
    </row>
    <row r="89" spans="1:10" hidden="1" x14ac:dyDescent="0.3">
      <c r="A89" s="68" t="s">
        <v>2248</v>
      </c>
      <c r="B89" s="69" t="s">
        <v>1114</v>
      </c>
      <c r="C89" s="63" t="s">
        <v>87</v>
      </c>
      <c r="D89" s="70"/>
      <c r="E89" s="70"/>
      <c r="F89" s="70"/>
      <c r="G89" s="70"/>
      <c r="H89" s="70"/>
      <c r="I89" s="70"/>
      <c r="J89" s="70">
        <v>4515</v>
      </c>
    </row>
    <row r="90" spans="1:10" hidden="1" x14ac:dyDescent="0.3">
      <c r="A90" s="68" t="s">
        <v>2201</v>
      </c>
      <c r="B90" s="69" t="s">
        <v>1114</v>
      </c>
      <c r="C90" s="63" t="s">
        <v>87</v>
      </c>
      <c r="D90" s="70"/>
      <c r="E90" s="70">
        <v>32534</v>
      </c>
      <c r="F90" s="70"/>
      <c r="G90" s="70"/>
      <c r="H90" s="70"/>
      <c r="I90" s="70"/>
      <c r="J90" s="70"/>
    </row>
    <row r="91" spans="1:10" hidden="1" x14ac:dyDescent="0.3">
      <c r="A91" s="68" t="s">
        <v>2252</v>
      </c>
      <c r="B91" s="69" t="s">
        <v>1117</v>
      </c>
      <c r="C91" s="63" t="s">
        <v>87</v>
      </c>
      <c r="D91" s="70"/>
      <c r="E91" s="70"/>
      <c r="F91" s="70"/>
      <c r="G91" s="70"/>
      <c r="H91" s="70"/>
      <c r="I91" s="70"/>
      <c r="J91" s="70">
        <v>6000</v>
      </c>
    </row>
    <row r="92" spans="1:10" hidden="1" x14ac:dyDescent="0.3">
      <c r="A92" s="171" t="s">
        <v>2216</v>
      </c>
      <c r="B92" s="69" t="s">
        <v>1117</v>
      </c>
      <c r="C92" s="63" t="s">
        <v>87</v>
      </c>
      <c r="D92" s="70"/>
      <c r="E92" s="70"/>
      <c r="F92" s="70">
        <v>106500</v>
      </c>
      <c r="G92" s="70"/>
      <c r="H92" s="70"/>
      <c r="I92" s="70"/>
      <c r="J92" s="70"/>
    </row>
    <row r="93" spans="1:10" hidden="1" x14ac:dyDescent="0.3">
      <c r="A93" s="68" t="s">
        <v>2251</v>
      </c>
      <c r="B93" s="69" t="s">
        <v>1117</v>
      </c>
      <c r="C93" s="63" t="s">
        <v>87</v>
      </c>
      <c r="D93" s="70"/>
      <c r="E93" s="70"/>
      <c r="F93" s="70"/>
      <c r="G93" s="70"/>
      <c r="H93" s="70">
        <v>10405</v>
      </c>
      <c r="I93" s="70"/>
      <c r="J93" s="70"/>
    </row>
    <row r="94" spans="1:10" hidden="1" x14ac:dyDescent="0.3">
      <c r="A94" s="68" t="s">
        <v>2253</v>
      </c>
      <c r="B94" s="69" t="s">
        <v>577</v>
      </c>
      <c r="C94" s="63" t="s">
        <v>87</v>
      </c>
      <c r="D94" s="70"/>
      <c r="E94" s="70">
        <v>166516.06</v>
      </c>
      <c r="F94" s="70"/>
      <c r="G94" s="70"/>
      <c r="H94" s="70"/>
      <c r="I94" s="70"/>
      <c r="J94" s="70"/>
    </row>
    <row r="95" spans="1:10" hidden="1" x14ac:dyDescent="0.3">
      <c r="A95" s="68" t="s">
        <v>2257</v>
      </c>
      <c r="B95" s="69" t="s">
        <v>577</v>
      </c>
      <c r="C95" s="63" t="s">
        <v>87</v>
      </c>
      <c r="D95" s="70">
        <v>5940.665</v>
      </c>
      <c r="E95" s="70"/>
      <c r="F95" s="70">
        <v>24790</v>
      </c>
      <c r="G95" s="70"/>
      <c r="H95" s="70"/>
      <c r="I95" s="70"/>
      <c r="J95" s="70">
        <v>7259</v>
      </c>
    </row>
    <row r="96" spans="1:10" hidden="1" x14ac:dyDescent="0.3">
      <c r="A96" s="67" t="s">
        <v>2259</v>
      </c>
      <c r="B96" s="69" t="s">
        <v>577</v>
      </c>
      <c r="C96" s="63" t="s">
        <v>87</v>
      </c>
      <c r="D96" s="70"/>
      <c r="E96" s="70"/>
      <c r="F96" s="70"/>
      <c r="G96" s="70"/>
      <c r="H96" s="70"/>
      <c r="I96" s="70">
        <v>25385.759999999998</v>
      </c>
      <c r="J96" s="70"/>
    </row>
    <row r="97" spans="1:10" hidden="1" x14ac:dyDescent="0.3">
      <c r="A97" s="68" t="s">
        <v>2258</v>
      </c>
      <c r="B97" s="69" t="s">
        <v>577</v>
      </c>
      <c r="C97" s="63" t="s">
        <v>87</v>
      </c>
      <c r="D97" s="70">
        <v>5474.8</v>
      </c>
      <c r="E97" s="70">
        <v>7087.32</v>
      </c>
      <c r="F97" s="70"/>
      <c r="G97" s="70"/>
      <c r="H97" s="70"/>
      <c r="I97" s="70"/>
      <c r="J97" s="70"/>
    </row>
    <row r="98" spans="1:10" hidden="1" x14ac:dyDescent="0.3">
      <c r="A98" s="68" t="s">
        <v>2254</v>
      </c>
      <c r="B98" s="69" t="s">
        <v>577</v>
      </c>
      <c r="C98" s="63" t="s">
        <v>87</v>
      </c>
      <c r="D98" s="70"/>
      <c r="E98" s="70">
        <v>10048</v>
      </c>
      <c r="F98" s="70"/>
      <c r="G98" s="70"/>
      <c r="H98" s="70"/>
      <c r="I98" s="70"/>
      <c r="J98" s="70"/>
    </row>
    <row r="99" spans="1:10" hidden="1" x14ac:dyDescent="0.3">
      <c r="A99" s="67" t="s">
        <v>2260</v>
      </c>
      <c r="B99" s="69" t="s">
        <v>577</v>
      </c>
      <c r="C99" s="63" t="s">
        <v>87</v>
      </c>
      <c r="D99" s="70"/>
      <c r="E99" s="70"/>
      <c r="F99" s="70"/>
      <c r="G99" s="70"/>
      <c r="H99" s="70"/>
      <c r="I99" s="70"/>
      <c r="J99" s="70">
        <v>27500</v>
      </c>
    </row>
    <row r="100" spans="1:10" hidden="1" x14ac:dyDescent="0.3">
      <c r="A100" s="68" t="s">
        <v>2256</v>
      </c>
      <c r="B100" s="69" t="s">
        <v>577</v>
      </c>
      <c r="C100" s="63" t="s">
        <v>87</v>
      </c>
      <c r="D100" s="70">
        <v>12073.6</v>
      </c>
      <c r="E100" s="70">
        <v>8976.9699999999993</v>
      </c>
      <c r="F100" s="70"/>
      <c r="G100" s="70"/>
      <c r="H100" s="70"/>
      <c r="I100" s="70"/>
      <c r="J100" s="70"/>
    </row>
    <row r="101" spans="1:10" hidden="1" x14ac:dyDescent="0.3">
      <c r="A101" s="68" t="s">
        <v>2255</v>
      </c>
      <c r="B101" s="69" t="s">
        <v>577</v>
      </c>
      <c r="C101" s="63" t="s">
        <v>87</v>
      </c>
      <c r="D101" s="70"/>
      <c r="E101" s="70">
        <v>95000</v>
      </c>
      <c r="F101" s="70">
        <v>861500</v>
      </c>
      <c r="G101" s="70"/>
      <c r="H101" s="70"/>
      <c r="I101" s="70"/>
      <c r="J101" s="70"/>
    </row>
    <row r="102" spans="1:10" hidden="1" x14ac:dyDescent="0.3">
      <c r="A102" s="68" t="s">
        <v>2261</v>
      </c>
      <c r="B102" s="69" t="s">
        <v>1119</v>
      </c>
      <c r="C102" s="63" t="s">
        <v>87</v>
      </c>
      <c r="D102" s="70"/>
      <c r="E102" s="70"/>
      <c r="F102" s="70"/>
      <c r="G102" s="70"/>
      <c r="H102" s="70"/>
      <c r="I102" s="70"/>
      <c r="J102" s="70">
        <v>1036</v>
      </c>
    </row>
    <row r="103" spans="1:10" hidden="1" x14ac:dyDescent="0.3">
      <c r="A103" s="68" t="s">
        <v>2196</v>
      </c>
      <c r="B103" s="69" t="s">
        <v>1119</v>
      </c>
      <c r="C103" s="63" t="s">
        <v>87</v>
      </c>
      <c r="D103" s="70"/>
      <c r="E103" s="70">
        <v>7058.07</v>
      </c>
      <c r="F103" s="70">
        <v>82348.05</v>
      </c>
      <c r="G103" s="70"/>
      <c r="H103" s="70"/>
      <c r="I103" s="70"/>
      <c r="J103" s="70"/>
    </row>
    <row r="104" spans="1:10" hidden="1" x14ac:dyDescent="0.3">
      <c r="A104" s="68" t="s">
        <v>2262</v>
      </c>
      <c r="B104" s="69" t="s">
        <v>1121</v>
      </c>
      <c r="C104" s="63" t="s">
        <v>87</v>
      </c>
      <c r="D104" s="70"/>
      <c r="E104" s="70"/>
      <c r="F104" s="70"/>
      <c r="G104" s="70"/>
      <c r="H104" s="70"/>
      <c r="I104" s="70"/>
      <c r="J104" s="70">
        <v>93750</v>
      </c>
    </row>
    <row r="105" spans="1:10" hidden="1" x14ac:dyDescent="0.3">
      <c r="A105" s="68" t="s">
        <v>2213</v>
      </c>
      <c r="B105" s="69" t="s">
        <v>1121</v>
      </c>
      <c r="C105" s="63" t="s">
        <v>87</v>
      </c>
      <c r="D105" s="70"/>
      <c r="E105" s="70"/>
      <c r="F105" s="70"/>
      <c r="G105" s="70"/>
      <c r="H105" s="70"/>
      <c r="I105" s="70">
        <v>14620</v>
      </c>
      <c r="J105" s="70"/>
    </row>
    <row r="106" spans="1:10" hidden="1" x14ac:dyDescent="0.3">
      <c r="A106" s="68" t="s">
        <v>2192</v>
      </c>
      <c r="B106" s="69" t="s">
        <v>1121</v>
      </c>
      <c r="C106" s="63" t="s">
        <v>87</v>
      </c>
      <c r="D106" s="70"/>
      <c r="E106" s="70"/>
      <c r="F106" s="70">
        <v>105000</v>
      </c>
      <c r="G106" s="70"/>
      <c r="H106" s="70"/>
      <c r="I106" s="70"/>
      <c r="J106" s="70"/>
    </row>
    <row r="107" spans="1:10" hidden="1" x14ac:dyDescent="0.3">
      <c r="A107" s="68" t="s">
        <v>2263</v>
      </c>
      <c r="B107" s="69" t="s">
        <v>1122</v>
      </c>
      <c r="C107" s="63" t="s">
        <v>87</v>
      </c>
      <c r="D107" s="70"/>
      <c r="E107" s="70"/>
      <c r="F107" s="70"/>
      <c r="G107" s="70"/>
      <c r="H107" s="70"/>
      <c r="I107" s="70"/>
      <c r="J107" s="70"/>
    </row>
    <row r="108" spans="1:10" hidden="1" x14ac:dyDescent="0.3">
      <c r="A108" s="68" t="s">
        <v>2267</v>
      </c>
      <c r="B108" s="69" t="s">
        <v>1122</v>
      </c>
      <c r="C108" s="63" t="s">
        <v>87</v>
      </c>
      <c r="D108" s="70"/>
      <c r="E108" s="70"/>
      <c r="F108" s="70"/>
      <c r="G108" s="70"/>
      <c r="H108" s="70"/>
      <c r="I108" s="70"/>
      <c r="J108" s="70">
        <v>25124.81</v>
      </c>
    </row>
    <row r="109" spans="1:10" hidden="1" x14ac:dyDescent="0.3">
      <c r="A109" s="68" t="s">
        <v>2264</v>
      </c>
      <c r="B109" s="69" t="s">
        <v>1122</v>
      </c>
      <c r="C109" s="63" t="s">
        <v>87</v>
      </c>
      <c r="D109" s="70"/>
      <c r="E109" s="70"/>
      <c r="F109" s="70">
        <v>44948.27</v>
      </c>
      <c r="G109" s="70"/>
      <c r="H109" s="70"/>
      <c r="I109" s="70"/>
      <c r="J109" s="70"/>
    </row>
    <row r="110" spans="1:10" hidden="1" x14ac:dyDescent="0.3">
      <c r="A110" s="68" t="s">
        <v>2265</v>
      </c>
      <c r="B110" s="69" t="s">
        <v>1122</v>
      </c>
      <c r="C110" s="63" t="s">
        <v>87</v>
      </c>
      <c r="D110" s="70"/>
      <c r="E110" s="70"/>
      <c r="F110" s="70"/>
      <c r="G110" s="70"/>
      <c r="H110" s="70"/>
      <c r="I110" s="70"/>
      <c r="J110" s="70">
        <v>8500</v>
      </c>
    </row>
    <row r="111" spans="1:10" hidden="1" x14ac:dyDescent="0.3">
      <c r="A111" s="68" t="s">
        <v>2266</v>
      </c>
      <c r="B111" s="69" t="s">
        <v>1122</v>
      </c>
      <c r="C111" s="63" t="s">
        <v>87</v>
      </c>
      <c r="D111" s="70"/>
      <c r="E111" s="70"/>
      <c r="F111" s="70"/>
      <c r="G111" s="70"/>
      <c r="H111" s="70"/>
      <c r="I111" s="70"/>
      <c r="J111" s="70"/>
    </row>
    <row r="112" spans="1:10" hidden="1" x14ac:dyDescent="0.3">
      <c r="A112" s="68" t="s">
        <v>2224</v>
      </c>
      <c r="B112" s="69" t="s">
        <v>1123</v>
      </c>
      <c r="C112" s="63" t="s">
        <v>87</v>
      </c>
      <c r="D112" s="70">
        <v>5000</v>
      </c>
      <c r="E112" s="70"/>
      <c r="F112" s="70">
        <v>5000</v>
      </c>
      <c r="G112" s="70"/>
      <c r="H112" s="70"/>
      <c r="I112" s="70">
        <v>6500</v>
      </c>
      <c r="J112" s="70">
        <v>11550</v>
      </c>
    </row>
    <row r="113" spans="1:10" hidden="1" x14ac:dyDescent="0.3">
      <c r="A113" s="68" t="s">
        <v>2268</v>
      </c>
      <c r="B113" s="69" t="s">
        <v>1123</v>
      </c>
      <c r="C113" s="63" t="s">
        <v>87</v>
      </c>
      <c r="D113" s="70"/>
      <c r="E113" s="70"/>
      <c r="F113" s="70"/>
      <c r="G113" s="70"/>
      <c r="H113" s="70">
        <v>5000</v>
      </c>
      <c r="I113" s="70"/>
      <c r="J113" s="70"/>
    </row>
    <row r="114" spans="1:10" hidden="1" x14ac:dyDescent="0.3">
      <c r="A114" s="68" t="s">
        <v>2222</v>
      </c>
      <c r="B114" s="69" t="s">
        <v>1123</v>
      </c>
      <c r="C114" s="63" t="s">
        <v>87</v>
      </c>
      <c r="D114" s="70"/>
      <c r="E114" s="70"/>
      <c r="F114" s="70"/>
      <c r="G114" s="70"/>
      <c r="H114" s="70"/>
      <c r="I114" s="70"/>
      <c r="J114" s="70">
        <v>20000</v>
      </c>
    </row>
    <row r="115" spans="1:10" hidden="1" x14ac:dyDescent="0.3">
      <c r="A115" s="68" t="s">
        <v>2221</v>
      </c>
      <c r="B115" s="69" t="s">
        <v>1123</v>
      </c>
      <c r="C115" s="63" t="s">
        <v>87</v>
      </c>
      <c r="D115" s="70"/>
      <c r="E115" s="70"/>
      <c r="F115" s="70">
        <v>56799</v>
      </c>
      <c r="G115" s="70"/>
      <c r="H115" s="70"/>
      <c r="I115" s="70"/>
      <c r="J115" s="70"/>
    </row>
    <row r="116" spans="1:10" hidden="1" x14ac:dyDescent="0.3">
      <c r="A116" s="68" t="s">
        <v>2223</v>
      </c>
      <c r="B116" s="69" t="s">
        <v>1123</v>
      </c>
      <c r="C116" s="63" t="s">
        <v>87</v>
      </c>
      <c r="D116" s="70"/>
      <c r="E116" s="70"/>
      <c r="F116" s="70"/>
      <c r="G116" s="70"/>
      <c r="H116" s="70">
        <v>5000</v>
      </c>
      <c r="I116" s="70"/>
      <c r="J116" s="70"/>
    </row>
    <row r="117" spans="1:10" hidden="1" x14ac:dyDescent="0.3">
      <c r="A117" s="68" t="s">
        <v>2194</v>
      </c>
      <c r="B117" s="69" t="s">
        <v>1126</v>
      </c>
      <c r="C117" s="63" t="s">
        <v>87</v>
      </c>
      <c r="D117" s="70">
        <v>26540.02</v>
      </c>
      <c r="E117" s="70"/>
      <c r="F117" s="70">
        <v>5483.63</v>
      </c>
      <c r="G117" s="70"/>
      <c r="H117" s="70"/>
      <c r="I117" s="70"/>
      <c r="J117" s="70"/>
    </row>
    <row r="118" spans="1:10" hidden="1" x14ac:dyDescent="0.3">
      <c r="A118" s="68" t="s">
        <v>2193</v>
      </c>
      <c r="B118" s="69" t="s">
        <v>1126</v>
      </c>
      <c r="C118" s="63" t="s">
        <v>87</v>
      </c>
      <c r="D118" s="70"/>
      <c r="E118" s="70"/>
      <c r="F118" s="70"/>
      <c r="G118" s="70"/>
      <c r="H118" s="70">
        <v>21962</v>
      </c>
      <c r="I118" s="70"/>
      <c r="J118" s="70"/>
    </row>
    <row r="119" spans="1:10" hidden="1" x14ac:dyDescent="0.3">
      <c r="A119" s="68" t="s">
        <v>2215</v>
      </c>
      <c r="B119" s="69" t="s">
        <v>1127</v>
      </c>
      <c r="C119" s="63" t="s">
        <v>87</v>
      </c>
      <c r="D119" s="70">
        <v>9000</v>
      </c>
      <c r="E119" s="70"/>
      <c r="F119" s="70">
        <v>294150</v>
      </c>
      <c r="G119" s="70"/>
      <c r="H119" s="70"/>
      <c r="I119" s="70"/>
      <c r="J119" s="70"/>
    </row>
    <row r="120" spans="1:10" hidden="1" x14ac:dyDescent="0.3">
      <c r="A120" s="68" t="s">
        <v>2275</v>
      </c>
      <c r="B120" s="69" t="s">
        <v>1129</v>
      </c>
      <c r="C120" s="69" t="s">
        <v>87</v>
      </c>
      <c r="D120" s="70">
        <v>5749</v>
      </c>
      <c r="E120" s="70"/>
      <c r="F120" s="70">
        <v>12000</v>
      </c>
      <c r="G120" s="70"/>
      <c r="H120" s="70"/>
      <c r="I120" s="70">
        <v>458131</v>
      </c>
      <c r="J120" s="70">
        <v>320320</v>
      </c>
    </row>
    <row r="121" spans="1:10" hidden="1" x14ac:dyDescent="0.3">
      <c r="A121" s="68" t="s">
        <v>2276</v>
      </c>
      <c r="B121" s="69" t="s">
        <v>1129</v>
      </c>
      <c r="C121" s="69" t="s">
        <v>87</v>
      </c>
      <c r="D121" s="70"/>
      <c r="E121" s="70"/>
      <c r="F121" s="70">
        <v>1759814</v>
      </c>
      <c r="G121" s="70"/>
      <c r="H121" s="70"/>
      <c r="I121" s="70"/>
      <c r="J121" s="70"/>
    </row>
    <row r="122" spans="1:10" hidden="1" x14ac:dyDescent="0.3">
      <c r="A122" s="68" t="s">
        <v>2277</v>
      </c>
      <c r="B122" s="69" t="s">
        <v>1129</v>
      </c>
      <c r="C122" s="69" t="s">
        <v>87</v>
      </c>
      <c r="D122" s="70"/>
      <c r="E122" s="70">
        <v>231128</v>
      </c>
      <c r="F122" s="70"/>
      <c r="G122" s="70"/>
      <c r="H122" s="70"/>
      <c r="I122" s="70"/>
      <c r="J122" s="70"/>
    </row>
    <row r="123" spans="1:10" hidden="1" x14ac:dyDescent="0.3">
      <c r="A123" s="68" t="s">
        <v>2278</v>
      </c>
      <c r="B123" s="69" t="s">
        <v>1129</v>
      </c>
      <c r="C123" s="69" t="s">
        <v>87</v>
      </c>
      <c r="D123" s="70"/>
      <c r="E123" s="70"/>
      <c r="F123" s="70"/>
      <c r="G123" s="70"/>
      <c r="H123" s="70"/>
      <c r="I123" s="70"/>
      <c r="J123" s="70">
        <v>43000</v>
      </c>
    </row>
  </sheetData>
  <sheetProtection selectLockedCells="1" selectUnlockedCells="1"/>
  <protectedRanges>
    <protectedRange sqref="A5:A6" name="Filter"/>
    <protectedRange sqref="A46" name="Filter_1"/>
    <protectedRange sqref="A52" name="Filter_2"/>
    <protectedRange sqref="D66:J66" name="Filter_3"/>
  </protectedRanges>
  <mergeCells count="3">
    <mergeCell ref="A1:B2"/>
    <mergeCell ref="K1:M2"/>
    <mergeCell ref="K3:M4"/>
  </mergeCells>
  <phoneticPr fontId="12" type="noConversion"/>
  <conditionalFormatting sqref="A5:A6 F66 H66:J66">
    <cfRule type="expression" dxfId="185" priority="16">
      <formula>$D5="In Progress"</formula>
    </cfRule>
    <cfRule type="expression" dxfId="184" priority="17">
      <formula>$D5="Complete"</formula>
    </cfRule>
    <cfRule type="expression" dxfId="183" priority="18">
      <formula>$D5="Not Started"</formula>
    </cfRule>
    <cfRule type="expression" dxfId="182" priority="19">
      <formula>$D5="Withdrawn"</formula>
    </cfRule>
    <cfRule type="expression" dxfId="181" priority="20">
      <formula>$D5="Ineligible"</formula>
    </cfRule>
  </conditionalFormatting>
  <conditionalFormatting sqref="A46">
    <cfRule type="expression" dxfId="180" priority="11">
      <formula>$D46="In Progress"</formula>
    </cfRule>
    <cfRule type="expression" dxfId="179" priority="12">
      <formula>$D46="Complete"</formula>
    </cfRule>
    <cfRule type="expression" dxfId="178" priority="13">
      <formula>$D46="Not Started"</formula>
    </cfRule>
    <cfRule type="expression" dxfId="177" priority="14">
      <formula>$D46="Withdrawn"</formula>
    </cfRule>
    <cfRule type="expression" dxfId="176" priority="15">
      <formula>$D46="Ineligible"</formula>
    </cfRule>
  </conditionalFormatting>
  <conditionalFormatting sqref="A52">
    <cfRule type="expression" dxfId="175" priority="6">
      <formula>$D52="In Progress"</formula>
    </cfRule>
    <cfRule type="expression" dxfId="174" priority="7">
      <formula>$D52="Complete"</formula>
    </cfRule>
    <cfRule type="expression" dxfId="173" priority="8">
      <formula>$D52="Not Started"</formula>
    </cfRule>
    <cfRule type="expression" dxfId="172" priority="9">
      <formula>$D52="Withdrawn"</formula>
    </cfRule>
    <cfRule type="expression" dxfId="171" priority="10">
      <formula>$D52="Ineligible"</formula>
    </cfRule>
  </conditionalFormatting>
  <conditionalFormatting sqref="A53:A1048576 A47:A51 A1 A3:A4 A7:A45">
    <cfRule type="duplicateValues" dxfId="170" priority="776"/>
  </conditionalFormatting>
  <conditionalFormatting sqref="D1:D2 F1:F2 H1:H2 J1:J2">
    <cfRule type="cellIs" dxfId="169" priority="23" operator="equal">
      <formula>""</formula>
    </cfRule>
  </conditionalFormatting>
  <conditionalFormatting sqref="D66">
    <cfRule type="expression" dxfId="168" priority="1">
      <formula>$D66="In Progress"</formula>
    </cfRule>
    <cfRule type="expression" dxfId="167" priority="2">
      <formula>$D66="Complete"</formula>
    </cfRule>
    <cfRule type="expression" dxfId="166" priority="3">
      <formula>$D66="Not Started"</formula>
    </cfRule>
    <cfRule type="expression" dxfId="165" priority="4">
      <formula>$D66="Withdrawn"</formula>
    </cfRule>
    <cfRule type="expression" dxfId="164" priority="5">
      <formula>$D66="Ineligible"</formula>
    </cfRule>
  </conditionalFormatting>
  <dataValidations count="6">
    <dataValidation allowBlank="1" showInputMessage="1" showErrorMessage="1" errorTitle="County not in List" error="ERROR: County not included in County Population List. County must be added to the county population list first." promptTitle="Select County from Drop Down" sqref="I1:I2" xr:uid="{00000000-0002-0000-0200-000000000000}"/>
    <dataValidation type="list" allowBlank="1" showInputMessage="1" showErrorMessage="1" errorTitle="Invalid Region" error="Select FEMA Region" promptTitle="Select FEMA Region" sqref="D1" xr:uid="{00000000-0002-0000-0200-000001000000}">
      <formula1>INDIRECT("Region[Region]")</formula1>
    </dataValidation>
    <dataValidation type="list" allowBlank="1" showInputMessage="1" showErrorMessage="1" errorTitle="Use the Drop Down" error="Please choose a state from the drop down. Verify you have selected the correct Region." promptTitle="Choose a State" sqref="D2" xr:uid="{00000000-0002-0000-0200-000002000000}">
      <formula1>SelState</formula1>
    </dataValidation>
    <dataValidation type="decimal" operator="greaterThanOrEqual" allowBlank="1" showInputMessage="1" showErrorMessage="1" errorTitle="Must be Positive Number" error="Value entered for damage must be a number greater than or equal to $0.00." promptTitle="Enter Damage Amount in Dollars" sqref="D67:J1048576 D3:J65" xr:uid="{00000000-0002-0000-0200-000004000000}">
      <formula1>0</formula1>
    </dataValidation>
    <dataValidation type="list" allowBlank="1" showInputMessage="1" showErrorMessage="1" errorTitle="County not in List" error="ERROR: County not included in County Population List. County must be added to the county population list first." promptTitle="Select County from Drop Down" sqref="B1:B1048576" xr:uid="{00000000-0002-0000-0200-000003000000}">
      <formula1>SelCounty</formula1>
    </dataValidation>
    <dataValidation type="list" allowBlank="1" showInputMessage="1" showErrorMessage="1" sqref="C1:C1048576" xr:uid="{00000000-0002-0000-0200-000005000000}">
      <formula1>INDIRECT("Status")</formula1>
    </dataValidation>
  </dataValidations>
  <pageMargins left="0.7" right="0.7" top="0.75" bottom="0.75" header="0.3" footer="0.3"/>
  <pageSetup orientation="portrait" r:id="rId1"/>
  <ignoredErrors>
    <ignoredError sqref="D3:J4" listDataValidation="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DB28A-E9F6-47A3-98C2-2A72A3E10112}">
  <dimension ref="A1:B121"/>
  <sheetViews>
    <sheetView topLeftCell="A98" workbookViewId="0">
      <selection activeCell="B121" sqref="B121"/>
    </sheetView>
  </sheetViews>
  <sheetFormatPr defaultRowHeight="14.4" x14ac:dyDescent="0.3"/>
  <cols>
    <col min="1" max="1" width="57.6640625" bestFit="1" customWidth="1"/>
    <col min="2" max="2" width="11" customWidth="1"/>
  </cols>
  <sheetData>
    <row r="1" spans="1:2" x14ac:dyDescent="0.3">
      <c r="A1" t="s">
        <v>89</v>
      </c>
      <c r="B1" t="s">
        <v>2293</v>
      </c>
    </row>
    <row r="2" spans="1:2" x14ac:dyDescent="0.3">
      <c r="A2" t="s">
        <v>2175</v>
      </c>
      <c r="B2">
        <v>1</v>
      </c>
    </row>
    <row r="3" spans="1:2" x14ac:dyDescent="0.3">
      <c r="A3" t="s">
        <v>2290</v>
      </c>
      <c r="B3">
        <v>1</v>
      </c>
    </row>
    <row r="4" spans="1:2" x14ac:dyDescent="0.3">
      <c r="A4" t="s">
        <v>2228</v>
      </c>
      <c r="B4">
        <v>1</v>
      </c>
    </row>
    <row r="5" spans="1:2" x14ac:dyDescent="0.3">
      <c r="A5" t="s">
        <v>2229</v>
      </c>
      <c r="B5">
        <v>1</v>
      </c>
    </row>
    <row r="6" spans="1:2" x14ac:dyDescent="0.3">
      <c r="A6" t="s">
        <v>2230</v>
      </c>
      <c r="B6">
        <v>1</v>
      </c>
    </row>
    <row r="7" spans="1:2" x14ac:dyDescent="0.3">
      <c r="A7" t="s">
        <v>2208</v>
      </c>
      <c r="B7">
        <v>1</v>
      </c>
    </row>
    <row r="8" spans="1:2" x14ac:dyDescent="0.3">
      <c r="A8" t="s">
        <v>2209</v>
      </c>
      <c r="B8">
        <v>1</v>
      </c>
    </row>
    <row r="9" spans="1:2" x14ac:dyDescent="0.3">
      <c r="A9" t="s">
        <v>2225</v>
      </c>
      <c r="B9">
        <v>1</v>
      </c>
    </row>
    <row r="10" spans="1:2" x14ac:dyDescent="0.3">
      <c r="A10" t="s">
        <v>2226</v>
      </c>
      <c r="B10">
        <v>1</v>
      </c>
    </row>
    <row r="11" spans="1:2" x14ac:dyDescent="0.3">
      <c r="A11" t="s">
        <v>2186</v>
      </c>
      <c r="B11">
        <v>1</v>
      </c>
    </row>
    <row r="12" spans="1:2" x14ac:dyDescent="0.3">
      <c r="A12" t="s">
        <v>2187</v>
      </c>
      <c r="B12">
        <v>1</v>
      </c>
    </row>
    <row r="13" spans="1:2" x14ac:dyDescent="0.3">
      <c r="A13" t="s">
        <v>2188</v>
      </c>
      <c r="B13">
        <v>1</v>
      </c>
    </row>
    <row r="14" spans="1:2" x14ac:dyDescent="0.3">
      <c r="A14" t="s">
        <v>2189</v>
      </c>
      <c r="B14">
        <v>1</v>
      </c>
    </row>
    <row r="15" spans="1:2" x14ac:dyDescent="0.3">
      <c r="A15" t="s">
        <v>2190</v>
      </c>
      <c r="B15">
        <v>1</v>
      </c>
    </row>
    <row r="16" spans="1:2" x14ac:dyDescent="0.3">
      <c r="A16" t="s">
        <v>2231</v>
      </c>
      <c r="B16">
        <v>1</v>
      </c>
    </row>
    <row r="17" spans="1:2" x14ac:dyDescent="0.3">
      <c r="A17" t="s">
        <v>2202</v>
      </c>
      <c r="B17">
        <v>1</v>
      </c>
    </row>
    <row r="18" spans="1:2" x14ac:dyDescent="0.3">
      <c r="A18" t="s">
        <v>2203</v>
      </c>
      <c r="B18">
        <v>1</v>
      </c>
    </row>
    <row r="19" spans="1:2" x14ac:dyDescent="0.3">
      <c r="A19" t="s">
        <v>2204</v>
      </c>
      <c r="B19">
        <v>1</v>
      </c>
    </row>
    <row r="20" spans="1:2" x14ac:dyDescent="0.3">
      <c r="A20" t="s">
        <v>2205</v>
      </c>
      <c r="B20">
        <v>1</v>
      </c>
    </row>
    <row r="21" spans="1:2" x14ac:dyDescent="0.3">
      <c r="A21" t="s">
        <v>2279</v>
      </c>
      <c r="B21">
        <v>1</v>
      </c>
    </row>
    <row r="22" spans="1:2" x14ac:dyDescent="0.3">
      <c r="A22" t="s">
        <v>2280</v>
      </c>
      <c r="B22">
        <v>1</v>
      </c>
    </row>
    <row r="23" spans="1:2" x14ac:dyDescent="0.3">
      <c r="A23" t="s">
        <v>2281</v>
      </c>
      <c r="B23">
        <v>1</v>
      </c>
    </row>
    <row r="24" spans="1:2" x14ac:dyDescent="0.3">
      <c r="A24" t="s">
        <v>2282</v>
      </c>
      <c r="B24">
        <v>0</v>
      </c>
    </row>
    <row r="25" spans="1:2" x14ac:dyDescent="0.3">
      <c r="A25" t="s">
        <v>2283</v>
      </c>
      <c r="B25">
        <v>1</v>
      </c>
    </row>
    <row r="26" spans="1:2" x14ac:dyDescent="0.3">
      <c r="A26" t="s">
        <v>2284</v>
      </c>
      <c r="B26">
        <v>0</v>
      </c>
    </row>
    <row r="27" spans="1:2" x14ac:dyDescent="0.3">
      <c r="A27" t="s">
        <v>2207</v>
      </c>
      <c r="B27">
        <v>1</v>
      </c>
    </row>
    <row r="28" spans="1:2" x14ac:dyDescent="0.3">
      <c r="A28" t="s">
        <v>2250</v>
      </c>
      <c r="B28">
        <v>1</v>
      </c>
    </row>
    <row r="29" spans="1:2" x14ac:dyDescent="0.3">
      <c r="A29" t="s">
        <v>2217</v>
      </c>
      <c r="B29">
        <v>1</v>
      </c>
    </row>
    <row r="30" spans="1:2" x14ac:dyDescent="0.3">
      <c r="A30" t="s">
        <v>2218</v>
      </c>
      <c r="B30">
        <v>1</v>
      </c>
    </row>
    <row r="31" spans="1:2" x14ac:dyDescent="0.3">
      <c r="A31" t="s">
        <v>2219</v>
      </c>
      <c r="B31">
        <v>1</v>
      </c>
    </row>
    <row r="32" spans="1:2" x14ac:dyDescent="0.3">
      <c r="A32" t="s">
        <v>2220</v>
      </c>
      <c r="B32">
        <v>1</v>
      </c>
    </row>
    <row r="33" spans="1:2" x14ac:dyDescent="0.3">
      <c r="A33" t="s">
        <v>2291</v>
      </c>
      <c r="B33">
        <v>0</v>
      </c>
    </row>
    <row r="34" spans="1:2" x14ac:dyDescent="0.3">
      <c r="A34" t="s">
        <v>2233</v>
      </c>
      <c r="B34">
        <v>1</v>
      </c>
    </row>
    <row r="35" spans="1:2" x14ac:dyDescent="0.3">
      <c r="A35" t="s">
        <v>2234</v>
      </c>
      <c r="B35">
        <v>1</v>
      </c>
    </row>
    <row r="36" spans="1:2" x14ac:dyDescent="0.3">
      <c r="A36" t="s">
        <v>2235</v>
      </c>
      <c r="B36">
        <v>1</v>
      </c>
    </row>
    <row r="37" spans="1:2" x14ac:dyDescent="0.3">
      <c r="A37" t="s">
        <v>2237</v>
      </c>
      <c r="B37">
        <v>0</v>
      </c>
    </row>
    <row r="38" spans="1:2" x14ac:dyDescent="0.3">
      <c r="A38" t="s">
        <v>2236</v>
      </c>
      <c r="B38">
        <v>1</v>
      </c>
    </row>
    <row r="39" spans="1:2" x14ac:dyDescent="0.3">
      <c r="A39" t="s">
        <v>2269</v>
      </c>
      <c r="B39">
        <v>1</v>
      </c>
    </row>
    <row r="40" spans="1:2" x14ac:dyDescent="0.3">
      <c r="A40" t="s">
        <v>2270</v>
      </c>
      <c r="B40">
        <v>1</v>
      </c>
    </row>
    <row r="41" spans="1:2" x14ac:dyDescent="0.3">
      <c r="A41" t="s">
        <v>2271</v>
      </c>
      <c r="B41">
        <v>0</v>
      </c>
    </row>
    <row r="42" spans="1:2" x14ac:dyDescent="0.3">
      <c r="A42" t="s">
        <v>2285</v>
      </c>
      <c r="B42">
        <v>1</v>
      </c>
    </row>
    <row r="43" spans="1:2" x14ac:dyDescent="0.3">
      <c r="A43" t="s">
        <v>2286</v>
      </c>
      <c r="B43">
        <v>1</v>
      </c>
    </row>
    <row r="44" spans="1:2" x14ac:dyDescent="0.3">
      <c r="A44" t="s">
        <v>2287</v>
      </c>
      <c r="B44">
        <v>1</v>
      </c>
    </row>
    <row r="45" spans="1:2" x14ac:dyDescent="0.3">
      <c r="A45" t="s">
        <v>2288</v>
      </c>
      <c r="B45">
        <v>1</v>
      </c>
    </row>
    <row r="46" spans="1:2" x14ac:dyDescent="0.3">
      <c r="A46" t="s">
        <v>2289</v>
      </c>
      <c r="B46">
        <v>0</v>
      </c>
    </row>
    <row r="47" spans="1:2" x14ac:dyDescent="0.3">
      <c r="A47" t="s">
        <v>2176</v>
      </c>
      <c r="B47">
        <v>1</v>
      </c>
    </row>
    <row r="48" spans="1:2" x14ac:dyDescent="0.3">
      <c r="A48" t="s">
        <v>2177</v>
      </c>
      <c r="B48">
        <v>1</v>
      </c>
    </row>
    <row r="49" spans="1:2" x14ac:dyDescent="0.3">
      <c r="A49" t="s">
        <v>2178</v>
      </c>
      <c r="B49">
        <v>1</v>
      </c>
    </row>
    <row r="50" spans="1:2" x14ac:dyDescent="0.3">
      <c r="A50" t="s">
        <v>2179</v>
      </c>
      <c r="B50">
        <v>1</v>
      </c>
    </row>
    <row r="51" spans="1:2" x14ac:dyDescent="0.3">
      <c r="A51" t="s">
        <v>2180</v>
      </c>
      <c r="B51">
        <v>1</v>
      </c>
    </row>
    <row r="52" spans="1:2" x14ac:dyDescent="0.3">
      <c r="A52" t="s">
        <v>2181</v>
      </c>
      <c r="B52">
        <v>1</v>
      </c>
    </row>
    <row r="53" spans="1:2" x14ac:dyDescent="0.3">
      <c r="A53" t="s">
        <v>2191</v>
      </c>
      <c r="B53">
        <v>1</v>
      </c>
    </row>
    <row r="54" spans="1:2" x14ac:dyDescent="0.3">
      <c r="A54" t="s">
        <v>2238</v>
      </c>
      <c r="B54">
        <v>1</v>
      </c>
    </row>
    <row r="55" spans="1:2" x14ac:dyDescent="0.3">
      <c r="A55" t="s">
        <v>2239</v>
      </c>
      <c r="B55">
        <v>1</v>
      </c>
    </row>
    <row r="56" spans="1:2" x14ac:dyDescent="0.3">
      <c r="A56" t="s">
        <v>2240</v>
      </c>
      <c r="B56">
        <v>1</v>
      </c>
    </row>
    <row r="57" spans="1:2" x14ac:dyDescent="0.3">
      <c r="A57" t="s">
        <v>2182</v>
      </c>
      <c r="B57">
        <v>1</v>
      </c>
    </row>
    <row r="58" spans="1:2" x14ac:dyDescent="0.3">
      <c r="A58" t="s">
        <v>2195</v>
      </c>
      <c r="B58">
        <v>1</v>
      </c>
    </row>
    <row r="59" spans="1:2" x14ac:dyDescent="0.3">
      <c r="A59" t="s">
        <v>2241</v>
      </c>
      <c r="B59">
        <v>0</v>
      </c>
    </row>
    <row r="60" spans="1:2" x14ac:dyDescent="0.3">
      <c r="A60" t="s">
        <v>2242</v>
      </c>
      <c r="B60">
        <v>1</v>
      </c>
    </row>
    <row r="61" spans="1:2" x14ac:dyDescent="0.3">
      <c r="A61" t="s">
        <v>2243</v>
      </c>
      <c r="B61">
        <v>0</v>
      </c>
    </row>
    <row r="62" spans="1:2" x14ac:dyDescent="0.3">
      <c r="A62" t="s">
        <v>2272</v>
      </c>
      <c r="B62">
        <v>1</v>
      </c>
    </row>
    <row r="63" spans="1:2" x14ac:dyDescent="0.3">
      <c r="A63" t="s">
        <v>2273</v>
      </c>
      <c r="B63">
        <v>1</v>
      </c>
    </row>
    <row r="64" spans="1:2" x14ac:dyDescent="0.3">
      <c r="A64" t="s">
        <v>2274</v>
      </c>
      <c r="B64">
        <v>0</v>
      </c>
    </row>
    <row r="65" spans="1:2" x14ac:dyDescent="0.3">
      <c r="A65" t="s">
        <v>2183</v>
      </c>
      <c r="B65">
        <v>1</v>
      </c>
    </row>
    <row r="66" spans="1:2" x14ac:dyDescent="0.3">
      <c r="A66" t="s">
        <v>2184</v>
      </c>
      <c r="B66">
        <v>1</v>
      </c>
    </row>
    <row r="67" spans="1:2" x14ac:dyDescent="0.3">
      <c r="A67" t="s">
        <v>2210</v>
      </c>
      <c r="B67">
        <v>1</v>
      </c>
    </row>
    <row r="68" spans="1:2" x14ac:dyDescent="0.3">
      <c r="A68" t="s">
        <v>2211</v>
      </c>
      <c r="B68">
        <v>1</v>
      </c>
    </row>
    <row r="69" spans="1:2" x14ac:dyDescent="0.3">
      <c r="A69" t="s">
        <v>2185</v>
      </c>
      <c r="B69">
        <v>1</v>
      </c>
    </row>
    <row r="70" spans="1:2" x14ac:dyDescent="0.3">
      <c r="A70" t="s">
        <v>2244</v>
      </c>
      <c r="B70">
        <v>1</v>
      </c>
    </row>
    <row r="71" spans="1:2" x14ac:dyDescent="0.3">
      <c r="A71" t="s">
        <v>2245</v>
      </c>
      <c r="B71">
        <v>1</v>
      </c>
    </row>
    <row r="72" spans="1:2" x14ac:dyDescent="0.3">
      <c r="A72" t="s">
        <v>2246</v>
      </c>
      <c r="B72">
        <v>1</v>
      </c>
    </row>
    <row r="73" spans="1:2" x14ac:dyDescent="0.3">
      <c r="A73" t="s">
        <v>2214</v>
      </c>
      <c r="B73">
        <v>0</v>
      </c>
    </row>
    <row r="74" spans="1:2" x14ac:dyDescent="0.3">
      <c r="A74" t="s">
        <v>2212</v>
      </c>
      <c r="B74">
        <v>1</v>
      </c>
    </row>
    <row r="75" spans="1:2" x14ac:dyDescent="0.3">
      <c r="A75" t="s">
        <v>2247</v>
      </c>
      <c r="B75">
        <v>1</v>
      </c>
    </row>
    <row r="76" spans="1:2" x14ac:dyDescent="0.3">
      <c r="A76" t="s">
        <v>2197</v>
      </c>
      <c r="B76">
        <v>1</v>
      </c>
    </row>
    <row r="77" spans="1:2" x14ac:dyDescent="0.3">
      <c r="A77" t="s">
        <v>2198</v>
      </c>
      <c r="B77">
        <v>1</v>
      </c>
    </row>
    <row r="78" spans="1:2" x14ac:dyDescent="0.3">
      <c r="A78" t="s">
        <v>2199</v>
      </c>
      <c r="B78">
        <v>1</v>
      </c>
    </row>
    <row r="79" spans="1:2" x14ac:dyDescent="0.3">
      <c r="A79" t="s">
        <v>2200</v>
      </c>
      <c r="B79">
        <v>1</v>
      </c>
    </row>
    <row r="80" spans="1:2" x14ac:dyDescent="0.3">
      <c r="A80" t="s">
        <v>2201</v>
      </c>
      <c r="B80">
        <v>1</v>
      </c>
    </row>
    <row r="81" spans="1:2" x14ac:dyDescent="0.3">
      <c r="A81" t="s">
        <v>2249</v>
      </c>
      <c r="B81">
        <v>0</v>
      </c>
    </row>
    <row r="82" spans="1:2" x14ac:dyDescent="0.3">
      <c r="A82" t="s">
        <v>2248</v>
      </c>
      <c r="B82">
        <v>0</v>
      </c>
    </row>
    <row r="83" spans="1:2" x14ac:dyDescent="0.3">
      <c r="A83" t="s">
        <v>2216</v>
      </c>
      <c r="B83">
        <v>1</v>
      </c>
    </row>
    <row r="84" spans="1:2" x14ac:dyDescent="0.3">
      <c r="A84" t="s">
        <v>2251</v>
      </c>
      <c r="B84">
        <v>1</v>
      </c>
    </row>
    <row r="85" spans="1:2" x14ac:dyDescent="0.3">
      <c r="A85" t="s">
        <v>2252</v>
      </c>
      <c r="B85">
        <v>0</v>
      </c>
    </row>
    <row r="86" spans="1:2" x14ac:dyDescent="0.3">
      <c r="A86" t="s">
        <v>2253</v>
      </c>
      <c r="B86">
        <v>1</v>
      </c>
    </row>
    <row r="87" spans="1:2" x14ac:dyDescent="0.3">
      <c r="A87" t="s">
        <v>2254</v>
      </c>
      <c r="B87">
        <v>1</v>
      </c>
    </row>
    <row r="88" spans="1:2" x14ac:dyDescent="0.3">
      <c r="A88" t="s">
        <v>2255</v>
      </c>
      <c r="B88">
        <v>1</v>
      </c>
    </row>
    <row r="89" spans="1:2" x14ac:dyDescent="0.3">
      <c r="A89" t="s">
        <v>2256</v>
      </c>
      <c r="B89">
        <v>1</v>
      </c>
    </row>
    <row r="90" spans="1:2" x14ac:dyDescent="0.3">
      <c r="A90" t="s">
        <v>2257</v>
      </c>
      <c r="B90">
        <v>1</v>
      </c>
    </row>
    <row r="91" spans="1:2" x14ac:dyDescent="0.3">
      <c r="A91" t="s">
        <v>2258</v>
      </c>
      <c r="B91">
        <v>1</v>
      </c>
    </row>
    <row r="92" spans="1:2" x14ac:dyDescent="0.3">
      <c r="A92" t="s">
        <v>2259</v>
      </c>
      <c r="B92">
        <v>0</v>
      </c>
    </row>
    <row r="93" spans="1:2" x14ac:dyDescent="0.3">
      <c r="A93" t="s">
        <v>2260</v>
      </c>
      <c r="B93">
        <v>0</v>
      </c>
    </row>
    <row r="94" spans="1:2" x14ac:dyDescent="0.3">
      <c r="A94" t="s">
        <v>2196</v>
      </c>
      <c r="B94">
        <v>1</v>
      </c>
    </row>
    <row r="95" spans="1:2" x14ac:dyDescent="0.3">
      <c r="A95" t="s">
        <v>2261</v>
      </c>
      <c r="B95">
        <v>0</v>
      </c>
    </row>
    <row r="96" spans="1:2" x14ac:dyDescent="0.3">
      <c r="A96" t="s">
        <v>2213</v>
      </c>
      <c r="B96">
        <v>0</v>
      </c>
    </row>
    <row r="97" spans="1:2" x14ac:dyDescent="0.3">
      <c r="A97" t="s">
        <v>2192</v>
      </c>
      <c r="B97">
        <v>1</v>
      </c>
    </row>
    <row r="98" spans="1:2" x14ac:dyDescent="0.3">
      <c r="A98" t="s">
        <v>2262</v>
      </c>
      <c r="B98">
        <v>0</v>
      </c>
    </row>
    <row r="99" spans="1:2" x14ac:dyDescent="0.3">
      <c r="A99" t="s">
        <v>2263</v>
      </c>
      <c r="B99">
        <v>1</v>
      </c>
    </row>
    <row r="100" spans="1:2" x14ac:dyDescent="0.3">
      <c r="A100" t="s">
        <v>2264</v>
      </c>
      <c r="B100">
        <v>1</v>
      </c>
    </row>
    <row r="101" spans="1:2" x14ac:dyDescent="0.3">
      <c r="A101" t="s">
        <v>2265</v>
      </c>
      <c r="B101">
        <v>1</v>
      </c>
    </row>
    <row r="102" spans="1:2" x14ac:dyDescent="0.3">
      <c r="A102" t="s">
        <v>2266</v>
      </c>
      <c r="B102">
        <v>1</v>
      </c>
    </row>
    <row r="103" spans="1:2" x14ac:dyDescent="0.3">
      <c r="A103" t="s">
        <v>2267</v>
      </c>
      <c r="B103">
        <v>0</v>
      </c>
    </row>
    <row r="104" spans="1:2" x14ac:dyDescent="0.3">
      <c r="A104" t="s">
        <v>2221</v>
      </c>
      <c r="B104">
        <v>1</v>
      </c>
    </row>
    <row r="105" spans="1:2" x14ac:dyDescent="0.3">
      <c r="A105" t="s">
        <v>2222</v>
      </c>
      <c r="B105">
        <v>1</v>
      </c>
    </row>
    <row r="106" spans="1:2" x14ac:dyDescent="0.3">
      <c r="A106" t="s">
        <v>2223</v>
      </c>
      <c r="B106">
        <v>1</v>
      </c>
    </row>
    <row r="107" spans="1:2" x14ac:dyDescent="0.3">
      <c r="A107" t="s">
        <v>2224</v>
      </c>
      <c r="B107">
        <v>1</v>
      </c>
    </row>
    <row r="108" spans="1:2" x14ac:dyDescent="0.3">
      <c r="A108" t="s">
        <v>2268</v>
      </c>
      <c r="B108">
        <v>1</v>
      </c>
    </row>
    <row r="109" spans="1:2" x14ac:dyDescent="0.3">
      <c r="A109" t="s">
        <v>2193</v>
      </c>
      <c r="B109">
        <v>1</v>
      </c>
    </row>
    <row r="110" spans="1:2" x14ac:dyDescent="0.3">
      <c r="A110" t="s">
        <v>2194</v>
      </c>
      <c r="B110">
        <v>1</v>
      </c>
    </row>
    <row r="111" spans="1:2" x14ac:dyDescent="0.3">
      <c r="A111" t="s">
        <v>2215</v>
      </c>
      <c r="B111">
        <v>1</v>
      </c>
    </row>
    <row r="112" spans="1:2" x14ac:dyDescent="0.3">
      <c r="A112" t="s">
        <v>2275</v>
      </c>
      <c r="B112">
        <v>1</v>
      </c>
    </row>
    <row r="113" spans="1:2" x14ac:dyDescent="0.3">
      <c r="A113" t="s">
        <v>2276</v>
      </c>
      <c r="B113">
        <v>1</v>
      </c>
    </row>
    <row r="114" spans="1:2" x14ac:dyDescent="0.3">
      <c r="A114" t="s">
        <v>2277</v>
      </c>
      <c r="B114">
        <v>1</v>
      </c>
    </row>
    <row r="115" spans="1:2" x14ac:dyDescent="0.3">
      <c r="A115" t="s">
        <v>2278</v>
      </c>
      <c r="B115">
        <v>0</v>
      </c>
    </row>
    <row r="116" spans="1:2" x14ac:dyDescent="0.3">
      <c r="A116" s="171" t="s">
        <v>2295</v>
      </c>
      <c r="B116">
        <v>1</v>
      </c>
    </row>
    <row r="117" spans="1:2" x14ac:dyDescent="0.3">
      <c r="A117" s="171" t="s">
        <v>2296</v>
      </c>
      <c r="B117">
        <v>1</v>
      </c>
    </row>
    <row r="118" spans="1:2" x14ac:dyDescent="0.3">
      <c r="A118" s="171" t="s">
        <v>2297</v>
      </c>
      <c r="B118">
        <v>1</v>
      </c>
    </row>
    <row r="119" spans="1:2" x14ac:dyDescent="0.3">
      <c r="A119" s="171" t="s">
        <v>2298</v>
      </c>
      <c r="B119">
        <v>1</v>
      </c>
    </row>
    <row r="120" spans="1:2" x14ac:dyDescent="0.3">
      <c r="A120" s="171" t="s">
        <v>2299</v>
      </c>
      <c r="B120">
        <v>1</v>
      </c>
    </row>
    <row r="121" spans="1:2" x14ac:dyDescent="0.3">
      <c r="B121">
        <f>SUBTOTAL(109,Table14[Count])</f>
        <v>99</v>
      </c>
    </row>
  </sheetData>
  <protectedRanges>
    <protectedRange sqref="A116:A120" name="Filter"/>
  </protectedRanges>
  <conditionalFormatting sqref="A1:A115">
    <cfRule type="containsText" dxfId="163" priority="6" operator="containsText" text="Great Lakes Energy Co">
      <formula>NOT(ISERROR(SEARCH("Great Lakes Energy Co",A1)))</formula>
    </cfRule>
  </conditionalFormatting>
  <conditionalFormatting sqref="A116:A120">
    <cfRule type="expression" dxfId="162" priority="1">
      <formula>$D116="In Progress"</formula>
    </cfRule>
    <cfRule type="expression" dxfId="161" priority="2">
      <formula>$D116="Complete"</formula>
    </cfRule>
    <cfRule type="expression" dxfId="160" priority="3">
      <formula>$D116="Not Started"</formula>
    </cfRule>
    <cfRule type="expression" dxfId="159" priority="4">
      <formula>$D116="Withdrawn"</formula>
    </cfRule>
    <cfRule type="expression" dxfId="158" priority="5">
      <formula>$D116="Ineligible"</formula>
    </cfRule>
  </conditionalFormatting>
  <conditionalFormatting sqref="A122:A124">
    <cfRule type="containsText" dxfId="157" priority="7" operator="containsText" text="Great Lakes Energy Co">
      <formula>NOT(ISERROR(SEARCH("Great Lakes Energy Co",A122)))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EBD7E-A1A8-4EB3-9116-FC2F3FC53428}">
  <sheetPr>
    <tabColor theme="5" tint="0.39997558519241921"/>
  </sheetPr>
  <dimension ref="A1:J90"/>
  <sheetViews>
    <sheetView zoomScaleNormal="100" workbookViewId="0">
      <pane ySplit="2" topLeftCell="A3" activePane="bottomLeft" state="frozen"/>
      <selection pane="bottomLeft" activeCell="I87" sqref="I87"/>
    </sheetView>
  </sheetViews>
  <sheetFormatPr defaultColWidth="8.88671875" defaultRowHeight="13.2" x14ac:dyDescent="0.25"/>
  <cols>
    <col min="1" max="1" width="0.6640625" style="81" customWidth="1"/>
    <col min="2" max="2" width="12.5546875" style="85" customWidth="1"/>
    <col min="3" max="3" width="31.6640625" style="85" customWidth="1"/>
    <col min="4" max="4" width="6.44140625" style="85" customWidth="1"/>
    <col min="5" max="5" width="13.6640625" style="85" customWidth="1"/>
    <col min="6" max="6" width="10.33203125" style="85" customWidth="1"/>
    <col min="7" max="7" width="15.88671875" style="85" customWidth="1"/>
    <col min="8" max="8" width="23.33203125" style="85" bestFit="1" customWidth="1"/>
    <col min="9" max="9" width="110.5546875" style="97" customWidth="1"/>
    <col min="10" max="10" width="2" style="82" customWidth="1"/>
    <col min="11" max="16384" width="8.88671875" style="85"/>
  </cols>
  <sheetData>
    <row r="1" spans="2:9" s="81" customFormat="1" ht="13.2" customHeight="1" thickBot="1" x14ac:dyDescent="0.3">
      <c r="E1" s="286" t="s">
        <v>88</v>
      </c>
      <c r="F1" s="287"/>
      <c r="G1" s="90">
        <f>SUM(Table4[Reduction])</f>
        <v>0</v>
      </c>
      <c r="I1" s="93"/>
    </row>
    <row r="2" spans="2:9" x14ac:dyDescent="0.25">
      <c r="B2" s="86" t="s">
        <v>17</v>
      </c>
      <c r="C2" s="86" t="s">
        <v>89</v>
      </c>
      <c r="D2" s="86" t="s">
        <v>90</v>
      </c>
      <c r="E2" s="87" t="s">
        <v>91</v>
      </c>
      <c r="F2" s="87" t="s">
        <v>92</v>
      </c>
      <c r="G2" s="87" t="s">
        <v>93</v>
      </c>
      <c r="H2" s="88" t="s">
        <v>94</v>
      </c>
      <c r="I2" s="94" t="s">
        <v>95</v>
      </c>
    </row>
    <row r="3" spans="2:9" x14ac:dyDescent="0.25">
      <c r="B3" s="100"/>
      <c r="C3" s="100"/>
      <c r="D3" s="100"/>
      <c r="E3" s="83"/>
      <c r="F3" s="83"/>
      <c r="G3" s="84"/>
      <c r="H3" s="100"/>
      <c r="I3" s="95"/>
    </row>
    <row r="4" spans="2:9" x14ac:dyDescent="0.25">
      <c r="B4" s="100"/>
      <c r="C4" s="100"/>
      <c r="D4" s="100"/>
      <c r="E4" s="83"/>
      <c r="F4" s="83"/>
      <c r="G4" s="84"/>
      <c r="H4" s="100"/>
      <c r="I4" s="95"/>
    </row>
    <row r="5" spans="2:9" x14ac:dyDescent="0.25">
      <c r="B5" s="100"/>
      <c r="C5" s="100"/>
      <c r="D5" s="100"/>
      <c r="E5" s="83"/>
      <c r="F5" s="83"/>
      <c r="G5" s="84"/>
      <c r="H5" s="100"/>
      <c r="I5" s="95"/>
    </row>
    <row r="6" spans="2:9" x14ac:dyDescent="0.25">
      <c r="B6" s="100"/>
      <c r="C6" s="91"/>
      <c r="D6" s="100"/>
      <c r="E6" s="83"/>
      <c r="F6" s="83"/>
      <c r="G6" s="92"/>
      <c r="H6" s="100"/>
      <c r="I6" s="95"/>
    </row>
    <row r="7" spans="2:9" x14ac:dyDescent="0.25">
      <c r="B7" s="100"/>
      <c r="C7" s="100"/>
      <c r="D7" s="100"/>
      <c r="E7" s="83"/>
      <c r="F7" s="83"/>
      <c r="G7" s="84"/>
      <c r="H7" s="100"/>
      <c r="I7" s="95"/>
    </row>
    <row r="8" spans="2:9" x14ac:dyDescent="0.25">
      <c r="B8" s="100"/>
      <c r="C8" s="100"/>
      <c r="D8" s="100"/>
      <c r="E8" s="83"/>
      <c r="F8" s="83"/>
      <c r="G8" s="84"/>
      <c r="H8" s="100"/>
      <c r="I8" s="95"/>
    </row>
    <row r="9" spans="2:9" x14ac:dyDescent="0.25">
      <c r="B9" s="100"/>
      <c r="C9" s="100"/>
      <c r="D9" s="100"/>
      <c r="E9" s="83"/>
      <c r="F9" s="83"/>
      <c r="G9" s="84"/>
      <c r="H9" s="100"/>
      <c r="I9" s="95"/>
    </row>
    <row r="10" spans="2:9" x14ac:dyDescent="0.25">
      <c r="B10" s="100"/>
      <c r="C10" s="100"/>
      <c r="D10" s="100"/>
      <c r="E10" s="83"/>
      <c r="F10" s="83"/>
      <c r="G10" s="84"/>
      <c r="H10" s="100"/>
      <c r="I10" s="95"/>
    </row>
    <row r="11" spans="2:9" x14ac:dyDescent="0.25">
      <c r="B11" s="100"/>
      <c r="C11" s="100"/>
      <c r="D11" s="100"/>
      <c r="E11" s="83"/>
      <c r="F11" s="83"/>
      <c r="G11" s="84"/>
      <c r="H11" s="100"/>
      <c r="I11" s="95"/>
    </row>
    <row r="12" spans="2:9" x14ac:dyDescent="0.25">
      <c r="B12" s="100"/>
      <c r="C12" s="100"/>
      <c r="D12" s="100"/>
      <c r="E12" s="83"/>
      <c r="F12" s="83"/>
      <c r="G12" s="84"/>
      <c r="H12" s="100"/>
      <c r="I12" s="95"/>
    </row>
    <row r="13" spans="2:9" x14ac:dyDescent="0.25">
      <c r="B13" s="100"/>
      <c r="C13" s="100"/>
      <c r="D13" s="100"/>
      <c r="E13" s="83"/>
      <c r="F13" s="83"/>
      <c r="G13" s="84"/>
      <c r="H13" s="100"/>
      <c r="I13" s="95"/>
    </row>
    <row r="14" spans="2:9" x14ac:dyDescent="0.25">
      <c r="B14" s="100"/>
      <c r="C14" s="100"/>
      <c r="D14" s="100"/>
      <c r="E14" s="83"/>
      <c r="F14" s="83"/>
      <c r="G14" s="84"/>
      <c r="H14" s="100"/>
      <c r="I14" s="95"/>
    </row>
    <row r="15" spans="2:9" x14ac:dyDescent="0.25">
      <c r="B15" s="100"/>
      <c r="C15" s="100"/>
      <c r="D15" s="100"/>
      <c r="E15" s="83"/>
      <c r="F15" s="83"/>
      <c r="G15" s="84"/>
      <c r="H15" s="100"/>
      <c r="I15" s="95"/>
    </row>
    <row r="16" spans="2:9" x14ac:dyDescent="0.25">
      <c r="B16" s="100"/>
      <c r="C16" s="100"/>
      <c r="D16" s="100"/>
      <c r="E16" s="83"/>
      <c r="F16" s="83"/>
      <c r="G16" s="84"/>
      <c r="H16" s="100"/>
      <c r="I16" s="95"/>
    </row>
    <row r="17" spans="2:9" x14ac:dyDescent="0.25">
      <c r="B17" s="100"/>
      <c r="C17" s="100"/>
      <c r="D17" s="100"/>
      <c r="E17" s="83"/>
      <c r="F17" s="83"/>
      <c r="G17" s="84"/>
      <c r="H17" s="100"/>
      <c r="I17" s="95"/>
    </row>
    <row r="18" spans="2:9" x14ac:dyDescent="0.25">
      <c r="B18" s="100"/>
      <c r="C18" s="100"/>
      <c r="D18" s="100"/>
      <c r="E18" s="83"/>
      <c r="F18" s="83"/>
      <c r="G18" s="84"/>
      <c r="H18" s="100"/>
      <c r="I18" s="95"/>
    </row>
    <row r="19" spans="2:9" x14ac:dyDescent="0.25">
      <c r="B19" s="100"/>
      <c r="C19" s="100"/>
      <c r="D19" s="100"/>
      <c r="E19" s="83"/>
      <c r="F19" s="83"/>
      <c r="G19" s="84"/>
      <c r="H19" s="100"/>
      <c r="I19" s="95"/>
    </row>
    <row r="20" spans="2:9" x14ac:dyDescent="0.25">
      <c r="B20" s="100"/>
      <c r="C20" s="100"/>
      <c r="D20" s="100"/>
      <c r="E20" s="83"/>
      <c r="F20" s="83"/>
      <c r="G20" s="92"/>
      <c r="H20" s="100"/>
      <c r="I20" s="95"/>
    </row>
    <row r="21" spans="2:9" x14ac:dyDescent="0.25">
      <c r="B21" s="100"/>
      <c r="C21" s="91"/>
      <c r="D21" s="100"/>
      <c r="E21" s="83"/>
      <c r="F21" s="83"/>
      <c r="G21" s="92"/>
      <c r="H21" s="100"/>
      <c r="I21" s="95"/>
    </row>
    <row r="22" spans="2:9" x14ac:dyDescent="0.25">
      <c r="B22" s="100"/>
      <c r="C22" s="100"/>
      <c r="D22" s="100"/>
      <c r="E22" s="83"/>
      <c r="F22" s="83"/>
      <c r="G22" s="84"/>
      <c r="H22" s="100"/>
      <c r="I22" s="95"/>
    </row>
    <row r="23" spans="2:9" x14ac:dyDescent="0.25">
      <c r="B23" s="100"/>
      <c r="C23" s="100"/>
      <c r="D23" s="100"/>
      <c r="E23" s="83"/>
      <c r="F23" s="83"/>
      <c r="G23" s="84"/>
      <c r="H23" s="100"/>
      <c r="I23" s="95"/>
    </row>
    <row r="24" spans="2:9" x14ac:dyDescent="0.25">
      <c r="B24" s="100"/>
      <c r="C24" s="100"/>
      <c r="D24" s="100"/>
      <c r="E24" s="83"/>
      <c r="F24" s="83"/>
      <c r="G24" s="84"/>
      <c r="H24" s="100"/>
      <c r="I24" s="95"/>
    </row>
    <row r="25" spans="2:9" x14ac:dyDescent="0.25">
      <c r="B25" s="100"/>
      <c r="C25" s="99"/>
      <c r="D25" s="100"/>
      <c r="E25" s="83"/>
      <c r="F25" s="83"/>
      <c r="G25" s="84"/>
      <c r="H25" s="100"/>
      <c r="I25" s="95"/>
    </row>
    <row r="26" spans="2:9" x14ac:dyDescent="0.25">
      <c r="B26" s="100"/>
      <c r="C26" s="100"/>
      <c r="D26" s="100"/>
      <c r="E26" s="83"/>
      <c r="F26" s="83"/>
      <c r="G26" s="84"/>
      <c r="H26" s="100"/>
      <c r="I26" s="95"/>
    </row>
    <row r="27" spans="2:9" x14ac:dyDescent="0.25">
      <c r="B27" s="100"/>
      <c r="C27" s="100"/>
      <c r="D27" s="100"/>
      <c r="E27" s="83"/>
      <c r="F27" s="83"/>
      <c r="G27" s="84"/>
      <c r="H27" s="100"/>
      <c r="I27" s="95"/>
    </row>
    <row r="28" spans="2:9" x14ac:dyDescent="0.25">
      <c r="B28" s="100"/>
      <c r="C28" s="100"/>
      <c r="D28" s="100"/>
      <c r="E28" s="83"/>
      <c r="F28" s="83"/>
      <c r="G28" s="84"/>
      <c r="H28" s="100"/>
      <c r="I28" s="95"/>
    </row>
    <row r="29" spans="2:9" x14ac:dyDescent="0.25">
      <c r="B29" s="100"/>
      <c r="C29" s="91"/>
      <c r="D29" s="100"/>
      <c r="E29" s="98"/>
      <c r="F29" s="83"/>
      <c r="G29" s="92"/>
      <c r="H29" s="100"/>
      <c r="I29" s="95"/>
    </row>
    <row r="30" spans="2:9" x14ac:dyDescent="0.25">
      <c r="B30" s="100"/>
      <c r="C30" s="100"/>
      <c r="D30" s="100"/>
      <c r="E30" s="83"/>
      <c r="F30" s="83"/>
      <c r="G30" s="92"/>
      <c r="H30" s="100"/>
      <c r="I30" s="95"/>
    </row>
    <row r="31" spans="2:9" x14ac:dyDescent="0.25">
      <c r="B31" s="100"/>
      <c r="C31" s="100"/>
      <c r="D31" s="100"/>
      <c r="E31" s="83"/>
      <c r="F31" s="83"/>
      <c r="G31" s="92"/>
      <c r="H31" s="100"/>
      <c r="I31" s="95"/>
    </row>
    <row r="32" spans="2:9" x14ac:dyDescent="0.25">
      <c r="B32" s="100"/>
      <c r="C32" s="100"/>
      <c r="D32" s="100"/>
      <c r="E32" s="83"/>
      <c r="F32" s="83"/>
      <c r="G32" s="84"/>
      <c r="H32" s="100"/>
      <c r="I32" s="95"/>
    </row>
    <row r="33" spans="2:9" x14ac:dyDescent="0.25">
      <c r="B33" s="100"/>
      <c r="C33" s="100"/>
      <c r="D33" s="100"/>
      <c r="E33" s="83"/>
      <c r="F33" s="83"/>
      <c r="G33" s="84"/>
      <c r="H33" s="100"/>
      <c r="I33" s="95"/>
    </row>
    <row r="34" spans="2:9" x14ac:dyDescent="0.25">
      <c r="B34" s="100"/>
      <c r="C34" s="100"/>
      <c r="D34" s="100"/>
      <c r="E34" s="83"/>
      <c r="F34" s="83"/>
      <c r="G34" s="84"/>
      <c r="H34" s="100"/>
      <c r="I34" s="95"/>
    </row>
    <row r="35" spans="2:9" x14ac:dyDescent="0.25">
      <c r="B35" s="100"/>
      <c r="C35" s="100"/>
      <c r="D35" s="100"/>
      <c r="E35" s="83"/>
      <c r="F35" s="83"/>
      <c r="G35" s="84"/>
      <c r="H35" s="100"/>
      <c r="I35" s="95"/>
    </row>
    <row r="36" spans="2:9" x14ac:dyDescent="0.25">
      <c r="B36" s="100"/>
      <c r="C36" s="100"/>
      <c r="D36" s="100"/>
      <c r="E36" s="83"/>
      <c r="F36" s="83"/>
      <c r="G36" s="84"/>
      <c r="H36" s="100"/>
      <c r="I36" s="95"/>
    </row>
    <row r="37" spans="2:9" x14ac:dyDescent="0.25">
      <c r="B37" s="100"/>
      <c r="C37" s="100"/>
      <c r="D37" s="100"/>
      <c r="E37" s="83"/>
      <c r="F37" s="83"/>
      <c r="G37" s="84"/>
      <c r="H37" s="100"/>
      <c r="I37" s="96"/>
    </row>
    <row r="38" spans="2:9" x14ac:dyDescent="0.25">
      <c r="B38" s="100"/>
      <c r="C38" s="100"/>
      <c r="D38" s="100"/>
      <c r="E38" s="83"/>
      <c r="F38" s="83"/>
      <c r="G38" s="84"/>
      <c r="H38" s="100"/>
      <c r="I38" s="95"/>
    </row>
    <row r="39" spans="2:9" x14ac:dyDescent="0.25">
      <c r="B39" s="100"/>
      <c r="C39" s="100"/>
      <c r="D39" s="100"/>
      <c r="E39" s="83"/>
      <c r="F39" s="83"/>
      <c r="G39" s="84"/>
      <c r="H39" s="100"/>
      <c r="I39" s="95"/>
    </row>
    <row r="40" spans="2:9" x14ac:dyDescent="0.25">
      <c r="B40" s="100"/>
      <c r="C40" s="100"/>
      <c r="D40" s="100"/>
      <c r="E40" s="83"/>
      <c r="F40" s="83"/>
      <c r="G40" s="84"/>
      <c r="H40" s="100"/>
      <c r="I40" s="95"/>
    </row>
    <row r="41" spans="2:9" x14ac:dyDescent="0.25">
      <c r="B41" s="100"/>
      <c r="C41" s="100"/>
      <c r="D41" s="100"/>
      <c r="E41" s="83"/>
      <c r="F41" s="83"/>
      <c r="G41" s="84"/>
      <c r="H41" s="100"/>
      <c r="I41" s="95"/>
    </row>
    <row r="42" spans="2:9" x14ac:dyDescent="0.25">
      <c r="B42" s="100"/>
      <c r="C42" s="100"/>
      <c r="D42" s="100"/>
      <c r="E42" s="83"/>
      <c r="F42" s="83"/>
      <c r="G42" s="84"/>
      <c r="H42" s="100"/>
      <c r="I42" s="95"/>
    </row>
    <row r="43" spans="2:9" x14ac:dyDescent="0.25">
      <c r="B43" s="100"/>
      <c r="C43" s="100"/>
      <c r="D43" s="100"/>
      <c r="E43" s="83"/>
      <c r="F43" s="83"/>
      <c r="G43" s="84"/>
      <c r="H43" s="100"/>
      <c r="I43" s="95"/>
    </row>
    <row r="44" spans="2:9" x14ac:dyDescent="0.25">
      <c r="B44" s="100"/>
      <c r="C44" s="100"/>
      <c r="D44" s="100"/>
      <c r="E44" s="83"/>
      <c r="F44" s="83"/>
      <c r="G44" s="84"/>
      <c r="H44" s="100"/>
      <c r="I44" s="95"/>
    </row>
    <row r="45" spans="2:9" x14ac:dyDescent="0.25">
      <c r="B45" s="100"/>
      <c r="C45" s="100"/>
      <c r="D45" s="100"/>
      <c r="E45" s="83"/>
      <c r="F45" s="83"/>
      <c r="G45" s="84"/>
      <c r="H45" s="100"/>
      <c r="I45" s="95"/>
    </row>
    <row r="46" spans="2:9" x14ac:dyDescent="0.25">
      <c r="B46" s="100"/>
      <c r="C46" s="100"/>
      <c r="D46" s="100"/>
      <c r="E46" s="83"/>
      <c r="F46" s="83"/>
      <c r="G46" s="84"/>
      <c r="H46" s="100"/>
      <c r="I46" s="95"/>
    </row>
    <row r="47" spans="2:9" x14ac:dyDescent="0.25">
      <c r="B47" s="100"/>
      <c r="C47" s="100"/>
      <c r="D47" s="100"/>
      <c r="E47" s="83"/>
      <c r="F47" s="83"/>
      <c r="G47" s="84"/>
      <c r="H47" s="100"/>
      <c r="I47" s="95"/>
    </row>
    <row r="48" spans="2:9" x14ac:dyDescent="0.25">
      <c r="B48" s="100"/>
      <c r="C48" s="103"/>
      <c r="D48" s="103"/>
      <c r="E48" s="101"/>
      <c r="F48" s="101"/>
      <c r="G48" s="84"/>
      <c r="H48" s="103"/>
      <c r="I48" s="102"/>
    </row>
    <row r="49" spans="2:9" x14ac:dyDescent="0.25">
      <c r="B49" s="100"/>
      <c r="C49" s="103"/>
      <c r="D49" s="103"/>
      <c r="E49" s="101"/>
      <c r="F49" s="101"/>
      <c r="G49" s="84"/>
      <c r="H49" s="103"/>
      <c r="I49" s="103"/>
    </row>
    <row r="50" spans="2:9" x14ac:dyDescent="0.25">
      <c r="B50" s="100"/>
      <c r="C50" s="103"/>
      <c r="D50" s="103"/>
      <c r="E50" s="101"/>
      <c r="F50" s="101"/>
      <c r="G50" s="84"/>
      <c r="H50" s="103"/>
      <c r="I50" s="103"/>
    </row>
    <row r="51" spans="2:9" x14ac:dyDescent="0.25">
      <c r="B51" s="100"/>
      <c r="C51" s="103"/>
      <c r="D51" s="103"/>
      <c r="E51" s="101"/>
      <c r="F51" s="101"/>
      <c r="G51" s="84"/>
      <c r="H51" s="103"/>
      <c r="I51" s="103"/>
    </row>
    <row r="52" spans="2:9" x14ac:dyDescent="0.25">
      <c r="B52" s="100"/>
      <c r="C52" s="103"/>
      <c r="D52" s="103"/>
      <c r="E52" s="101"/>
      <c r="F52" s="101"/>
      <c r="G52" s="84"/>
      <c r="H52" s="103"/>
      <c r="I52" s="103"/>
    </row>
    <row r="53" spans="2:9" x14ac:dyDescent="0.25">
      <c r="B53" s="100"/>
      <c r="C53" s="103"/>
      <c r="D53" s="103"/>
      <c r="E53" s="101"/>
      <c r="F53" s="101"/>
      <c r="G53" s="84"/>
      <c r="H53" s="103"/>
      <c r="I53" s="103"/>
    </row>
    <row r="54" spans="2:9" x14ac:dyDescent="0.25">
      <c r="B54" s="100"/>
      <c r="C54" s="103"/>
      <c r="D54" s="103"/>
      <c r="E54" s="101"/>
      <c r="F54" s="101"/>
      <c r="G54" s="84"/>
      <c r="H54" s="103"/>
      <c r="I54" s="103"/>
    </row>
    <row r="55" spans="2:9" x14ac:dyDescent="0.25">
      <c r="B55" s="100"/>
      <c r="C55" s="103"/>
      <c r="D55" s="103"/>
      <c r="E55" s="101"/>
      <c r="F55" s="101"/>
      <c r="G55" s="84"/>
      <c r="H55" s="103"/>
      <c r="I55" s="103"/>
    </row>
    <row r="56" spans="2:9" x14ac:dyDescent="0.25">
      <c r="B56" s="100"/>
      <c r="C56" s="103"/>
      <c r="D56" s="103"/>
      <c r="E56" s="101"/>
      <c r="F56" s="101"/>
      <c r="G56" s="84"/>
      <c r="H56" s="103"/>
      <c r="I56" s="103"/>
    </row>
    <row r="57" spans="2:9" x14ac:dyDescent="0.25">
      <c r="B57" s="100"/>
      <c r="C57" s="103"/>
      <c r="D57" s="103"/>
      <c r="E57" s="101"/>
      <c r="F57" s="101"/>
      <c r="G57" s="84"/>
      <c r="H57" s="103"/>
      <c r="I57" s="103"/>
    </row>
    <row r="58" spans="2:9" x14ac:dyDescent="0.25">
      <c r="B58" s="100"/>
      <c r="C58" s="103"/>
      <c r="D58" s="103"/>
      <c r="E58" s="101"/>
      <c r="F58" s="101"/>
      <c r="G58" s="84"/>
      <c r="H58" s="103"/>
      <c r="I58" s="103"/>
    </row>
    <row r="59" spans="2:9" x14ac:dyDescent="0.25">
      <c r="B59" s="100"/>
      <c r="C59" s="103"/>
      <c r="D59" s="103"/>
      <c r="E59" s="101"/>
      <c r="F59" s="101"/>
      <c r="G59" s="84"/>
      <c r="H59" s="103"/>
      <c r="I59" s="103"/>
    </row>
    <row r="60" spans="2:9" x14ac:dyDescent="0.25">
      <c r="B60" s="100"/>
      <c r="C60" s="103"/>
      <c r="D60" s="103"/>
      <c r="E60" s="101"/>
      <c r="F60" s="101"/>
      <c r="G60" s="84"/>
      <c r="H60" s="103"/>
      <c r="I60" s="103"/>
    </row>
    <row r="61" spans="2:9" x14ac:dyDescent="0.25">
      <c r="B61" s="100"/>
      <c r="C61" s="103"/>
      <c r="D61" s="103"/>
      <c r="E61" s="101"/>
      <c r="F61" s="101"/>
      <c r="G61" s="84"/>
      <c r="H61" s="103"/>
      <c r="I61" s="103"/>
    </row>
    <row r="62" spans="2:9" x14ac:dyDescent="0.25">
      <c r="B62" s="100"/>
      <c r="C62" s="103"/>
      <c r="D62" s="103"/>
      <c r="E62" s="101"/>
      <c r="F62" s="101"/>
      <c r="G62" s="92"/>
      <c r="H62" s="103"/>
      <c r="I62" s="103"/>
    </row>
    <row r="63" spans="2:9" x14ac:dyDescent="0.25">
      <c r="B63" s="100"/>
      <c r="C63" s="103"/>
      <c r="D63" s="103"/>
      <c r="E63" s="101"/>
      <c r="F63" s="101"/>
      <c r="G63" s="92"/>
      <c r="H63" s="103"/>
      <c r="I63" s="103"/>
    </row>
    <row r="64" spans="2:9" x14ac:dyDescent="0.25">
      <c r="B64" s="100"/>
      <c r="C64" s="103"/>
      <c r="D64" s="103"/>
      <c r="E64" s="101"/>
      <c r="F64" s="101"/>
      <c r="G64" s="92"/>
      <c r="H64" s="103"/>
      <c r="I64" s="103"/>
    </row>
    <row r="65" spans="2:9" x14ac:dyDescent="0.25">
      <c r="B65" s="100"/>
      <c r="C65" s="103"/>
      <c r="D65" s="103"/>
      <c r="E65" s="101"/>
      <c r="F65" s="101"/>
      <c r="G65" s="84"/>
      <c r="H65" s="103"/>
      <c r="I65" s="103"/>
    </row>
    <row r="66" spans="2:9" x14ac:dyDescent="0.25">
      <c r="B66" s="100"/>
      <c r="C66" s="103"/>
      <c r="D66" s="103"/>
      <c r="E66" s="101"/>
      <c r="F66" s="101"/>
      <c r="G66" s="92"/>
      <c r="H66" s="103"/>
      <c r="I66" s="103"/>
    </row>
    <row r="67" spans="2:9" x14ac:dyDescent="0.25">
      <c r="B67" s="100"/>
      <c r="C67" s="100"/>
      <c r="D67" s="100"/>
      <c r="E67" s="83"/>
      <c r="F67" s="83"/>
      <c r="G67" s="84"/>
      <c r="H67" s="100"/>
      <c r="I67" s="95"/>
    </row>
    <row r="68" spans="2:9" x14ac:dyDescent="0.25">
      <c r="B68" s="100"/>
      <c r="C68" s="91"/>
      <c r="D68" s="100"/>
      <c r="E68" s="83"/>
      <c r="F68" s="83"/>
      <c r="G68" s="92"/>
      <c r="H68" s="100"/>
      <c r="I68" s="95"/>
    </row>
    <row r="69" spans="2:9" x14ac:dyDescent="0.25">
      <c r="B69" s="100"/>
      <c r="C69" s="100"/>
      <c r="D69" s="100"/>
      <c r="E69" s="83"/>
      <c r="F69" s="83"/>
      <c r="G69" s="84"/>
      <c r="H69" s="100"/>
      <c r="I69" s="96"/>
    </row>
    <row r="70" spans="2:9" x14ac:dyDescent="0.25">
      <c r="B70" s="100"/>
      <c r="C70" s="100"/>
      <c r="D70" s="100"/>
      <c r="E70" s="83"/>
      <c r="F70" s="83"/>
      <c r="G70" s="84"/>
      <c r="H70" s="100"/>
      <c r="I70" s="95"/>
    </row>
    <row r="71" spans="2:9" x14ac:dyDescent="0.25">
      <c r="B71" s="100"/>
      <c r="C71" s="100"/>
      <c r="D71" s="100"/>
      <c r="E71" s="83"/>
      <c r="F71" s="83"/>
      <c r="G71" s="84"/>
      <c r="H71" s="100"/>
      <c r="I71" s="95"/>
    </row>
    <row r="72" spans="2:9" x14ac:dyDescent="0.25">
      <c r="B72" s="100"/>
      <c r="C72" s="100"/>
      <c r="D72" s="100"/>
      <c r="E72" s="83"/>
      <c r="F72" s="83"/>
      <c r="G72" s="84"/>
      <c r="H72" s="100"/>
      <c r="I72" s="95"/>
    </row>
    <row r="73" spans="2:9" x14ac:dyDescent="0.25">
      <c r="B73" s="100"/>
      <c r="C73" s="100"/>
      <c r="D73" s="100"/>
      <c r="E73" s="83"/>
      <c r="F73" s="83"/>
      <c r="G73" s="84"/>
      <c r="H73" s="100"/>
      <c r="I73" s="95"/>
    </row>
    <row r="74" spans="2:9" x14ac:dyDescent="0.25">
      <c r="B74" s="100"/>
      <c r="C74" s="100"/>
      <c r="D74" s="100"/>
      <c r="E74" s="83"/>
      <c r="F74" s="83"/>
      <c r="G74" s="84"/>
      <c r="H74" s="100"/>
      <c r="I74" s="95"/>
    </row>
    <row r="75" spans="2:9" x14ac:dyDescent="0.25">
      <c r="B75" s="100"/>
      <c r="C75" s="100"/>
      <c r="D75" s="100"/>
      <c r="E75" s="83"/>
      <c r="F75" s="83"/>
      <c r="G75" s="84"/>
      <c r="H75" s="100"/>
      <c r="I75" s="95"/>
    </row>
    <row r="76" spans="2:9" x14ac:dyDescent="0.25">
      <c r="B76" s="100"/>
      <c r="C76" s="91"/>
      <c r="D76" s="100"/>
      <c r="E76" s="83"/>
      <c r="F76" s="83"/>
      <c r="G76" s="92"/>
      <c r="H76" s="100"/>
      <c r="I76" s="95"/>
    </row>
    <row r="77" spans="2:9" x14ac:dyDescent="0.25">
      <c r="B77" s="100"/>
      <c r="C77" s="100"/>
      <c r="D77" s="100"/>
      <c r="E77" s="83"/>
      <c r="F77" s="83"/>
      <c r="G77" s="84"/>
      <c r="H77" s="100"/>
      <c r="I77" s="95"/>
    </row>
    <row r="78" spans="2:9" x14ac:dyDescent="0.25">
      <c r="B78" s="100"/>
      <c r="C78" s="100"/>
      <c r="D78" s="100"/>
      <c r="E78" s="83"/>
      <c r="F78" s="83"/>
      <c r="G78" s="84"/>
      <c r="H78" s="100"/>
      <c r="I78" s="95"/>
    </row>
    <row r="79" spans="2:9" x14ac:dyDescent="0.25">
      <c r="B79" s="100"/>
      <c r="C79" s="91"/>
      <c r="D79" s="100"/>
      <c r="E79" s="83"/>
      <c r="F79" s="83"/>
      <c r="G79" s="92"/>
      <c r="H79" s="100"/>
      <c r="I79" s="96"/>
    </row>
    <row r="80" spans="2:9" x14ac:dyDescent="0.25">
      <c r="B80" s="100"/>
      <c r="C80" s="100"/>
      <c r="D80" s="100"/>
      <c r="E80" s="83"/>
      <c r="F80" s="83"/>
      <c r="G80" s="84"/>
      <c r="H80" s="100"/>
      <c r="I80" s="95"/>
    </row>
    <row r="81" spans="2:9" x14ac:dyDescent="0.25">
      <c r="B81" s="100"/>
      <c r="C81" s="100"/>
      <c r="D81" s="100"/>
      <c r="E81" s="83"/>
      <c r="F81" s="83"/>
      <c r="G81" s="84"/>
      <c r="H81" s="100"/>
      <c r="I81" s="95"/>
    </row>
    <row r="82" spans="2:9" x14ac:dyDescent="0.25">
      <c r="B82" s="100"/>
      <c r="C82" s="100"/>
      <c r="D82" s="100"/>
      <c r="E82" s="83"/>
      <c r="F82" s="83"/>
      <c r="G82" s="84"/>
      <c r="H82" s="100"/>
      <c r="I82" s="95"/>
    </row>
    <row r="83" spans="2:9" x14ac:dyDescent="0.25">
      <c r="B83" s="100"/>
      <c r="C83" s="100"/>
      <c r="D83" s="100"/>
      <c r="E83" s="83"/>
      <c r="F83" s="83"/>
      <c r="G83" s="84"/>
      <c r="H83" s="100"/>
      <c r="I83" s="95"/>
    </row>
    <row r="84" spans="2:9" x14ac:dyDescent="0.25">
      <c r="B84" s="100"/>
      <c r="C84" s="100"/>
      <c r="D84" s="100"/>
      <c r="E84" s="83"/>
      <c r="F84" s="83"/>
      <c r="G84" s="84"/>
      <c r="H84" s="100"/>
      <c r="I84" s="95"/>
    </row>
    <row r="85" spans="2:9" x14ac:dyDescent="0.25">
      <c r="B85" s="100"/>
      <c r="C85" s="100"/>
      <c r="D85" s="100"/>
      <c r="E85" s="83"/>
      <c r="F85" s="83"/>
      <c r="G85" s="84"/>
      <c r="H85" s="100"/>
      <c r="I85" s="95"/>
    </row>
    <row r="86" spans="2:9" x14ac:dyDescent="0.25">
      <c r="B86" s="100"/>
      <c r="C86" s="91"/>
      <c r="D86" s="100"/>
      <c r="E86" s="83"/>
      <c r="F86" s="83"/>
      <c r="G86" s="92">
        <f>Table4[[#This Row],[Eligible]]-Table4[[#This Row],[Original]]</f>
        <v>0</v>
      </c>
      <c r="H86" s="100"/>
      <c r="I86" s="95"/>
    </row>
    <row r="87" spans="2:9" x14ac:dyDescent="0.25">
      <c r="B87" s="100"/>
      <c r="C87" s="91"/>
      <c r="D87" s="100"/>
      <c r="E87" s="83"/>
      <c r="F87" s="83"/>
      <c r="G87" s="92">
        <f>Table4[[#This Row],[Eligible]]-Table4[[#This Row],[Original]]</f>
        <v>0</v>
      </c>
      <c r="H87" s="100"/>
      <c r="I87" s="95"/>
    </row>
    <row r="88" spans="2:9" x14ac:dyDescent="0.25">
      <c r="B88" s="100"/>
      <c r="C88" s="91"/>
      <c r="D88" s="100"/>
      <c r="E88" s="83"/>
      <c r="F88" s="83"/>
      <c r="G88" s="92">
        <f>Table4[[#This Row],[Eligible]]-Table4[[#This Row],[Original]]</f>
        <v>0</v>
      </c>
      <c r="H88" s="100"/>
      <c r="I88" s="95"/>
    </row>
    <row r="89" spans="2:9" x14ac:dyDescent="0.25">
      <c r="B89" s="100"/>
      <c r="C89" s="91"/>
      <c r="D89" s="100"/>
      <c r="E89" s="83"/>
      <c r="F89" s="83"/>
      <c r="G89" s="92">
        <f>Table4[[#This Row],[Eligible]]-Table4[[#This Row],[Original]]</f>
        <v>0</v>
      </c>
      <c r="H89" s="100"/>
      <c r="I89" s="95"/>
    </row>
    <row r="90" spans="2:9" x14ac:dyDescent="0.25">
      <c r="B90" s="100"/>
      <c r="C90" s="91"/>
      <c r="D90" s="100"/>
      <c r="E90" s="83"/>
      <c r="F90" s="83"/>
      <c r="G90" s="92">
        <f>Table4[[#This Row],[Eligible]]-Table4[[#This Row],[Original]]</f>
        <v>0</v>
      </c>
      <c r="H90" s="100"/>
      <c r="I90" s="95"/>
    </row>
  </sheetData>
  <sheetProtection formatColumns="0" formatRows="0" deleteRows="0" selectLockedCells="1" autoFilter="0"/>
  <mergeCells count="1">
    <mergeCell ref="E1:F1"/>
  </mergeCells>
  <dataValidations count="2">
    <dataValidation type="list" allowBlank="1" showInputMessage="1" showErrorMessage="1" sqref="D86:D90 D3:D85" xr:uid="{264F433D-797B-43B7-A1B7-7EB3A3ED76A9}">
      <formula1>"A, B, C, D, E, F, G"</formula1>
    </dataValidation>
    <dataValidation type="list" allowBlank="1" showInputMessage="1" showErrorMessage="1" sqref="H86:H90 H3:H85" xr:uid="{E56A3AE3-C95F-4D67-9A91-0B465717EFED}">
      <formula1>"Lack of Maintenance, Unable to Validate Damage, Unreasonable Dimensions, Mitigation, Soft Costs, No Cost Docs, Unsubstantiated Costs, Other, No reduction"</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4FEC2DD3-CFFE-425D-AC35-0E353302EA85}">
          <x14:formula1>
            <xm:f>'County Populations'!$C$1286:$C$1368</xm:f>
          </x14:formula1>
          <xm:sqref>B86:B90 B3:B85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8221A-24C5-4E8F-9E54-50CE231B8ED9}">
  <sheetPr>
    <tabColor theme="4" tint="-0.249977111117893"/>
  </sheetPr>
  <dimension ref="A1:E59"/>
  <sheetViews>
    <sheetView topLeftCell="A31" workbookViewId="0">
      <selection activeCell="E54" sqref="E54"/>
    </sheetView>
  </sheetViews>
  <sheetFormatPr defaultRowHeight="14.4" x14ac:dyDescent="0.3"/>
  <cols>
    <col min="1" max="1" width="21.5546875" customWidth="1"/>
    <col min="2" max="2" width="22.109375" style="2" bestFit="1" customWidth="1"/>
    <col min="3" max="3" width="2.6640625" customWidth="1"/>
    <col min="4" max="4" width="19.6640625" customWidth="1"/>
    <col min="5" max="5" width="19.109375" customWidth="1"/>
    <col min="9" max="9" width="11" bestFit="1" customWidth="1"/>
    <col min="16" max="16" width="35.6640625" bestFit="1" customWidth="1"/>
  </cols>
  <sheetData>
    <row r="1" spans="1:5" ht="21" x14ac:dyDescent="0.4">
      <c r="A1" s="288" t="s">
        <v>2172</v>
      </c>
      <c r="B1" s="288"/>
      <c r="C1" s="288"/>
      <c r="D1" s="288"/>
      <c r="E1" s="288"/>
    </row>
    <row r="2" spans="1:5" ht="7.2" customHeight="1" x14ac:dyDescent="0.3"/>
    <row r="3" spans="1:5" x14ac:dyDescent="0.3">
      <c r="A3" s="115" t="s">
        <v>96</v>
      </c>
      <c r="B3" s="115" t="s">
        <v>97</v>
      </c>
    </row>
    <row r="4" spans="1:5" x14ac:dyDescent="0.3">
      <c r="A4" s="115" t="s">
        <v>98</v>
      </c>
      <c r="B4" s="117" t="s">
        <v>2206</v>
      </c>
    </row>
    <row r="5" spans="1:5" x14ac:dyDescent="0.3">
      <c r="A5" s="115" t="s">
        <v>99</v>
      </c>
      <c r="B5" s="2" t="s">
        <v>2151</v>
      </c>
    </row>
    <row r="6" spans="1:5" x14ac:dyDescent="0.3">
      <c r="A6" s="2"/>
    </row>
    <row r="7" spans="1:5" x14ac:dyDescent="0.3">
      <c r="A7" s="2" t="s">
        <v>100</v>
      </c>
      <c r="B7" s="2" t="s">
        <v>9</v>
      </c>
    </row>
    <row r="8" spans="1:5" x14ac:dyDescent="0.3">
      <c r="A8" s="115" t="s">
        <v>101</v>
      </c>
      <c r="B8" s="2">
        <v>94</v>
      </c>
      <c r="D8" s="2" t="s">
        <v>2149</v>
      </c>
      <c r="E8" s="2" t="s">
        <v>2149</v>
      </c>
    </row>
    <row r="9" spans="1:5" x14ac:dyDescent="0.3">
      <c r="A9" s="115" t="s">
        <v>102</v>
      </c>
      <c r="B9" s="2">
        <v>37</v>
      </c>
    </row>
    <row r="10" spans="1:5" x14ac:dyDescent="0.3">
      <c r="A10" s="2"/>
    </row>
    <row r="11" spans="1:5" x14ac:dyDescent="0.3">
      <c r="A11" s="2" t="s">
        <v>103</v>
      </c>
      <c r="B11" s="2" t="s">
        <v>9</v>
      </c>
    </row>
    <row r="12" spans="1:5" x14ac:dyDescent="0.3">
      <c r="A12" s="107" t="s">
        <v>104</v>
      </c>
      <c r="B12" s="232">
        <v>23494514</v>
      </c>
    </row>
    <row r="13" spans="1:5" x14ac:dyDescent="0.3">
      <c r="A13" s="115" t="s">
        <v>2148</v>
      </c>
      <c r="B13" s="262">
        <f>SummaryPage!K7*Summary!B16</f>
        <v>19550022.140000001</v>
      </c>
      <c r="D13" s="118"/>
    </row>
    <row r="14" spans="1:5" x14ac:dyDescent="0.3">
      <c r="A14" s="115"/>
      <c r="B14" s="104"/>
    </row>
    <row r="15" spans="1:5" x14ac:dyDescent="0.3">
      <c r="A15" s="115" t="s">
        <v>105</v>
      </c>
      <c r="B15" s="105" t="s">
        <v>9</v>
      </c>
    </row>
    <row r="16" spans="1:5" x14ac:dyDescent="0.3">
      <c r="A16" s="115" t="s">
        <v>106</v>
      </c>
      <c r="B16" s="231">
        <v>1.94</v>
      </c>
      <c r="D16" t="s">
        <v>17</v>
      </c>
      <c r="E16" s="2" t="s">
        <v>9</v>
      </c>
    </row>
    <row r="17" spans="1:5" x14ac:dyDescent="0.3">
      <c r="A17" s="115" t="s">
        <v>107</v>
      </c>
      <c r="B17" s="231">
        <v>4.8600000000000003</v>
      </c>
      <c r="D17" s="193" t="s">
        <v>1068</v>
      </c>
      <c r="E17"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449899.41000000003</v>
      </c>
    </row>
    <row r="18" spans="1:5" x14ac:dyDescent="0.3">
      <c r="A18" s="115" t="s">
        <v>108</v>
      </c>
      <c r="B18" s="233">
        <v>4100</v>
      </c>
      <c r="D18" s="192" t="s">
        <v>1070</v>
      </c>
      <c r="E18"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214396.3</v>
      </c>
    </row>
    <row r="19" spans="1:5" x14ac:dyDescent="0.3">
      <c r="A19" s="115" t="s">
        <v>109</v>
      </c>
      <c r="B19" s="233">
        <v>1093800</v>
      </c>
      <c r="D19" s="193" t="s">
        <v>1071</v>
      </c>
      <c r="E19"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220763.93</v>
      </c>
    </row>
    <row r="20" spans="1:5" x14ac:dyDescent="0.3">
      <c r="A20" s="2"/>
      <c r="D20" s="192" t="s">
        <v>1072</v>
      </c>
      <c r="E20"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48246.43</v>
      </c>
    </row>
    <row r="21" spans="1:5" x14ac:dyDescent="0.3">
      <c r="A21" s="2" t="s">
        <v>110</v>
      </c>
      <c r="B21" s="2" t="s">
        <v>9</v>
      </c>
      <c r="D21" s="229" t="s">
        <v>1073</v>
      </c>
      <c r="E21"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22" spans="1:5" x14ac:dyDescent="0.3">
      <c r="A22" s="115" t="s">
        <v>111</v>
      </c>
      <c r="B22" s="237">
        <v>1072897</v>
      </c>
      <c r="D22" s="229" t="s">
        <v>1075</v>
      </c>
      <c r="E22"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23" spans="1:5" x14ac:dyDescent="0.3">
      <c r="A23" s="115" t="s">
        <v>112</v>
      </c>
      <c r="B23" s="237">
        <v>6509052</v>
      </c>
      <c r="D23" s="193" t="s">
        <v>1076</v>
      </c>
      <c r="E23"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231686.62</v>
      </c>
    </row>
    <row r="24" spans="1:5" x14ac:dyDescent="0.3">
      <c r="A24" s="115" t="s">
        <v>113</v>
      </c>
      <c r="B24" s="237">
        <f>44948+11161420</f>
        <v>11206368</v>
      </c>
      <c r="D24" s="193" t="s">
        <v>1078</v>
      </c>
      <c r="E24"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224757.5</v>
      </c>
    </row>
    <row r="25" spans="1:5" x14ac:dyDescent="0.3">
      <c r="A25" s="115" t="s">
        <v>114</v>
      </c>
      <c r="B25" s="237">
        <v>1113982</v>
      </c>
      <c r="D25" s="193" t="s">
        <v>1079</v>
      </c>
      <c r="E25"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8462908.2200000007</v>
      </c>
    </row>
    <row r="26" spans="1:5" x14ac:dyDescent="0.3">
      <c r="A26" s="115" t="s">
        <v>115</v>
      </c>
      <c r="B26" s="237">
        <v>158956</v>
      </c>
      <c r="D26" s="192" t="s">
        <v>1081</v>
      </c>
      <c r="E26"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42981.37</v>
      </c>
    </row>
    <row r="27" spans="1:5" x14ac:dyDescent="0.3">
      <c r="A27" s="115" t="s">
        <v>116</v>
      </c>
      <c r="B27" s="237">
        <v>781898</v>
      </c>
      <c r="D27" s="193" t="s">
        <v>40</v>
      </c>
      <c r="E27"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67515</v>
      </c>
    </row>
    <row r="28" spans="1:5" x14ac:dyDescent="0.3">
      <c r="A28" s="115" t="s">
        <v>117</v>
      </c>
      <c r="B28" s="237">
        <f>33625+2617735</f>
        <v>2651360</v>
      </c>
      <c r="D28" s="193" t="s">
        <v>1082</v>
      </c>
      <c r="E28"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824477.04</v>
      </c>
    </row>
    <row r="29" spans="1:5" x14ac:dyDescent="0.3">
      <c r="D29" s="193" t="s">
        <v>720</v>
      </c>
      <c r="E29"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278017.65999999997</v>
      </c>
    </row>
    <row r="30" spans="1:5" x14ac:dyDescent="0.3">
      <c r="A30" s="106" t="s">
        <v>118</v>
      </c>
      <c r="B30" s="106" t="s">
        <v>2147</v>
      </c>
      <c r="D30" s="193" t="s">
        <v>1086</v>
      </c>
      <c r="E30"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2690331</v>
      </c>
    </row>
    <row r="31" spans="1:5" x14ac:dyDescent="0.3">
      <c r="A31" s="108" t="s">
        <v>2152</v>
      </c>
      <c r="B31" s="108" t="s">
        <v>2165</v>
      </c>
      <c r="D31" s="193" t="s">
        <v>1087</v>
      </c>
      <c r="E31"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206180.91</v>
      </c>
    </row>
    <row r="32" spans="1:5" x14ac:dyDescent="0.3">
      <c r="A32" s="108" t="s">
        <v>2153</v>
      </c>
      <c r="B32" s="108"/>
      <c r="D32" s="229" t="s">
        <v>1093</v>
      </c>
      <c r="E32"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33" spans="1:5" x14ac:dyDescent="0.3">
      <c r="A33" s="108" t="s">
        <v>2154</v>
      </c>
      <c r="B33" s="108"/>
      <c r="D33" s="193" t="s">
        <v>1094</v>
      </c>
      <c r="E33"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383314</v>
      </c>
    </row>
    <row r="34" spans="1:5" x14ac:dyDescent="0.3">
      <c r="A34" s="108" t="s">
        <v>2155</v>
      </c>
      <c r="B34" s="108"/>
      <c r="D34" s="192" t="s">
        <v>46</v>
      </c>
      <c r="E34"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241438</v>
      </c>
    </row>
    <row r="35" spans="1:5" x14ac:dyDescent="0.3">
      <c r="A35" s="108" t="s">
        <v>2156</v>
      </c>
      <c r="B35" s="108"/>
      <c r="D35" s="192" t="s">
        <v>1096</v>
      </c>
      <c r="E35"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18537</v>
      </c>
    </row>
    <row r="36" spans="1:5" x14ac:dyDescent="0.3">
      <c r="A36" s="108" t="s">
        <v>2157</v>
      </c>
      <c r="B36" s="108"/>
      <c r="D36" s="193" t="s">
        <v>1097</v>
      </c>
      <c r="E36"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372064.86</v>
      </c>
    </row>
    <row r="37" spans="1:5" x14ac:dyDescent="0.3">
      <c r="A37" s="108" t="s">
        <v>2158</v>
      </c>
      <c r="B37" s="108"/>
      <c r="D37" s="193" t="s">
        <v>439</v>
      </c>
      <c r="E37"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137336.87</v>
      </c>
    </row>
    <row r="38" spans="1:5" x14ac:dyDescent="0.3">
      <c r="A38" s="108" t="s">
        <v>2159</v>
      </c>
      <c r="B38" s="108"/>
      <c r="D38" s="192" t="s">
        <v>1100</v>
      </c>
      <c r="E38"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5858.15</v>
      </c>
    </row>
    <row r="39" spans="1:5" x14ac:dyDescent="0.3">
      <c r="A39" s="109" t="s">
        <v>2160</v>
      </c>
      <c r="B39" s="108"/>
      <c r="D39" s="193" t="s">
        <v>1105</v>
      </c>
      <c r="E39"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1952971.61</v>
      </c>
    </row>
    <row r="40" spans="1:5" x14ac:dyDescent="0.3">
      <c r="A40" s="108" t="s">
        <v>2161</v>
      </c>
      <c r="B40" s="108"/>
      <c r="D40" s="193" t="s">
        <v>1106</v>
      </c>
      <c r="E40"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400562</v>
      </c>
    </row>
    <row r="41" spans="1:5" x14ac:dyDescent="0.3">
      <c r="A41" s="108" t="s">
        <v>2162</v>
      </c>
      <c r="B41" s="108"/>
      <c r="D41" s="193" t="s">
        <v>1107</v>
      </c>
      <c r="E41"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632000</v>
      </c>
    </row>
    <row r="42" spans="1:5" x14ac:dyDescent="0.3">
      <c r="A42" s="108" t="s">
        <v>2163</v>
      </c>
      <c r="B42" s="108"/>
      <c r="D42" s="193" t="s">
        <v>1108</v>
      </c>
      <c r="E42"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403474</v>
      </c>
    </row>
    <row r="43" spans="1:5" x14ac:dyDescent="0.3">
      <c r="A43" s="108" t="s">
        <v>2164</v>
      </c>
      <c r="B43" s="108"/>
      <c r="D43" s="193" t="s">
        <v>1110</v>
      </c>
      <c r="E43"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286453</v>
      </c>
    </row>
    <row r="44" spans="1:5" x14ac:dyDescent="0.3">
      <c r="A44" s="196" t="s">
        <v>2227</v>
      </c>
      <c r="B44" s="196"/>
      <c r="D44" s="192" t="s">
        <v>1111</v>
      </c>
      <c r="E44"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51963.649999999994</v>
      </c>
    </row>
    <row r="45" spans="1:5" x14ac:dyDescent="0.3">
      <c r="A45" s="108"/>
      <c r="B45" s="110"/>
      <c r="D45" s="193" t="s">
        <v>1112</v>
      </c>
      <c r="E45"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59980.51</v>
      </c>
    </row>
    <row r="46" spans="1:5" x14ac:dyDescent="0.3">
      <c r="A46" s="108"/>
      <c r="B46" s="110"/>
      <c r="D46" s="192" t="s">
        <v>1113</v>
      </c>
      <c r="E46"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305467.93</v>
      </c>
    </row>
    <row r="47" spans="1:5" x14ac:dyDescent="0.3">
      <c r="A47" s="108"/>
      <c r="B47" s="110"/>
      <c r="D47" s="194" t="s">
        <v>1114</v>
      </c>
      <c r="E47"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313684.59999999998</v>
      </c>
    </row>
    <row r="48" spans="1:5" x14ac:dyDescent="0.3">
      <c r="D48" s="230" t="s">
        <v>1115</v>
      </c>
      <c r="E48"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49" spans="4:5" x14ac:dyDescent="0.3">
      <c r="D49" s="230" t="s">
        <v>1116</v>
      </c>
      <c r="E49"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50" spans="4:5" x14ac:dyDescent="0.3">
      <c r="D50" s="194" t="s">
        <v>1117</v>
      </c>
      <c r="E50"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122905</v>
      </c>
    </row>
    <row r="51" spans="4:5" x14ac:dyDescent="0.3">
      <c r="D51" s="194" t="s">
        <v>577</v>
      </c>
      <c r="E51"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1257552.175</v>
      </c>
    </row>
    <row r="52" spans="4:5" x14ac:dyDescent="0.3">
      <c r="D52" s="194" t="s">
        <v>1119</v>
      </c>
      <c r="E52"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90442.12</v>
      </c>
    </row>
    <row r="53" spans="4:5" x14ac:dyDescent="0.3">
      <c r="D53" s="194" t="s">
        <v>1121</v>
      </c>
      <c r="E53"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213370</v>
      </c>
    </row>
    <row r="54" spans="4:5" x14ac:dyDescent="0.3">
      <c r="D54" s="239" t="s">
        <v>1122</v>
      </c>
      <c r="E54" s="240">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78573.079999999987</v>
      </c>
    </row>
    <row r="55" spans="4:5" x14ac:dyDescent="0.3">
      <c r="D55" s="195" t="s">
        <v>1123</v>
      </c>
      <c r="E55"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114849</v>
      </c>
    </row>
    <row r="56" spans="4:5" x14ac:dyDescent="0.3">
      <c r="D56" s="195" t="s">
        <v>1126</v>
      </c>
      <c r="E56" s="235">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53985.65</v>
      </c>
    </row>
    <row r="57" spans="4:5" x14ac:dyDescent="0.3">
      <c r="D57" s="194" t="s">
        <v>1127</v>
      </c>
      <c r="E57"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303150</v>
      </c>
    </row>
    <row r="58" spans="4:5" x14ac:dyDescent="0.3">
      <c r="D58" s="230" t="s">
        <v>1128</v>
      </c>
      <c r="E58" s="236">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0</v>
      </c>
    </row>
    <row r="59" spans="4:5" x14ac:dyDescent="0.3">
      <c r="D59" s="194" t="s">
        <v>1129</v>
      </c>
      <c r="E59" s="234">
        <f>SUMIFS(Table1[A], Table1[County], Table114[[#This Row],[County]])
+SUMIFS(Table1[B], Table1[County], Table114[[#This Row],[County]])
+SUMIFS(Table1[C], Table1[County], Table114[[#This Row],[County]])
+SUMIFS(Table1[D], Table1[County], Table114[[#This Row],[County]])
+SUMIFS(Table1[E], Table1[County], Table114[[#This Row],[County]])
+SUMIFS(Table1[F], Table1[County], Table114[[#This Row],[County]])
+SUMIFS(Table1[G], Table1[County], Table114[[#This Row],[County]])</f>
        <v>2830142</v>
      </c>
    </row>
  </sheetData>
  <protectedRanges>
    <protectedRange sqref="B22:B28" name="Filter"/>
  </protectedRanges>
  <mergeCells count="1">
    <mergeCell ref="A1:E1"/>
  </mergeCells>
  <conditionalFormatting sqref="B22:B28">
    <cfRule type="expression" dxfId="156" priority="1">
      <formula>$D22="In Progress"</formula>
    </cfRule>
    <cfRule type="expression" dxfId="155" priority="2">
      <formula>$D22="Complete"</formula>
    </cfRule>
    <cfRule type="expression" dxfId="154" priority="3">
      <formula>$D22="Not Started"</formula>
    </cfRule>
    <cfRule type="expression" dxfId="153" priority="4">
      <formula>$D22="Withdrawn"</formula>
    </cfRule>
    <cfRule type="expression" dxfId="152" priority="5">
      <formula>$D22="Ineligible"</formula>
    </cfRule>
  </conditionalFormatting>
  <conditionalFormatting sqref="D24:D25">
    <cfRule type="expression" dxfId="151" priority="767">
      <formula>AND(ISNUMBER($M12),$A12="State Agencies")</formula>
    </cfRule>
  </conditionalFormatting>
  <conditionalFormatting sqref="D26">
    <cfRule type="expression" dxfId="148" priority="632">
      <formula>AND(ISNUMBER($M14),#REF!="State Agencies")</formula>
    </cfRule>
  </conditionalFormatting>
  <conditionalFormatting sqref="E17:E59">
    <cfRule type="expression" dxfId="145" priority="762">
      <formula>AND(ISNUMBER($M4),$Q4=TRUE)</formula>
    </cfRule>
    <cfRule type="expression" dxfId="144" priority="763">
      <formula>AND(ISNUMBER($M4),$M4&gt;0,$Q4=FALSE)</formula>
    </cfRule>
    <cfRule type="expression" dxfId="143" priority="764">
      <formula>AND(ISNUMBER($M4),$A4="State Agencies")</formula>
    </cfRule>
  </conditionalFormatting>
  <pageMargins left="0.7" right="0.7" top="0.75" bottom="0.75" header="0.3" footer="0.3"/>
  <pageSetup orientation="portrait" horizontalDpi="1200" verticalDpi="1200" r:id="rId1"/>
  <ignoredErrors>
    <ignoredError sqref="B24 B28" unlockedFormula="1"/>
  </ignoredErrors>
  <drawing r:id="rId2"/>
  <tableParts count="7">
    <tablePart r:id="rId3"/>
    <tablePart r:id="rId4"/>
    <tablePart r:id="rId5"/>
    <tablePart r:id="rId6"/>
    <tablePart r:id="rId7"/>
    <tablePart r:id="rId8"/>
    <tablePart r:id="rId9"/>
  </tableParts>
  <extLst>
    <ext xmlns:x14="http://schemas.microsoft.com/office/spreadsheetml/2009/9/main" uri="{78C0D931-6437-407d-A8EE-F0AAD7539E65}">
      <x14:conditionalFormattings>
        <x14:conditionalFormatting xmlns:xm="http://schemas.microsoft.com/office/excel/2006/main">
          <x14:cfRule type="expression" priority="768" id="{FCB6D5DF-6CF9-4EF8-AE45-C24F3E07E9FB}">
            <xm:f>AND(ISNUMBER($K12),$K12&lt;IF($A12="Grand Total",'Input Sheet'!$J$1,'Input Sheet'!$J$2))</xm:f>
            <x14:dxf>
              <font>
                <color auto="1"/>
              </font>
              <fill>
                <patternFill>
                  <bgColor theme="5"/>
                </patternFill>
              </fill>
            </x14:dxf>
          </x14:cfRule>
          <x14:cfRule type="expression" priority="769" id="{A91D7F73-BCA2-46A3-9503-BDEE2CD75AC0}">
            <xm:f>AND(ISNUMBER($K12),$K12&gt;=IF($A12="Grand Total",'Input Sheet'!$J$1,'Input Sheet'!$J$2))</xm:f>
            <x14:dxf>
              <font>
                <color auto="1"/>
              </font>
              <fill>
                <patternFill>
                  <bgColor theme="6"/>
                </patternFill>
              </fill>
            </x14:dxf>
          </x14:cfRule>
          <xm:sqref>D24:D25</xm:sqref>
        </x14:conditionalFormatting>
        <x14:conditionalFormatting xmlns:xm="http://schemas.microsoft.com/office/excel/2006/main">
          <x14:cfRule type="expression" priority="640" id="{FCB6D5DF-6CF9-4EF8-AE45-C24F3E07E9FB}">
            <xm:f>AND(ISNUMBER($K14),$K14&lt;IF(#REF!="Grand Total",'Input Sheet'!$J$1,'Input Sheet'!$J$2))</xm:f>
            <x14:dxf>
              <font>
                <color auto="1"/>
              </font>
              <fill>
                <patternFill>
                  <bgColor theme="5"/>
                </patternFill>
              </fill>
            </x14:dxf>
          </x14:cfRule>
          <x14:cfRule type="expression" priority="641" id="{A91D7F73-BCA2-46A3-9503-BDEE2CD75AC0}">
            <xm:f>AND(ISNUMBER($K14),$K14&gt;=IF(#REF!="Grand Total",'Input Sheet'!$J$1,'Input Sheet'!$J$2))</xm:f>
            <x14:dxf>
              <font>
                <color auto="1"/>
              </font>
              <fill>
                <patternFill>
                  <bgColor theme="6"/>
                </patternFill>
              </fill>
            </x14:dxf>
          </x14:cfRule>
          <xm:sqref>D26</xm:sqref>
        </x14:conditionalFormatting>
        <x14:conditionalFormatting xmlns:xm="http://schemas.microsoft.com/office/excel/2006/main">
          <x14:cfRule type="expression" priority="765" id="{FCB6D5DF-6CF9-4EF8-AE45-C24F3E07E9FB}">
            <xm:f>AND(ISNUMBER($K4),$K4&lt;IF($A4="Grand Total",'Input Sheet'!$J$1,'Input Sheet'!$J$2))</xm:f>
            <x14:dxf>
              <font>
                <color auto="1"/>
              </font>
              <fill>
                <patternFill>
                  <bgColor theme="5"/>
                </patternFill>
              </fill>
            </x14:dxf>
          </x14:cfRule>
          <x14:cfRule type="expression" priority="766" id="{A91D7F73-BCA2-46A3-9503-BDEE2CD75AC0}">
            <xm:f>AND(ISNUMBER($K4),$K4&gt;=IF($A4="Grand Total",'Input Sheet'!$J$1,'Input Sheet'!$J$2))</xm:f>
            <x14:dxf>
              <font>
                <color auto="1"/>
              </font>
              <fill>
                <patternFill>
                  <bgColor theme="6"/>
                </patternFill>
              </fill>
            </x14:dxf>
          </x14:cfRule>
          <xm:sqref>E17:E59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051D-12C8-4119-AC6A-59445114EC24}">
  <sheetPr>
    <tabColor theme="7" tint="0.39997558519241921"/>
  </sheetPr>
  <dimension ref="A1:G56"/>
  <sheetViews>
    <sheetView tabSelected="1" topLeftCell="A42" workbookViewId="0">
      <selection activeCell="H50" sqref="H50"/>
    </sheetView>
  </sheetViews>
  <sheetFormatPr defaultRowHeight="14.4" x14ac:dyDescent="0.3"/>
  <cols>
    <col min="1" max="1" width="25.6640625" bestFit="1" customWidth="1"/>
    <col min="2" max="2" width="20.33203125" customWidth="1"/>
    <col min="3" max="3" width="21.33203125" customWidth="1"/>
    <col min="4" max="4" width="16.5546875" customWidth="1"/>
    <col min="5" max="5" width="16.44140625" bestFit="1" customWidth="1"/>
    <col min="6" max="6" width="15.44140625" bestFit="1" customWidth="1"/>
    <col min="7" max="7" width="17.33203125" customWidth="1"/>
  </cols>
  <sheetData>
    <row r="1" spans="1:7" ht="55.2" customHeight="1" x14ac:dyDescent="0.3">
      <c r="A1" s="289" t="s">
        <v>119</v>
      </c>
      <c r="B1" s="289"/>
      <c r="C1" s="289"/>
      <c r="D1" s="289"/>
      <c r="E1" s="289"/>
      <c r="F1" s="289"/>
      <c r="G1" s="289"/>
    </row>
    <row r="2" spans="1:7" ht="17.399999999999999" hidden="1" thickBot="1" x14ac:dyDescent="0.45">
      <c r="A2" s="111"/>
      <c r="B2" s="111"/>
      <c r="C2" s="111"/>
      <c r="D2" s="111"/>
      <c r="E2" s="111"/>
      <c r="F2" s="111"/>
      <c r="G2" s="111"/>
    </row>
    <row r="3" spans="1:7" ht="37.950000000000003" hidden="1" customHeight="1" thickBot="1" x14ac:dyDescent="0.45">
      <c r="A3" s="145" t="s">
        <v>120</v>
      </c>
      <c r="B3" s="146" t="s">
        <v>121</v>
      </c>
      <c r="C3" s="139" t="s">
        <v>130</v>
      </c>
      <c r="D3" s="139" t="s">
        <v>138</v>
      </c>
      <c r="E3" s="147" t="s">
        <v>122</v>
      </c>
      <c r="F3" s="112"/>
      <c r="G3" s="112"/>
    </row>
    <row r="4" spans="1:7" ht="17.399999999999999" hidden="1" thickBot="1" x14ac:dyDescent="0.45">
      <c r="A4" s="141" t="s">
        <v>236</v>
      </c>
      <c r="B4" s="142">
        <v>10077330.927835051</v>
      </c>
      <c r="C4" s="143">
        <v>1.94</v>
      </c>
      <c r="D4" s="143">
        <v>4.8600000000000003</v>
      </c>
      <c r="E4" s="144" t="s">
        <v>2166</v>
      </c>
      <c r="F4" s="111"/>
      <c r="G4" s="111"/>
    </row>
    <row r="5" spans="1:7" ht="17.399999999999999" hidden="1" thickBot="1" x14ac:dyDescent="0.45">
      <c r="A5" s="140"/>
      <c r="B5" s="140"/>
      <c r="C5" s="140"/>
      <c r="D5" s="140"/>
      <c r="E5" s="140"/>
      <c r="F5" s="111"/>
      <c r="G5" s="111"/>
    </row>
    <row r="6" spans="1:7" ht="40.950000000000003" hidden="1" customHeight="1" thickBot="1" x14ac:dyDescent="0.45">
      <c r="A6" s="151" t="s">
        <v>124</v>
      </c>
      <c r="B6" s="152" t="s">
        <v>97</v>
      </c>
      <c r="C6" s="152" t="s">
        <v>125</v>
      </c>
      <c r="D6" s="152" t="s">
        <v>126</v>
      </c>
      <c r="E6" s="153" t="s">
        <v>127</v>
      </c>
      <c r="F6" s="112"/>
      <c r="G6" s="112"/>
    </row>
    <row r="7" spans="1:7" ht="17.399999999999999" hidden="1" thickBot="1" x14ac:dyDescent="0.45">
      <c r="A7" s="148" t="s">
        <v>2166</v>
      </c>
      <c r="B7" s="143" t="s">
        <v>2166</v>
      </c>
      <c r="C7" s="149">
        <v>46122</v>
      </c>
      <c r="D7" s="149">
        <f>'Input Sheet'!H2</f>
        <v>46133</v>
      </c>
      <c r="E7" s="150" t="str">
        <f>'Input Sheet'!F1</f>
        <v>Flood</v>
      </c>
      <c r="F7" s="113"/>
      <c r="G7" s="111"/>
    </row>
    <row r="8" spans="1:7" ht="17.399999999999999" thickBot="1" x14ac:dyDescent="0.45">
      <c r="A8" s="140"/>
      <c r="B8" s="140"/>
      <c r="C8" s="140"/>
      <c r="D8" s="140"/>
      <c r="E8" s="140"/>
      <c r="F8" s="111"/>
      <c r="G8" s="111"/>
    </row>
    <row r="9" spans="1:7" ht="34.950000000000003" customHeight="1" thickBot="1" x14ac:dyDescent="0.35">
      <c r="A9" s="155" t="s">
        <v>128</v>
      </c>
      <c r="B9" s="126" t="s">
        <v>129</v>
      </c>
      <c r="C9" s="127" t="s">
        <v>121</v>
      </c>
      <c r="D9" s="127" t="s">
        <v>130</v>
      </c>
      <c r="E9" s="127" t="s">
        <v>2167</v>
      </c>
      <c r="F9" s="128" t="s">
        <v>131</v>
      </c>
      <c r="G9" s="125" t="s">
        <v>132</v>
      </c>
    </row>
    <row r="10" spans="1:7" ht="16.8" x14ac:dyDescent="0.4">
      <c r="A10" s="154" t="s">
        <v>133</v>
      </c>
      <c r="B10" s="129">
        <f>SUMIF(F14:F56, "&gt;1", C14:C56)</f>
        <v>23415940.035</v>
      </c>
      <c r="C10" s="130">
        <f>B4</f>
        <v>10077330.927835051</v>
      </c>
      <c r="D10" s="131">
        <v>1.94</v>
      </c>
      <c r="E10" s="132">
        <f>D10*C10</f>
        <v>19550022</v>
      </c>
      <c r="F10" s="133" t="s">
        <v>134</v>
      </c>
      <c r="G10" s="170">
        <f>B10/E10</f>
        <v>1.1977449455044091</v>
      </c>
    </row>
    <row r="11" spans="1:7" ht="17.399999999999999" thickBot="1" x14ac:dyDescent="0.45">
      <c r="A11" s="156" t="s">
        <v>135</v>
      </c>
      <c r="B11" s="134">
        <f>SUMIFS(C14:C56, F14:F56, "&lt;1", F14:F56, "&gt;.4999999999" )</f>
        <v>78573.079999999987</v>
      </c>
      <c r="C11" s="135">
        <f>SUMIFS(B14:B56, F14:F56, "&lt;1", F14:F56, "&gt;.4999999999" )</f>
        <v>23459</v>
      </c>
      <c r="D11" s="136">
        <v>1.94</v>
      </c>
      <c r="E11" s="137">
        <f>D11*C11</f>
        <v>45510.46</v>
      </c>
      <c r="F11" s="138" t="s">
        <v>136</v>
      </c>
      <c r="G11" s="191">
        <f>IFERROR(B11/E11, 0)</f>
        <v>1.7264839775295611</v>
      </c>
    </row>
    <row r="12" spans="1:7" ht="20.399999999999999" customHeight="1" thickBot="1" x14ac:dyDescent="0.45">
      <c r="A12" s="114"/>
      <c r="B12" s="114"/>
      <c r="C12" s="114"/>
      <c r="D12" s="114"/>
      <c r="E12" s="114"/>
      <c r="F12" s="114"/>
      <c r="G12" s="111"/>
    </row>
    <row r="13" spans="1:7" ht="34.200000000000003" thickBot="1" x14ac:dyDescent="0.35">
      <c r="A13" s="119" t="s">
        <v>137</v>
      </c>
      <c r="B13" s="120" t="s">
        <v>121</v>
      </c>
      <c r="C13" s="121" t="s">
        <v>2168</v>
      </c>
      <c r="D13" s="121" t="s">
        <v>138</v>
      </c>
      <c r="E13" s="122" t="s">
        <v>2169</v>
      </c>
      <c r="F13" s="123" t="s">
        <v>139</v>
      </c>
      <c r="G13" s="124" t="s">
        <v>140</v>
      </c>
    </row>
    <row r="14" spans="1:7" ht="16.8" x14ac:dyDescent="0.4">
      <c r="A14" s="181" t="s">
        <v>1068</v>
      </c>
      <c r="B14" s="182">
        <v>10167</v>
      </c>
      <c r="C14" s="183">
        <f>SUMIFS(Table1[A], Table1[County], A14)
+SUMIFS(Table1[B], Table1[County], A14)
+SUMIFS(Table1[C], Table1[County], A14)
+SUMIFS(Table1[D], Table1[County], A14)
+SUMIFS(Table1[E], Table1[County], A14)
+SUMIFS(Table1[F], Table1[County], A14)
+SUMIFS(Table1[G], Table1[County], A14)</f>
        <v>449899.41000000003</v>
      </c>
      <c r="D14" s="184">
        <v>4.8600000000000003</v>
      </c>
      <c r="E14" s="185">
        <f t="shared" ref="E14:E56" si="0">D14*B14</f>
        <v>49411.62</v>
      </c>
      <c r="F14" s="168">
        <f t="shared" ref="F14:F56" si="1">IFERROR(C14/E14, "TBC")</f>
        <v>9.1051337721774761</v>
      </c>
      <c r="G14" s="169">
        <f t="shared" ref="G14:G56" si="2">C14/E14</f>
        <v>9.1051337721774761</v>
      </c>
    </row>
    <row r="15" spans="1:7" ht="16.8" x14ac:dyDescent="0.4">
      <c r="A15" s="186" t="s">
        <v>1071</v>
      </c>
      <c r="B15" s="187">
        <v>28907</v>
      </c>
      <c r="C15" s="188">
        <f>SUMIFS(Table1[A], Table1[County], A15)
+SUMIFS(Table1[B], Table1[County], A15)
+SUMIFS(Table1[C], Table1[County], A15)
+SUMIFS(Table1[D], Table1[County], A15)
+SUMIFS(Table1[E], Table1[County], A15)
+SUMIFS(Table1[F], Table1[County], A15)
+SUMIFS(Table1[G], Table1[County], A15)</f>
        <v>220763.93</v>
      </c>
      <c r="D15" s="184">
        <v>4.8600000000000003</v>
      </c>
      <c r="E15" s="190">
        <f t="shared" si="0"/>
        <v>140488.02000000002</v>
      </c>
      <c r="F15" s="166">
        <f t="shared" si="1"/>
        <v>1.5714075121850244</v>
      </c>
      <c r="G15" s="167">
        <f t="shared" si="2"/>
        <v>1.5714075121850244</v>
      </c>
    </row>
    <row r="16" spans="1:7" ht="16.8" x14ac:dyDescent="0.4">
      <c r="A16" s="186" t="s">
        <v>1076</v>
      </c>
      <c r="B16" s="187">
        <v>17970</v>
      </c>
      <c r="C16" s="188">
        <f>SUMIFS(Table1[A], Table1[County], A16)
+SUMIFS(Table1[B], Table1[County], A16)
+SUMIFS(Table1[C], Table1[County], A16)
+SUMIFS(Table1[D], Table1[County], A16)
+SUMIFS(Table1[E], Table1[County], A16)
+SUMIFS(Table1[F], Table1[County], A16)
+SUMIFS(Table1[G], Table1[County], A16)</f>
        <v>231686.62</v>
      </c>
      <c r="D16" s="189">
        <v>4.8600000000000003</v>
      </c>
      <c r="E16" s="190">
        <f t="shared" si="0"/>
        <v>87334.200000000012</v>
      </c>
      <c r="F16" s="166">
        <f t="shared" si="1"/>
        <v>2.6528739027780635</v>
      </c>
      <c r="G16" s="167">
        <f t="shared" si="2"/>
        <v>2.6528739027780635</v>
      </c>
    </row>
    <row r="17" spans="1:7" ht="16.8" x14ac:dyDescent="0.4">
      <c r="A17" s="186" t="s">
        <v>1078</v>
      </c>
      <c r="B17" s="187">
        <v>26054</v>
      </c>
      <c r="C17" s="188">
        <f>SUMIFS(Table1[A], Table1[County], A17)
+SUMIFS(Table1[B], Table1[County], A17)
+SUMIFS(Table1[C], Table1[County], A17)
+SUMIFS(Table1[D], Table1[County], A17)
+SUMIFS(Table1[E], Table1[County], A17)
+SUMIFS(Table1[F], Table1[County], A17)
+SUMIFS(Table1[G], Table1[County], A17)</f>
        <v>224757.5</v>
      </c>
      <c r="D17" s="189">
        <v>4.8600000000000003</v>
      </c>
      <c r="E17" s="190">
        <f t="shared" si="0"/>
        <v>126622.44</v>
      </c>
      <c r="F17" s="166">
        <f t="shared" si="1"/>
        <v>1.7750210784123257</v>
      </c>
      <c r="G17" s="167">
        <f t="shared" si="2"/>
        <v>1.7750210784123257</v>
      </c>
    </row>
    <row r="18" spans="1:7" ht="16.8" x14ac:dyDescent="0.4">
      <c r="A18" s="186" t="s">
        <v>1079</v>
      </c>
      <c r="B18" s="187">
        <v>25579</v>
      </c>
      <c r="C18" s="188">
        <f>SUMIFS(Table1[A], Table1[County], A18)
+SUMIFS(Table1[B], Table1[County], A18)
+SUMIFS(Table1[C], Table1[County], A18)
+SUMIFS(Table1[D], Table1[County], A18)
+SUMIFS(Table1[E], Table1[County], A18)
+SUMIFS(Table1[F], Table1[County], A18)
+SUMIFS(Table1[G], Table1[County], A18)</f>
        <v>8462908.2200000007</v>
      </c>
      <c r="D18" s="189">
        <v>4.8600000000000003</v>
      </c>
      <c r="E18" s="190">
        <f t="shared" si="0"/>
        <v>124313.94</v>
      </c>
      <c r="F18" s="166">
        <f t="shared" si="1"/>
        <v>68.076904488748411</v>
      </c>
      <c r="G18" s="167">
        <f t="shared" si="2"/>
        <v>68.076904488748411</v>
      </c>
    </row>
    <row r="19" spans="1:7" ht="16.8" x14ac:dyDescent="0.4">
      <c r="A19" s="186" t="s">
        <v>40</v>
      </c>
      <c r="B19" s="187">
        <v>12988</v>
      </c>
      <c r="C19" s="188">
        <f>SUMIFS(Table1[A], Table1[County], A19)
+SUMIFS(Table1[B], Table1[County], A19)
+SUMIFS(Table1[C], Table1[County], A19)
+SUMIFS(Table1[D], Table1[County], A19)
+SUMIFS(Table1[E], Table1[County], A19)
+SUMIFS(Table1[F], Table1[County], A19)
+SUMIFS(Table1[G], Table1[County], A19)</f>
        <v>67515</v>
      </c>
      <c r="D19" s="189">
        <v>4.8600000000000003</v>
      </c>
      <c r="E19" s="190">
        <f t="shared" si="0"/>
        <v>63121.680000000008</v>
      </c>
      <c r="F19" s="166">
        <f t="shared" si="1"/>
        <v>1.0696008091039402</v>
      </c>
      <c r="G19" s="167">
        <f t="shared" si="2"/>
        <v>1.0696008091039402</v>
      </c>
    </row>
    <row r="20" spans="1:7" ht="16.8" x14ac:dyDescent="0.4">
      <c r="A20" s="186" t="s">
        <v>1082</v>
      </c>
      <c r="B20" s="187">
        <v>109175</v>
      </c>
      <c r="C20" s="188">
        <f>SUMIFS(Table1[A], Table1[County], A20)
+SUMIFS(Table1[B], Table1[County], A20)
+SUMIFS(Table1[C], Table1[County], A20)
+SUMIFS(Table1[D], Table1[County], A20)
+SUMIFS(Table1[E], Table1[County], A20)
+SUMIFS(Table1[F], Table1[County], A20)
+SUMIFS(Table1[G], Table1[County], A20)</f>
        <v>824477.04</v>
      </c>
      <c r="D20" s="189">
        <v>4.8600000000000003</v>
      </c>
      <c r="E20" s="190">
        <f t="shared" si="0"/>
        <v>530590.5</v>
      </c>
      <c r="F20" s="166">
        <f t="shared" si="1"/>
        <v>1.5538857932812593</v>
      </c>
      <c r="G20" s="167">
        <f t="shared" si="2"/>
        <v>1.5538857932812593</v>
      </c>
    </row>
    <row r="21" spans="1:7" ht="16.8" x14ac:dyDescent="0.4">
      <c r="A21" s="186" t="s">
        <v>720</v>
      </c>
      <c r="B21" s="187">
        <v>34112</v>
      </c>
      <c r="C21" s="188">
        <f>SUMIFS(Table1[A], Table1[County], A21)
+SUMIFS(Table1[B], Table1[County], A21)
+SUMIFS(Table1[C], Table1[County], A21)
+SUMIFS(Table1[D], Table1[County], A21)
+SUMIFS(Table1[E], Table1[County], A21)
+SUMIFS(Table1[F], Table1[County], A21)
+SUMIFS(Table1[G], Table1[County], A21)</f>
        <v>278017.65999999997</v>
      </c>
      <c r="D21" s="189">
        <v>4.8600000000000003</v>
      </c>
      <c r="E21" s="190">
        <f t="shared" si="0"/>
        <v>165784.32000000001</v>
      </c>
      <c r="F21" s="166">
        <f t="shared" si="1"/>
        <v>1.6769840477072859</v>
      </c>
      <c r="G21" s="167">
        <f t="shared" si="2"/>
        <v>1.6769840477072859</v>
      </c>
    </row>
    <row r="22" spans="1:7" ht="16.8" x14ac:dyDescent="0.4">
      <c r="A22" s="186" t="s">
        <v>1086</v>
      </c>
      <c r="B22" s="187">
        <v>95238</v>
      </c>
      <c r="C22" s="188">
        <f>SUMIFS(Table1[A], Table1[County], A22)
+SUMIFS(Table1[B], Table1[County], A22)
+SUMIFS(Table1[C], Table1[County], A22)
+SUMIFS(Table1[D], Table1[County], A22)
+SUMIFS(Table1[E], Table1[County], A22)
+SUMIFS(Table1[F], Table1[County], A22)
+SUMIFS(Table1[G], Table1[County], A22)</f>
        <v>2690331</v>
      </c>
      <c r="D22" s="189">
        <v>4.8600000000000003</v>
      </c>
      <c r="E22" s="190">
        <f t="shared" si="0"/>
        <v>462856.68000000005</v>
      </c>
      <c r="F22" s="166">
        <f t="shared" si="1"/>
        <v>5.8124493309678487</v>
      </c>
      <c r="G22" s="167">
        <f t="shared" si="2"/>
        <v>5.8124493309678487</v>
      </c>
    </row>
    <row r="23" spans="1:7" ht="16.8" x14ac:dyDescent="0.4">
      <c r="A23" s="186" t="s">
        <v>1087</v>
      </c>
      <c r="B23" s="187">
        <v>41761</v>
      </c>
      <c r="C23" s="188">
        <f>SUMIFS(Table1[A], Table1[County], A23)
+SUMIFS(Table1[B], Table1[County], A23)
+SUMIFS(Table1[C], Table1[County], A23)
+SUMIFS(Table1[D], Table1[County], A23)
+SUMIFS(Table1[E], Table1[County], A23)
+SUMIFS(Table1[F], Table1[County], A23)
+SUMIFS(Table1[G], Table1[County], A23)</f>
        <v>206180.91</v>
      </c>
      <c r="D23" s="189">
        <v>4.8600000000000003</v>
      </c>
      <c r="E23" s="190">
        <f t="shared" si="0"/>
        <v>202958.46000000002</v>
      </c>
      <c r="F23" s="166">
        <f t="shared" si="1"/>
        <v>1.0158773869293252</v>
      </c>
      <c r="G23" s="167">
        <f t="shared" si="2"/>
        <v>1.0158773869293252</v>
      </c>
    </row>
    <row r="24" spans="1:7" ht="16.8" x14ac:dyDescent="0.4">
      <c r="A24" s="186" t="s">
        <v>1094</v>
      </c>
      <c r="B24" s="187">
        <v>11631</v>
      </c>
      <c r="C24" s="188">
        <f>SUMIFS(Table1[A], Table1[County], A24)
+SUMIFS(Table1[B], Table1[County], A24)
+SUMIFS(Table1[C], Table1[County], A24)
+SUMIFS(Table1[D], Table1[County], A24)
+SUMIFS(Table1[E], Table1[County], A24)
+SUMIFS(Table1[F], Table1[County], A24)
+SUMIFS(Table1[G], Table1[County], A24)</f>
        <v>383314</v>
      </c>
      <c r="D24" s="189">
        <v>4.8600000000000003</v>
      </c>
      <c r="E24" s="190">
        <f t="shared" si="0"/>
        <v>56526.66</v>
      </c>
      <c r="F24" s="166">
        <f t="shared" si="1"/>
        <v>6.7811188561291251</v>
      </c>
      <c r="G24" s="167">
        <f t="shared" si="2"/>
        <v>6.7811188561291251</v>
      </c>
    </row>
    <row r="25" spans="1:7" ht="16.8" x14ac:dyDescent="0.4">
      <c r="A25" s="186" t="s">
        <v>1097</v>
      </c>
      <c r="B25" s="187">
        <v>17939</v>
      </c>
      <c r="C25" s="188">
        <f>SUMIFS(Table1[A], Table1[County], A25)
+SUMIFS(Table1[B], Table1[County], A25)
+SUMIFS(Table1[C], Table1[County], A25)
+SUMIFS(Table1[D], Table1[County], A25)
+SUMIFS(Table1[E], Table1[County], A25)
+SUMIFS(Table1[F], Table1[County], A25)
+SUMIFS(Table1[G], Table1[County], A25)</f>
        <v>372064.86</v>
      </c>
      <c r="D25" s="189">
        <v>4.8600000000000003</v>
      </c>
      <c r="E25" s="190">
        <f t="shared" si="0"/>
        <v>87183.540000000008</v>
      </c>
      <c r="F25" s="166">
        <f t="shared" si="1"/>
        <v>4.2676044124842827</v>
      </c>
      <c r="G25" s="167">
        <f t="shared" si="2"/>
        <v>4.2676044124842827</v>
      </c>
    </row>
    <row r="26" spans="1:7" ht="16.8" x14ac:dyDescent="0.4">
      <c r="A26" s="186" t="s">
        <v>439</v>
      </c>
      <c r="B26" s="187">
        <v>12096</v>
      </c>
      <c r="C26" s="188">
        <f>SUMIFS(Table1[A], Table1[County], A26)
+SUMIFS(Table1[B], Table1[County], A26)
+SUMIFS(Table1[C], Table1[County], A26)
+SUMIFS(Table1[D], Table1[County], A26)
+SUMIFS(Table1[E], Table1[County], A26)
+SUMIFS(Table1[F], Table1[County], A26)
+SUMIFS(Table1[G], Table1[County], A26)</f>
        <v>137336.87</v>
      </c>
      <c r="D26" s="189">
        <v>4.8600000000000003</v>
      </c>
      <c r="E26" s="190">
        <f t="shared" si="0"/>
        <v>58786.560000000005</v>
      </c>
      <c r="F26" s="166">
        <f t="shared" si="1"/>
        <v>2.336195041859908</v>
      </c>
      <c r="G26" s="167">
        <f t="shared" si="2"/>
        <v>2.336195041859908</v>
      </c>
    </row>
    <row r="27" spans="1:7" ht="16.8" x14ac:dyDescent="0.4">
      <c r="A27" s="186" t="s">
        <v>1105</v>
      </c>
      <c r="B27" s="187">
        <v>25032</v>
      </c>
      <c r="C27" s="188">
        <f>SUMIFS(Table1[A], Table1[County], A27)
+SUMIFS(Table1[B], Table1[County], A27)
+SUMIFS(Table1[C], Table1[County], A27)
+SUMIFS(Table1[D], Table1[County], A27)
+SUMIFS(Table1[E], Table1[County], A27)
+SUMIFS(Table1[F], Table1[County], A27)
+SUMIFS(Table1[G], Table1[County], A27)</f>
        <v>1952971.61</v>
      </c>
      <c r="D27" s="189">
        <v>4.8600000000000003</v>
      </c>
      <c r="E27" s="190">
        <f t="shared" si="0"/>
        <v>121655.52</v>
      </c>
      <c r="F27" s="166">
        <f t="shared" si="1"/>
        <v>16.053292197509823</v>
      </c>
      <c r="G27" s="167">
        <f t="shared" si="2"/>
        <v>16.053292197509823</v>
      </c>
    </row>
    <row r="28" spans="1:7" ht="16.8" x14ac:dyDescent="0.4">
      <c r="A28" s="186" t="s">
        <v>1106</v>
      </c>
      <c r="B28" s="187">
        <v>66017</v>
      </c>
      <c r="C28" s="188">
        <f>SUMIFS(Table1[A], Table1[County], A28)
+SUMIFS(Table1[B], Table1[County], A28)
+SUMIFS(Table1[C], Table1[County], A28)
+SUMIFS(Table1[D], Table1[County], A28)
+SUMIFS(Table1[E], Table1[County], A28)
+SUMIFS(Table1[F], Table1[County], A28)
+SUMIFS(Table1[G], Table1[County], A28)</f>
        <v>400562</v>
      </c>
      <c r="D28" s="189">
        <v>4.8600000000000003</v>
      </c>
      <c r="E28" s="190">
        <f t="shared" si="0"/>
        <v>320842.62</v>
      </c>
      <c r="F28" s="166">
        <f t="shared" si="1"/>
        <v>1.2484687975681037</v>
      </c>
      <c r="G28" s="167">
        <f t="shared" si="2"/>
        <v>1.2484687975681037</v>
      </c>
    </row>
    <row r="29" spans="1:7" ht="16.8" x14ac:dyDescent="0.4">
      <c r="A29" s="186" t="s">
        <v>1107</v>
      </c>
      <c r="B29" s="187">
        <v>39714</v>
      </c>
      <c r="C29" s="188">
        <f>SUMIFS(Table1[A], Table1[County], A29)
+SUMIFS(Table1[B], Table1[County], A29)
+SUMIFS(Table1[C], Table1[County], A29)
+SUMIFS(Table1[D], Table1[County], A29)
+SUMIFS(Table1[E], Table1[County], A29)
+SUMIFS(Table1[F], Table1[County], A29)
+SUMIFS(Table1[G], Table1[County], A29)</f>
        <v>632000</v>
      </c>
      <c r="D29" s="189">
        <v>4.8600000000000003</v>
      </c>
      <c r="E29" s="190">
        <f t="shared" si="0"/>
        <v>193010.04</v>
      </c>
      <c r="F29" s="166">
        <f t="shared" si="1"/>
        <v>3.2744410601645386</v>
      </c>
      <c r="G29" s="167">
        <f t="shared" si="2"/>
        <v>3.2744410601645386</v>
      </c>
    </row>
    <row r="30" spans="1:7" ht="16.8" x14ac:dyDescent="0.4">
      <c r="A30" s="186" t="s">
        <v>1108</v>
      </c>
      <c r="B30" s="187">
        <v>23502</v>
      </c>
      <c r="C30" s="188">
        <f>SUMIFS(Table1[A], Table1[County], A30)
+SUMIFS(Table1[B], Table1[County], A30)
+SUMIFS(Table1[C], Table1[County], A30)
+SUMIFS(Table1[D], Table1[County], A30)
+SUMIFS(Table1[E], Table1[County], A30)
+SUMIFS(Table1[F], Table1[County], A30)
+SUMIFS(Table1[G], Table1[County], A30)</f>
        <v>403474</v>
      </c>
      <c r="D30" s="189">
        <v>4.8600000000000003</v>
      </c>
      <c r="E30" s="190">
        <f t="shared" si="0"/>
        <v>114219.72</v>
      </c>
      <c r="F30" s="166">
        <f t="shared" si="1"/>
        <v>3.5324373059223046</v>
      </c>
      <c r="G30" s="167">
        <f t="shared" si="2"/>
        <v>3.5324373059223046</v>
      </c>
    </row>
    <row r="31" spans="1:7" ht="16.8" x14ac:dyDescent="0.4">
      <c r="A31" s="186" t="s">
        <v>1110</v>
      </c>
      <c r="B31" s="187">
        <v>15052</v>
      </c>
      <c r="C31" s="188">
        <f>SUMIFS(Table1[A], Table1[County], A31)
+SUMIFS(Table1[B], Table1[County], A31)
+SUMIFS(Table1[C], Table1[County], A31)
+SUMIFS(Table1[D], Table1[County], A31)
+SUMIFS(Table1[E], Table1[County], A31)
+SUMIFS(Table1[F], Table1[County], A31)
+SUMIFS(Table1[G], Table1[County], A31)</f>
        <v>286453</v>
      </c>
      <c r="D31" s="189">
        <v>4.8600000000000003</v>
      </c>
      <c r="E31" s="190">
        <f t="shared" si="0"/>
        <v>73152.72</v>
      </c>
      <c r="F31" s="166">
        <f t="shared" si="1"/>
        <v>3.9158215853081062</v>
      </c>
      <c r="G31" s="167">
        <f t="shared" si="2"/>
        <v>3.9158215853081062</v>
      </c>
    </row>
    <row r="32" spans="1:7" ht="16.8" x14ac:dyDescent="0.4">
      <c r="A32" s="186" t="s">
        <v>1112</v>
      </c>
      <c r="B32" s="187">
        <v>9153</v>
      </c>
      <c r="C32" s="188">
        <f>SUMIFS(Table1[A], Table1[County], A32)
+SUMIFS(Table1[B], Table1[County], A32)
+SUMIFS(Table1[C], Table1[County], A32)
+SUMIFS(Table1[D], Table1[County], A32)
+SUMIFS(Table1[E], Table1[County], A32)
+SUMIFS(Table1[F], Table1[County], A32)
+SUMIFS(Table1[G], Table1[County], A32)</f>
        <v>59980.51</v>
      </c>
      <c r="D32" s="189">
        <v>4.8600000000000003</v>
      </c>
      <c r="E32" s="190">
        <f t="shared" si="0"/>
        <v>44483.58</v>
      </c>
      <c r="F32" s="166">
        <f t="shared" si="1"/>
        <v>1.3483741641297755</v>
      </c>
      <c r="G32" s="167">
        <f t="shared" si="2"/>
        <v>1.3483741641297755</v>
      </c>
    </row>
    <row r="33" spans="1:7" ht="16.8" x14ac:dyDescent="0.4">
      <c r="A33" s="186" t="s">
        <v>1114</v>
      </c>
      <c r="B33" s="187">
        <v>49978</v>
      </c>
      <c r="C33" s="188">
        <f>SUMIFS(Table1[A], Table1[County], A33)
+SUMIFS(Table1[B], Table1[County], A33)
+SUMIFS(Table1[C], Table1[County], A33)
+SUMIFS(Table1[D], Table1[County], A33)
+SUMIFS(Table1[E], Table1[County], A33)
+SUMIFS(Table1[F], Table1[County], A33)
+SUMIFS(Table1[G], Table1[County], A33)</f>
        <v>313684.59999999998</v>
      </c>
      <c r="D33" s="189">
        <v>4.8600000000000003</v>
      </c>
      <c r="E33" s="190">
        <f t="shared" si="0"/>
        <v>242893.08000000002</v>
      </c>
      <c r="F33" s="166">
        <f t="shared" si="1"/>
        <v>1.2914513661731324</v>
      </c>
      <c r="G33" s="167">
        <f t="shared" si="2"/>
        <v>1.2914513661731324</v>
      </c>
    </row>
    <row r="34" spans="1:7" ht="16.8" x14ac:dyDescent="0.4">
      <c r="A34" s="186" t="s">
        <v>1117</v>
      </c>
      <c r="B34" s="187">
        <v>20770</v>
      </c>
      <c r="C34" s="188">
        <f>SUMIFS(Table1[A], Table1[County], A34)
+SUMIFS(Table1[B], Table1[County], A34)
+SUMIFS(Table1[C], Table1[County], A34)
+SUMIFS(Table1[D], Table1[County], A34)
+SUMIFS(Table1[E], Table1[County], A34)
+SUMIFS(Table1[F], Table1[County], A34)
+SUMIFS(Table1[G], Table1[County], A34)</f>
        <v>122905</v>
      </c>
      <c r="D34" s="189">
        <v>4.8600000000000003</v>
      </c>
      <c r="E34" s="190">
        <f t="shared" si="0"/>
        <v>100942.20000000001</v>
      </c>
      <c r="F34" s="166">
        <f t="shared" si="1"/>
        <v>1.2175779802698969</v>
      </c>
      <c r="G34" s="167">
        <f t="shared" si="2"/>
        <v>1.2175779802698969</v>
      </c>
    </row>
    <row r="35" spans="1:7" ht="16.8" x14ac:dyDescent="0.4">
      <c r="A35" s="186" t="s">
        <v>577</v>
      </c>
      <c r="B35" s="187">
        <v>22891</v>
      </c>
      <c r="C35" s="188">
        <f>SUMIFS(Table1[A], Table1[County], A35)
+SUMIFS(Table1[B], Table1[County], A35)
+SUMIFS(Table1[C], Table1[County], A35)
+SUMIFS(Table1[D], Table1[County], A35)
+SUMIFS(Table1[E], Table1[County], A35)
+SUMIFS(Table1[F], Table1[County], A35)
+SUMIFS(Table1[G], Table1[County], A35)</f>
        <v>1257552.175</v>
      </c>
      <c r="D35" s="189">
        <v>4.8600000000000003</v>
      </c>
      <c r="E35" s="190">
        <f t="shared" si="0"/>
        <v>111250.26000000001</v>
      </c>
      <c r="F35" s="166">
        <f t="shared" si="1"/>
        <v>11.303813357380019</v>
      </c>
      <c r="G35" s="167">
        <f t="shared" si="2"/>
        <v>11.303813357380019</v>
      </c>
    </row>
    <row r="36" spans="1:7" ht="16.8" x14ac:dyDescent="0.4">
      <c r="A36" s="186" t="s">
        <v>1119</v>
      </c>
      <c r="B36" s="187">
        <v>8219</v>
      </c>
      <c r="C36" s="188">
        <f>SUMIFS(Table1[A], Table1[County], A36)
+SUMIFS(Table1[B], Table1[County], A36)
+SUMIFS(Table1[C], Table1[County], A36)
+SUMIFS(Table1[D], Table1[County], A36)
+SUMIFS(Table1[E], Table1[County], A36)
+SUMIFS(Table1[F], Table1[County], A36)
+SUMIFS(Table1[G], Table1[County], A36)</f>
        <v>90442.12</v>
      </c>
      <c r="D36" s="189">
        <v>4.8600000000000003</v>
      </c>
      <c r="E36" s="190">
        <f t="shared" si="0"/>
        <v>39944.340000000004</v>
      </c>
      <c r="F36" s="166">
        <f t="shared" si="1"/>
        <v>2.2642036393641751</v>
      </c>
      <c r="G36" s="167">
        <f t="shared" si="2"/>
        <v>2.2642036393641751</v>
      </c>
    </row>
    <row r="37" spans="1:7" ht="16.8" x14ac:dyDescent="0.4">
      <c r="A37" s="186" t="s">
        <v>1121</v>
      </c>
      <c r="B37" s="187">
        <v>12982</v>
      </c>
      <c r="C37" s="188">
        <f>SUMIFS(Table1[A], Table1[County], A37)
+SUMIFS(Table1[B], Table1[County], A37)
+SUMIFS(Table1[C], Table1[County], A37)
+SUMIFS(Table1[D], Table1[County], A37)
+SUMIFS(Table1[E], Table1[County], A37)
+SUMIFS(Table1[F], Table1[County], A37)
+SUMIFS(Table1[G], Table1[County], A37)</f>
        <v>213370</v>
      </c>
      <c r="D37" s="189">
        <v>4.8600000000000003</v>
      </c>
      <c r="E37" s="190">
        <f t="shared" si="0"/>
        <v>63092.520000000004</v>
      </c>
      <c r="F37" s="166">
        <f t="shared" si="1"/>
        <v>3.3818588954760402</v>
      </c>
      <c r="G37" s="167">
        <f t="shared" si="2"/>
        <v>3.3818588954760402</v>
      </c>
    </row>
    <row r="38" spans="1:7" ht="16.8" x14ac:dyDescent="0.4">
      <c r="A38" s="186" t="s">
        <v>1127</v>
      </c>
      <c r="B38" s="187">
        <v>53323</v>
      </c>
      <c r="C38" s="188">
        <f>SUMIFS(Table1[A], Table1[County], A38)
+SUMIFS(Table1[B], Table1[County], A38)
+SUMIFS(Table1[C], Table1[County], A38)
+SUMIFS(Table1[D], Table1[County], A38)
+SUMIFS(Table1[E], Table1[County], A38)
+SUMIFS(Table1[F], Table1[County], A38)
+SUMIFS(Table1[G], Table1[County], A38)</f>
        <v>303150</v>
      </c>
      <c r="D38" s="189">
        <v>4.8600000000000003</v>
      </c>
      <c r="E38" s="190">
        <f t="shared" si="0"/>
        <v>259149.78000000003</v>
      </c>
      <c r="F38" s="166">
        <f t="shared" si="1"/>
        <v>1.1697868313837656</v>
      </c>
      <c r="G38" s="167">
        <f t="shared" si="2"/>
        <v>1.1697868313837656</v>
      </c>
    </row>
    <row r="39" spans="1:7" ht="16.8" x14ac:dyDescent="0.4">
      <c r="A39" s="186" t="s">
        <v>1129</v>
      </c>
      <c r="B39" s="187">
        <v>33673</v>
      </c>
      <c r="C39" s="188">
        <f>SUMIFS(Table1[A], Table1[County], A39)
+SUMIFS(Table1[B], Table1[County], A39)
+SUMIFS(Table1[C], Table1[County], A39)
+SUMIFS(Table1[D], Table1[County], A39)
+SUMIFS(Table1[E], Table1[County], A39)
+SUMIFS(Table1[F], Table1[County], A39)
+SUMIFS(Table1[G], Table1[County], A39)</f>
        <v>2830142</v>
      </c>
      <c r="D39" s="189">
        <v>4.8600000000000003</v>
      </c>
      <c r="E39" s="190">
        <f t="shared" si="0"/>
        <v>163650.78</v>
      </c>
      <c r="F39" s="166">
        <f t="shared" si="1"/>
        <v>17.293788639443086</v>
      </c>
      <c r="G39" s="167">
        <f t="shared" si="2"/>
        <v>17.293788639443086</v>
      </c>
    </row>
    <row r="40" spans="1:7" ht="16.8" x14ac:dyDescent="0.4">
      <c r="A40" s="176" t="s">
        <v>1070</v>
      </c>
      <c r="B40" s="177">
        <v>120502</v>
      </c>
      <c r="C40" s="178">
        <f>SUMIFS(Table1[A], Table1[County], A40)
+SUMIFS(Table1[B], Table1[County], A40)
+SUMIFS(Table1[C], Table1[County], A40)
+SUMIFS(Table1[D], Table1[County], A40)
+SUMIFS(Table1[E], Table1[County], A40)
+SUMIFS(Table1[F], Table1[County], A40)
+SUMIFS(Table1[G], Table1[County], A40)</f>
        <v>214396.3</v>
      </c>
      <c r="D40" s="179">
        <v>4.8600000000000003</v>
      </c>
      <c r="E40" s="180">
        <f t="shared" si="0"/>
        <v>585639.72000000009</v>
      </c>
      <c r="F40" s="166">
        <f t="shared" si="1"/>
        <v>0.36608906923184781</v>
      </c>
      <c r="G40" s="167">
        <f t="shared" si="2"/>
        <v>0.36608906923184781</v>
      </c>
    </row>
    <row r="41" spans="1:7" ht="16.8" x14ac:dyDescent="0.4">
      <c r="A41" s="176" t="s">
        <v>1072</v>
      </c>
      <c r="B41" s="177">
        <v>23431</v>
      </c>
      <c r="C41" s="178">
        <f>SUMIFS(Table1[A], Table1[County], A41)
+SUMIFS(Table1[B], Table1[County], A41)
+SUMIFS(Table1[C], Table1[County], A41)
+SUMIFS(Table1[D], Table1[County], A41)
+SUMIFS(Table1[E], Table1[County], A41)
+SUMIFS(Table1[F], Table1[County], A41)
+SUMIFS(Table1[G], Table1[County], A41)</f>
        <v>48246.43</v>
      </c>
      <c r="D41" s="179">
        <v>4.8600000000000003</v>
      </c>
      <c r="E41" s="180">
        <f t="shared" si="0"/>
        <v>113874.66</v>
      </c>
      <c r="F41" s="166">
        <f t="shared" si="1"/>
        <v>0.42368012339180638</v>
      </c>
      <c r="G41" s="167">
        <f t="shared" si="2"/>
        <v>0.42368012339180638</v>
      </c>
    </row>
    <row r="42" spans="1:7" ht="16.8" x14ac:dyDescent="0.4">
      <c r="A42" s="246" t="s">
        <v>1073</v>
      </c>
      <c r="B42" s="247">
        <v>15002</v>
      </c>
      <c r="C42" s="248">
        <f>SUMIFS(Table1[A], Table1[County], A42)
+SUMIFS(Table1[B], Table1[County], A42)
+SUMIFS(Table1[C], Table1[County], A42)
+SUMIFS(Table1[D], Table1[County], A42)
+SUMIFS(Table1[E], Table1[County], A42)
+SUMIFS(Table1[F], Table1[County], A42)
+SUMIFS(Table1[G], Table1[County], A42)</f>
        <v>0</v>
      </c>
      <c r="D42" s="249">
        <v>4.8600000000000003</v>
      </c>
      <c r="E42" s="250">
        <f t="shared" si="0"/>
        <v>72909.72</v>
      </c>
      <c r="F42" s="253">
        <f t="shared" si="1"/>
        <v>0</v>
      </c>
      <c r="G42" s="252">
        <f t="shared" si="2"/>
        <v>0</v>
      </c>
    </row>
    <row r="43" spans="1:7" ht="16.8" x14ac:dyDescent="0.4">
      <c r="A43" s="246" t="s">
        <v>1075</v>
      </c>
      <c r="B43" s="247">
        <v>62423</v>
      </c>
      <c r="C43" s="248">
        <f>SUMIFS(Table1[A], Table1[County], A43)
+SUMIFS(Table1[B], Table1[County], A43)
+SUMIFS(Table1[C], Table1[County], A43)
+SUMIFS(Table1[D], Table1[County], A43)
+SUMIFS(Table1[E], Table1[County], A43)
+SUMIFS(Table1[F], Table1[County], A43)
+SUMIFS(Table1[G], Table1[County], A43)</f>
        <v>0</v>
      </c>
      <c r="D43" s="249">
        <v>4.8600000000000003</v>
      </c>
      <c r="E43" s="250">
        <f t="shared" si="0"/>
        <v>303375.78000000003</v>
      </c>
      <c r="F43" s="251">
        <f t="shared" si="1"/>
        <v>0</v>
      </c>
      <c r="G43" s="252">
        <f t="shared" si="2"/>
        <v>0</v>
      </c>
    </row>
    <row r="44" spans="1:7" ht="16.8" x14ac:dyDescent="0.4">
      <c r="A44" s="176" t="s">
        <v>1081</v>
      </c>
      <c r="B44" s="177">
        <v>30856</v>
      </c>
      <c r="C44" s="178">
        <f>SUMIFS(Table1[A], Table1[County], A44)
+SUMIFS(Table1[B], Table1[County], A44)
+SUMIFS(Table1[C], Table1[County], A44)
+SUMIFS(Table1[D], Table1[County], A44)
+SUMIFS(Table1[E], Table1[County], A44)
+SUMIFS(Table1[F], Table1[County], A44)
+SUMIFS(Table1[G], Table1[County], A44)</f>
        <v>42981.37</v>
      </c>
      <c r="D44" s="179">
        <v>4.8600000000000003</v>
      </c>
      <c r="E44" s="180">
        <f t="shared" si="0"/>
        <v>149960.16</v>
      </c>
      <c r="F44" s="166">
        <f t="shared" si="1"/>
        <v>0.28661859256485189</v>
      </c>
      <c r="G44" s="167">
        <f t="shared" si="2"/>
        <v>0.28661859256485189</v>
      </c>
    </row>
    <row r="45" spans="1:7" ht="16.8" x14ac:dyDescent="0.4">
      <c r="A45" s="246" t="s">
        <v>1093</v>
      </c>
      <c r="B45" s="247">
        <v>25237</v>
      </c>
      <c r="C45" s="248">
        <f>SUMIFS(Table1[A], Table1[County], A45)
+SUMIFS(Table1[B], Table1[County], A45)
+SUMIFS(Table1[C], Table1[County], A45)
+SUMIFS(Table1[D], Table1[County], A45)
+SUMIFS(Table1[E], Table1[County], A45)
+SUMIFS(Table1[F], Table1[County], A45)
+SUMIFS(Table1[G], Table1[County], A45)</f>
        <v>0</v>
      </c>
      <c r="D45" s="249">
        <v>4.8600000000000003</v>
      </c>
      <c r="E45" s="250">
        <f t="shared" si="0"/>
        <v>122651.82</v>
      </c>
      <c r="F45" s="251">
        <f t="shared" si="1"/>
        <v>0</v>
      </c>
      <c r="G45" s="252">
        <f t="shared" si="2"/>
        <v>0</v>
      </c>
    </row>
    <row r="46" spans="1:7" ht="16.8" x14ac:dyDescent="0.4">
      <c r="A46" s="176" t="s">
        <v>46</v>
      </c>
      <c r="B46" s="177">
        <v>160366</v>
      </c>
      <c r="C46" s="178">
        <f>SUMIFS(Table1[A], Table1[County], A46)
+SUMIFS(Table1[B], Table1[County], A46)
+SUMIFS(Table1[C], Table1[County], A46)
+SUMIFS(Table1[D], Table1[County], A46)
+SUMIFS(Table1[E], Table1[County], A46)
+SUMIFS(Table1[F], Table1[County], A46)
+SUMIFS(Table1[G], Table1[County], A46)</f>
        <v>241438</v>
      </c>
      <c r="D46" s="179">
        <v>4.8600000000000003</v>
      </c>
      <c r="E46" s="180">
        <f t="shared" si="0"/>
        <v>779378.76</v>
      </c>
      <c r="F46" s="166">
        <f t="shared" si="1"/>
        <v>0.30978262738389228</v>
      </c>
      <c r="G46" s="167">
        <f t="shared" si="2"/>
        <v>0.30978262738389228</v>
      </c>
    </row>
    <row r="47" spans="1:7" ht="16.8" x14ac:dyDescent="0.4">
      <c r="A47" s="176" t="s">
        <v>1096</v>
      </c>
      <c r="B47" s="177">
        <v>261670</v>
      </c>
      <c r="C47" s="178">
        <f>SUMIFS(Table1[A], Table1[County], A47)
+SUMIFS(Table1[B], Table1[County], A47)
+SUMIFS(Table1[C], Table1[County], A47)
+SUMIFS(Table1[D], Table1[County], A47)
+SUMIFS(Table1[E], Table1[County], A47)
+SUMIFS(Table1[F], Table1[County], A47)
+SUMIFS(Table1[G], Table1[County], A47)</f>
        <v>18537</v>
      </c>
      <c r="D47" s="179">
        <v>4.8600000000000003</v>
      </c>
      <c r="E47" s="180">
        <f t="shared" si="0"/>
        <v>1271716.2000000002</v>
      </c>
      <c r="F47" s="166">
        <f t="shared" si="1"/>
        <v>1.4576365387183082E-2</v>
      </c>
      <c r="G47" s="167">
        <f t="shared" si="2"/>
        <v>1.4576365387183082E-2</v>
      </c>
    </row>
    <row r="48" spans="1:7" ht="16.8" x14ac:dyDescent="0.4">
      <c r="A48" s="176" t="s">
        <v>1100</v>
      </c>
      <c r="B48" s="177">
        <v>22301</v>
      </c>
      <c r="C48" s="178">
        <f>SUMIFS(Table1[A], Table1[County], A48)
+SUMIFS(Table1[B], Table1[County], A48)
+SUMIFS(Table1[C], Table1[County], A48)
+SUMIFS(Table1[D], Table1[County], A48)
+SUMIFS(Table1[E], Table1[County], A48)
+SUMIFS(Table1[F], Table1[County], A48)
+SUMIFS(Table1[G], Table1[County], A48)</f>
        <v>5858.15</v>
      </c>
      <c r="D48" s="179">
        <v>4.8600000000000003</v>
      </c>
      <c r="E48" s="180">
        <f t="shared" si="0"/>
        <v>108382.86</v>
      </c>
      <c r="F48" s="166">
        <f t="shared" si="1"/>
        <v>5.4050520534335407E-2</v>
      </c>
      <c r="G48" s="167">
        <f t="shared" si="2"/>
        <v>5.4050520534335407E-2</v>
      </c>
    </row>
    <row r="49" spans="1:7" ht="16.8" x14ac:dyDescent="0.4">
      <c r="A49" s="176" t="s">
        <v>1111</v>
      </c>
      <c r="B49" s="177">
        <v>66614</v>
      </c>
      <c r="C49" s="178">
        <f>SUMIFS(Table1[A], Table1[County], A49)
+SUMIFS(Table1[B], Table1[County], A49)
+SUMIFS(Table1[C], Table1[County], A49)
+SUMIFS(Table1[D], Table1[County], A49)
+SUMIFS(Table1[E], Table1[County], A49)
+SUMIFS(Table1[F], Table1[County], A49)
+SUMIFS(Table1[G], Table1[County], A49)</f>
        <v>51963.649999999994</v>
      </c>
      <c r="D49" s="179">
        <v>4.8600000000000003</v>
      </c>
      <c r="E49" s="180">
        <f t="shared" si="0"/>
        <v>323744.04000000004</v>
      </c>
      <c r="F49" s="166">
        <f t="shared" si="1"/>
        <v>0.16050843746806887</v>
      </c>
      <c r="G49" s="167">
        <f t="shared" si="2"/>
        <v>0.16050843746806887</v>
      </c>
    </row>
    <row r="50" spans="1:7" ht="16.8" x14ac:dyDescent="0.4">
      <c r="A50" s="176" t="s">
        <v>1113</v>
      </c>
      <c r="B50" s="177">
        <v>175824</v>
      </c>
      <c r="C50" s="178">
        <f>SUMIFS(Table1[A], Table1[County], A50)
+SUMIFS(Table1[B], Table1[County], A50)
+SUMIFS(Table1[C], Table1[County], A50)
+SUMIFS(Table1[D], Table1[County], A50)
+SUMIFS(Table1[E], Table1[County], A50)
+SUMIFS(Table1[F], Table1[County], A50)
+SUMIFS(Table1[G], Table1[County], A50)</f>
        <v>305467.93</v>
      </c>
      <c r="D50" s="179">
        <v>4.8600000000000003</v>
      </c>
      <c r="E50" s="180">
        <f t="shared" si="0"/>
        <v>854504.64</v>
      </c>
      <c r="F50" s="166">
        <f t="shared" si="1"/>
        <v>0.35747954510814589</v>
      </c>
      <c r="G50" s="167">
        <f t="shared" si="2"/>
        <v>0.35747954510814589</v>
      </c>
    </row>
    <row r="51" spans="1:7" ht="16.8" x14ac:dyDescent="0.4">
      <c r="A51" s="246" t="s">
        <v>1115</v>
      </c>
      <c r="B51" s="247">
        <v>1274395</v>
      </c>
      <c r="C51" s="248">
        <f>SUMIFS(Table1[A], Table1[County], A51)
+SUMIFS(Table1[B], Table1[County], A51)
+SUMIFS(Table1[C], Table1[County], A51)
+SUMIFS(Table1[D], Table1[County], A51)
+SUMIFS(Table1[E], Table1[County], A51)
+SUMIFS(Table1[F], Table1[County], A51)
+SUMIFS(Table1[G], Table1[County], A51)</f>
        <v>0</v>
      </c>
      <c r="D51" s="249">
        <v>4.8600000000000003</v>
      </c>
      <c r="E51" s="250">
        <f t="shared" si="0"/>
        <v>6193559.7000000002</v>
      </c>
      <c r="F51" s="251">
        <f t="shared" si="1"/>
        <v>0</v>
      </c>
      <c r="G51" s="252">
        <f t="shared" si="2"/>
        <v>0</v>
      </c>
    </row>
    <row r="52" spans="1:7" ht="16.8" x14ac:dyDescent="0.4">
      <c r="A52" s="246" t="s">
        <v>1116</v>
      </c>
      <c r="B52" s="247">
        <v>26659</v>
      </c>
      <c r="C52" s="248">
        <f>SUMIFS(Table1[A], Table1[County], A52)
+SUMIFS(Table1[B], Table1[County], A52)
+SUMIFS(Table1[C], Table1[County], A52)
+SUMIFS(Table1[D], Table1[County], A52)
+SUMIFS(Table1[E], Table1[County], A52)
+SUMIFS(Table1[F], Table1[County], A52)
+SUMIFS(Table1[G], Table1[County], A52)</f>
        <v>0</v>
      </c>
      <c r="D52" s="249">
        <v>4.8600000000000003</v>
      </c>
      <c r="E52" s="250">
        <f t="shared" si="0"/>
        <v>129562.74</v>
      </c>
      <c r="F52" s="251">
        <f t="shared" si="1"/>
        <v>0</v>
      </c>
      <c r="G52" s="252">
        <f t="shared" si="2"/>
        <v>0</v>
      </c>
    </row>
    <row r="53" spans="1:7" ht="16.8" x14ac:dyDescent="0.4">
      <c r="A53" s="241" t="s">
        <v>1122</v>
      </c>
      <c r="B53" s="242">
        <v>23459</v>
      </c>
      <c r="C53" s="243">
        <f>SUMIFS(Table1[A], Table1[County], A53)
+SUMIFS(Table1[B], Table1[County], A53)
+SUMIFS(Table1[C], Table1[County], A53)
+SUMIFS(Table1[D], Table1[County], A53)
+SUMIFS(Table1[E], Table1[County], A53)
+SUMIFS(Table1[F], Table1[County], A53)
+SUMIFS(Table1[G], Table1[County], A53)</f>
        <v>78573.079999999987</v>
      </c>
      <c r="D53" s="244">
        <v>4.8600000000000003</v>
      </c>
      <c r="E53" s="245">
        <f t="shared" si="0"/>
        <v>114010.74</v>
      </c>
      <c r="F53" s="205">
        <f t="shared" si="1"/>
        <v>0.68917261654472184</v>
      </c>
      <c r="G53" s="206">
        <f t="shared" si="2"/>
        <v>0.68917261654472184</v>
      </c>
    </row>
    <row r="54" spans="1:7" ht="16.8" x14ac:dyDescent="0.4">
      <c r="A54" s="176" t="s">
        <v>1123</v>
      </c>
      <c r="B54" s="177">
        <v>190124</v>
      </c>
      <c r="C54" s="178">
        <f>SUMIFS(Table1[A], Table1[County], A54)
+SUMIFS(Table1[B], Table1[County], A54)
+SUMIFS(Table1[C], Table1[County], A54)
+SUMIFS(Table1[D], Table1[County], A54)
+SUMIFS(Table1[E], Table1[County], A54)
+SUMIFS(Table1[F], Table1[County], A54)
+SUMIFS(Table1[G], Table1[County], A54)</f>
        <v>114849</v>
      </c>
      <c r="D54" s="179">
        <v>4.8600000000000003</v>
      </c>
      <c r="E54" s="180">
        <f t="shared" si="0"/>
        <v>924002.64</v>
      </c>
      <c r="F54" s="197">
        <f t="shared" si="1"/>
        <v>0.12429509941659907</v>
      </c>
      <c r="G54" s="198">
        <f t="shared" si="2"/>
        <v>0.12429509941659907</v>
      </c>
    </row>
    <row r="55" spans="1:7" ht="16.8" x14ac:dyDescent="0.4">
      <c r="A55" s="176" t="s">
        <v>1126</v>
      </c>
      <c r="B55" s="177">
        <v>68094</v>
      </c>
      <c r="C55" s="178">
        <f>SUMIFS(Table1[A], Table1[County], A55)
+SUMIFS(Table1[B], Table1[County], A55)
+SUMIFS(Table1[C], Table1[County], A55)
+SUMIFS(Table1[D], Table1[County], A55)
+SUMIFS(Table1[E], Table1[County], A55)
+SUMIFS(Table1[F], Table1[County], A55)
+SUMIFS(Table1[G], Table1[County], A55)</f>
        <v>53985.65</v>
      </c>
      <c r="D55" s="179">
        <v>4.8600000000000003</v>
      </c>
      <c r="E55" s="180">
        <f t="shared" si="0"/>
        <v>330936.84000000003</v>
      </c>
      <c r="F55" s="166">
        <f t="shared" si="1"/>
        <v>0.16312976820592109</v>
      </c>
      <c r="G55" s="167">
        <f t="shared" si="2"/>
        <v>0.16312976820592109</v>
      </c>
    </row>
    <row r="56" spans="1:7" ht="17.399999999999999" thickBot="1" x14ac:dyDescent="0.45">
      <c r="A56" s="255" t="s">
        <v>1128</v>
      </c>
      <c r="B56" s="256">
        <v>372258</v>
      </c>
      <c r="C56" s="257">
        <f>SUMIFS(Table1[A], Table1[County], A56)
+SUMIFS(Table1[B], Table1[County], A56)
+SUMIFS(Table1[C], Table1[County], A56)
+SUMIFS(Table1[D], Table1[County], A56)
+SUMIFS(Table1[E], Table1[County], A56)
+SUMIFS(Table1[F], Table1[County], A56)
+SUMIFS(Table1[G], Table1[County], A56)</f>
        <v>0</v>
      </c>
      <c r="D56" s="258">
        <v>4.8600000000000003</v>
      </c>
      <c r="E56" s="259">
        <f t="shared" si="0"/>
        <v>1809173.8800000001</v>
      </c>
      <c r="F56" s="260">
        <f t="shared" si="1"/>
        <v>0</v>
      </c>
      <c r="G56" s="261">
        <f t="shared" si="2"/>
        <v>0</v>
      </c>
    </row>
  </sheetData>
  <protectedRanges>
    <protectedRange sqref="A7:F7 A4:B4" name="User Data Entry"/>
    <protectedRange sqref="C14:C56" name="User Data Entry_1"/>
  </protectedRanges>
  <autoFilter ref="A13:G13" xr:uid="{3192051D-12C8-4119-AC6A-59445114EC24}">
    <sortState xmlns:xlrd2="http://schemas.microsoft.com/office/spreadsheetml/2017/richdata2" ref="A14:G56">
      <sortCondition sortBy="cellColor" ref="A13" dxfId="202"/>
    </sortState>
  </autoFilter>
  <sortState xmlns:xlrd2="http://schemas.microsoft.com/office/spreadsheetml/2017/richdata2" ref="A14:A56">
    <sortCondition ref="A14:A56"/>
  </sortState>
  <mergeCells count="1">
    <mergeCell ref="A1:G1"/>
  </mergeCells>
  <conditionalFormatting sqref="E4">
    <cfRule type="containsText" dxfId="140" priority="20" operator="containsText" text="PCI Not Met">
      <formula>NOT(ISERROR(SEARCH("PCI Not Met",E4)))</formula>
    </cfRule>
    <cfRule type="containsText" dxfId="139" priority="21" operator="containsText" text="PCI Met">
      <formula>NOT(ISERROR(SEARCH("PCI Met",E4)))</formula>
    </cfRule>
  </conditionalFormatting>
  <conditionalFormatting sqref="F14:F17 F20:F28 F30:F44 F47:F54 F56">
    <cfRule type="cellIs" dxfId="138" priority="5" operator="lessThan">
      <formula>1</formula>
    </cfRule>
    <cfRule type="cellIs" dxfId="137" priority="6" operator="equal">
      <formula>1</formula>
    </cfRule>
    <cfRule type="cellIs" dxfId="136" priority="7" operator="greaterThan">
      <formula>1</formula>
    </cfRule>
  </conditionalFormatting>
  <conditionalFormatting sqref="F14:G17 F20:G28 F30:G44 F47:G54 F56:G56">
    <cfRule type="cellIs" dxfId="135" priority="1" operator="equal">
      <formula>0</formula>
    </cfRule>
  </conditionalFormatting>
  <conditionalFormatting sqref="G10">
    <cfRule type="cellIs" dxfId="134" priority="8" operator="between">
      <formula>0.75</formula>
      <formula>0.99</formula>
    </cfRule>
  </conditionalFormatting>
  <conditionalFormatting sqref="G10:G11">
    <cfRule type="cellIs" dxfId="133" priority="10" operator="greaterThan">
      <formula>0.99</formula>
    </cfRule>
    <cfRule type="cellIs" dxfId="132" priority="12" operator="lessThan">
      <formula>75%</formula>
    </cfRule>
  </conditionalFormatting>
  <conditionalFormatting sqref="G11">
    <cfRule type="cellIs" dxfId="131" priority="9" operator="lessThan">
      <formula>1</formula>
    </cfRule>
    <cfRule type="cellIs" dxfId="130" priority="11" operator="greaterThan">
      <formula>1</formula>
    </cfRule>
  </conditionalFormatting>
  <conditionalFormatting sqref="G14:G17 G20:G28 G30:G44 G47:G54 G56">
    <cfRule type="cellIs" dxfId="129" priority="2" operator="lessThan">
      <formula>0.5</formula>
    </cfRule>
    <cfRule type="cellIs" dxfId="128" priority="3" operator="equal">
      <formula>0.5</formula>
    </cfRule>
    <cfRule type="cellIs" dxfId="127" priority="4" operator="greaterThan">
      <formula>0.5</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17"/>
  <sheetViews>
    <sheetView workbookViewId="0">
      <selection activeCell="B15" sqref="B15"/>
    </sheetView>
  </sheetViews>
  <sheetFormatPr defaultRowHeight="14.4" x14ac:dyDescent="0.3"/>
  <cols>
    <col min="1" max="1" width="30.44140625" customWidth="1"/>
    <col min="2" max="2" width="11.6640625" customWidth="1"/>
    <col min="3" max="3" width="32.6640625" bestFit="1" customWidth="1"/>
    <col min="4" max="4" width="12.88671875" customWidth="1"/>
    <col min="6" max="6" width="9.33203125" customWidth="1"/>
    <col min="7" max="7" width="7.6640625" bestFit="1" customWidth="1"/>
    <col min="8" max="8" width="29" bestFit="1" customWidth="1"/>
    <col min="9" max="9" width="18.6640625" customWidth="1"/>
    <col min="10" max="10" width="11.6640625" bestFit="1" customWidth="1"/>
    <col min="11" max="11" width="9.44140625" customWidth="1"/>
    <col min="12" max="13" width="25" customWidth="1"/>
  </cols>
  <sheetData>
    <row r="1" spans="1:13" x14ac:dyDescent="0.3">
      <c r="A1" s="2" t="s">
        <v>141</v>
      </c>
      <c r="B1" s="2" t="s">
        <v>142</v>
      </c>
      <c r="C1" s="2" t="s">
        <v>17</v>
      </c>
      <c r="D1" s="2" t="s">
        <v>143</v>
      </c>
      <c r="F1" t="s">
        <v>144</v>
      </c>
      <c r="G1" t="s">
        <v>145</v>
      </c>
      <c r="H1" t="s">
        <v>142</v>
      </c>
      <c r="J1" s="2" t="s">
        <v>144</v>
      </c>
      <c r="L1" s="290" t="s">
        <v>146</v>
      </c>
      <c r="M1" s="291"/>
    </row>
    <row r="2" spans="1:13" x14ac:dyDescent="0.3">
      <c r="A2" s="1" t="str">
        <f>Pop[[#This Row],[State]]&amp;" "&amp;Pop[[#This Row],[County]]</f>
        <v>AK Aleutians East Borough</v>
      </c>
      <c r="B2" t="s">
        <v>147</v>
      </c>
      <c r="C2" s="30" t="s">
        <v>148</v>
      </c>
      <c r="D2" s="16">
        <v>3141</v>
      </c>
      <c r="F2">
        <v>1</v>
      </c>
      <c r="G2" t="s">
        <v>149</v>
      </c>
      <c r="H2" t="s">
        <v>150</v>
      </c>
      <c r="J2" s="2">
        <v>1</v>
      </c>
      <c r="L2" s="32" t="s">
        <v>151</v>
      </c>
      <c r="M2" s="33">
        <f>'Input Sheet'!D1</f>
        <v>5</v>
      </c>
    </row>
    <row r="3" spans="1:13" x14ac:dyDescent="0.3">
      <c r="A3" t="str">
        <f>Pop[[#This Row],[State]]&amp;" "&amp;Pop[[#This Row],[County]]</f>
        <v>AK Aleutians West Census Area</v>
      </c>
      <c r="B3" t="s">
        <v>147</v>
      </c>
      <c r="C3" s="31" t="s">
        <v>152</v>
      </c>
      <c r="D3" s="14">
        <v>5561</v>
      </c>
      <c r="F3">
        <v>1</v>
      </c>
      <c r="G3" t="s">
        <v>153</v>
      </c>
      <c r="H3" t="s">
        <v>154</v>
      </c>
      <c r="J3" s="2">
        <v>2</v>
      </c>
      <c r="L3" s="32" t="s">
        <v>155</v>
      </c>
      <c r="M3" s="33">
        <f t="array" ref="M3">IFERROR(MATCH(TRUE,State[Region]=M2,0),1)</f>
        <v>25</v>
      </c>
    </row>
    <row r="4" spans="1:13" x14ac:dyDescent="0.3">
      <c r="A4" t="str">
        <f>Pop[[#This Row],[State]]&amp;" "&amp;Pop[[#This Row],[County]]</f>
        <v>AK Anchorage Municipality</v>
      </c>
      <c r="B4" t="s">
        <v>147</v>
      </c>
      <c r="C4" s="30" t="s">
        <v>156</v>
      </c>
      <c r="D4" s="14">
        <v>291826</v>
      </c>
      <c r="F4">
        <v>1</v>
      </c>
      <c r="G4" t="s">
        <v>157</v>
      </c>
      <c r="H4" t="s">
        <v>158</v>
      </c>
      <c r="J4" s="2">
        <v>3</v>
      </c>
      <c r="L4" s="32" t="s">
        <v>159</v>
      </c>
      <c r="M4" s="33">
        <f t="array" ref="M4">IFERROR(MATCH(2,1/(State[Region]=M2)),58)</f>
        <v>30</v>
      </c>
    </row>
    <row r="5" spans="1:13" x14ac:dyDescent="0.3">
      <c r="A5" t="str">
        <f>Pop[[#This Row],[State]]&amp;" "&amp;Pop[[#This Row],[County]]</f>
        <v>AK Bethel Census Area</v>
      </c>
      <c r="B5" t="s">
        <v>147</v>
      </c>
      <c r="C5" s="30" t="s">
        <v>160</v>
      </c>
      <c r="D5" s="14">
        <v>17013</v>
      </c>
      <c r="F5">
        <v>1</v>
      </c>
      <c r="G5" t="s">
        <v>161</v>
      </c>
      <c r="H5" t="s">
        <v>162</v>
      </c>
      <c r="J5" s="2">
        <v>4</v>
      </c>
      <c r="L5" s="32" t="s">
        <v>163</v>
      </c>
      <c r="M5" s="33" t="str">
        <f>'Input Sheet'!D2</f>
        <v>MI</v>
      </c>
    </row>
    <row r="6" spans="1:13" x14ac:dyDescent="0.3">
      <c r="A6" t="str">
        <f>Pop[[#This Row],[State]]&amp;" "&amp;Pop[[#This Row],[County]]</f>
        <v>AK Bristol Bay Borough</v>
      </c>
      <c r="B6" t="s">
        <v>147</v>
      </c>
      <c r="C6" s="30" t="s">
        <v>164</v>
      </c>
      <c r="D6" s="14">
        <v>997</v>
      </c>
      <c r="F6">
        <v>1</v>
      </c>
      <c r="G6" t="s">
        <v>165</v>
      </c>
      <c r="H6" t="s">
        <v>166</v>
      </c>
      <c r="J6" s="2">
        <v>5</v>
      </c>
      <c r="L6" s="32" t="s">
        <v>167</v>
      </c>
      <c r="M6" s="33">
        <f t="array" ref="M6">IFERROR(MATCH(TRUE,Pop[State]=$M$5,0),0)</f>
        <v>1285</v>
      </c>
    </row>
    <row r="7" spans="1:13" ht="15" thickBot="1" x14ac:dyDescent="0.35">
      <c r="A7" t="str">
        <f>Pop[[#This Row],[State]]&amp;" "&amp;Pop[[#This Row],[County]]</f>
        <v>AK Denali Borough</v>
      </c>
      <c r="B7" t="s">
        <v>147</v>
      </c>
      <c r="C7" s="30" t="s">
        <v>168</v>
      </c>
      <c r="D7" s="14">
        <v>1826</v>
      </c>
      <c r="F7">
        <v>1</v>
      </c>
      <c r="G7" t="s">
        <v>169</v>
      </c>
      <c r="H7" t="s">
        <v>170</v>
      </c>
      <c r="J7" s="2">
        <v>6</v>
      </c>
      <c r="L7" s="34" t="s">
        <v>171</v>
      </c>
      <c r="M7" s="35">
        <f t="array" ref="M7">IFERROR(MATCH(2,1/(Pop[State]=$M$5))-1,0)</f>
        <v>1368</v>
      </c>
    </row>
    <row r="8" spans="1:13" ht="15" thickBot="1" x14ac:dyDescent="0.35">
      <c r="A8" t="str">
        <f>Pop[[#This Row],[State]]&amp;" "&amp;Pop[[#This Row],[County]]</f>
        <v>AK Dillingham Census Area</v>
      </c>
      <c r="B8" t="s">
        <v>147</v>
      </c>
      <c r="C8" s="30" t="s">
        <v>172</v>
      </c>
      <c r="D8" s="14">
        <v>4847</v>
      </c>
      <c r="F8">
        <v>2</v>
      </c>
      <c r="G8" t="s">
        <v>173</v>
      </c>
      <c r="H8" t="s">
        <v>174</v>
      </c>
      <c r="J8" s="2">
        <v>7</v>
      </c>
      <c r="L8" s="292" t="s">
        <v>175</v>
      </c>
      <c r="M8" s="293"/>
    </row>
    <row r="9" spans="1:13" x14ac:dyDescent="0.3">
      <c r="A9" t="str">
        <f>Pop[[#This Row],[State]]&amp;" "&amp;Pop[[#This Row],[County]]</f>
        <v>AK Fairbanks North Star Borough</v>
      </c>
      <c r="B9" t="s">
        <v>147</v>
      </c>
      <c r="C9" s="30" t="s">
        <v>176</v>
      </c>
      <c r="D9" s="14">
        <v>97581</v>
      </c>
      <c r="F9">
        <v>2</v>
      </c>
      <c r="G9" t="s">
        <v>177</v>
      </c>
      <c r="H9" t="s">
        <v>178</v>
      </c>
      <c r="J9" s="2">
        <v>8</v>
      </c>
    </row>
    <row r="10" spans="1:13" x14ac:dyDescent="0.3">
      <c r="A10" t="str">
        <f>Pop[[#This Row],[State]]&amp;" "&amp;Pop[[#This Row],[County]]</f>
        <v>AK Haines Borough</v>
      </c>
      <c r="B10" t="s">
        <v>147</v>
      </c>
      <c r="C10" s="30" t="s">
        <v>179</v>
      </c>
      <c r="D10" s="14">
        <v>2508</v>
      </c>
      <c r="F10">
        <v>2</v>
      </c>
      <c r="G10" t="s">
        <v>180</v>
      </c>
      <c r="H10" t="s">
        <v>181</v>
      </c>
      <c r="J10" s="2">
        <v>9</v>
      </c>
      <c r="M10" s="58"/>
    </row>
    <row r="11" spans="1:13" ht="15" customHeight="1" x14ac:dyDescent="0.3">
      <c r="A11" t="str">
        <f>Pop[[#This Row],[State]]&amp;" "&amp;Pop[[#This Row],[County]]</f>
        <v>AK Hoonah-Angoon Census Area</v>
      </c>
      <c r="B11" t="s">
        <v>147</v>
      </c>
      <c r="C11" s="30" t="s">
        <v>182</v>
      </c>
      <c r="D11" s="14">
        <v>2150</v>
      </c>
      <c r="F11">
        <v>2</v>
      </c>
      <c r="G11" t="s">
        <v>183</v>
      </c>
      <c r="H11" t="s">
        <v>184</v>
      </c>
      <c r="J11" s="2">
        <v>10</v>
      </c>
      <c r="L11" s="294" t="s">
        <v>185</v>
      </c>
      <c r="M11" s="295"/>
    </row>
    <row r="12" spans="1:13" x14ac:dyDescent="0.3">
      <c r="A12" t="str">
        <f>Pop[[#This Row],[State]]&amp;" "&amp;Pop[[#This Row],[County]]</f>
        <v>AK Juneau City and Borough</v>
      </c>
      <c r="B12" t="s">
        <v>147</v>
      </c>
      <c r="C12" s="30" t="s">
        <v>186</v>
      </c>
      <c r="D12" s="14">
        <v>31275</v>
      </c>
      <c r="F12">
        <v>3</v>
      </c>
      <c r="G12" t="s">
        <v>187</v>
      </c>
      <c r="H12" t="s">
        <v>188</v>
      </c>
      <c r="L12" s="55"/>
      <c r="M12" s="55"/>
    </row>
    <row r="13" spans="1:13" x14ac:dyDescent="0.3">
      <c r="A13" t="str">
        <f>Pop[[#This Row],[State]]&amp;" "&amp;Pop[[#This Row],[County]]</f>
        <v>AK Kenai Peninsula Borough</v>
      </c>
      <c r="B13" t="s">
        <v>147</v>
      </c>
      <c r="C13" s="30" t="s">
        <v>189</v>
      </c>
      <c r="D13" s="14">
        <v>55400</v>
      </c>
      <c r="F13">
        <v>3</v>
      </c>
      <c r="G13" t="s">
        <v>190</v>
      </c>
      <c r="H13" t="s">
        <v>191</v>
      </c>
      <c r="L13" s="58"/>
      <c r="M13" s="58"/>
    </row>
    <row r="14" spans="1:13" ht="15.75" customHeight="1" x14ac:dyDescent="0.3">
      <c r="A14" t="str">
        <f>Pop[[#This Row],[State]]&amp;" "&amp;Pop[[#This Row],[County]]</f>
        <v>AK Ketchikan Gateway Borough</v>
      </c>
      <c r="B14" t="s">
        <v>147</v>
      </c>
      <c r="C14" s="30" t="s">
        <v>192</v>
      </c>
      <c r="D14" s="14">
        <v>13477</v>
      </c>
      <c r="F14">
        <v>3</v>
      </c>
      <c r="G14" t="s">
        <v>193</v>
      </c>
      <c r="H14" t="s">
        <v>194</v>
      </c>
      <c r="J14" s="2" t="s">
        <v>79</v>
      </c>
      <c r="L14" s="55"/>
      <c r="M14" s="55"/>
    </row>
    <row r="15" spans="1:13" x14ac:dyDescent="0.3">
      <c r="A15" t="str">
        <f>Pop[[#This Row],[State]]&amp;" "&amp;Pop[[#This Row],[County]]</f>
        <v>AK Kodiak Island Borough</v>
      </c>
      <c r="B15" t="s">
        <v>147</v>
      </c>
      <c r="C15" s="30" t="s">
        <v>195</v>
      </c>
      <c r="D15" s="14">
        <v>13592</v>
      </c>
      <c r="F15">
        <v>3</v>
      </c>
      <c r="G15" t="s">
        <v>196</v>
      </c>
      <c r="H15" t="s">
        <v>197</v>
      </c>
      <c r="J15" t="s">
        <v>87</v>
      </c>
      <c r="L15" s="55"/>
      <c r="M15" s="55"/>
    </row>
    <row r="16" spans="1:13" x14ac:dyDescent="0.3">
      <c r="A16" t="str">
        <f>Pop[[#This Row],[State]]&amp;" "&amp;Pop[[#This Row],[County]]</f>
        <v>AK Lake and Peninsula Borough</v>
      </c>
      <c r="B16" t="s">
        <v>147</v>
      </c>
      <c r="C16" s="30" t="s">
        <v>198</v>
      </c>
      <c r="D16" s="1">
        <v>1631</v>
      </c>
      <c r="F16">
        <v>3</v>
      </c>
      <c r="G16" t="s">
        <v>199</v>
      </c>
      <c r="H16" t="s">
        <v>200</v>
      </c>
      <c r="J16" t="s">
        <v>201</v>
      </c>
      <c r="L16" s="55"/>
      <c r="M16" s="55"/>
    </row>
    <row r="17" spans="1:13" x14ac:dyDescent="0.3">
      <c r="A17" t="str">
        <f>Pop[[#This Row],[State]]&amp;" "&amp;Pop[[#This Row],[County]]</f>
        <v>AK Matanuska-Susitna Borough</v>
      </c>
      <c r="B17" t="s">
        <v>147</v>
      </c>
      <c r="C17" s="30" t="s">
        <v>202</v>
      </c>
      <c r="D17" s="14">
        <v>88995</v>
      </c>
      <c r="F17">
        <v>3</v>
      </c>
      <c r="G17" t="s">
        <v>203</v>
      </c>
      <c r="H17" t="s">
        <v>204</v>
      </c>
      <c r="J17" t="s">
        <v>205</v>
      </c>
      <c r="L17" s="55"/>
      <c r="M17" s="55"/>
    </row>
    <row r="18" spans="1:13" x14ac:dyDescent="0.3">
      <c r="A18" t="str">
        <f>Pop[[#This Row],[State]]&amp;" "&amp;Pop[[#This Row],[County]]</f>
        <v>AK Nome Census Area</v>
      </c>
      <c r="B18" t="s">
        <v>147</v>
      </c>
      <c r="C18" s="30" t="s">
        <v>206</v>
      </c>
      <c r="D18" s="14">
        <v>9492</v>
      </c>
      <c r="F18">
        <v>4</v>
      </c>
      <c r="G18" t="s">
        <v>207</v>
      </c>
      <c r="H18" t="s">
        <v>208</v>
      </c>
      <c r="L18" s="55"/>
      <c r="M18" s="55"/>
    </row>
    <row r="19" spans="1:13" x14ac:dyDescent="0.3">
      <c r="A19" t="str">
        <f>Pop[[#This Row],[State]]&amp;" "&amp;Pop[[#This Row],[County]]</f>
        <v>AK North Slope Borough</v>
      </c>
      <c r="B19" t="s">
        <v>147</v>
      </c>
      <c r="C19" s="30" t="s">
        <v>209</v>
      </c>
      <c r="D19" s="14">
        <v>9430</v>
      </c>
      <c r="F19">
        <v>4</v>
      </c>
      <c r="G19" t="s">
        <v>210</v>
      </c>
      <c r="H19" t="s">
        <v>211</v>
      </c>
      <c r="L19" s="55"/>
      <c r="M19" s="55"/>
    </row>
    <row r="20" spans="1:13" x14ac:dyDescent="0.3">
      <c r="A20" t="str">
        <f>Pop[[#This Row],[State]]&amp;" "&amp;Pop[[#This Row],[County]]</f>
        <v>AK Northwest Arctic Borough</v>
      </c>
      <c r="B20" t="s">
        <v>147</v>
      </c>
      <c r="C20" s="30" t="s">
        <v>212</v>
      </c>
      <c r="D20" s="14">
        <v>7523</v>
      </c>
      <c r="F20">
        <v>4</v>
      </c>
      <c r="G20" t="s">
        <v>213</v>
      </c>
      <c r="H20" t="s">
        <v>214</v>
      </c>
      <c r="L20" s="55"/>
      <c r="M20" s="55"/>
    </row>
    <row r="21" spans="1:13" x14ac:dyDescent="0.3">
      <c r="A21" t="str">
        <f>Pop[[#This Row],[State]]&amp;" "&amp;Pop[[#This Row],[County]]</f>
        <v>AK Petersburg Census Area</v>
      </c>
      <c r="B21" t="s">
        <v>147</v>
      </c>
      <c r="C21" s="30" t="s">
        <v>215</v>
      </c>
      <c r="D21" s="14">
        <v>3815</v>
      </c>
      <c r="F21">
        <v>4</v>
      </c>
      <c r="G21" t="s">
        <v>216</v>
      </c>
      <c r="H21" t="s">
        <v>217</v>
      </c>
      <c r="L21" s="55"/>
      <c r="M21" s="55"/>
    </row>
    <row r="22" spans="1:13" x14ac:dyDescent="0.3">
      <c r="A22" t="str">
        <f>Pop[[#This Row],[State]]&amp;" "&amp;Pop[[#This Row],[County]]</f>
        <v>AK Prince of Wales-Hyder Census Area</v>
      </c>
      <c r="B22" t="s">
        <v>147</v>
      </c>
      <c r="C22" s="30" t="s">
        <v>218</v>
      </c>
      <c r="D22" s="14">
        <v>5559</v>
      </c>
      <c r="F22">
        <v>4</v>
      </c>
      <c r="G22" t="s">
        <v>219</v>
      </c>
      <c r="H22" t="s">
        <v>220</v>
      </c>
      <c r="L22" s="55"/>
      <c r="M22" s="55"/>
    </row>
    <row r="23" spans="1:13" x14ac:dyDescent="0.3">
      <c r="A23" t="str">
        <f>Pop[[#This Row],[State]]&amp;" "&amp;Pop[[#This Row],[County]]</f>
        <v>AK Sitka City and Borough</v>
      </c>
      <c r="B23" t="s">
        <v>147</v>
      </c>
      <c r="C23" s="30" t="s">
        <v>221</v>
      </c>
      <c r="D23" s="14">
        <v>8881</v>
      </c>
      <c r="F23">
        <v>4</v>
      </c>
      <c r="G23" t="s">
        <v>222</v>
      </c>
      <c r="H23" t="s">
        <v>223</v>
      </c>
      <c r="L23" s="55"/>
      <c r="M23" s="55"/>
    </row>
    <row r="24" spans="1:13" x14ac:dyDescent="0.3">
      <c r="A24" t="str">
        <f>Pop[[#This Row],[State]]&amp;" "&amp;Pop[[#This Row],[County]]</f>
        <v>AK Skagway Municipality</v>
      </c>
      <c r="B24" t="s">
        <v>147</v>
      </c>
      <c r="C24" s="30" t="s">
        <v>224</v>
      </c>
      <c r="D24" s="14">
        <v>968</v>
      </c>
      <c r="F24">
        <v>4</v>
      </c>
      <c r="G24" t="s">
        <v>225</v>
      </c>
      <c r="H24" t="s">
        <v>226</v>
      </c>
      <c r="L24" s="55"/>
      <c r="M24" s="55"/>
    </row>
    <row r="25" spans="1:13" x14ac:dyDescent="0.3">
      <c r="A25" t="str">
        <f>Pop[[#This Row],[State]]&amp;" "&amp;Pop[[#This Row],[County]]</f>
        <v>AK Southeast Fairbanks Census Area</v>
      </c>
      <c r="B25" t="s">
        <v>147</v>
      </c>
      <c r="C25" s="30" t="s">
        <v>227</v>
      </c>
      <c r="D25" s="14">
        <v>7029</v>
      </c>
      <c r="F25">
        <v>4</v>
      </c>
      <c r="G25" t="s">
        <v>228</v>
      </c>
      <c r="H25" t="s">
        <v>229</v>
      </c>
      <c r="L25" s="55"/>
      <c r="M25" s="55"/>
    </row>
    <row r="26" spans="1:13" x14ac:dyDescent="0.3">
      <c r="A26" t="str">
        <f>Pop[[#This Row],[State]]&amp;" "&amp;Pop[[#This Row],[County]]</f>
        <v>AK Valdez-Cordova Census Area</v>
      </c>
      <c r="B26" t="s">
        <v>147</v>
      </c>
      <c r="C26" s="30" t="s">
        <v>230</v>
      </c>
      <c r="D26" s="14">
        <v>9636</v>
      </c>
      <c r="F26">
        <v>5</v>
      </c>
      <c r="G26" t="s">
        <v>231</v>
      </c>
      <c r="H26" t="s">
        <v>232</v>
      </c>
      <c r="L26" s="55"/>
      <c r="M26" s="55"/>
    </row>
    <row r="27" spans="1:13" x14ac:dyDescent="0.3">
      <c r="A27" t="str">
        <f>Pop[[#This Row],[State]]&amp;" "&amp;Pop[[#This Row],[County]]</f>
        <v>AK Wade Hampton Census Area</v>
      </c>
      <c r="B27" t="s">
        <v>147</v>
      </c>
      <c r="C27" s="30" t="s">
        <v>233</v>
      </c>
      <c r="D27" s="14">
        <v>7459</v>
      </c>
      <c r="F27">
        <v>5</v>
      </c>
      <c r="G27" t="s">
        <v>74</v>
      </c>
      <c r="H27" t="s">
        <v>123</v>
      </c>
      <c r="L27" s="55"/>
      <c r="M27" s="55"/>
    </row>
    <row r="28" spans="1:13" x14ac:dyDescent="0.3">
      <c r="A28" t="str">
        <f>Pop[[#This Row],[State]]&amp;" "&amp;Pop[[#This Row],[County]]</f>
        <v>AK Wrangell City and Borough</v>
      </c>
      <c r="B28" t="s">
        <v>147</v>
      </c>
      <c r="C28" s="30" t="s">
        <v>234</v>
      </c>
      <c r="D28" s="14">
        <v>2369</v>
      </c>
      <c r="F28">
        <v>5</v>
      </c>
      <c r="G28" t="s">
        <v>235</v>
      </c>
      <c r="H28" t="s">
        <v>236</v>
      </c>
      <c r="L28" s="55"/>
      <c r="M28" s="55"/>
    </row>
    <row r="29" spans="1:13" x14ac:dyDescent="0.3">
      <c r="A29" t="str">
        <f>Pop[[#This Row],[State]]&amp;" "&amp;Pop[[#This Row],[County]]</f>
        <v>AK Yakutat City and Borough</v>
      </c>
      <c r="B29" t="s">
        <v>147</v>
      </c>
      <c r="C29" s="30" t="s">
        <v>237</v>
      </c>
      <c r="D29" s="14">
        <v>662</v>
      </c>
      <c r="F29">
        <v>5</v>
      </c>
      <c r="G29" t="s">
        <v>238</v>
      </c>
      <c r="H29" t="s">
        <v>239</v>
      </c>
      <c r="L29" s="55"/>
      <c r="M29" s="55"/>
    </row>
    <row r="30" spans="1:13" x14ac:dyDescent="0.3">
      <c r="A30" t="str">
        <f>Pop[[#This Row],[State]]&amp;" "&amp;Pop[[#This Row],[County]]</f>
        <v>AK Yukon-Koyukuk Census Area</v>
      </c>
      <c r="B30" t="s">
        <v>147</v>
      </c>
      <c r="C30" s="30" t="s">
        <v>240</v>
      </c>
      <c r="D30" s="14">
        <v>5588</v>
      </c>
      <c r="F30">
        <v>5</v>
      </c>
      <c r="G30" t="s">
        <v>241</v>
      </c>
      <c r="H30" t="s">
        <v>242</v>
      </c>
      <c r="L30" s="55"/>
      <c r="M30" s="55"/>
    </row>
    <row r="31" spans="1:13" x14ac:dyDescent="0.3">
      <c r="A31" s="1" t="str">
        <f>Pop[[#This Row],[State]]&amp;" "&amp;Pop[[#This Row],[County]]</f>
        <v>AK State Agencies</v>
      </c>
      <c r="B31" t="s">
        <v>147</v>
      </c>
      <c r="C31" s="30" t="s">
        <v>243</v>
      </c>
      <c r="D31" s="16" t="s">
        <v>244</v>
      </c>
      <c r="F31">
        <v>5</v>
      </c>
      <c r="G31" t="s">
        <v>245</v>
      </c>
      <c r="H31" t="s">
        <v>246</v>
      </c>
      <c r="L31" s="55"/>
      <c r="M31" s="55"/>
    </row>
    <row r="32" spans="1:13" x14ac:dyDescent="0.3">
      <c r="A32" s="1" t="str">
        <f>Pop[[#This Row],[State]]&amp;" "&amp;Pop[[#This Row],[County]]</f>
        <v>AK Grand Total</v>
      </c>
      <c r="B32" t="s">
        <v>147</v>
      </c>
      <c r="C32" s="30" t="s">
        <v>67</v>
      </c>
      <c r="D32" s="16">
        <v>710231</v>
      </c>
      <c r="F32">
        <v>6</v>
      </c>
      <c r="G32" t="s">
        <v>247</v>
      </c>
      <c r="H32" t="s">
        <v>248</v>
      </c>
      <c r="L32" s="55"/>
      <c r="M32" s="55"/>
    </row>
    <row r="33" spans="1:13" x14ac:dyDescent="0.3">
      <c r="A33" t="str">
        <f>Pop[[#This Row],[State]]&amp;" "&amp;Pop[[#This Row],[County]]</f>
        <v>AL Autauga</v>
      </c>
      <c r="B33" t="s">
        <v>207</v>
      </c>
      <c r="C33" s="30" t="s">
        <v>249</v>
      </c>
      <c r="D33" s="14">
        <v>58805</v>
      </c>
      <c r="F33">
        <v>6</v>
      </c>
      <c r="G33" t="s">
        <v>250</v>
      </c>
      <c r="H33" t="s">
        <v>251</v>
      </c>
      <c r="L33" s="55"/>
      <c r="M33" s="55"/>
    </row>
    <row r="34" spans="1:13" x14ac:dyDescent="0.3">
      <c r="A34" t="str">
        <f>Pop[[#This Row],[State]]&amp;" "&amp;Pop[[#This Row],[County]]</f>
        <v>AL Baldwin</v>
      </c>
      <c r="B34" t="s">
        <v>207</v>
      </c>
      <c r="C34" s="30" t="s">
        <v>252</v>
      </c>
      <c r="D34" s="14">
        <v>231767</v>
      </c>
      <c r="F34">
        <v>6</v>
      </c>
      <c r="G34" t="s">
        <v>253</v>
      </c>
      <c r="H34" t="s">
        <v>254</v>
      </c>
      <c r="L34" s="55"/>
      <c r="M34" s="55"/>
    </row>
    <row r="35" spans="1:13" x14ac:dyDescent="0.3">
      <c r="A35" t="str">
        <f>Pop[[#This Row],[State]]&amp;" "&amp;Pop[[#This Row],[County]]</f>
        <v>AL Barbour</v>
      </c>
      <c r="B35" t="s">
        <v>207</v>
      </c>
      <c r="C35" s="30" t="s">
        <v>255</v>
      </c>
      <c r="D35" s="14">
        <v>25223</v>
      </c>
      <c r="F35">
        <v>6</v>
      </c>
      <c r="G35" t="s">
        <v>256</v>
      </c>
      <c r="H35" t="s">
        <v>257</v>
      </c>
      <c r="L35" s="55"/>
      <c r="M35" s="55"/>
    </row>
    <row r="36" spans="1:13" x14ac:dyDescent="0.3">
      <c r="A36" t="str">
        <f>Pop[[#This Row],[State]]&amp;" "&amp;Pop[[#This Row],[County]]</f>
        <v>AL Bibb</v>
      </c>
      <c r="B36" t="s">
        <v>207</v>
      </c>
      <c r="C36" s="30" t="s">
        <v>258</v>
      </c>
      <c r="D36" s="14">
        <v>22293</v>
      </c>
      <c r="F36">
        <v>6</v>
      </c>
      <c r="G36" t="s">
        <v>259</v>
      </c>
      <c r="H36" t="s">
        <v>260</v>
      </c>
      <c r="L36" s="55"/>
      <c r="M36" s="55"/>
    </row>
    <row r="37" spans="1:13" x14ac:dyDescent="0.3">
      <c r="A37" t="str">
        <f>Pop[[#This Row],[State]]&amp;" "&amp;Pop[[#This Row],[County]]</f>
        <v>AL Blount</v>
      </c>
      <c r="B37" t="s">
        <v>207</v>
      </c>
      <c r="C37" s="30" t="s">
        <v>261</v>
      </c>
      <c r="D37" s="14">
        <v>59134</v>
      </c>
      <c r="F37">
        <v>7</v>
      </c>
      <c r="G37" t="s">
        <v>262</v>
      </c>
      <c r="H37" t="s">
        <v>263</v>
      </c>
    </row>
    <row r="38" spans="1:13" x14ac:dyDescent="0.3">
      <c r="A38" t="str">
        <f>Pop[[#This Row],[State]]&amp;" "&amp;Pop[[#This Row],[County]]</f>
        <v>AL Bullock</v>
      </c>
      <c r="B38" t="s">
        <v>207</v>
      </c>
      <c r="C38" s="30" t="s">
        <v>264</v>
      </c>
      <c r="D38" s="14">
        <v>10357</v>
      </c>
      <c r="F38">
        <v>7</v>
      </c>
      <c r="G38" t="s">
        <v>265</v>
      </c>
      <c r="H38" t="s">
        <v>266</v>
      </c>
    </row>
    <row r="39" spans="1:13" x14ac:dyDescent="0.3">
      <c r="A39" t="str">
        <f>Pop[[#This Row],[State]]&amp;" "&amp;Pop[[#This Row],[County]]</f>
        <v>AL Butler</v>
      </c>
      <c r="B39" t="s">
        <v>207</v>
      </c>
      <c r="C39" s="30" t="s">
        <v>267</v>
      </c>
      <c r="D39" s="14">
        <v>19051</v>
      </c>
      <c r="F39">
        <v>7</v>
      </c>
      <c r="G39" t="s">
        <v>268</v>
      </c>
      <c r="H39" t="s">
        <v>269</v>
      </c>
    </row>
    <row r="40" spans="1:13" x14ac:dyDescent="0.3">
      <c r="A40" t="str">
        <f>Pop[[#This Row],[State]]&amp;" "&amp;Pop[[#This Row],[County]]</f>
        <v>AL Calhoun</v>
      </c>
      <c r="B40" t="s">
        <v>207</v>
      </c>
      <c r="C40" s="30" t="s">
        <v>270</v>
      </c>
      <c r="D40" s="14">
        <v>116441</v>
      </c>
      <c r="F40">
        <v>7</v>
      </c>
      <c r="G40" t="s">
        <v>271</v>
      </c>
      <c r="H40" t="s">
        <v>272</v>
      </c>
    </row>
    <row r="41" spans="1:13" x14ac:dyDescent="0.3">
      <c r="A41" t="str">
        <f>Pop[[#This Row],[State]]&amp;" "&amp;Pop[[#This Row],[County]]</f>
        <v>AL Chambers</v>
      </c>
      <c r="B41" t="s">
        <v>207</v>
      </c>
      <c r="C41" s="30" t="s">
        <v>273</v>
      </c>
      <c r="D41" s="14">
        <v>34772</v>
      </c>
      <c r="F41">
        <v>8</v>
      </c>
      <c r="G41" t="s">
        <v>274</v>
      </c>
      <c r="H41" t="s">
        <v>275</v>
      </c>
    </row>
    <row r="42" spans="1:13" x14ac:dyDescent="0.3">
      <c r="A42" t="str">
        <f>Pop[[#This Row],[State]]&amp;" "&amp;Pop[[#This Row],[County]]</f>
        <v>AL Cherokee</v>
      </c>
      <c r="B42" t="s">
        <v>207</v>
      </c>
      <c r="C42" s="30" t="s">
        <v>276</v>
      </c>
      <c r="D42" s="14">
        <v>24971</v>
      </c>
      <c r="F42">
        <v>8</v>
      </c>
      <c r="G42" t="s">
        <v>277</v>
      </c>
      <c r="H42" t="s">
        <v>278</v>
      </c>
    </row>
    <row r="43" spans="1:13" x14ac:dyDescent="0.3">
      <c r="A43" t="str">
        <f>Pop[[#This Row],[State]]&amp;" "&amp;Pop[[#This Row],[County]]</f>
        <v>AL Chilton</v>
      </c>
      <c r="B43" t="s">
        <v>207</v>
      </c>
      <c r="C43" s="30" t="s">
        <v>279</v>
      </c>
      <c r="D43" s="14">
        <v>45014</v>
      </c>
      <c r="F43">
        <v>8</v>
      </c>
      <c r="G43" t="s">
        <v>280</v>
      </c>
      <c r="H43" t="s">
        <v>281</v>
      </c>
    </row>
    <row r="44" spans="1:13" x14ac:dyDescent="0.3">
      <c r="A44" t="str">
        <f>Pop[[#This Row],[State]]&amp;" "&amp;Pop[[#This Row],[County]]</f>
        <v>AL Choctaw</v>
      </c>
      <c r="B44" t="s">
        <v>207</v>
      </c>
      <c r="C44" s="30" t="s">
        <v>282</v>
      </c>
      <c r="D44" s="14">
        <v>12665</v>
      </c>
      <c r="F44">
        <v>8</v>
      </c>
      <c r="G44" t="s">
        <v>283</v>
      </c>
      <c r="H44" t="s">
        <v>284</v>
      </c>
    </row>
    <row r="45" spans="1:13" x14ac:dyDescent="0.3">
      <c r="A45" t="str">
        <f>Pop[[#This Row],[State]]&amp;" "&amp;Pop[[#This Row],[County]]</f>
        <v>AL Clarke</v>
      </c>
      <c r="B45" t="s">
        <v>207</v>
      </c>
      <c r="C45" s="30" t="s">
        <v>285</v>
      </c>
      <c r="D45" s="14">
        <v>23087</v>
      </c>
      <c r="F45">
        <v>8</v>
      </c>
      <c r="G45" t="s">
        <v>286</v>
      </c>
      <c r="H45" t="s">
        <v>287</v>
      </c>
    </row>
    <row r="46" spans="1:13" x14ac:dyDescent="0.3">
      <c r="A46" t="str">
        <f>Pop[[#This Row],[State]]&amp;" "&amp;Pop[[#This Row],[County]]</f>
        <v>AL Clay</v>
      </c>
      <c r="B46" t="s">
        <v>207</v>
      </c>
      <c r="C46" s="30" t="s">
        <v>39</v>
      </c>
      <c r="D46" s="14">
        <v>14236</v>
      </c>
      <c r="F46">
        <v>8</v>
      </c>
      <c r="G46" t="s">
        <v>288</v>
      </c>
      <c r="H46" t="s">
        <v>289</v>
      </c>
    </row>
    <row r="47" spans="1:13" x14ac:dyDescent="0.3">
      <c r="A47" t="str">
        <f>Pop[[#This Row],[State]]&amp;" "&amp;Pop[[#This Row],[County]]</f>
        <v>AL Cleburne</v>
      </c>
      <c r="B47" t="s">
        <v>207</v>
      </c>
      <c r="C47" s="30" t="s">
        <v>290</v>
      </c>
      <c r="D47" s="14">
        <v>15056</v>
      </c>
      <c r="F47">
        <v>9</v>
      </c>
      <c r="G47" t="s">
        <v>291</v>
      </c>
      <c r="H47" t="s">
        <v>292</v>
      </c>
    </row>
    <row r="48" spans="1:13" x14ac:dyDescent="0.3">
      <c r="A48" t="str">
        <f>Pop[[#This Row],[State]]&amp;" "&amp;Pop[[#This Row],[County]]</f>
        <v>AL Coffee</v>
      </c>
      <c r="B48" t="s">
        <v>207</v>
      </c>
      <c r="C48" s="30" t="s">
        <v>293</v>
      </c>
      <c r="D48" s="14">
        <v>53465</v>
      </c>
      <c r="F48">
        <v>9</v>
      </c>
      <c r="G48" t="s">
        <v>294</v>
      </c>
      <c r="H48" t="s">
        <v>295</v>
      </c>
    </row>
    <row r="49" spans="1:8" x14ac:dyDescent="0.3">
      <c r="A49" t="str">
        <f>Pop[[#This Row],[State]]&amp;" "&amp;Pop[[#This Row],[County]]</f>
        <v>AL Colbert</v>
      </c>
      <c r="B49" t="s">
        <v>207</v>
      </c>
      <c r="C49" s="30" t="s">
        <v>296</v>
      </c>
      <c r="D49" s="14">
        <v>57227</v>
      </c>
      <c r="F49">
        <v>9</v>
      </c>
      <c r="G49" t="s">
        <v>297</v>
      </c>
      <c r="H49" t="s">
        <v>298</v>
      </c>
    </row>
    <row r="50" spans="1:8" x14ac:dyDescent="0.3">
      <c r="A50" t="str">
        <f>Pop[[#This Row],[State]]&amp;" "&amp;Pop[[#This Row],[County]]</f>
        <v>AL Conecuh</v>
      </c>
      <c r="B50" t="s">
        <v>207</v>
      </c>
      <c r="C50" s="30" t="s">
        <v>299</v>
      </c>
      <c r="D50" s="14">
        <v>11597</v>
      </c>
      <c r="F50">
        <v>9</v>
      </c>
      <c r="G50" t="s">
        <v>300</v>
      </c>
      <c r="H50" t="s">
        <v>301</v>
      </c>
    </row>
    <row r="51" spans="1:8" x14ac:dyDescent="0.3">
      <c r="A51" t="str">
        <f>Pop[[#This Row],[State]]&amp;" "&amp;Pop[[#This Row],[County]]</f>
        <v>AL Coosa</v>
      </c>
      <c r="B51" t="s">
        <v>207</v>
      </c>
      <c r="C51" s="30" t="s">
        <v>302</v>
      </c>
      <c r="D51" s="14">
        <v>10387</v>
      </c>
      <c r="F51">
        <v>9</v>
      </c>
      <c r="G51" t="s">
        <v>303</v>
      </c>
      <c r="H51" t="s">
        <v>304</v>
      </c>
    </row>
    <row r="52" spans="1:8" x14ac:dyDescent="0.3">
      <c r="A52" t="str">
        <f>Pop[[#This Row],[State]]&amp;" "&amp;Pop[[#This Row],[County]]</f>
        <v>AL Covington</v>
      </c>
      <c r="B52" t="s">
        <v>207</v>
      </c>
      <c r="C52" s="30" t="s">
        <v>305</v>
      </c>
      <c r="D52" s="14">
        <v>37570</v>
      </c>
      <c r="F52">
        <v>9</v>
      </c>
      <c r="G52" t="s">
        <v>306</v>
      </c>
      <c r="H52" t="s">
        <v>307</v>
      </c>
    </row>
    <row r="53" spans="1:8" x14ac:dyDescent="0.3">
      <c r="A53" t="str">
        <f>Pop[[#This Row],[State]]&amp;" "&amp;Pop[[#This Row],[County]]</f>
        <v>AL Crenshaw</v>
      </c>
      <c r="B53" t="s">
        <v>207</v>
      </c>
      <c r="C53" s="30" t="s">
        <v>308</v>
      </c>
      <c r="D53" s="14">
        <v>13194</v>
      </c>
      <c r="F53">
        <v>9</v>
      </c>
      <c r="G53" t="s">
        <v>309</v>
      </c>
      <c r="H53" t="s">
        <v>310</v>
      </c>
    </row>
    <row r="54" spans="1:8" x14ac:dyDescent="0.3">
      <c r="A54" t="str">
        <f>Pop[[#This Row],[State]]&amp;" "&amp;Pop[[#This Row],[County]]</f>
        <v>AL Cullman</v>
      </c>
      <c r="B54" t="s">
        <v>207</v>
      </c>
      <c r="C54" s="30" t="s">
        <v>311</v>
      </c>
      <c r="D54" s="14">
        <v>87866</v>
      </c>
      <c r="F54">
        <v>9</v>
      </c>
      <c r="G54" t="s">
        <v>312</v>
      </c>
      <c r="H54" t="s">
        <v>313</v>
      </c>
    </row>
    <row r="55" spans="1:8" x14ac:dyDescent="0.3">
      <c r="A55" t="str">
        <f>Pop[[#This Row],[State]]&amp;" "&amp;Pop[[#This Row],[County]]</f>
        <v>AL Dale</v>
      </c>
      <c r="B55" t="s">
        <v>207</v>
      </c>
      <c r="C55" s="30" t="s">
        <v>314</v>
      </c>
      <c r="D55" s="14">
        <v>49326</v>
      </c>
      <c r="F55">
        <v>10</v>
      </c>
      <c r="G55" t="s">
        <v>147</v>
      </c>
      <c r="H55" t="s">
        <v>315</v>
      </c>
    </row>
    <row r="56" spans="1:8" x14ac:dyDescent="0.3">
      <c r="A56" t="str">
        <f>Pop[[#This Row],[State]]&amp;" "&amp;Pop[[#This Row],[County]]</f>
        <v>AL Dallas</v>
      </c>
      <c r="B56" t="s">
        <v>207</v>
      </c>
      <c r="C56" s="30" t="s">
        <v>316</v>
      </c>
      <c r="D56" s="14">
        <v>38462</v>
      </c>
      <c r="F56">
        <v>10</v>
      </c>
      <c r="G56" t="s">
        <v>317</v>
      </c>
      <c r="H56" t="s">
        <v>318</v>
      </c>
    </row>
    <row r="57" spans="1:8" x14ac:dyDescent="0.3">
      <c r="A57" t="str">
        <f>Pop[[#This Row],[State]]&amp;" "&amp;Pop[[#This Row],[County]]</f>
        <v>AL DeKalb</v>
      </c>
      <c r="B57" t="s">
        <v>207</v>
      </c>
      <c r="C57" s="30" t="s">
        <v>319</v>
      </c>
      <c r="D57" s="14">
        <v>71608</v>
      </c>
      <c r="F57">
        <v>10</v>
      </c>
      <c r="G57" t="s">
        <v>320</v>
      </c>
      <c r="H57" t="s">
        <v>321</v>
      </c>
    </row>
    <row r="58" spans="1:8" x14ac:dyDescent="0.3">
      <c r="A58" t="str">
        <f>Pop[[#This Row],[State]]&amp;" "&amp;Pop[[#This Row],[County]]</f>
        <v>AL Elmore</v>
      </c>
      <c r="B58" t="s">
        <v>207</v>
      </c>
      <c r="C58" s="30" t="s">
        <v>322</v>
      </c>
      <c r="D58" s="14">
        <v>87977</v>
      </c>
      <c r="F58">
        <v>10</v>
      </c>
      <c r="G58" t="s">
        <v>323</v>
      </c>
      <c r="H58" t="s">
        <v>65</v>
      </c>
    </row>
    <row r="59" spans="1:8" x14ac:dyDescent="0.3">
      <c r="A59" t="str">
        <f>Pop[[#This Row],[State]]&amp;" "&amp;Pop[[#This Row],[County]]</f>
        <v>AL Escambia</v>
      </c>
      <c r="B59" t="s">
        <v>207</v>
      </c>
      <c r="C59" s="30" t="s">
        <v>324</v>
      </c>
      <c r="D59" s="14">
        <v>36757</v>
      </c>
    </row>
    <row r="60" spans="1:8" x14ac:dyDescent="0.3">
      <c r="A60" t="str">
        <f>Pop[[#This Row],[State]]&amp;" "&amp;Pop[[#This Row],[County]]</f>
        <v>AL Etowah</v>
      </c>
      <c r="B60" t="s">
        <v>207</v>
      </c>
      <c r="C60" s="30" t="s">
        <v>325</v>
      </c>
      <c r="D60" s="14">
        <v>103436</v>
      </c>
    </row>
    <row r="61" spans="1:8" x14ac:dyDescent="0.3">
      <c r="A61" t="str">
        <f>Pop[[#This Row],[State]]&amp;" "&amp;Pop[[#This Row],[County]]</f>
        <v>AL Fayette</v>
      </c>
      <c r="B61" t="s">
        <v>207</v>
      </c>
      <c r="C61" s="30" t="s">
        <v>326</v>
      </c>
      <c r="D61" s="14">
        <v>16321</v>
      </c>
    </row>
    <row r="62" spans="1:8" x14ac:dyDescent="0.3">
      <c r="A62" t="str">
        <f>Pop[[#This Row],[State]]&amp;" "&amp;Pop[[#This Row],[County]]</f>
        <v>AL Franklin</v>
      </c>
      <c r="B62" t="s">
        <v>207</v>
      </c>
      <c r="C62" s="30" t="s">
        <v>43</v>
      </c>
      <c r="D62" s="14">
        <v>32113</v>
      </c>
    </row>
    <row r="63" spans="1:8" x14ac:dyDescent="0.3">
      <c r="A63" t="str">
        <f>Pop[[#This Row],[State]]&amp;" "&amp;Pop[[#This Row],[County]]</f>
        <v>AL Geneva</v>
      </c>
      <c r="B63" t="s">
        <v>207</v>
      </c>
      <c r="C63" s="30" t="s">
        <v>327</v>
      </c>
      <c r="D63" s="14">
        <v>26659</v>
      </c>
    </row>
    <row r="64" spans="1:8" x14ac:dyDescent="0.3">
      <c r="A64" t="str">
        <f>Pop[[#This Row],[State]]&amp;" "&amp;Pop[[#This Row],[County]]</f>
        <v>AL Greene</v>
      </c>
      <c r="B64" t="s">
        <v>207</v>
      </c>
      <c r="C64" s="30" t="s">
        <v>44</v>
      </c>
      <c r="D64" s="14">
        <v>7730</v>
      </c>
    </row>
    <row r="65" spans="1:4" x14ac:dyDescent="0.3">
      <c r="A65" t="str">
        <f>Pop[[#This Row],[State]]&amp;" "&amp;Pop[[#This Row],[County]]</f>
        <v>AL Hale</v>
      </c>
      <c r="B65" t="s">
        <v>207</v>
      </c>
      <c r="C65" s="30" t="s">
        <v>328</v>
      </c>
      <c r="D65" s="14">
        <v>14785</v>
      </c>
    </row>
    <row r="66" spans="1:4" x14ac:dyDescent="0.3">
      <c r="A66" t="str">
        <f>Pop[[#This Row],[State]]&amp;" "&amp;Pop[[#This Row],[County]]</f>
        <v>AL Henry</v>
      </c>
      <c r="B66" t="s">
        <v>207</v>
      </c>
      <c r="C66" s="30" t="s">
        <v>329</v>
      </c>
      <c r="D66" s="14">
        <v>17146</v>
      </c>
    </row>
    <row r="67" spans="1:4" x14ac:dyDescent="0.3">
      <c r="A67" t="str">
        <f>Pop[[#This Row],[State]]&amp;" "&amp;Pop[[#This Row],[County]]</f>
        <v>AL Houston</v>
      </c>
      <c r="B67" t="s">
        <v>207</v>
      </c>
      <c r="C67" s="30" t="s">
        <v>330</v>
      </c>
      <c r="D67" s="14">
        <v>107202</v>
      </c>
    </row>
    <row r="68" spans="1:4" x14ac:dyDescent="0.3">
      <c r="A68" t="str">
        <f>Pop[[#This Row],[State]]&amp;" "&amp;Pop[[#This Row],[County]]</f>
        <v>AL Jackson</v>
      </c>
      <c r="B68" t="s">
        <v>207</v>
      </c>
      <c r="C68" s="30" t="s">
        <v>46</v>
      </c>
      <c r="D68" s="14">
        <v>52579</v>
      </c>
    </row>
    <row r="69" spans="1:4" x14ac:dyDescent="0.3">
      <c r="A69" t="str">
        <f>Pop[[#This Row],[State]]&amp;" "&amp;Pop[[#This Row],[County]]</f>
        <v>AL Jefferson</v>
      </c>
      <c r="B69" t="s">
        <v>207</v>
      </c>
      <c r="C69" s="30" t="s">
        <v>47</v>
      </c>
      <c r="D69" s="1">
        <v>674721</v>
      </c>
    </row>
    <row r="70" spans="1:4" x14ac:dyDescent="0.3">
      <c r="A70" t="str">
        <f>Pop[[#This Row],[State]]&amp;" "&amp;Pop[[#This Row],[County]]</f>
        <v>AL Lamar</v>
      </c>
      <c r="B70" t="s">
        <v>207</v>
      </c>
      <c r="C70" s="30" t="s">
        <v>331</v>
      </c>
      <c r="D70" s="14">
        <v>13972</v>
      </c>
    </row>
    <row r="71" spans="1:4" x14ac:dyDescent="0.3">
      <c r="A71" t="str">
        <f>Pop[[#This Row],[State]]&amp;" "&amp;Pop[[#This Row],[County]]</f>
        <v>AL Lauderdale</v>
      </c>
      <c r="B71" t="s">
        <v>207</v>
      </c>
      <c r="C71" s="30" t="s">
        <v>332</v>
      </c>
      <c r="D71" s="14">
        <v>93564</v>
      </c>
    </row>
    <row r="72" spans="1:4" x14ac:dyDescent="0.3">
      <c r="A72" t="str">
        <f>Pop[[#This Row],[State]]&amp;" "&amp;Pop[[#This Row],[County]]</f>
        <v>AL Lawrence</v>
      </c>
      <c r="B72" t="s">
        <v>207</v>
      </c>
      <c r="C72" s="30" t="s">
        <v>48</v>
      </c>
      <c r="D72" s="14">
        <v>33073</v>
      </c>
    </row>
    <row r="73" spans="1:4" x14ac:dyDescent="0.3">
      <c r="A73" t="str">
        <f>Pop[[#This Row],[State]]&amp;" "&amp;Pop[[#This Row],[County]]</f>
        <v>AL Lee</v>
      </c>
      <c r="B73" t="s">
        <v>207</v>
      </c>
      <c r="C73" s="30" t="s">
        <v>333</v>
      </c>
      <c r="D73" s="1">
        <v>174241</v>
      </c>
    </row>
    <row r="74" spans="1:4" x14ac:dyDescent="0.3">
      <c r="A74" t="str">
        <f>Pop[[#This Row],[State]]&amp;" "&amp;Pop[[#This Row],[County]]</f>
        <v>AL Limestone</v>
      </c>
      <c r="B74" t="s">
        <v>207</v>
      </c>
      <c r="C74" s="30" t="s">
        <v>334</v>
      </c>
      <c r="D74" s="14">
        <v>103570</v>
      </c>
    </row>
    <row r="75" spans="1:4" x14ac:dyDescent="0.3">
      <c r="A75" t="str">
        <f>Pop[[#This Row],[State]]&amp;" "&amp;Pop[[#This Row],[County]]</f>
        <v>AL Lowndes</v>
      </c>
      <c r="B75" t="s">
        <v>207</v>
      </c>
      <c r="C75" s="30" t="s">
        <v>335</v>
      </c>
      <c r="D75" s="14">
        <v>10311</v>
      </c>
    </row>
    <row r="76" spans="1:4" x14ac:dyDescent="0.3">
      <c r="A76" t="str">
        <f>Pop[[#This Row],[State]]&amp;" "&amp;Pop[[#This Row],[County]]</f>
        <v>AL Macon</v>
      </c>
      <c r="B76" t="s">
        <v>207</v>
      </c>
      <c r="C76" s="30" t="s">
        <v>336</v>
      </c>
      <c r="D76" s="14">
        <v>19532</v>
      </c>
    </row>
    <row r="77" spans="1:4" x14ac:dyDescent="0.3">
      <c r="A77" t="str">
        <f>Pop[[#This Row],[State]]&amp;" "&amp;Pop[[#This Row],[County]]</f>
        <v>AL Madison</v>
      </c>
      <c r="B77" t="s">
        <v>207</v>
      </c>
      <c r="C77" s="30" t="s">
        <v>49</v>
      </c>
      <c r="D77" s="14">
        <v>388153</v>
      </c>
    </row>
    <row r="78" spans="1:4" x14ac:dyDescent="0.3">
      <c r="A78" t="str">
        <f>Pop[[#This Row],[State]]&amp;" "&amp;Pop[[#This Row],[County]]</f>
        <v>AL Marengo</v>
      </c>
      <c r="B78" t="s">
        <v>207</v>
      </c>
      <c r="C78" s="30" t="s">
        <v>337</v>
      </c>
      <c r="D78" s="14">
        <v>19323</v>
      </c>
    </row>
    <row r="79" spans="1:4" x14ac:dyDescent="0.3">
      <c r="A79" t="str">
        <f>Pop[[#This Row],[State]]&amp;" "&amp;Pop[[#This Row],[County]]</f>
        <v>AL Marion</v>
      </c>
      <c r="B79" t="s">
        <v>207</v>
      </c>
      <c r="C79" s="30" t="s">
        <v>50</v>
      </c>
      <c r="D79" s="14">
        <v>29341</v>
      </c>
    </row>
    <row r="80" spans="1:4" x14ac:dyDescent="0.3">
      <c r="A80" t="str">
        <f>Pop[[#This Row],[State]]&amp;" "&amp;Pop[[#This Row],[County]]</f>
        <v>AL Marshall</v>
      </c>
      <c r="B80" t="s">
        <v>207</v>
      </c>
      <c r="C80" s="30" t="s">
        <v>51</v>
      </c>
      <c r="D80" s="14">
        <v>97612</v>
      </c>
    </row>
    <row r="81" spans="1:4" x14ac:dyDescent="0.3">
      <c r="A81" t="str">
        <f>Pop[[#This Row],[State]]&amp;" "&amp;Pop[[#This Row],[County]]</f>
        <v>AL Mobile</v>
      </c>
      <c r="B81" t="s">
        <v>207</v>
      </c>
      <c r="C81" s="30" t="s">
        <v>338</v>
      </c>
      <c r="D81" s="1">
        <v>414809</v>
      </c>
    </row>
    <row r="82" spans="1:4" x14ac:dyDescent="0.3">
      <c r="A82" t="str">
        <f>Pop[[#This Row],[State]]&amp;" "&amp;Pop[[#This Row],[County]]</f>
        <v>AL Monroe</v>
      </c>
      <c r="B82" t="s">
        <v>207</v>
      </c>
      <c r="C82" s="30" t="s">
        <v>339</v>
      </c>
      <c r="D82" s="14">
        <v>19772</v>
      </c>
    </row>
    <row r="83" spans="1:4" x14ac:dyDescent="0.3">
      <c r="A83" t="str">
        <f>Pop[[#This Row],[State]]&amp;" "&amp;Pop[[#This Row],[County]]</f>
        <v>AL Montgomery</v>
      </c>
      <c r="B83" t="s">
        <v>207</v>
      </c>
      <c r="C83" s="30" t="s">
        <v>53</v>
      </c>
      <c r="D83" s="14">
        <v>228954</v>
      </c>
    </row>
    <row r="84" spans="1:4" x14ac:dyDescent="0.3">
      <c r="A84" t="str">
        <f>Pop[[#This Row],[State]]&amp;" "&amp;Pop[[#This Row],[County]]</f>
        <v>AL Morgan</v>
      </c>
      <c r="B84" t="s">
        <v>207</v>
      </c>
      <c r="C84" s="30" t="s">
        <v>54</v>
      </c>
      <c r="D84" s="14">
        <v>123421</v>
      </c>
    </row>
    <row r="85" spans="1:4" x14ac:dyDescent="0.3">
      <c r="A85" t="str">
        <f>Pop[[#This Row],[State]]&amp;" "&amp;Pop[[#This Row],[County]]</f>
        <v>AL Perry</v>
      </c>
      <c r="B85" t="s">
        <v>207</v>
      </c>
      <c r="C85" s="30" t="s">
        <v>58</v>
      </c>
      <c r="D85" s="14">
        <v>8511</v>
      </c>
    </row>
    <row r="86" spans="1:4" x14ac:dyDescent="0.3">
      <c r="A86" t="str">
        <f>Pop[[#This Row],[State]]&amp;" "&amp;Pop[[#This Row],[County]]</f>
        <v>AL Pickens</v>
      </c>
      <c r="B86" t="s">
        <v>207</v>
      </c>
      <c r="C86" s="30" t="s">
        <v>340</v>
      </c>
      <c r="D86" s="14">
        <v>19123</v>
      </c>
    </row>
    <row r="87" spans="1:4" x14ac:dyDescent="0.3">
      <c r="A87" t="str">
        <f>Pop[[#This Row],[State]]&amp;" "&amp;Pop[[#This Row],[County]]</f>
        <v>AL Pike</v>
      </c>
      <c r="B87" t="s">
        <v>207</v>
      </c>
      <c r="C87" s="30" t="s">
        <v>341</v>
      </c>
      <c r="D87" s="14">
        <v>33009</v>
      </c>
    </row>
    <row r="88" spans="1:4" x14ac:dyDescent="0.3">
      <c r="A88" t="str">
        <f>Pop[[#This Row],[State]]&amp;" "&amp;Pop[[#This Row],[County]]</f>
        <v>AL Randolph</v>
      </c>
      <c r="B88" t="s">
        <v>207</v>
      </c>
      <c r="C88" s="30" t="s">
        <v>342</v>
      </c>
      <c r="D88" s="14">
        <v>21967</v>
      </c>
    </row>
    <row r="89" spans="1:4" x14ac:dyDescent="0.3">
      <c r="A89" t="str">
        <f>Pop[[#This Row],[State]]&amp;" "&amp;Pop[[#This Row],[County]]</f>
        <v>AL Russell</v>
      </c>
      <c r="B89" t="s">
        <v>207</v>
      </c>
      <c r="C89" s="30" t="s">
        <v>343</v>
      </c>
      <c r="D89" s="14">
        <v>59183</v>
      </c>
    </row>
    <row r="90" spans="1:4" x14ac:dyDescent="0.3">
      <c r="A90" t="str">
        <f>Pop[[#This Row],[State]]&amp;" "&amp;Pop[[#This Row],[County]]</f>
        <v>AL Shelby</v>
      </c>
      <c r="B90" t="s">
        <v>207</v>
      </c>
      <c r="C90" s="30" t="s">
        <v>59</v>
      </c>
      <c r="D90" s="14">
        <v>223024</v>
      </c>
    </row>
    <row r="91" spans="1:4" x14ac:dyDescent="0.3">
      <c r="A91" t="str">
        <f>Pop[[#This Row],[State]]&amp;" "&amp;Pop[[#This Row],[County]]</f>
        <v>AL St. Clair</v>
      </c>
      <c r="B91" t="s">
        <v>207</v>
      </c>
      <c r="C91" s="30" t="s">
        <v>344</v>
      </c>
      <c r="D91" s="14">
        <v>91103</v>
      </c>
    </row>
    <row r="92" spans="1:4" x14ac:dyDescent="0.3">
      <c r="A92" t="str">
        <f>Pop[[#This Row],[State]]&amp;" "&amp;Pop[[#This Row],[County]]</f>
        <v>AL Sumter</v>
      </c>
      <c r="B92" t="s">
        <v>207</v>
      </c>
      <c r="C92" s="30" t="s">
        <v>345</v>
      </c>
      <c r="D92" s="14">
        <v>12345</v>
      </c>
    </row>
    <row r="93" spans="1:4" x14ac:dyDescent="0.3">
      <c r="A93" t="str">
        <f>Pop[[#This Row],[State]]&amp;" "&amp;Pop[[#This Row],[County]]</f>
        <v>AL Talladega</v>
      </c>
      <c r="B93" t="s">
        <v>207</v>
      </c>
      <c r="C93" s="30" t="s">
        <v>346</v>
      </c>
      <c r="D93" s="14">
        <v>82149</v>
      </c>
    </row>
    <row r="94" spans="1:4" x14ac:dyDescent="0.3">
      <c r="A94" t="str">
        <f>Pop[[#This Row],[State]]&amp;" "&amp;Pop[[#This Row],[County]]</f>
        <v>AL Tallapoosa</v>
      </c>
      <c r="B94" t="s">
        <v>207</v>
      </c>
      <c r="C94" s="30" t="s">
        <v>347</v>
      </c>
      <c r="D94" s="14">
        <v>41311</v>
      </c>
    </row>
    <row r="95" spans="1:4" x14ac:dyDescent="0.3">
      <c r="A95" t="str">
        <f>Pop[[#This Row],[State]]&amp;" "&amp;Pop[[#This Row],[County]]</f>
        <v>AL Tuscaloosa</v>
      </c>
      <c r="B95" t="s">
        <v>207</v>
      </c>
      <c r="C95" s="30" t="s">
        <v>348</v>
      </c>
      <c r="D95" s="14">
        <v>227036</v>
      </c>
    </row>
    <row r="96" spans="1:4" x14ac:dyDescent="0.3">
      <c r="A96" t="str">
        <f>Pop[[#This Row],[State]]&amp;" "&amp;Pop[[#This Row],[County]]</f>
        <v>AL Walker</v>
      </c>
      <c r="B96" t="s">
        <v>207</v>
      </c>
      <c r="C96" s="30" t="s">
        <v>349</v>
      </c>
      <c r="D96" s="14">
        <v>65342</v>
      </c>
    </row>
    <row r="97" spans="1:4" x14ac:dyDescent="0.3">
      <c r="A97" t="str">
        <f>Pop[[#This Row],[State]]&amp;" "&amp;Pop[[#This Row],[County]]</f>
        <v>AL Washington</v>
      </c>
      <c r="B97" t="s">
        <v>207</v>
      </c>
      <c r="C97" s="30" t="s">
        <v>65</v>
      </c>
      <c r="D97" s="14">
        <v>15388</v>
      </c>
    </row>
    <row r="98" spans="1:4" x14ac:dyDescent="0.3">
      <c r="A98" t="str">
        <f>Pop[[#This Row],[State]]&amp;" "&amp;Pop[[#This Row],[County]]</f>
        <v>AL Wilcox</v>
      </c>
      <c r="B98" t="s">
        <v>207</v>
      </c>
      <c r="C98" s="30" t="s">
        <v>350</v>
      </c>
      <c r="D98" s="14">
        <v>10600</v>
      </c>
    </row>
    <row r="99" spans="1:4" x14ac:dyDescent="0.3">
      <c r="A99" t="str">
        <f>Pop[[#This Row],[State]]&amp;" "&amp;Pop[[#This Row],[County]]</f>
        <v>AL Winston</v>
      </c>
      <c r="B99" t="s">
        <v>207</v>
      </c>
      <c r="C99" s="30" t="s">
        <v>351</v>
      </c>
      <c r="D99" s="14">
        <v>23540</v>
      </c>
    </row>
    <row r="100" spans="1:4" x14ac:dyDescent="0.3">
      <c r="A100" s="1" t="str">
        <f>Pop[[#This Row],[State]]&amp;" "&amp;Pop[[#This Row],[County]]</f>
        <v>AL State Agencies</v>
      </c>
      <c r="B100" t="s">
        <v>207</v>
      </c>
      <c r="C100" s="30" t="s">
        <v>243</v>
      </c>
      <c r="D100" s="16" t="s">
        <v>244</v>
      </c>
    </row>
    <row r="101" spans="1:4" x14ac:dyDescent="0.3">
      <c r="A101" s="1" t="str">
        <f>Pop[[#This Row],[State]]&amp;" "&amp;Pop[[#This Row],[County]]</f>
        <v>AL Grand Total</v>
      </c>
      <c r="B101" t="s">
        <v>207</v>
      </c>
      <c r="C101" s="30" t="s">
        <v>67</v>
      </c>
      <c r="D101" s="16">
        <v>5024279</v>
      </c>
    </row>
    <row r="102" spans="1:4" x14ac:dyDescent="0.3">
      <c r="A102" t="str">
        <f>Pop[[#This Row],[State]]&amp;" "&amp;Pop[[#This Row],[County]]</f>
        <v>AR Arkansas</v>
      </c>
      <c r="B102" t="s">
        <v>247</v>
      </c>
      <c r="C102" s="30" t="s">
        <v>248</v>
      </c>
      <c r="D102" s="14">
        <v>19019</v>
      </c>
    </row>
    <row r="103" spans="1:4" x14ac:dyDescent="0.3">
      <c r="A103" t="str">
        <f>Pop[[#This Row],[State]]&amp;" "&amp;Pop[[#This Row],[County]]</f>
        <v>AR Ashley</v>
      </c>
      <c r="B103" t="s">
        <v>247</v>
      </c>
      <c r="C103" s="30" t="s">
        <v>352</v>
      </c>
      <c r="D103" s="14">
        <v>21853</v>
      </c>
    </row>
    <row r="104" spans="1:4" x14ac:dyDescent="0.3">
      <c r="A104" t="str">
        <f>Pop[[#This Row],[State]]&amp;" "&amp;Pop[[#This Row],[County]]</f>
        <v>AR Baxter</v>
      </c>
      <c r="B104" t="s">
        <v>247</v>
      </c>
      <c r="C104" s="30" t="s">
        <v>353</v>
      </c>
      <c r="D104" s="14">
        <v>41513</v>
      </c>
    </row>
    <row r="105" spans="1:4" x14ac:dyDescent="0.3">
      <c r="A105" t="str">
        <f>Pop[[#This Row],[State]]&amp;" "&amp;Pop[[#This Row],[County]]</f>
        <v>AR Benton</v>
      </c>
      <c r="B105" t="s">
        <v>247</v>
      </c>
      <c r="C105" s="30" t="s">
        <v>354</v>
      </c>
      <c r="D105" s="14">
        <v>221339</v>
      </c>
    </row>
    <row r="106" spans="1:4" x14ac:dyDescent="0.3">
      <c r="A106" t="str">
        <f>Pop[[#This Row],[State]]&amp;" "&amp;Pop[[#This Row],[County]]</f>
        <v>AR Boone</v>
      </c>
      <c r="B106" t="s">
        <v>247</v>
      </c>
      <c r="C106" s="30" t="s">
        <v>355</v>
      </c>
      <c r="D106" s="14">
        <v>36903</v>
      </c>
    </row>
    <row r="107" spans="1:4" x14ac:dyDescent="0.3">
      <c r="A107" t="str">
        <f>Pop[[#This Row],[State]]&amp;" "&amp;Pop[[#This Row],[County]]</f>
        <v>AR Bradley</v>
      </c>
      <c r="B107" t="s">
        <v>247</v>
      </c>
      <c r="C107" s="30" t="s">
        <v>356</v>
      </c>
      <c r="D107" s="14">
        <v>11508</v>
      </c>
    </row>
    <row r="108" spans="1:4" x14ac:dyDescent="0.3">
      <c r="A108" t="str">
        <f>Pop[[#This Row],[State]]&amp;" "&amp;Pop[[#This Row],[County]]</f>
        <v>AR Calhoun</v>
      </c>
      <c r="B108" t="s">
        <v>247</v>
      </c>
      <c r="C108" s="30" t="s">
        <v>270</v>
      </c>
      <c r="D108" s="14">
        <v>5368</v>
      </c>
    </row>
    <row r="109" spans="1:4" x14ac:dyDescent="0.3">
      <c r="A109" t="str">
        <f>Pop[[#This Row],[State]]&amp;" "&amp;Pop[[#This Row],[County]]</f>
        <v>AR Carroll</v>
      </c>
      <c r="B109" t="s">
        <v>247</v>
      </c>
      <c r="C109" s="30" t="s">
        <v>357</v>
      </c>
      <c r="D109" s="14">
        <v>27446</v>
      </c>
    </row>
    <row r="110" spans="1:4" x14ac:dyDescent="0.3">
      <c r="A110" t="str">
        <f>Pop[[#This Row],[State]]&amp;" "&amp;Pop[[#This Row],[County]]</f>
        <v>AR Chicot</v>
      </c>
      <c r="B110" t="s">
        <v>247</v>
      </c>
      <c r="C110" s="30" t="s">
        <v>358</v>
      </c>
      <c r="D110" s="14">
        <v>11800</v>
      </c>
    </row>
    <row r="111" spans="1:4" x14ac:dyDescent="0.3">
      <c r="A111" t="str">
        <f>Pop[[#This Row],[State]]&amp;" "&amp;Pop[[#This Row],[County]]</f>
        <v>AR Clark</v>
      </c>
      <c r="B111" t="s">
        <v>247</v>
      </c>
      <c r="C111" s="30" t="s">
        <v>38</v>
      </c>
      <c r="D111" s="14">
        <v>22995</v>
      </c>
    </row>
    <row r="112" spans="1:4" x14ac:dyDescent="0.3">
      <c r="A112" t="str">
        <f>Pop[[#This Row],[State]]&amp;" "&amp;Pop[[#This Row],[County]]</f>
        <v>AR Clay</v>
      </c>
      <c r="B112" t="s">
        <v>247</v>
      </c>
      <c r="C112" s="30" t="s">
        <v>39</v>
      </c>
      <c r="D112" s="14">
        <v>16083</v>
      </c>
    </row>
    <row r="113" spans="1:4" x14ac:dyDescent="0.3">
      <c r="A113" t="str">
        <f>Pop[[#This Row],[State]]&amp;" "&amp;Pop[[#This Row],[County]]</f>
        <v>AR Cleburne</v>
      </c>
      <c r="B113" t="s">
        <v>247</v>
      </c>
      <c r="C113" s="30" t="s">
        <v>290</v>
      </c>
      <c r="D113" s="14">
        <v>25970</v>
      </c>
    </row>
    <row r="114" spans="1:4" x14ac:dyDescent="0.3">
      <c r="A114" t="str">
        <f>Pop[[#This Row],[State]]&amp;" "&amp;Pop[[#This Row],[County]]</f>
        <v>AR Cleveland</v>
      </c>
      <c r="B114" t="s">
        <v>247</v>
      </c>
      <c r="C114" s="30" t="s">
        <v>359</v>
      </c>
      <c r="D114" s="14">
        <v>8689</v>
      </c>
    </row>
    <row r="115" spans="1:4" x14ac:dyDescent="0.3">
      <c r="A115" t="str">
        <f>Pop[[#This Row],[State]]&amp;" "&amp;Pop[[#This Row],[County]]</f>
        <v>AR Columbia</v>
      </c>
      <c r="B115" t="s">
        <v>247</v>
      </c>
      <c r="C115" s="30" t="s">
        <v>360</v>
      </c>
      <c r="D115" s="14">
        <v>24552</v>
      </c>
    </row>
    <row r="116" spans="1:4" x14ac:dyDescent="0.3">
      <c r="A116" t="str">
        <f>Pop[[#This Row],[State]]&amp;" "&amp;Pop[[#This Row],[County]]</f>
        <v>AR Conway</v>
      </c>
      <c r="B116" t="s">
        <v>247</v>
      </c>
      <c r="C116" s="30" t="s">
        <v>361</v>
      </c>
      <c r="D116" s="14">
        <v>21273</v>
      </c>
    </row>
    <row r="117" spans="1:4" x14ac:dyDescent="0.3">
      <c r="A117" t="str">
        <f>Pop[[#This Row],[State]]&amp;" "&amp;Pop[[#This Row],[County]]</f>
        <v>AR Craighead</v>
      </c>
      <c r="B117" t="s">
        <v>247</v>
      </c>
      <c r="C117" s="30" t="s">
        <v>362</v>
      </c>
      <c r="D117" s="14">
        <v>96443</v>
      </c>
    </row>
    <row r="118" spans="1:4" x14ac:dyDescent="0.3">
      <c r="A118" t="str">
        <f>Pop[[#This Row],[State]]&amp;" "&amp;Pop[[#This Row],[County]]</f>
        <v>AR Crawford</v>
      </c>
      <c r="B118" t="s">
        <v>247</v>
      </c>
      <c r="C118" s="30" t="s">
        <v>40</v>
      </c>
      <c r="D118" s="14">
        <v>61948</v>
      </c>
    </row>
    <row r="119" spans="1:4" x14ac:dyDescent="0.3">
      <c r="A119" t="str">
        <f>Pop[[#This Row],[State]]&amp;" "&amp;Pop[[#This Row],[County]]</f>
        <v>AR Crittenden</v>
      </c>
      <c r="B119" t="s">
        <v>247</v>
      </c>
      <c r="C119" s="30" t="s">
        <v>363</v>
      </c>
      <c r="D119" s="14">
        <v>50902</v>
      </c>
    </row>
    <row r="120" spans="1:4" x14ac:dyDescent="0.3">
      <c r="A120" t="str">
        <f>Pop[[#This Row],[State]]&amp;" "&amp;Pop[[#This Row],[County]]</f>
        <v>AR Cross</v>
      </c>
      <c r="B120" t="s">
        <v>247</v>
      </c>
      <c r="C120" s="30" t="s">
        <v>364</v>
      </c>
      <c r="D120" s="14">
        <v>17870</v>
      </c>
    </row>
    <row r="121" spans="1:4" x14ac:dyDescent="0.3">
      <c r="A121" t="str">
        <f>Pop[[#This Row],[State]]&amp;" "&amp;Pop[[#This Row],[County]]</f>
        <v>AR Dallas</v>
      </c>
      <c r="B121" t="s">
        <v>247</v>
      </c>
      <c r="C121" s="30" t="s">
        <v>316</v>
      </c>
      <c r="D121" s="14">
        <v>8116</v>
      </c>
    </row>
    <row r="122" spans="1:4" x14ac:dyDescent="0.3">
      <c r="A122" t="str">
        <f>Pop[[#This Row],[State]]&amp;" "&amp;Pop[[#This Row],[County]]</f>
        <v>AR Desha</v>
      </c>
      <c r="B122" t="s">
        <v>247</v>
      </c>
      <c r="C122" s="30" t="s">
        <v>365</v>
      </c>
      <c r="D122" s="14">
        <v>13008</v>
      </c>
    </row>
    <row r="123" spans="1:4" x14ac:dyDescent="0.3">
      <c r="A123" t="str">
        <f>Pop[[#This Row],[State]]&amp;" "&amp;Pop[[#This Row],[County]]</f>
        <v>AR Drew</v>
      </c>
      <c r="B123" t="s">
        <v>247</v>
      </c>
      <c r="C123" s="30" t="s">
        <v>366</v>
      </c>
      <c r="D123" s="14">
        <v>18509</v>
      </c>
    </row>
    <row r="124" spans="1:4" x14ac:dyDescent="0.3">
      <c r="A124" t="str">
        <f>Pop[[#This Row],[State]]&amp;" "&amp;Pop[[#This Row],[County]]</f>
        <v>AR Faulkner</v>
      </c>
      <c r="B124" t="s">
        <v>247</v>
      </c>
      <c r="C124" s="30" t="s">
        <v>367</v>
      </c>
      <c r="D124" s="14">
        <v>113237</v>
      </c>
    </row>
    <row r="125" spans="1:4" x14ac:dyDescent="0.3">
      <c r="A125" t="str">
        <f>Pop[[#This Row],[State]]&amp;" "&amp;Pop[[#This Row],[County]]</f>
        <v>AR Franklin</v>
      </c>
      <c r="B125" t="s">
        <v>247</v>
      </c>
      <c r="C125" s="30" t="s">
        <v>43</v>
      </c>
      <c r="D125" s="14">
        <v>18125</v>
      </c>
    </row>
    <row r="126" spans="1:4" x14ac:dyDescent="0.3">
      <c r="A126" t="str">
        <f>Pop[[#This Row],[State]]&amp;" "&amp;Pop[[#This Row],[County]]</f>
        <v>AR Fulton</v>
      </c>
      <c r="B126" t="s">
        <v>247</v>
      </c>
      <c r="C126" s="30" t="s">
        <v>368</v>
      </c>
      <c r="D126" s="14">
        <v>12245</v>
      </c>
    </row>
    <row r="127" spans="1:4" x14ac:dyDescent="0.3">
      <c r="A127" s="1" t="str">
        <f>Pop[[#This Row],[State]]&amp;" "&amp;Pop[[#This Row],[County]]</f>
        <v>AR Garland</v>
      </c>
      <c r="B127" t="s">
        <v>247</v>
      </c>
      <c r="C127" s="30" t="s">
        <v>369</v>
      </c>
      <c r="D127" s="16">
        <v>96024</v>
      </c>
    </row>
    <row r="128" spans="1:4" x14ac:dyDescent="0.3">
      <c r="A128" t="str">
        <f>Pop[[#This Row],[State]]&amp;" "&amp;Pop[[#This Row],[County]]</f>
        <v>AR Grant</v>
      </c>
      <c r="B128" t="s">
        <v>247</v>
      </c>
      <c r="C128" s="31" t="s">
        <v>370</v>
      </c>
      <c r="D128" s="14">
        <v>17853</v>
      </c>
    </row>
    <row r="129" spans="1:4" x14ac:dyDescent="0.3">
      <c r="A129" t="str">
        <f>Pop[[#This Row],[State]]&amp;" "&amp;Pop[[#This Row],[County]]</f>
        <v>AR Greene</v>
      </c>
      <c r="B129" t="s">
        <v>247</v>
      </c>
      <c r="C129" s="30" t="s">
        <v>44</v>
      </c>
      <c r="D129" s="14">
        <v>42090</v>
      </c>
    </row>
    <row r="130" spans="1:4" x14ac:dyDescent="0.3">
      <c r="A130" t="str">
        <f>Pop[[#This Row],[State]]&amp;" "&amp;Pop[[#This Row],[County]]</f>
        <v>AR Hempstead</v>
      </c>
      <c r="B130" t="s">
        <v>247</v>
      </c>
      <c r="C130" s="30" t="s">
        <v>371</v>
      </c>
      <c r="D130" s="14">
        <v>22609</v>
      </c>
    </row>
    <row r="131" spans="1:4" x14ac:dyDescent="0.3">
      <c r="A131" t="str">
        <f>Pop[[#This Row],[State]]&amp;" "&amp;Pop[[#This Row],[County]]</f>
        <v>AR Hot Spring</v>
      </c>
      <c r="B131" t="s">
        <v>247</v>
      </c>
      <c r="C131" s="30" t="s">
        <v>372</v>
      </c>
      <c r="D131" s="14">
        <v>32923</v>
      </c>
    </row>
    <row r="132" spans="1:4" x14ac:dyDescent="0.3">
      <c r="A132" t="str">
        <f>Pop[[#This Row],[State]]&amp;" "&amp;Pop[[#This Row],[County]]</f>
        <v>AR Howard</v>
      </c>
      <c r="B132" t="s">
        <v>247</v>
      </c>
      <c r="C132" s="30" t="s">
        <v>373</v>
      </c>
      <c r="D132" s="14">
        <v>13789</v>
      </c>
    </row>
    <row r="133" spans="1:4" x14ac:dyDescent="0.3">
      <c r="A133" t="str">
        <f>Pop[[#This Row],[State]]&amp;" "&amp;Pop[[#This Row],[County]]</f>
        <v>AR Independence</v>
      </c>
      <c r="B133" t="s">
        <v>247</v>
      </c>
      <c r="C133" s="30" t="s">
        <v>374</v>
      </c>
      <c r="D133" s="14">
        <v>36647</v>
      </c>
    </row>
    <row r="134" spans="1:4" x14ac:dyDescent="0.3">
      <c r="A134" t="str">
        <f>Pop[[#This Row],[State]]&amp;" "&amp;Pop[[#This Row],[County]]</f>
        <v>AR Izard</v>
      </c>
      <c r="B134" t="s">
        <v>247</v>
      </c>
      <c r="C134" s="30" t="s">
        <v>375</v>
      </c>
      <c r="D134" s="14">
        <v>13696</v>
      </c>
    </row>
    <row r="135" spans="1:4" x14ac:dyDescent="0.3">
      <c r="A135" t="str">
        <f>Pop[[#This Row],[State]]&amp;" "&amp;Pop[[#This Row],[County]]</f>
        <v>AR Jackson</v>
      </c>
      <c r="B135" t="s">
        <v>247</v>
      </c>
      <c r="C135" s="30" t="s">
        <v>46</v>
      </c>
      <c r="D135" s="14">
        <v>17997</v>
      </c>
    </row>
    <row r="136" spans="1:4" x14ac:dyDescent="0.3">
      <c r="A136" t="str">
        <f>Pop[[#This Row],[State]]&amp;" "&amp;Pop[[#This Row],[County]]</f>
        <v>AR Jefferson</v>
      </c>
      <c r="B136" t="s">
        <v>247</v>
      </c>
      <c r="C136" s="30" t="s">
        <v>47</v>
      </c>
      <c r="D136" s="14">
        <v>77435</v>
      </c>
    </row>
    <row r="137" spans="1:4" x14ac:dyDescent="0.3">
      <c r="A137" t="str">
        <f>Pop[[#This Row],[State]]&amp;" "&amp;Pop[[#This Row],[County]]</f>
        <v>AR Johnson</v>
      </c>
      <c r="B137" t="s">
        <v>247</v>
      </c>
      <c r="C137" s="30" t="s">
        <v>376</v>
      </c>
      <c r="D137" s="14">
        <v>25540</v>
      </c>
    </row>
    <row r="138" spans="1:4" x14ac:dyDescent="0.3">
      <c r="A138" t="str">
        <f>Pop[[#This Row],[State]]&amp;" "&amp;Pop[[#This Row],[County]]</f>
        <v>AR Lafayette</v>
      </c>
      <c r="B138" t="s">
        <v>247</v>
      </c>
      <c r="C138" s="30" t="s">
        <v>377</v>
      </c>
      <c r="D138" s="14">
        <v>7645</v>
      </c>
    </row>
    <row r="139" spans="1:4" x14ac:dyDescent="0.3">
      <c r="A139" t="str">
        <f>Pop[[#This Row],[State]]&amp;" "&amp;Pop[[#This Row],[County]]</f>
        <v>AR Lawrence</v>
      </c>
      <c r="B139" t="s">
        <v>247</v>
      </c>
      <c r="C139" s="30" t="s">
        <v>48</v>
      </c>
      <c r="D139" s="14">
        <v>17415</v>
      </c>
    </row>
    <row r="140" spans="1:4" x14ac:dyDescent="0.3">
      <c r="A140" t="str">
        <f>Pop[[#This Row],[State]]&amp;" "&amp;Pop[[#This Row],[County]]</f>
        <v>AR Lee</v>
      </c>
      <c r="B140" t="s">
        <v>247</v>
      </c>
      <c r="C140" s="30" t="s">
        <v>333</v>
      </c>
      <c r="D140" s="14">
        <v>10424</v>
      </c>
    </row>
    <row r="141" spans="1:4" x14ac:dyDescent="0.3">
      <c r="A141" t="str">
        <f>Pop[[#This Row],[State]]&amp;" "&amp;Pop[[#This Row],[County]]</f>
        <v>AR Lincoln</v>
      </c>
      <c r="B141" t="s">
        <v>247</v>
      </c>
      <c r="C141" s="30" t="s">
        <v>378</v>
      </c>
      <c r="D141" s="14">
        <v>14134</v>
      </c>
    </row>
    <row r="142" spans="1:4" x14ac:dyDescent="0.3">
      <c r="A142" t="str">
        <f>Pop[[#This Row],[State]]&amp;" "&amp;Pop[[#This Row],[County]]</f>
        <v>AR Little River</v>
      </c>
      <c r="B142" t="s">
        <v>247</v>
      </c>
      <c r="C142" s="30" t="s">
        <v>379</v>
      </c>
      <c r="D142" s="14">
        <v>13171</v>
      </c>
    </row>
    <row r="143" spans="1:4" x14ac:dyDescent="0.3">
      <c r="A143" t="str">
        <f>Pop[[#This Row],[State]]&amp;" "&amp;Pop[[#This Row],[County]]</f>
        <v>AR Logan</v>
      </c>
      <c r="B143" t="s">
        <v>247</v>
      </c>
      <c r="C143" s="30" t="s">
        <v>380</v>
      </c>
      <c r="D143" s="14">
        <v>22353</v>
      </c>
    </row>
    <row r="144" spans="1:4" x14ac:dyDescent="0.3">
      <c r="A144" t="str">
        <f>Pop[[#This Row],[State]]&amp;" "&amp;Pop[[#This Row],[County]]</f>
        <v>AR Lonoke</v>
      </c>
      <c r="B144" t="s">
        <v>247</v>
      </c>
      <c r="C144" s="30" t="s">
        <v>381</v>
      </c>
      <c r="D144" s="14">
        <v>68356</v>
      </c>
    </row>
    <row r="145" spans="1:4" x14ac:dyDescent="0.3">
      <c r="A145" t="str">
        <f>Pop[[#This Row],[State]]&amp;" "&amp;Pop[[#This Row],[County]]</f>
        <v>AR Madison</v>
      </c>
      <c r="B145" t="s">
        <v>247</v>
      </c>
      <c r="C145" s="30" t="s">
        <v>49</v>
      </c>
      <c r="D145" s="14">
        <v>15717</v>
      </c>
    </row>
    <row r="146" spans="1:4" x14ac:dyDescent="0.3">
      <c r="A146" t="str">
        <f>Pop[[#This Row],[State]]&amp;" "&amp;Pop[[#This Row],[County]]</f>
        <v>AR Marion</v>
      </c>
      <c r="B146" t="s">
        <v>247</v>
      </c>
      <c r="C146" s="30" t="s">
        <v>50</v>
      </c>
      <c r="D146" s="14">
        <v>16653</v>
      </c>
    </row>
    <row r="147" spans="1:4" x14ac:dyDescent="0.3">
      <c r="A147" t="str">
        <f>Pop[[#This Row],[State]]&amp;" "&amp;Pop[[#This Row],[County]]</f>
        <v>AR Miller</v>
      </c>
      <c r="B147" t="s">
        <v>247</v>
      </c>
      <c r="C147" s="30" t="s">
        <v>382</v>
      </c>
      <c r="D147" s="14">
        <v>43462</v>
      </c>
    </row>
    <row r="148" spans="1:4" x14ac:dyDescent="0.3">
      <c r="A148" t="str">
        <f>Pop[[#This Row],[State]]&amp;" "&amp;Pop[[#This Row],[County]]</f>
        <v>AR Mississippi</v>
      </c>
      <c r="B148" t="s">
        <v>247</v>
      </c>
      <c r="C148" s="30" t="s">
        <v>220</v>
      </c>
      <c r="D148" s="14">
        <v>46480</v>
      </c>
    </row>
    <row r="149" spans="1:4" x14ac:dyDescent="0.3">
      <c r="A149" t="str">
        <f>Pop[[#This Row],[State]]&amp;" "&amp;Pop[[#This Row],[County]]</f>
        <v>AR Monroe</v>
      </c>
      <c r="B149" t="s">
        <v>247</v>
      </c>
      <c r="C149" s="30" t="s">
        <v>339</v>
      </c>
      <c r="D149" s="14">
        <v>8149</v>
      </c>
    </row>
    <row r="150" spans="1:4" x14ac:dyDescent="0.3">
      <c r="A150" t="str">
        <f>Pop[[#This Row],[State]]&amp;" "&amp;Pop[[#This Row],[County]]</f>
        <v>AR Montgomery</v>
      </c>
      <c r="B150" t="s">
        <v>247</v>
      </c>
      <c r="C150" s="30" t="s">
        <v>53</v>
      </c>
      <c r="D150" s="14">
        <v>9487</v>
      </c>
    </row>
    <row r="151" spans="1:4" x14ac:dyDescent="0.3">
      <c r="A151" t="str">
        <f>Pop[[#This Row],[State]]&amp;" "&amp;Pop[[#This Row],[County]]</f>
        <v>AR Nevada</v>
      </c>
      <c r="B151" t="s">
        <v>247</v>
      </c>
      <c r="C151" s="30" t="s">
        <v>310</v>
      </c>
      <c r="D151" s="14">
        <v>8997</v>
      </c>
    </row>
    <row r="152" spans="1:4" x14ac:dyDescent="0.3">
      <c r="A152" t="str">
        <f>Pop[[#This Row],[State]]&amp;" "&amp;Pop[[#This Row],[County]]</f>
        <v>AR Newton</v>
      </c>
      <c r="B152" t="s">
        <v>247</v>
      </c>
      <c r="C152" s="30" t="s">
        <v>383</v>
      </c>
      <c r="D152" s="14">
        <v>8330</v>
      </c>
    </row>
    <row r="153" spans="1:4" x14ac:dyDescent="0.3">
      <c r="A153" t="str">
        <f>Pop[[#This Row],[State]]&amp;" "&amp;Pop[[#This Row],[County]]</f>
        <v>AR Ouachita</v>
      </c>
      <c r="B153" t="s">
        <v>247</v>
      </c>
      <c r="C153" s="30" t="s">
        <v>384</v>
      </c>
      <c r="D153" s="1">
        <v>26120</v>
      </c>
    </row>
    <row r="154" spans="1:4" x14ac:dyDescent="0.3">
      <c r="A154" t="str">
        <f>Pop[[#This Row],[State]]&amp;" "&amp;Pop[[#This Row],[County]]</f>
        <v>AR Perry</v>
      </c>
      <c r="B154" t="s">
        <v>247</v>
      </c>
      <c r="C154" s="30" t="s">
        <v>58</v>
      </c>
      <c r="D154" s="14">
        <v>10445</v>
      </c>
    </row>
    <row r="155" spans="1:4" x14ac:dyDescent="0.3">
      <c r="A155" t="str">
        <f>Pop[[#This Row],[State]]&amp;" "&amp;Pop[[#This Row],[County]]</f>
        <v>AR Phillips</v>
      </c>
      <c r="B155" t="s">
        <v>247</v>
      </c>
      <c r="C155" s="30" t="s">
        <v>385</v>
      </c>
      <c r="D155" s="14">
        <v>21757</v>
      </c>
    </row>
    <row r="156" spans="1:4" x14ac:dyDescent="0.3">
      <c r="A156" t="str">
        <f>Pop[[#This Row],[State]]&amp;" "&amp;Pop[[#This Row],[County]]</f>
        <v>AR Pike</v>
      </c>
      <c r="B156" t="s">
        <v>247</v>
      </c>
      <c r="C156" s="30" t="s">
        <v>341</v>
      </c>
      <c r="D156" s="14">
        <v>11291</v>
      </c>
    </row>
    <row r="157" spans="1:4" x14ac:dyDescent="0.3">
      <c r="A157" t="str">
        <f>Pop[[#This Row],[State]]&amp;" "&amp;Pop[[#This Row],[County]]</f>
        <v>AR Poinsett</v>
      </c>
      <c r="B157" t="s">
        <v>247</v>
      </c>
      <c r="C157" s="30" t="s">
        <v>386</v>
      </c>
      <c r="D157" s="14">
        <v>24583</v>
      </c>
    </row>
    <row r="158" spans="1:4" x14ac:dyDescent="0.3">
      <c r="A158" t="str">
        <f>Pop[[#This Row],[State]]&amp;" "&amp;Pop[[#This Row],[County]]</f>
        <v>AR Polk</v>
      </c>
      <c r="B158" t="s">
        <v>247</v>
      </c>
      <c r="C158" s="30" t="s">
        <v>387</v>
      </c>
      <c r="D158" s="14">
        <v>20662</v>
      </c>
    </row>
    <row r="159" spans="1:4" x14ac:dyDescent="0.3">
      <c r="A159" t="str">
        <f>Pop[[#This Row],[State]]&amp;" "&amp;Pop[[#This Row],[County]]</f>
        <v>AR Pope</v>
      </c>
      <c r="B159" t="s">
        <v>247</v>
      </c>
      <c r="C159" s="30" t="s">
        <v>388</v>
      </c>
      <c r="D159" s="14">
        <v>61754</v>
      </c>
    </row>
    <row r="160" spans="1:4" x14ac:dyDescent="0.3">
      <c r="A160" t="str">
        <f>Pop[[#This Row],[State]]&amp;" "&amp;Pop[[#This Row],[County]]</f>
        <v>AR Prairie</v>
      </c>
      <c r="B160" t="s">
        <v>247</v>
      </c>
      <c r="C160" s="30" t="s">
        <v>389</v>
      </c>
      <c r="D160" s="14">
        <v>8715</v>
      </c>
    </row>
    <row r="161" spans="1:4" x14ac:dyDescent="0.3">
      <c r="A161" t="str">
        <f>Pop[[#This Row],[State]]&amp;" "&amp;Pop[[#This Row],[County]]</f>
        <v>AR Pulaski</v>
      </c>
      <c r="B161" t="s">
        <v>247</v>
      </c>
      <c r="C161" s="30" t="s">
        <v>390</v>
      </c>
      <c r="D161" s="14">
        <v>382748</v>
      </c>
    </row>
    <row r="162" spans="1:4" x14ac:dyDescent="0.3">
      <c r="A162" t="str">
        <f>Pop[[#This Row],[State]]&amp;" "&amp;Pop[[#This Row],[County]]</f>
        <v>AR Randolph</v>
      </c>
      <c r="B162" t="s">
        <v>247</v>
      </c>
      <c r="C162" s="30" t="s">
        <v>342</v>
      </c>
      <c r="D162" s="14">
        <v>17969</v>
      </c>
    </row>
    <row r="163" spans="1:4" x14ac:dyDescent="0.3">
      <c r="A163" t="str">
        <f>Pop[[#This Row],[State]]&amp;" "&amp;Pop[[#This Row],[County]]</f>
        <v>AR Saline</v>
      </c>
      <c r="B163" t="s">
        <v>247</v>
      </c>
      <c r="C163" s="30" t="s">
        <v>391</v>
      </c>
      <c r="D163" s="14">
        <v>107118</v>
      </c>
    </row>
    <row r="164" spans="1:4" x14ac:dyDescent="0.3">
      <c r="A164" t="str">
        <f>Pop[[#This Row],[State]]&amp;" "&amp;Pop[[#This Row],[County]]</f>
        <v>AR Scott</v>
      </c>
      <c r="B164" t="s">
        <v>247</v>
      </c>
      <c r="C164" s="30" t="s">
        <v>392</v>
      </c>
      <c r="D164" s="14">
        <v>11233</v>
      </c>
    </row>
    <row r="165" spans="1:4" x14ac:dyDescent="0.3">
      <c r="A165" t="str">
        <f>Pop[[#This Row],[State]]&amp;" "&amp;Pop[[#This Row],[County]]</f>
        <v>AR Searcy</v>
      </c>
      <c r="B165" t="s">
        <v>247</v>
      </c>
      <c r="C165" s="30" t="s">
        <v>393</v>
      </c>
      <c r="D165" s="14">
        <v>8195</v>
      </c>
    </row>
    <row r="166" spans="1:4" x14ac:dyDescent="0.3">
      <c r="A166" t="str">
        <f>Pop[[#This Row],[State]]&amp;" "&amp;Pop[[#This Row],[County]]</f>
        <v>AR Sebastian</v>
      </c>
      <c r="B166" t="s">
        <v>247</v>
      </c>
      <c r="C166" s="30" t="s">
        <v>394</v>
      </c>
      <c r="D166" s="14">
        <v>125744</v>
      </c>
    </row>
    <row r="167" spans="1:4" x14ac:dyDescent="0.3">
      <c r="A167" t="str">
        <f>Pop[[#This Row],[State]]&amp;" "&amp;Pop[[#This Row],[County]]</f>
        <v>AR Sevier</v>
      </c>
      <c r="B167" t="s">
        <v>247</v>
      </c>
      <c r="C167" s="30" t="s">
        <v>395</v>
      </c>
      <c r="D167" s="14">
        <v>17058</v>
      </c>
    </row>
    <row r="168" spans="1:4" x14ac:dyDescent="0.3">
      <c r="A168" t="str">
        <f>Pop[[#This Row],[State]]&amp;" "&amp;Pop[[#This Row],[County]]</f>
        <v>AR Sharp</v>
      </c>
      <c r="B168" t="s">
        <v>247</v>
      </c>
      <c r="C168" s="30" t="s">
        <v>396</v>
      </c>
      <c r="D168" s="14">
        <v>17264</v>
      </c>
    </row>
    <row r="169" spans="1:4" x14ac:dyDescent="0.3">
      <c r="A169" t="str">
        <f>Pop[[#This Row],[State]]&amp;" "&amp;Pop[[#This Row],[County]]</f>
        <v>AR St. Francis</v>
      </c>
      <c r="B169" t="s">
        <v>247</v>
      </c>
      <c r="C169" s="30" t="s">
        <v>397</v>
      </c>
      <c r="D169" s="14">
        <v>28258</v>
      </c>
    </row>
    <row r="170" spans="1:4" x14ac:dyDescent="0.3">
      <c r="A170" t="str">
        <f>Pop[[#This Row],[State]]&amp;" "&amp;Pop[[#This Row],[County]]</f>
        <v>AR Stone</v>
      </c>
      <c r="B170" t="s">
        <v>247</v>
      </c>
      <c r="C170" s="30" t="s">
        <v>398</v>
      </c>
      <c r="D170" s="14">
        <v>12394</v>
      </c>
    </row>
    <row r="171" spans="1:4" x14ac:dyDescent="0.3">
      <c r="A171" t="str">
        <f>Pop[[#This Row],[State]]&amp;" "&amp;Pop[[#This Row],[County]]</f>
        <v>AR Union</v>
      </c>
      <c r="B171" t="s">
        <v>247</v>
      </c>
      <c r="C171" s="30" t="s">
        <v>399</v>
      </c>
      <c r="D171" s="14">
        <v>41639</v>
      </c>
    </row>
    <row r="172" spans="1:4" x14ac:dyDescent="0.3">
      <c r="A172" t="str">
        <f>Pop[[#This Row],[State]]&amp;" "&amp;Pop[[#This Row],[County]]</f>
        <v>AR Van Buren</v>
      </c>
      <c r="B172" t="s">
        <v>247</v>
      </c>
      <c r="C172" s="30" t="s">
        <v>400</v>
      </c>
      <c r="D172" s="14">
        <v>17295</v>
      </c>
    </row>
    <row r="173" spans="1:4" x14ac:dyDescent="0.3">
      <c r="A173" t="str">
        <f>Pop[[#This Row],[State]]&amp;" "&amp;Pop[[#This Row],[County]]</f>
        <v>AR Washington</v>
      </c>
      <c r="B173" t="s">
        <v>247</v>
      </c>
      <c r="C173" s="30" t="s">
        <v>65</v>
      </c>
      <c r="D173" s="14">
        <v>203065</v>
      </c>
    </row>
    <row r="174" spans="1:4" x14ac:dyDescent="0.3">
      <c r="A174" t="str">
        <f>Pop[[#This Row],[State]]&amp;" "&amp;Pop[[#This Row],[County]]</f>
        <v>AR White</v>
      </c>
      <c r="B174" t="s">
        <v>247</v>
      </c>
      <c r="C174" s="30" t="s">
        <v>66</v>
      </c>
      <c r="D174" s="14">
        <v>77076</v>
      </c>
    </row>
    <row r="175" spans="1:4" x14ac:dyDescent="0.3">
      <c r="A175" t="str">
        <f>Pop[[#This Row],[State]]&amp;" "&amp;Pop[[#This Row],[County]]</f>
        <v>AR Woodruff</v>
      </c>
      <c r="B175" t="s">
        <v>247</v>
      </c>
      <c r="C175" s="30" t="s">
        <v>401</v>
      </c>
      <c r="D175" s="14">
        <v>7260</v>
      </c>
    </row>
    <row r="176" spans="1:4" x14ac:dyDescent="0.3">
      <c r="A176" t="str">
        <f>Pop[[#This Row],[State]]&amp;" "&amp;Pop[[#This Row],[County]]</f>
        <v>AR Yell</v>
      </c>
      <c r="B176" t="s">
        <v>247</v>
      </c>
      <c r="C176" s="30" t="s">
        <v>402</v>
      </c>
      <c r="D176" s="14">
        <v>22185</v>
      </c>
    </row>
    <row r="177" spans="1:7" x14ac:dyDescent="0.3">
      <c r="A177" s="1" t="str">
        <f>Pop[[#This Row],[State]]&amp;" "&amp;Pop[[#This Row],[County]]</f>
        <v>AR State Agencies</v>
      </c>
      <c r="B177" t="s">
        <v>247</v>
      </c>
      <c r="C177" s="30" t="s">
        <v>243</v>
      </c>
      <c r="D177" s="16" t="s">
        <v>244</v>
      </c>
    </row>
    <row r="178" spans="1:7" x14ac:dyDescent="0.3">
      <c r="A178" s="1" t="str">
        <f>Pop[[#This Row],[State]]&amp;" "&amp;Pop[[#This Row],[County]]</f>
        <v>AR Grand Total</v>
      </c>
      <c r="B178" t="s">
        <v>247</v>
      </c>
      <c r="C178" s="30" t="s">
        <v>67</v>
      </c>
      <c r="D178" s="16">
        <v>2915918</v>
      </c>
    </row>
    <row r="179" spans="1:7" x14ac:dyDescent="0.3">
      <c r="A179" s="1" t="str">
        <f>Pop[[#This Row],[State]]&amp;" "&amp;Pop[[#This Row],[County]]</f>
        <v>AS Eastern</v>
      </c>
      <c r="B179" t="s">
        <v>291</v>
      </c>
      <c r="C179" s="30" t="s">
        <v>403</v>
      </c>
      <c r="D179" s="16">
        <v>23030</v>
      </c>
    </row>
    <row r="180" spans="1:7" x14ac:dyDescent="0.3">
      <c r="A180" s="1" t="str">
        <f>Pop[[#This Row],[State]]&amp;" "&amp;Pop[[#This Row],[County]]</f>
        <v>AS Manu'a</v>
      </c>
      <c r="B180" t="s">
        <v>291</v>
      </c>
      <c r="C180" s="30" t="s">
        <v>404</v>
      </c>
      <c r="D180" s="16">
        <v>1143</v>
      </c>
    </row>
    <row r="181" spans="1:7" x14ac:dyDescent="0.3">
      <c r="A181" s="1" t="str">
        <f>Pop[[#This Row],[State]]&amp;" "&amp;Pop[[#This Row],[County]]</f>
        <v>AS Rose</v>
      </c>
      <c r="B181" t="s">
        <v>291</v>
      </c>
      <c r="C181" s="30" t="s">
        <v>405</v>
      </c>
      <c r="D181" s="16">
        <v>0</v>
      </c>
      <c r="G181" s="14"/>
    </row>
    <row r="182" spans="1:7" x14ac:dyDescent="0.3">
      <c r="A182" s="1" t="str">
        <f>Pop[[#This Row],[State]]&amp;" "&amp;Pop[[#This Row],[County]]</f>
        <v>AS Swains</v>
      </c>
      <c r="B182" t="s">
        <v>291</v>
      </c>
      <c r="C182" s="30" t="s">
        <v>406</v>
      </c>
      <c r="D182" s="16">
        <v>17</v>
      </c>
    </row>
    <row r="183" spans="1:7" x14ac:dyDescent="0.3">
      <c r="A183" s="1" t="str">
        <f>Pop[[#This Row],[State]]&amp;" "&amp;Pop[[#This Row],[County]]</f>
        <v>AS Western</v>
      </c>
      <c r="B183" t="s">
        <v>291</v>
      </c>
      <c r="C183" s="30" t="s">
        <v>407</v>
      </c>
      <c r="D183" s="16">
        <v>31329</v>
      </c>
    </row>
    <row r="184" spans="1:7" x14ac:dyDescent="0.3">
      <c r="A184" s="1" t="str">
        <f>Pop[[#This Row],[State]]&amp;" "&amp;Pop[[#This Row],[County]]</f>
        <v>AS State Agencies</v>
      </c>
      <c r="B184" t="s">
        <v>291</v>
      </c>
      <c r="C184" s="30" t="s">
        <v>243</v>
      </c>
      <c r="D184" s="16" t="s">
        <v>244</v>
      </c>
    </row>
    <row r="185" spans="1:7" x14ac:dyDescent="0.3">
      <c r="A185" s="1" t="str">
        <f>Pop[[#This Row],[State]]&amp;" "&amp;Pop[[#This Row],[County]]</f>
        <v>AS Grand Total</v>
      </c>
      <c r="B185" t="s">
        <v>291</v>
      </c>
      <c r="C185" s="30" t="s">
        <v>67</v>
      </c>
      <c r="D185" s="16">
        <v>55519</v>
      </c>
    </row>
    <row r="186" spans="1:7" x14ac:dyDescent="0.3">
      <c r="A186" t="str">
        <f>Pop[[#This Row],[State]]&amp;" "&amp;Pop[[#This Row],[County]]</f>
        <v>AZ Apache</v>
      </c>
      <c r="B186" t="s">
        <v>294</v>
      </c>
      <c r="C186" s="30" t="s">
        <v>408</v>
      </c>
      <c r="D186" s="14">
        <v>71518</v>
      </c>
    </row>
    <row r="187" spans="1:7" x14ac:dyDescent="0.3">
      <c r="A187" t="str">
        <f>Pop[[#This Row],[State]]&amp;" "&amp;Pop[[#This Row],[County]]</f>
        <v>AZ Cochise</v>
      </c>
      <c r="B187" t="s">
        <v>294</v>
      </c>
      <c r="C187" s="30" t="s">
        <v>409</v>
      </c>
      <c r="D187" s="14">
        <v>131346</v>
      </c>
    </row>
    <row r="188" spans="1:7" x14ac:dyDescent="0.3">
      <c r="A188" t="str">
        <f>Pop[[#This Row],[State]]&amp;" "&amp;Pop[[#This Row],[County]]</f>
        <v>AZ Coconino</v>
      </c>
      <c r="B188" t="s">
        <v>294</v>
      </c>
      <c r="C188" s="30" t="s">
        <v>410</v>
      </c>
      <c r="D188" s="14">
        <v>134421</v>
      </c>
    </row>
    <row r="189" spans="1:7" x14ac:dyDescent="0.3">
      <c r="A189" t="str">
        <f>Pop[[#This Row],[State]]&amp;" "&amp;Pop[[#This Row],[County]]</f>
        <v>AZ Gila</v>
      </c>
      <c r="B189" t="s">
        <v>294</v>
      </c>
      <c r="C189" s="30" t="s">
        <v>411</v>
      </c>
      <c r="D189" s="14">
        <v>53597</v>
      </c>
    </row>
    <row r="190" spans="1:7" x14ac:dyDescent="0.3">
      <c r="A190" t="str">
        <f>Pop[[#This Row],[State]]&amp;" "&amp;Pop[[#This Row],[County]]</f>
        <v>AZ Graham</v>
      </c>
      <c r="B190" t="s">
        <v>294</v>
      </c>
      <c r="C190" s="30" t="s">
        <v>412</v>
      </c>
      <c r="D190" s="14">
        <v>37220</v>
      </c>
    </row>
    <row r="191" spans="1:7" x14ac:dyDescent="0.3">
      <c r="A191" t="str">
        <f>Pop[[#This Row],[State]]&amp;" "&amp;Pop[[#This Row],[County]]</f>
        <v>AZ Greenlee</v>
      </c>
      <c r="B191" t="s">
        <v>294</v>
      </c>
      <c r="C191" s="30" t="s">
        <v>413</v>
      </c>
      <c r="D191" s="14">
        <v>8437</v>
      </c>
    </row>
    <row r="192" spans="1:7" x14ac:dyDescent="0.3">
      <c r="A192" t="str">
        <f>Pop[[#This Row],[State]]&amp;" "&amp;Pop[[#This Row],[County]]</f>
        <v>AZ La Paz</v>
      </c>
      <c r="B192" t="s">
        <v>294</v>
      </c>
      <c r="C192" s="30" t="s">
        <v>414</v>
      </c>
      <c r="D192" s="14">
        <v>20489</v>
      </c>
    </row>
    <row r="193" spans="1:4" x14ac:dyDescent="0.3">
      <c r="A193" t="str">
        <f>Pop[[#This Row],[State]]&amp;" "&amp;Pop[[#This Row],[County]]</f>
        <v>AZ Maricopa</v>
      </c>
      <c r="B193" t="s">
        <v>294</v>
      </c>
      <c r="C193" s="30" t="s">
        <v>415</v>
      </c>
      <c r="D193" s="14">
        <v>3817117</v>
      </c>
    </row>
    <row r="194" spans="1:4" x14ac:dyDescent="0.3">
      <c r="A194" t="str">
        <f>Pop[[#This Row],[State]]&amp;" "&amp;Pop[[#This Row],[County]]</f>
        <v>AZ Mohave</v>
      </c>
      <c r="B194" t="s">
        <v>294</v>
      </c>
      <c r="C194" s="30" t="s">
        <v>416</v>
      </c>
      <c r="D194" s="14">
        <v>200186</v>
      </c>
    </row>
    <row r="195" spans="1:4" x14ac:dyDescent="0.3">
      <c r="A195" t="str">
        <f>Pop[[#This Row],[State]]&amp;" "&amp;Pop[[#This Row],[County]]</f>
        <v>AZ Navajo</v>
      </c>
      <c r="B195" t="s">
        <v>294</v>
      </c>
      <c r="C195" s="30" t="s">
        <v>417</v>
      </c>
      <c r="D195" s="14">
        <v>107449</v>
      </c>
    </row>
    <row r="196" spans="1:4" x14ac:dyDescent="0.3">
      <c r="A196" t="str">
        <f>Pop[[#This Row],[State]]&amp;" "&amp;Pop[[#This Row],[County]]</f>
        <v>AZ Pima</v>
      </c>
      <c r="B196" t="s">
        <v>294</v>
      </c>
      <c r="C196" s="30" t="s">
        <v>418</v>
      </c>
      <c r="D196" s="14">
        <v>980263</v>
      </c>
    </row>
    <row r="197" spans="1:4" x14ac:dyDescent="0.3">
      <c r="A197" t="str">
        <f>Pop[[#This Row],[State]]&amp;" "&amp;Pop[[#This Row],[County]]</f>
        <v>AZ Pinal</v>
      </c>
      <c r="B197" t="s">
        <v>294</v>
      </c>
      <c r="C197" s="30" t="s">
        <v>419</v>
      </c>
      <c r="D197" s="14">
        <v>375770</v>
      </c>
    </row>
    <row r="198" spans="1:4" x14ac:dyDescent="0.3">
      <c r="A198" t="str">
        <f>Pop[[#This Row],[State]]&amp;" "&amp;Pop[[#This Row],[County]]</f>
        <v>AZ Santa Cruz</v>
      </c>
      <c r="B198" t="s">
        <v>294</v>
      </c>
      <c r="C198" s="30" t="s">
        <v>420</v>
      </c>
      <c r="D198" s="14">
        <v>47420</v>
      </c>
    </row>
    <row r="199" spans="1:4" x14ac:dyDescent="0.3">
      <c r="A199" t="str">
        <f>Pop[[#This Row],[State]]&amp;" "&amp;Pop[[#This Row],[County]]</f>
        <v>AZ Yavapai</v>
      </c>
      <c r="B199" t="s">
        <v>294</v>
      </c>
      <c r="C199" s="30" t="s">
        <v>421</v>
      </c>
      <c r="D199" s="14">
        <v>211033</v>
      </c>
    </row>
    <row r="200" spans="1:4" x14ac:dyDescent="0.3">
      <c r="A200" t="str">
        <f>Pop[[#This Row],[State]]&amp;" "&amp;Pop[[#This Row],[County]]</f>
        <v>AZ Yuma</v>
      </c>
      <c r="B200" t="s">
        <v>294</v>
      </c>
      <c r="C200" s="30" t="s">
        <v>422</v>
      </c>
      <c r="D200" s="14">
        <v>195751</v>
      </c>
    </row>
    <row r="201" spans="1:4" x14ac:dyDescent="0.3">
      <c r="A201" s="1" t="str">
        <f>Pop[[#This Row],[State]]&amp;" "&amp;Pop[[#This Row],[County]]</f>
        <v>AZ State Agencies</v>
      </c>
      <c r="B201" t="s">
        <v>294</v>
      </c>
      <c r="C201" s="30" t="s">
        <v>243</v>
      </c>
      <c r="D201" s="16" t="s">
        <v>244</v>
      </c>
    </row>
    <row r="202" spans="1:4" x14ac:dyDescent="0.3">
      <c r="A202" s="1" t="str">
        <f>Pop[[#This Row],[State]]&amp;" "&amp;Pop[[#This Row],[County]]</f>
        <v>AZ Grand Total</v>
      </c>
      <c r="B202" t="s">
        <v>294</v>
      </c>
      <c r="C202" s="30" t="s">
        <v>67</v>
      </c>
      <c r="D202" s="16">
        <v>6392017</v>
      </c>
    </row>
    <row r="203" spans="1:4" x14ac:dyDescent="0.3">
      <c r="A203" t="str">
        <f>Pop[[#This Row],[State]]&amp;" "&amp;Pop[[#This Row],[County]]</f>
        <v>CA Alameda</v>
      </c>
      <c r="B203" t="s">
        <v>297</v>
      </c>
      <c r="C203" s="30" t="s">
        <v>423</v>
      </c>
      <c r="D203" s="14">
        <v>1510271</v>
      </c>
    </row>
    <row r="204" spans="1:4" x14ac:dyDescent="0.3">
      <c r="A204" t="str">
        <f>Pop[[#This Row],[State]]&amp;" "&amp;Pop[[#This Row],[County]]</f>
        <v>CA Alpine</v>
      </c>
      <c r="B204" t="s">
        <v>297</v>
      </c>
      <c r="C204" s="30" t="s">
        <v>424</v>
      </c>
      <c r="D204" s="14">
        <v>1175</v>
      </c>
    </row>
    <row r="205" spans="1:4" x14ac:dyDescent="0.3">
      <c r="A205" t="str">
        <f>Pop[[#This Row],[State]]&amp;" "&amp;Pop[[#This Row],[County]]</f>
        <v>CA Amador</v>
      </c>
      <c r="B205" t="s">
        <v>297</v>
      </c>
      <c r="C205" s="30" t="s">
        <v>425</v>
      </c>
      <c r="D205" s="14">
        <v>38091</v>
      </c>
    </row>
    <row r="206" spans="1:4" x14ac:dyDescent="0.3">
      <c r="A206" t="str">
        <f>Pop[[#This Row],[State]]&amp;" "&amp;Pop[[#This Row],[County]]</f>
        <v>CA Butte</v>
      </c>
      <c r="B206" t="s">
        <v>297</v>
      </c>
      <c r="C206" s="30" t="s">
        <v>426</v>
      </c>
      <c r="D206" s="14">
        <v>220000</v>
      </c>
    </row>
    <row r="207" spans="1:4" x14ac:dyDescent="0.3">
      <c r="A207" t="str">
        <f>Pop[[#This Row],[State]]&amp;" "&amp;Pop[[#This Row],[County]]</f>
        <v>CA Calaveras</v>
      </c>
      <c r="B207" t="s">
        <v>297</v>
      </c>
      <c r="C207" s="30" t="s">
        <v>427</v>
      </c>
      <c r="D207" s="14">
        <v>45578</v>
      </c>
    </row>
    <row r="208" spans="1:4" x14ac:dyDescent="0.3">
      <c r="A208" t="str">
        <f>Pop[[#This Row],[State]]&amp;" "&amp;Pop[[#This Row],[County]]</f>
        <v>CA Colusa</v>
      </c>
      <c r="B208" t="s">
        <v>297</v>
      </c>
      <c r="C208" s="30" t="s">
        <v>428</v>
      </c>
      <c r="D208" s="14">
        <v>21419</v>
      </c>
    </row>
    <row r="209" spans="1:4" x14ac:dyDescent="0.3">
      <c r="A209" t="str">
        <f>Pop[[#This Row],[State]]&amp;" "&amp;Pop[[#This Row],[County]]</f>
        <v>CA Contra Costa</v>
      </c>
      <c r="B209" t="s">
        <v>297</v>
      </c>
      <c r="C209" s="30" t="s">
        <v>429</v>
      </c>
      <c r="D209" s="14">
        <v>1049025</v>
      </c>
    </row>
    <row r="210" spans="1:4" x14ac:dyDescent="0.3">
      <c r="A210" t="str">
        <f>Pop[[#This Row],[State]]&amp;" "&amp;Pop[[#This Row],[County]]</f>
        <v>CA Del Norte</v>
      </c>
      <c r="B210" t="s">
        <v>297</v>
      </c>
      <c r="C210" s="30" t="s">
        <v>430</v>
      </c>
      <c r="D210" s="14">
        <v>28610</v>
      </c>
    </row>
    <row r="211" spans="1:4" x14ac:dyDescent="0.3">
      <c r="A211" t="str">
        <f>Pop[[#This Row],[State]]&amp;" "&amp;Pop[[#This Row],[County]]</f>
        <v>CA El Dorado</v>
      </c>
      <c r="B211" t="s">
        <v>297</v>
      </c>
      <c r="C211" s="30" t="s">
        <v>431</v>
      </c>
      <c r="D211" s="14">
        <v>181058</v>
      </c>
    </row>
    <row r="212" spans="1:4" x14ac:dyDescent="0.3">
      <c r="A212" t="str">
        <f>Pop[[#This Row],[State]]&amp;" "&amp;Pop[[#This Row],[County]]</f>
        <v>CA Fresno</v>
      </c>
      <c r="B212" t="s">
        <v>297</v>
      </c>
      <c r="C212" s="30" t="s">
        <v>432</v>
      </c>
      <c r="D212" s="14">
        <v>930450</v>
      </c>
    </row>
    <row r="213" spans="1:4" x14ac:dyDescent="0.3">
      <c r="A213" t="str">
        <f>Pop[[#This Row],[State]]&amp;" "&amp;Pop[[#This Row],[County]]</f>
        <v>CA Glenn</v>
      </c>
      <c r="B213" t="s">
        <v>297</v>
      </c>
      <c r="C213" s="30" t="s">
        <v>433</v>
      </c>
      <c r="D213" s="14">
        <v>28122</v>
      </c>
    </row>
    <row r="214" spans="1:4" x14ac:dyDescent="0.3">
      <c r="A214" t="str">
        <f>Pop[[#This Row],[State]]&amp;" "&amp;Pop[[#This Row],[County]]</f>
        <v>CA Humboldt</v>
      </c>
      <c r="B214" t="s">
        <v>297</v>
      </c>
      <c r="C214" s="30" t="s">
        <v>434</v>
      </c>
      <c r="D214" s="14">
        <v>134623</v>
      </c>
    </row>
    <row r="215" spans="1:4" x14ac:dyDescent="0.3">
      <c r="A215" t="str">
        <f>Pop[[#This Row],[State]]&amp;" "&amp;Pop[[#This Row],[County]]</f>
        <v>CA Imperial</v>
      </c>
      <c r="B215" t="s">
        <v>297</v>
      </c>
      <c r="C215" s="30" t="s">
        <v>435</v>
      </c>
      <c r="D215" s="14">
        <v>174528</v>
      </c>
    </row>
    <row r="216" spans="1:4" x14ac:dyDescent="0.3">
      <c r="A216" t="str">
        <f>Pop[[#This Row],[State]]&amp;" "&amp;Pop[[#This Row],[County]]</f>
        <v>CA Inyo</v>
      </c>
      <c r="B216" t="s">
        <v>297</v>
      </c>
      <c r="C216" s="30" t="s">
        <v>436</v>
      </c>
      <c r="D216" s="14">
        <v>18546</v>
      </c>
    </row>
    <row r="217" spans="1:4" x14ac:dyDescent="0.3">
      <c r="A217" t="str">
        <f>Pop[[#This Row],[State]]&amp;" "&amp;Pop[[#This Row],[County]]</f>
        <v>CA Kern</v>
      </c>
      <c r="B217" t="s">
        <v>297</v>
      </c>
      <c r="C217" s="30" t="s">
        <v>437</v>
      </c>
      <c r="D217" s="14">
        <v>839631</v>
      </c>
    </row>
    <row r="218" spans="1:4" x14ac:dyDescent="0.3">
      <c r="A218" t="str">
        <f>Pop[[#This Row],[State]]&amp;" "&amp;Pop[[#This Row],[County]]</f>
        <v>CA Kings</v>
      </c>
      <c r="B218" t="s">
        <v>297</v>
      </c>
      <c r="C218" s="30" t="s">
        <v>438</v>
      </c>
      <c r="D218" s="14">
        <v>152982</v>
      </c>
    </row>
    <row r="219" spans="1:4" x14ac:dyDescent="0.3">
      <c r="A219" t="str">
        <f>Pop[[#This Row],[State]]&amp;" "&amp;Pop[[#This Row],[County]]</f>
        <v>CA Lake</v>
      </c>
      <c r="B219" t="s">
        <v>297</v>
      </c>
      <c r="C219" s="30" t="s">
        <v>439</v>
      </c>
      <c r="D219" s="14">
        <v>64665</v>
      </c>
    </row>
    <row r="220" spans="1:4" x14ac:dyDescent="0.3">
      <c r="A220" t="str">
        <f>Pop[[#This Row],[State]]&amp;" "&amp;Pop[[#This Row],[County]]</f>
        <v>CA Lassen</v>
      </c>
      <c r="B220" t="s">
        <v>297</v>
      </c>
      <c r="C220" s="30" t="s">
        <v>440</v>
      </c>
      <c r="D220" s="14">
        <v>34895</v>
      </c>
    </row>
    <row r="221" spans="1:4" x14ac:dyDescent="0.3">
      <c r="A221" t="str">
        <f>Pop[[#This Row],[State]]&amp;" "&amp;Pop[[#This Row],[County]]</f>
        <v>CA Los Angeles</v>
      </c>
      <c r="B221" t="s">
        <v>297</v>
      </c>
      <c r="C221" s="30" t="s">
        <v>441</v>
      </c>
      <c r="D221" s="14">
        <v>9818605</v>
      </c>
    </row>
    <row r="222" spans="1:4" x14ac:dyDescent="0.3">
      <c r="A222" t="str">
        <f>Pop[[#This Row],[State]]&amp;" "&amp;Pop[[#This Row],[County]]</f>
        <v>CA Madera</v>
      </c>
      <c r="B222" t="s">
        <v>297</v>
      </c>
      <c r="C222" s="30" t="s">
        <v>442</v>
      </c>
      <c r="D222" s="14">
        <v>150865</v>
      </c>
    </row>
    <row r="223" spans="1:4" x14ac:dyDescent="0.3">
      <c r="A223" t="str">
        <f>Pop[[#This Row],[State]]&amp;" "&amp;Pop[[#This Row],[County]]</f>
        <v>CA Marin</v>
      </c>
      <c r="B223" t="s">
        <v>297</v>
      </c>
      <c r="C223" s="30" t="s">
        <v>443</v>
      </c>
      <c r="D223" s="14">
        <v>252409</v>
      </c>
    </row>
    <row r="224" spans="1:4" x14ac:dyDescent="0.3">
      <c r="A224" t="str">
        <f>Pop[[#This Row],[State]]&amp;" "&amp;Pop[[#This Row],[County]]</f>
        <v>CA Mariposa</v>
      </c>
      <c r="B224" t="s">
        <v>297</v>
      </c>
      <c r="C224" s="30" t="s">
        <v>444</v>
      </c>
      <c r="D224" s="14">
        <v>18251</v>
      </c>
    </row>
    <row r="225" spans="1:4" x14ac:dyDescent="0.3">
      <c r="A225" t="str">
        <f>Pop[[#This Row],[State]]&amp;" "&amp;Pop[[#This Row],[County]]</f>
        <v>CA Mendocino</v>
      </c>
      <c r="B225" t="s">
        <v>297</v>
      </c>
      <c r="C225" s="30" t="s">
        <v>445</v>
      </c>
      <c r="D225" s="14">
        <v>87841</v>
      </c>
    </row>
    <row r="226" spans="1:4" x14ac:dyDescent="0.3">
      <c r="A226" t="str">
        <f>Pop[[#This Row],[State]]&amp;" "&amp;Pop[[#This Row],[County]]</f>
        <v>CA Merced</v>
      </c>
      <c r="B226" t="s">
        <v>297</v>
      </c>
      <c r="C226" s="30" t="s">
        <v>446</v>
      </c>
      <c r="D226" s="14">
        <v>255793</v>
      </c>
    </row>
    <row r="227" spans="1:4" x14ac:dyDescent="0.3">
      <c r="A227" t="str">
        <f>Pop[[#This Row],[State]]&amp;" "&amp;Pop[[#This Row],[County]]</f>
        <v>CA Modoc</v>
      </c>
      <c r="B227" t="s">
        <v>297</v>
      </c>
      <c r="C227" s="30" t="s">
        <v>447</v>
      </c>
      <c r="D227" s="14">
        <v>9686</v>
      </c>
    </row>
    <row r="228" spans="1:4" x14ac:dyDescent="0.3">
      <c r="A228" t="str">
        <f>Pop[[#This Row],[State]]&amp;" "&amp;Pop[[#This Row],[County]]</f>
        <v>CA Mono</v>
      </c>
      <c r="B228" t="s">
        <v>297</v>
      </c>
      <c r="C228" s="30" t="s">
        <v>448</v>
      </c>
      <c r="D228" s="14">
        <v>14202</v>
      </c>
    </row>
    <row r="229" spans="1:4" x14ac:dyDescent="0.3">
      <c r="A229" t="str">
        <f>Pop[[#This Row],[State]]&amp;" "&amp;Pop[[#This Row],[County]]</f>
        <v>CA Monterey</v>
      </c>
      <c r="B229" t="s">
        <v>297</v>
      </c>
      <c r="C229" s="30" t="s">
        <v>449</v>
      </c>
      <c r="D229" s="14">
        <v>415057</v>
      </c>
    </row>
    <row r="230" spans="1:4" x14ac:dyDescent="0.3">
      <c r="A230" t="str">
        <f>Pop[[#This Row],[State]]&amp;" "&amp;Pop[[#This Row],[County]]</f>
        <v>CA Napa</v>
      </c>
      <c r="B230" t="s">
        <v>297</v>
      </c>
      <c r="C230" s="30" t="s">
        <v>450</v>
      </c>
      <c r="D230" s="14">
        <v>136484</v>
      </c>
    </row>
    <row r="231" spans="1:4" x14ac:dyDescent="0.3">
      <c r="A231" t="str">
        <f>Pop[[#This Row],[State]]&amp;" "&amp;Pop[[#This Row],[County]]</f>
        <v>CA Nevada</v>
      </c>
      <c r="B231" t="s">
        <v>297</v>
      </c>
      <c r="C231" s="30" t="s">
        <v>310</v>
      </c>
      <c r="D231" s="14">
        <v>98764</v>
      </c>
    </row>
    <row r="232" spans="1:4" x14ac:dyDescent="0.3">
      <c r="A232" t="str">
        <f>Pop[[#This Row],[State]]&amp;" "&amp;Pop[[#This Row],[County]]</f>
        <v>CA Orange</v>
      </c>
      <c r="B232" t="s">
        <v>297</v>
      </c>
      <c r="C232" s="30" t="s">
        <v>55</v>
      </c>
      <c r="D232" s="14">
        <v>3010232</v>
      </c>
    </row>
    <row r="233" spans="1:4" x14ac:dyDescent="0.3">
      <c r="A233" t="str">
        <f>Pop[[#This Row],[State]]&amp;" "&amp;Pop[[#This Row],[County]]</f>
        <v>CA Placer</v>
      </c>
      <c r="B233" t="s">
        <v>297</v>
      </c>
      <c r="C233" s="30" t="s">
        <v>451</v>
      </c>
      <c r="D233" s="14">
        <v>348432</v>
      </c>
    </row>
    <row r="234" spans="1:4" x14ac:dyDescent="0.3">
      <c r="A234" t="str">
        <f>Pop[[#This Row],[State]]&amp;" "&amp;Pop[[#This Row],[County]]</f>
        <v>CA Plumas</v>
      </c>
      <c r="B234" t="s">
        <v>297</v>
      </c>
      <c r="C234" s="30" t="s">
        <v>452</v>
      </c>
      <c r="D234" s="14">
        <v>20007</v>
      </c>
    </row>
    <row r="235" spans="1:4" x14ac:dyDescent="0.3">
      <c r="A235" t="str">
        <f>Pop[[#This Row],[State]]&amp;" "&amp;Pop[[#This Row],[County]]</f>
        <v>CA Riverside</v>
      </c>
      <c r="B235" t="s">
        <v>297</v>
      </c>
      <c r="C235" s="30" t="s">
        <v>453</v>
      </c>
      <c r="D235" s="14">
        <v>2189641</v>
      </c>
    </row>
    <row r="236" spans="1:4" x14ac:dyDescent="0.3">
      <c r="A236" t="str">
        <f>Pop[[#This Row],[State]]&amp;" "&amp;Pop[[#This Row],[County]]</f>
        <v>CA Sacramento</v>
      </c>
      <c r="B236" t="s">
        <v>297</v>
      </c>
      <c r="C236" s="30" t="s">
        <v>454</v>
      </c>
      <c r="D236" s="14">
        <v>1418788</v>
      </c>
    </row>
    <row r="237" spans="1:4" x14ac:dyDescent="0.3">
      <c r="A237" t="str">
        <f>Pop[[#This Row],[State]]&amp;" "&amp;Pop[[#This Row],[County]]</f>
        <v>CA San Benito</v>
      </c>
      <c r="B237" t="s">
        <v>297</v>
      </c>
      <c r="C237" s="30" t="s">
        <v>455</v>
      </c>
      <c r="D237" s="14">
        <v>55269</v>
      </c>
    </row>
    <row r="238" spans="1:4" x14ac:dyDescent="0.3">
      <c r="A238" t="str">
        <f>Pop[[#This Row],[State]]&amp;" "&amp;Pop[[#This Row],[County]]</f>
        <v>CA San Bernardino</v>
      </c>
      <c r="B238" t="s">
        <v>297</v>
      </c>
      <c r="C238" s="30" t="s">
        <v>456</v>
      </c>
      <c r="D238" s="14">
        <v>2035210</v>
      </c>
    </row>
    <row r="239" spans="1:4" x14ac:dyDescent="0.3">
      <c r="A239" t="str">
        <f>Pop[[#This Row],[State]]&amp;" "&amp;Pop[[#This Row],[County]]</f>
        <v>CA San Diego</v>
      </c>
      <c r="B239" t="s">
        <v>297</v>
      </c>
      <c r="C239" s="30" t="s">
        <v>457</v>
      </c>
      <c r="D239" s="14">
        <v>3095313</v>
      </c>
    </row>
    <row r="240" spans="1:4" x14ac:dyDescent="0.3">
      <c r="A240" t="str">
        <f>Pop[[#This Row],[State]]&amp;" "&amp;Pop[[#This Row],[County]]</f>
        <v>CA San Francisco</v>
      </c>
      <c r="B240" t="s">
        <v>297</v>
      </c>
      <c r="C240" s="30" t="s">
        <v>458</v>
      </c>
      <c r="D240" s="14">
        <v>805235</v>
      </c>
    </row>
    <row r="241" spans="1:4" x14ac:dyDescent="0.3">
      <c r="A241" t="str">
        <f>Pop[[#This Row],[State]]&amp;" "&amp;Pop[[#This Row],[County]]</f>
        <v>CA San Joaquin</v>
      </c>
      <c r="B241" t="s">
        <v>297</v>
      </c>
      <c r="C241" s="30" t="s">
        <v>459</v>
      </c>
      <c r="D241" s="14">
        <v>685306</v>
      </c>
    </row>
    <row r="242" spans="1:4" x14ac:dyDescent="0.3">
      <c r="A242" t="str">
        <f>Pop[[#This Row],[State]]&amp;" "&amp;Pop[[#This Row],[County]]</f>
        <v>CA San Luis Obispo</v>
      </c>
      <c r="B242" t="s">
        <v>297</v>
      </c>
      <c r="C242" s="30" t="s">
        <v>460</v>
      </c>
      <c r="D242" s="14">
        <v>269637</v>
      </c>
    </row>
    <row r="243" spans="1:4" x14ac:dyDescent="0.3">
      <c r="A243" t="str">
        <f>Pop[[#This Row],[State]]&amp;" "&amp;Pop[[#This Row],[County]]</f>
        <v>CA San Mateo</v>
      </c>
      <c r="B243" t="s">
        <v>297</v>
      </c>
      <c r="C243" s="30" t="s">
        <v>461</v>
      </c>
      <c r="D243" s="14">
        <v>718451</v>
      </c>
    </row>
    <row r="244" spans="1:4" x14ac:dyDescent="0.3">
      <c r="A244" t="str">
        <f>Pop[[#This Row],[State]]&amp;" "&amp;Pop[[#This Row],[County]]</f>
        <v>CA Santa Barbara</v>
      </c>
      <c r="B244" t="s">
        <v>297</v>
      </c>
      <c r="C244" s="30" t="s">
        <v>462</v>
      </c>
      <c r="D244" s="14">
        <v>423895</v>
      </c>
    </row>
    <row r="245" spans="1:4" x14ac:dyDescent="0.3">
      <c r="A245" t="str">
        <f>Pop[[#This Row],[State]]&amp;" "&amp;Pop[[#This Row],[County]]</f>
        <v>CA Santa Clara</v>
      </c>
      <c r="B245" t="s">
        <v>297</v>
      </c>
      <c r="C245" s="30" t="s">
        <v>463</v>
      </c>
      <c r="D245" s="14">
        <v>1781642</v>
      </c>
    </row>
    <row r="246" spans="1:4" x14ac:dyDescent="0.3">
      <c r="A246" t="str">
        <f>Pop[[#This Row],[State]]&amp;" "&amp;Pop[[#This Row],[County]]</f>
        <v>CA Santa Cruz</v>
      </c>
      <c r="B246" t="s">
        <v>297</v>
      </c>
      <c r="C246" s="30" t="s">
        <v>420</v>
      </c>
      <c r="D246" s="14">
        <v>262382</v>
      </c>
    </row>
    <row r="247" spans="1:4" x14ac:dyDescent="0.3">
      <c r="A247" t="str">
        <f>Pop[[#This Row],[State]]&amp;" "&amp;Pop[[#This Row],[County]]</f>
        <v>CA Shasta</v>
      </c>
      <c r="B247" t="s">
        <v>297</v>
      </c>
      <c r="C247" s="30" t="s">
        <v>464</v>
      </c>
      <c r="D247" s="14">
        <v>177223</v>
      </c>
    </row>
    <row r="248" spans="1:4" x14ac:dyDescent="0.3">
      <c r="A248" t="str">
        <f>Pop[[#This Row],[State]]&amp;" "&amp;Pop[[#This Row],[County]]</f>
        <v>CA Sierra</v>
      </c>
      <c r="B248" t="s">
        <v>297</v>
      </c>
      <c r="C248" s="30" t="s">
        <v>465</v>
      </c>
      <c r="D248" s="14">
        <v>3240</v>
      </c>
    </row>
    <row r="249" spans="1:4" x14ac:dyDescent="0.3">
      <c r="A249" t="str">
        <f>Pop[[#This Row],[State]]&amp;" "&amp;Pop[[#This Row],[County]]</f>
        <v>CA Siskiyou</v>
      </c>
      <c r="B249" t="s">
        <v>297</v>
      </c>
      <c r="C249" s="30" t="s">
        <v>466</v>
      </c>
      <c r="D249" s="14">
        <v>44900</v>
      </c>
    </row>
    <row r="250" spans="1:4" x14ac:dyDescent="0.3">
      <c r="A250" t="str">
        <f>Pop[[#This Row],[State]]&amp;" "&amp;Pop[[#This Row],[County]]</f>
        <v>CA Solano</v>
      </c>
      <c r="B250" t="s">
        <v>297</v>
      </c>
      <c r="C250" s="30" t="s">
        <v>467</v>
      </c>
      <c r="D250" s="14">
        <v>413344</v>
      </c>
    </row>
    <row r="251" spans="1:4" x14ac:dyDescent="0.3">
      <c r="A251" t="str">
        <f>Pop[[#This Row],[State]]&amp;" "&amp;Pop[[#This Row],[County]]</f>
        <v>CA Sonoma</v>
      </c>
      <c r="B251" t="s">
        <v>297</v>
      </c>
      <c r="C251" s="30" t="s">
        <v>468</v>
      </c>
      <c r="D251" s="14">
        <v>483878</v>
      </c>
    </row>
    <row r="252" spans="1:4" x14ac:dyDescent="0.3">
      <c r="A252" t="str">
        <f>Pop[[#This Row],[State]]&amp;" "&amp;Pop[[#This Row],[County]]</f>
        <v>CA Stanislaus</v>
      </c>
      <c r="B252" t="s">
        <v>297</v>
      </c>
      <c r="C252" s="30" t="s">
        <v>469</v>
      </c>
      <c r="D252" s="14">
        <v>514453</v>
      </c>
    </row>
    <row r="253" spans="1:4" x14ac:dyDescent="0.3">
      <c r="A253" t="str">
        <f>Pop[[#This Row],[State]]&amp;" "&amp;Pop[[#This Row],[County]]</f>
        <v>CA Sutter</v>
      </c>
      <c r="B253" t="s">
        <v>297</v>
      </c>
      <c r="C253" s="30" t="s">
        <v>470</v>
      </c>
      <c r="D253" s="14">
        <v>94737</v>
      </c>
    </row>
    <row r="254" spans="1:4" x14ac:dyDescent="0.3">
      <c r="A254" t="str">
        <f>Pop[[#This Row],[State]]&amp;" "&amp;Pop[[#This Row],[County]]</f>
        <v>CA Tehama</v>
      </c>
      <c r="B254" t="s">
        <v>297</v>
      </c>
      <c r="C254" s="30" t="s">
        <v>471</v>
      </c>
      <c r="D254" s="14">
        <v>63463</v>
      </c>
    </row>
    <row r="255" spans="1:4" x14ac:dyDescent="0.3">
      <c r="A255" t="str">
        <f>Pop[[#This Row],[State]]&amp;" "&amp;Pop[[#This Row],[County]]</f>
        <v>CA Trinity</v>
      </c>
      <c r="B255" t="s">
        <v>297</v>
      </c>
      <c r="C255" s="30" t="s">
        <v>472</v>
      </c>
      <c r="D255" s="14">
        <v>13786</v>
      </c>
    </row>
    <row r="256" spans="1:4" x14ac:dyDescent="0.3">
      <c r="A256" t="str">
        <f>Pop[[#This Row],[State]]&amp;" "&amp;Pop[[#This Row],[County]]</f>
        <v>CA Tulare</v>
      </c>
      <c r="B256" t="s">
        <v>297</v>
      </c>
      <c r="C256" s="30" t="s">
        <v>473</v>
      </c>
      <c r="D256" s="14">
        <v>442179</v>
      </c>
    </row>
    <row r="257" spans="1:4" x14ac:dyDescent="0.3">
      <c r="A257" t="str">
        <f>Pop[[#This Row],[State]]&amp;" "&amp;Pop[[#This Row],[County]]</f>
        <v>CA Tuolumne</v>
      </c>
      <c r="B257" t="s">
        <v>297</v>
      </c>
      <c r="C257" s="30" t="s">
        <v>474</v>
      </c>
      <c r="D257" s="14">
        <v>55365</v>
      </c>
    </row>
    <row r="258" spans="1:4" x14ac:dyDescent="0.3">
      <c r="A258" t="str">
        <f>Pop[[#This Row],[State]]&amp;" "&amp;Pop[[#This Row],[County]]</f>
        <v>CA Ventura</v>
      </c>
      <c r="B258" t="s">
        <v>297</v>
      </c>
      <c r="C258" s="30" t="s">
        <v>475</v>
      </c>
      <c r="D258" s="14">
        <v>823318</v>
      </c>
    </row>
    <row r="259" spans="1:4" x14ac:dyDescent="0.3">
      <c r="A259" t="str">
        <f>Pop[[#This Row],[State]]&amp;" "&amp;Pop[[#This Row],[County]]</f>
        <v>CA Yolo</v>
      </c>
      <c r="B259" t="s">
        <v>297</v>
      </c>
      <c r="C259" s="30" t="s">
        <v>476</v>
      </c>
      <c r="D259" s="14">
        <v>200849</v>
      </c>
    </row>
    <row r="260" spans="1:4" x14ac:dyDescent="0.3">
      <c r="A260" t="str">
        <f>Pop[[#This Row],[State]]&amp;" "&amp;Pop[[#This Row],[County]]</f>
        <v>CA Yuba</v>
      </c>
      <c r="B260" t="s">
        <v>297</v>
      </c>
      <c r="C260" s="30" t="s">
        <v>477</v>
      </c>
      <c r="D260" s="14">
        <v>72155</v>
      </c>
    </row>
    <row r="261" spans="1:4" x14ac:dyDescent="0.3">
      <c r="A261" s="1" t="str">
        <f>Pop[[#This Row],[State]]&amp;" "&amp;Pop[[#This Row],[County]]</f>
        <v>CA State Agencies</v>
      </c>
      <c r="B261" t="s">
        <v>297</v>
      </c>
      <c r="C261" s="30" t="s">
        <v>243</v>
      </c>
      <c r="D261" s="16" t="s">
        <v>244</v>
      </c>
    </row>
    <row r="262" spans="1:4" x14ac:dyDescent="0.3">
      <c r="A262" s="1" t="str">
        <f>Pop[[#This Row],[State]]&amp;" "&amp;Pop[[#This Row],[County]]</f>
        <v>CA Grand Total</v>
      </c>
      <c r="B262" t="s">
        <v>297</v>
      </c>
      <c r="C262" s="30" t="s">
        <v>67</v>
      </c>
      <c r="D262" s="16">
        <v>37253956</v>
      </c>
    </row>
    <row r="263" spans="1:4" x14ac:dyDescent="0.3">
      <c r="A263" t="str">
        <f>Pop[[#This Row],[State]]&amp;" "&amp;Pop[[#This Row],[County]]</f>
        <v>CO Adams</v>
      </c>
      <c r="B263" t="s">
        <v>274</v>
      </c>
      <c r="C263" s="30" t="s">
        <v>478</v>
      </c>
      <c r="D263" s="14">
        <v>441603</v>
      </c>
    </row>
    <row r="264" spans="1:4" x14ac:dyDescent="0.3">
      <c r="A264" t="str">
        <f>Pop[[#This Row],[State]]&amp;" "&amp;Pop[[#This Row],[County]]</f>
        <v>CO Alamosa</v>
      </c>
      <c r="B264" t="s">
        <v>274</v>
      </c>
      <c r="C264" s="30" t="s">
        <v>479</v>
      </c>
      <c r="D264" s="14">
        <v>15445</v>
      </c>
    </row>
    <row r="265" spans="1:4" x14ac:dyDescent="0.3">
      <c r="A265" t="str">
        <f>Pop[[#This Row],[State]]&amp;" "&amp;Pop[[#This Row],[County]]</f>
        <v>CO Arapahoe</v>
      </c>
      <c r="B265" t="s">
        <v>274</v>
      </c>
      <c r="C265" s="30" t="s">
        <v>480</v>
      </c>
      <c r="D265" s="1">
        <v>572003</v>
      </c>
    </row>
    <row r="266" spans="1:4" x14ac:dyDescent="0.3">
      <c r="A266" t="str">
        <f>Pop[[#This Row],[State]]&amp;" "&amp;Pop[[#This Row],[County]]</f>
        <v>CO Archuleta</v>
      </c>
      <c r="B266" t="s">
        <v>274</v>
      </c>
      <c r="C266" s="30" t="s">
        <v>481</v>
      </c>
      <c r="D266" s="14">
        <v>12084</v>
      </c>
    </row>
    <row r="267" spans="1:4" x14ac:dyDescent="0.3">
      <c r="A267" t="str">
        <f>Pop[[#This Row],[State]]&amp;" "&amp;Pop[[#This Row],[County]]</f>
        <v>CO Baca</v>
      </c>
      <c r="B267" t="s">
        <v>274</v>
      </c>
      <c r="C267" s="30" t="s">
        <v>482</v>
      </c>
      <c r="D267" s="14">
        <v>3788</v>
      </c>
    </row>
    <row r="268" spans="1:4" x14ac:dyDescent="0.3">
      <c r="A268" t="str">
        <f>Pop[[#This Row],[State]]&amp;" "&amp;Pop[[#This Row],[County]]</f>
        <v>CO Bent</v>
      </c>
      <c r="B268" t="s">
        <v>274</v>
      </c>
      <c r="C268" s="30" t="s">
        <v>483</v>
      </c>
      <c r="D268" s="14">
        <v>6499</v>
      </c>
    </row>
    <row r="269" spans="1:4" x14ac:dyDescent="0.3">
      <c r="A269" t="str">
        <f>Pop[[#This Row],[State]]&amp;" "&amp;Pop[[#This Row],[County]]</f>
        <v>CO Boulder</v>
      </c>
      <c r="B269" t="s">
        <v>274</v>
      </c>
      <c r="C269" s="30" t="s">
        <v>484</v>
      </c>
      <c r="D269" s="14">
        <v>294567</v>
      </c>
    </row>
    <row r="270" spans="1:4" x14ac:dyDescent="0.3">
      <c r="A270" t="str">
        <f>Pop[[#This Row],[State]]&amp;" "&amp;Pop[[#This Row],[County]]</f>
        <v>CO Broomfield</v>
      </c>
      <c r="B270" t="s">
        <v>274</v>
      </c>
      <c r="C270" s="30" t="s">
        <v>485</v>
      </c>
      <c r="D270" s="14">
        <v>55889</v>
      </c>
    </row>
    <row r="271" spans="1:4" x14ac:dyDescent="0.3">
      <c r="A271" t="str">
        <f>Pop[[#This Row],[State]]&amp;" "&amp;Pop[[#This Row],[County]]</f>
        <v>CO Chaffee</v>
      </c>
      <c r="B271" t="s">
        <v>274</v>
      </c>
      <c r="C271" s="30" t="s">
        <v>486</v>
      </c>
      <c r="D271" s="14">
        <v>17809</v>
      </c>
    </row>
    <row r="272" spans="1:4" x14ac:dyDescent="0.3">
      <c r="A272" t="str">
        <f>Pop[[#This Row],[State]]&amp;" "&amp;Pop[[#This Row],[County]]</f>
        <v>CO Cheyenne</v>
      </c>
      <c r="B272" t="s">
        <v>274</v>
      </c>
      <c r="C272" s="30" t="s">
        <v>487</v>
      </c>
      <c r="D272" s="14">
        <v>1836</v>
      </c>
    </row>
    <row r="273" spans="1:4" x14ac:dyDescent="0.3">
      <c r="A273" t="str">
        <f>Pop[[#This Row],[State]]&amp;" "&amp;Pop[[#This Row],[County]]</f>
        <v>CO Clear Creek</v>
      </c>
      <c r="B273" t="s">
        <v>274</v>
      </c>
      <c r="C273" s="30" t="s">
        <v>488</v>
      </c>
      <c r="D273" s="14">
        <v>9088</v>
      </c>
    </row>
    <row r="274" spans="1:4" x14ac:dyDescent="0.3">
      <c r="A274" t="str">
        <f>Pop[[#This Row],[State]]&amp;" "&amp;Pop[[#This Row],[County]]</f>
        <v>CO Conejos</v>
      </c>
      <c r="B274" t="s">
        <v>274</v>
      </c>
      <c r="C274" s="30" t="s">
        <v>489</v>
      </c>
      <c r="D274" s="14">
        <v>8256</v>
      </c>
    </row>
    <row r="275" spans="1:4" x14ac:dyDescent="0.3">
      <c r="A275" t="str">
        <f>Pop[[#This Row],[State]]&amp;" "&amp;Pop[[#This Row],[County]]</f>
        <v>CO Costilla</v>
      </c>
      <c r="B275" t="s">
        <v>274</v>
      </c>
      <c r="C275" s="30" t="s">
        <v>490</v>
      </c>
      <c r="D275" s="14">
        <v>3524</v>
      </c>
    </row>
    <row r="276" spans="1:4" x14ac:dyDescent="0.3">
      <c r="A276" t="str">
        <f>Pop[[#This Row],[State]]&amp;" "&amp;Pop[[#This Row],[County]]</f>
        <v>CO Crowley</v>
      </c>
      <c r="B276" t="s">
        <v>274</v>
      </c>
      <c r="C276" s="30" t="s">
        <v>491</v>
      </c>
      <c r="D276" s="14">
        <v>5823</v>
      </c>
    </row>
    <row r="277" spans="1:4" x14ac:dyDescent="0.3">
      <c r="A277" t="str">
        <f>Pop[[#This Row],[State]]&amp;" "&amp;Pop[[#This Row],[County]]</f>
        <v>CO Custer</v>
      </c>
      <c r="B277" t="s">
        <v>274</v>
      </c>
      <c r="C277" s="30" t="s">
        <v>492</v>
      </c>
      <c r="D277" s="14">
        <v>4255</v>
      </c>
    </row>
    <row r="278" spans="1:4" x14ac:dyDescent="0.3">
      <c r="A278" t="str">
        <f>Pop[[#This Row],[State]]&amp;" "&amp;Pop[[#This Row],[County]]</f>
        <v>CO Delta</v>
      </c>
      <c r="B278" t="s">
        <v>274</v>
      </c>
      <c r="C278" s="30" t="s">
        <v>493</v>
      </c>
      <c r="D278" s="14">
        <v>30952</v>
      </c>
    </row>
    <row r="279" spans="1:4" x14ac:dyDescent="0.3">
      <c r="A279" t="str">
        <f>Pop[[#This Row],[State]]&amp;" "&amp;Pop[[#This Row],[County]]</f>
        <v>CO Denver</v>
      </c>
      <c r="B279" t="s">
        <v>274</v>
      </c>
      <c r="C279" s="30" t="s">
        <v>494</v>
      </c>
      <c r="D279" s="1">
        <v>600158</v>
      </c>
    </row>
    <row r="280" spans="1:4" x14ac:dyDescent="0.3">
      <c r="A280" t="str">
        <f>Pop[[#This Row],[State]]&amp;" "&amp;Pop[[#This Row],[County]]</f>
        <v>CO Dolores</v>
      </c>
      <c r="B280" t="s">
        <v>274</v>
      </c>
      <c r="C280" s="30" t="s">
        <v>495</v>
      </c>
      <c r="D280" s="14">
        <v>2064</v>
      </c>
    </row>
    <row r="281" spans="1:4" x14ac:dyDescent="0.3">
      <c r="A281" t="str">
        <f>Pop[[#This Row],[State]]&amp;" "&amp;Pop[[#This Row],[County]]</f>
        <v>CO Douglas</v>
      </c>
      <c r="B281" t="s">
        <v>274</v>
      </c>
      <c r="C281" s="30" t="s">
        <v>496</v>
      </c>
      <c r="D281" s="14">
        <v>285465</v>
      </c>
    </row>
    <row r="282" spans="1:4" x14ac:dyDescent="0.3">
      <c r="A282" t="str">
        <f>Pop[[#This Row],[State]]&amp;" "&amp;Pop[[#This Row],[County]]</f>
        <v>CO Eagle</v>
      </c>
      <c r="B282" t="s">
        <v>274</v>
      </c>
      <c r="C282" s="30" t="s">
        <v>497</v>
      </c>
      <c r="D282" s="14">
        <v>52197</v>
      </c>
    </row>
    <row r="283" spans="1:4" x14ac:dyDescent="0.3">
      <c r="A283" t="str">
        <f>Pop[[#This Row],[State]]&amp;" "&amp;Pop[[#This Row],[County]]</f>
        <v>CO El Paso</v>
      </c>
      <c r="B283" t="s">
        <v>274</v>
      </c>
      <c r="C283" s="30" t="s">
        <v>498</v>
      </c>
      <c r="D283" s="14">
        <v>622263</v>
      </c>
    </row>
    <row r="284" spans="1:4" x14ac:dyDescent="0.3">
      <c r="A284" t="str">
        <f>Pop[[#This Row],[State]]&amp;" "&amp;Pop[[#This Row],[County]]</f>
        <v>CO Elbert</v>
      </c>
      <c r="B284" t="s">
        <v>274</v>
      </c>
      <c r="C284" s="30" t="s">
        <v>499</v>
      </c>
      <c r="D284" s="14">
        <v>23086</v>
      </c>
    </row>
    <row r="285" spans="1:4" x14ac:dyDescent="0.3">
      <c r="A285" t="str">
        <f>Pop[[#This Row],[State]]&amp;" "&amp;Pop[[#This Row],[County]]</f>
        <v>CO Fremont</v>
      </c>
      <c r="B285" t="s">
        <v>274</v>
      </c>
      <c r="C285" s="30" t="s">
        <v>500</v>
      </c>
      <c r="D285" s="14">
        <v>46824</v>
      </c>
    </row>
    <row r="286" spans="1:4" x14ac:dyDescent="0.3">
      <c r="A286" t="str">
        <f>Pop[[#This Row],[State]]&amp;" "&amp;Pop[[#This Row],[County]]</f>
        <v>CO Garfield</v>
      </c>
      <c r="B286" t="s">
        <v>274</v>
      </c>
      <c r="C286" s="30" t="s">
        <v>501</v>
      </c>
      <c r="D286" s="14">
        <v>56389</v>
      </c>
    </row>
    <row r="287" spans="1:4" x14ac:dyDescent="0.3">
      <c r="A287" t="str">
        <f>Pop[[#This Row],[State]]&amp;" "&amp;Pop[[#This Row],[County]]</f>
        <v>CO Gilpin</v>
      </c>
      <c r="B287" t="s">
        <v>274</v>
      </c>
      <c r="C287" s="30" t="s">
        <v>502</v>
      </c>
      <c r="D287" s="14">
        <v>5441</v>
      </c>
    </row>
    <row r="288" spans="1:4" x14ac:dyDescent="0.3">
      <c r="A288" t="str">
        <f>Pop[[#This Row],[State]]&amp;" "&amp;Pop[[#This Row],[County]]</f>
        <v>CO Grand</v>
      </c>
      <c r="B288" t="s">
        <v>274</v>
      </c>
      <c r="C288" s="30" t="s">
        <v>503</v>
      </c>
      <c r="D288" s="14">
        <v>14843</v>
      </c>
    </row>
    <row r="289" spans="1:4" x14ac:dyDescent="0.3">
      <c r="A289" t="str">
        <f>Pop[[#This Row],[State]]&amp;" "&amp;Pop[[#This Row],[County]]</f>
        <v>CO Gunnison</v>
      </c>
      <c r="B289" t="s">
        <v>274</v>
      </c>
      <c r="C289" s="30" t="s">
        <v>504</v>
      </c>
      <c r="D289" s="14">
        <v>15324</v>
      </c>
    </row>
    <row r="290" spans="1:4" x14ac:dyDescent="0.3">
      <c r="A290" t="str">
        <f>Pop[[#This Row],[State]]&amp;" "&amp;Pop[[#This Row],[County]]</f>
        <v>CO Hinsdale</v>
      </c>
      <c r="B290" t="s">
        <v>274</v>
      </c>
      <c r="C290" s="30" t="s">
        <v>505</v>
      </c>
      <c r="D290" s="14">
        <v>843</v>
      </c>
    </row>
    <row r="291" spans="1:4" x14ac:dyDescent="0.3">
      <c r="A291" t="str">
        <f>Pop[[#This Row],[State]]&amp;" "&amp;Pop[[#This Row],[County]]</f>
        <v>CO Huerfano</v>
      </c>
      <c r="B291" t="s">
        <v>274</v>
      </c>
      <c r="C291" s="30" t="s">
        <v>506</v>
      </c>
      <c r="D291" s="14">
        <v>6711</v>
      </c>
    </row>
    <row r="292" spans="1:4" x14ac:dyDescent="0.3">
      <c r="A292" t="str">
        <f>Pop[[#This Row],[State]]&amp;" "&amp;Pop[[#This Row],[County]]</f>
        <v>CO Jackson</v>
      </c>
      <c r="B292" t="s">
        <v>274</v>
      </c>
      <c r="C292" s="30" t="s">
        <v>46</v>
      </c>
      <c r="D292" s="14">
        <v>1394</v>
      </c>
    </row>
    <row r="293" spans="1:4" x14ac:dyDescent="0.3">
      <c r="A293" t="str">
        <f>Pop[[#This Row],[State]]&amp;" "&amp;Pop[[#This Row],[County]]</f>
        <v>CO Jefferson</v>
      </c>
      <c r="B293" t="s">
        <v>274</v>
      </c>
      <c r="C293" s="30" t="s">
        <v>47</v>
      </c>
      <c r="D293" s="14">
        <v>534543</v>
      </c>
    </row>
    <row r="294" spans="1:4" x14ac:dyDescent="0.3">
      <c r="A294" t="str">
        <f>Pop[[#This Row],[State]]&amp;" "&amp;Pop[[#This Row],[County]]</f>
        <v>CO Kiowa</v>
      </c>
      <c r="B294" t="s">
        <v>274</v>
      </c>
      <c r="C294" s="30" t="s">
        <v>507</v>
      </c>
      <c r="D294" s="14">
        <v>1398</v>
      </c>
    </row>
    <row r="295" spans="1:4" x14ac:dyDescent="0.3">
      <c r="A295" t="str">
        <f>Pop[[#This Row],[State]]&amp;" "&amp;Pop[[#This Row],[County]]</f>
        <v>CO Kit Carson</v>
      </c>
      <c r="B295" t="s">
        <v>274</v>
      </c>
      <c r="C295" s="30" t="s">
        <v>508</v>
      </c>
      <c r="D295" s="14">
        <v>8270</v>
      </c>
    </row>
    <row r="296" spans="1:4" x14ac:dyDescent="0.3">
      <c r="A296" t="str">
        <f>Pop[[#This Row],[State]]&amp;" "&amp;Pop[[#This Row],[County]]</f>
        <v>CO La Plata</v>
      </c>
      <c r="B296" t="s">
        <v>274</v>
      </c>
      <c r="C296" s="30" t="s">
        <v>509</v>
      </c>
      <c r="D296" s="14">
        <v>51334</v>
      </c>
    </row>
    <row r="297" spans="1:4" x14ac:dyDescent="0.3">
      <c r="A297" t="str">
        <f>Pop[[#This Row],[State]]&amp;" "&amp;Pop[[#This Row],[County]]</f>
        <v>CO Lake</v>
      </c>
      <c r="B297" t="s">
        <v>274</v>
      </c>
      <c r="C297" s="30" t="s">
        <v>439</v>
      </c>
      <c r="D297" s="14">
        <v>7310</v>
      </c>
    </row>
    <row r="298" spans="1:4" x14ac:dyDescent="0.3">
      <c r="A298" t="str">
        <f>Pop[[#This Row],[State]]&amp;" "&amp;Pop[[#This Row],[County]]</f>
        <v>CO Larimer</v>
      </c>
      <c r="B298" t="s">
        <v>274</v>
      </c>
      <c r="C298" s="30" t="s">
        <v>510</v>
      </c>
      <c r="D298" s="14">
        <v>299630</v>
      </c>
    </row>
    <row r="299" spans="1:4" x14ac:dyDescent="0.3">
      <c r="A299" t="str">
        <f>Pop[[#This Row],[State]]&amp;" "&amp;Pop[[#This Row],[County]]</f>
        <v>CO Las Animas</v>
      </c>
      <c r="B299" t="s">
        <v>274</v>
      </c>
      <c r="C299" s="30" t="s">
        <v>511</v>
      </c>
      <c r="D299" s="14">
        <v>15507</v>
      </c>
    </row>
    <row r="300" spans="1:4" x14ac:dyDescent="0.3">
      <c r="A300" t="str">
        <f>Pop[[#This Row],[State]]&amp;" "&amp;Pop[[#This Row],[County]]</f>
        <v>CO Lincoln</v>
      </c>
      <c r="B300" t="s">
        <v>274</v>
      </c>
      <c r="C300" s="30" t="s">
        <v>378</v>
      </c>
      <c r="D300" s="14">
        <v>5467</v>
      </c>
    </row>
    <row r="301" spans="1:4" x14ac:dyDescent="0.3">
      <c r="A301" t="str">
        <f>Pop[[#This Row],[State]]&amp;" "&amp;Pop[[#This Row],[County]]</f>
        <v>CO Logan</v>
      </c>
      <c r="B301" t="s">
        <v>274</v>
      </c>
      <c r="C301" s="30" t="s">
        <v>380</v>
      </c>
      <c r="D301" s="14">
        <v>22709</v>
      </c>
    </row>
    <row r="302" spans="1:4" x14ac:dyDescent="0.3">
      <c r="A302" t="str">
        <f>Pop[[#This Row],[State]]&amp;" "&amp;Pop[[#This Row],[County]]</f>
        <v>CO Mesa</v>
      </c>
      <c r="B302" t="s">
        <v>274</v>
      </c>
      <c r="C302" s="30" t="s">
        <v>512</v>
      </c>
      <c r="D302" s="14">
        <v>146723</v>
      </c>
    </row>
    <row r="303" spans="1:4" x14ac:dyDescent="0.3">
      <c r="A303" t="str">
        <f>Pop[[#This Row],[State]]&amp;" "&amp;Pop[[#This Row],[County]]</f>
        <v>CO Mineral</v>
      </c>
      <c r="B303" t="s">
        <v>274</v>
      </c>
      <c r="C303" s="30" t="s">
        <v>513</v>
      </c>
      <c r="D303" s="14">
        <v>712</v>
      </c>
    </row>
    <row r="304" spans="1:4" x14ac:dyDescent="0.3">
      <c r="A304" t="str">
        <f>Pop[[#This Row],[State]]&amp;" "&amp;Pop[[#This Row],[County]]</f>
        <v>CO Moffat</v>
      </c>
      <c r="B304" t="s">
        <v>274</v>
      </c>
      <c r="C304" s="30" t="s">
        <v>514</v>
      </c>
      <c r="D304" s="14">
        <v>13795</v>
      </c>
    </row>
    <row r="305" spans="1:4" x14ac:dyDescent="0.3">
      <c r="A305" t="str">
        <f>Pop[[#This Row],[State]]&amp;" "&amp;Pop[[#This Row],[County]]</f>
        <v>CO Montezuma</v>
      </c>
      <c r="B305" t="s">
        <v>274</v>
      </c>
      <c r="C305" s="30" t="s">
        <v>515</v>
      </c>
      <c r="D305" s="14">
        <v>25535</v>
      </c>
    </row>
    <row r="306" spans="1:4" x14ac:dyDescent="0.3">
      <c r="A306" t="str">
        <f>Pop[[#This Row],[State]]&amp;" "&amp;Pop[[#This Row],[County]]</f>
        <v>CO Montrose</v>
      </c>
      <c r="B306" t="s">
        <v>274</v>
      </c>
      <c r="C306" s="30" t="s">
        <v>516</v>
      </c>
      <c r="D306" s="14">
        <v>41276</v>
      </c>
    </row>
    <row r="307" spans="1:4" x14ac:dyDescent="0.3">
      <c r="A307" t="str">
        <f>Pop[[#This Row],[State]]&amp;" "&amp;Pop[[#This Row],[County]]</f>
        <v>CO Morgan</v>
      </c>
      <c r="B307" t="s">
        <v>274</v>
      </c>
      <c r="C307" s="30" t="s">
        <v>54</v>
      </c>
      <c r="D307" s="14">
        <v>28159</v>
      </c>
    </row>
    <row r="308" spans="1:4" x14ac:dyDescent="0.3">
      <c r="A308" t="str">
        <f>Pop[[#This Row],[State]]&amp;" "&amp;Pop[[#This Row],[County]]</f>
        <v>CO Otero</v>
      </c>
      <c r="B308" t="s">
        <v>274</v>
      </c>
      <c r="C308" s="30" t="s">
        <v>517</v>
      </c>
      <c r="D308" s="14">
        <v>18831</v>
      </c>
    </row>
    <row r="309" spans="1:4" x14ac:dyDescent="0.3">
      <c r="A309" t="str">
        <f>Pop[[#This Row],[State]]&amp;" "&amp;Pop[[#This Row],[County]]</f>
        <v>CO Ouray</v>
      </c>
      <c r="B309" t="s">
        <v>274</v>
      </c>
      <c r="C309" s="30" t="s">
        <v>518</v>
      </c>
      <c r="D309" s="14">
        <v>4436</v>
      </c>
    </row>
    <row r="310" spans="1:4" x14ac:dyDescent="0.3">
      <c r="A310" t="str">
        <f>Pop[[#This Row],[State]]&amp;" "&amp;Pop[[#This Row],[County]]</f>
        <v>CO Park</v>
      </c>
      <c r="B310" t="s">
        <v>274</v>
      </c>
      <c r="C310" s="30" t="s">
        <v>519</v>
      </c>
      <c r="D310" s="14">
        <v>16206</v>
      </c>
    </row>
    <row r="311" spans="1:4" x14ac:dyDescent="0.3">
      <c r="A311" t="str">
        <f>Pop[[#This Row],[State]]&amp;" "&amp;Pop[[#This Row],[County]]</f>
        <v>CO Phillips</v>
      </c>
      <c r="B311" t="s">
        <v>274</v>
      </c>
      <c r="C311" s="30" t="s">
        <v>385</v>
      </c>
      <c r="D311" s="14">
        <v>4442</v>
      </c>
    </row>
    <row r="312" spans="1:4" x14ac:dyDescent="0.3">
      <c r="A312" t="str">
        <f>Pop[[#This Row],[State]]&amp;" "&amp;Pop[[#This Row],[County]]</f>
        <v>CO Pitkin</v>
      </c>
      <c r="B312" t="s">
        <v>274</v>
      </c>
      <c r="C312" s="30" t="s">
        <v>520</v>
      </c>
      <c r="D312" s="14">
        <v>17148</v>
      </c>
    </row>
    <row r="313" spans="1:4" x14ac:dyDescent="0.3">
      <c r="A313" t="str">
        <f>Pop[[#This Row],[State]]&amp;" "&amp;Pop[[#This Row],[County]]</f>
        <v>CO Prowers</v>
      </c>
      <c r="B313" t="s">
        <v>274</v>
      </c>
      <c r="C313" s="30" t="s">
        <v>521</v>
      </c>
      <c r="D313" s="14">
        <v>12551</v>
      </c>
    </row>
    <row r="314" spans="1:4" x14ac:dyDescent="0.3">
      <c r="A314" t="str">
        <f>Pop[[#This Row],[State]]&amp;" "&amp;Pop[[#This Row],[County]]</f>
        <v>CO Pueblo</v>
      </c>
      <c r="B314" t="s">
        <v>274</v>
      </c>
      <c r="C314" s="30" t="s">
        <v>522</v>
      </c>
      <c r="D314" s="14">
        <v>159063</v>
      </c>
    </row>
    <row r="315" spans="1:4" x14ac:dyDescent="0.3">
      <c r="A315" t="str">
        <f>Pop[[#This Row],[State]]&amp;" "&amp;Pop[[#This Row],[County]]</f>
        <v>CO Rio Blanco</v>
      </c>
      <c r="B315" t="s">
        <v>274</v>
      </c>
      <c r="C315" s="30" t="s">
        <v>523</v>
      </c>
      <c r="D315" s="14">
        <v>6666</v>
      </c>
    </row>
    <row r="316" spans="1:4" x14ac:dyDescent="0.3">
      <c r="A316" s="1" t="str">
        <f>Pop[[#This Row],[State]]&amp;" "&amp;Pop[[#This Row],[County]]</f>
        <v>CO Rio Grande</v>
      </c>
      <c r="B316" t="s">
        <v>274</v>
      </c>
      <c r="C316" s="30" t="s">
        <v>524</v>
      </c>
      <c r="D316" s="16">
        <v>11982</v>
      </c>
    </row>
    <row r="317" spans="1:4" x14ac:dyDescent="0.3">
      <c r="A317" t="str">
        <f>Pop[[#This Row],[State]]&amp;" "&amp;Pop[[#This Row],[County]]</f>
        <v>CO Routt</v>
      </c>
      <c r="B317" t="s">
        <v>274</v>
      </c>
      <c r="C317" s="31" t="s">
        <v>525</v>
      </c>
      <c r="D317" s="14">
        <v>23509</v>
      </c>
    </row>
    <row r="318" spans="1:4" x14ac:dyDescent="0.3">
      <c r="A318" t="str">
        <f>Pop[[#This Row],[State]]&amp;" "&amp;Pop[[#This Row],[County]]</f>
        <v>CO Saguache</v>
      </c>
      <c r="B318" t="s">
        <v>274</v>
      </c>
      <c r="C318" s="30" t="s">
        <v>526</v>
      </c>
      <c r="D318" s="14">
        <v>6108</v>
      </c>
    </row>
    <row r="319" spans="1:4" x14ac:dyDescent="0.3">
      <c r="A319" t="str">
        <f>Pop[[#This Row],[State]]&amp;" "&amp;Pop[[#This Row],[County]]</f>
        <v>CO San Juan</v>
      </c>
      <c r="B319" t="s">
        <v>274</v>
      </c>
      <c r="C319" s="30" t="s">
        <v>527</v>
      </c>
      <c r="D319" s="14">
        <v>699</v>
      </c>
    </row>
    <row r="320" spans="1:4" x14ac:dyDescent="0.3">
      <c r="A320" t="str">
        <f>Pop[[#This Row],[State]]&amp;" "&amp;Pop[[#This Row],[County]]</f>
        <v>CO San Miguel</v>
      </c>
      <c r="B320" t="s">
        <v>274</v>
      </c>
      <c r="C320" s="30" t="s">
        <v>528</v>
      </c>
      <c r="D320" s="14">
        <v>7359</v>
      </c>
    </row>
    <row r="321" spans="1:4" x14ac:dyDescent="0.3">
      <c r="A321" t="str">
        <f>Pop[[#This Row],[State]]&amp;" "&amp;Pop[[#This Row],[County]]</f>
        <v>CO Sedgwick</v>
      </c>
      <c r="B321" t="s">
        <v>274</v>
      </c>
      <c r="C321" s="30" t="s">
        <v>529</v>
      </c>
      <c r="D321" s="14">
        <v>2379</v>
      </c>
    </row>
    <row r="322" spans="1:4" x14ac:dyDescent="0.3">
      <c r="A322" t="str">
        <f>Pop[[#This Row],[State]]&amp;" "&amp;Pop[[#This Row],[County]]</f>
        <v>CO Summit</v>
      </c>
      <c r="B322" t="s">
        <v>274</v>
      </c>
      <c r="C322" s="30" t="s">
        <v>530</v>
      </c>
      <c r="D322" s="14">
        <v>27994</v>
      </c>
    </row>
    <row r="323" spans="1:4" x14ac:dyDescent="0.3">
      <c r="A323" t="str">
        <f>Pop[[#This Row],[State]]&amp;" "&amp;Pop[[#This Row],[County]]</f>
        <v>CO Teller</v>
      </c>
      <c r="B323" t="s">
        <v>274</v>
      </c>
      <c r="C323" s="30" t="s">
        <v>531</v>
      </c>
      <c r="D323" s="14">
        <v>23350</v>
      </c>
    </row>
    <row r="324" spans="1:4" x14ac:dyDescent="0.3">
      <c r="A324" t="str">
        <f>Pop[[#This Row],[State]]&amp;" "&amp;Pop[[#This Row],[County]]</f>
        <v>CO Washington</v>
      </c>
      <c r="B324" t="s">
        <v>274</v>
      </c>
      <c r="C324" s="30" t="s">
        <v>65</v>
      </c>
      <c r="D324" s="14">
        <v>4814</v>
      </c>
    </row>
    <row r="325" spans="1:4" x14ac:dyDescent="0.3">
      <c r="A325" t="str">
        <f>Pop[[#This Row],[State]]&amp;" "&amp;Pop[[#This Row],[County]]</f>
        <v>CO Weld</v>
      </c>
      <c r="B325" t="s">
        <v>274</v>
      </c>
      <c r="C325" s="30" t="s">
        <v>532</v>
      </c>
      <c r="D325" s="14">
        <v>252825</v>
      </c>
    </row>
    <row r="326" spans="1:4" x14ac:dyDescent="0.3">
      <c r="A326" t="str">
        <f>Pop[[#This Row],[State]]&amp;" "&amp;Pop[[#This Row],[County]]</f>
        <v>CO Yuma</v>
      </c>
      <c r="B326" t="s">
        <v>274</v>
      </c>
      <c r="C326" s="30" t="s">
        <v>422</v>
      </c>
      <c r="D326" s="14">
        <v>10043</v>
      </c>
    </row>
    <row r="327" spans="1:4" x14ac:dyDescent="0.3">
      <c r="A327" s="1" t="str">
        <f>Pop[[#This Row],[State]]&amp;" "&amp;Pop[[#This Row],[County]]</f>
        <v>CO State Agencies</v>
      </c>
      <c r="B327" t="s">
        <v>274</v>
      </c>
      <c r="C327" s="30" t="s">
        <v>243</v>
      </c>
      <c r="D327" s="16" t="s">
        <v>244</v>
      </c>
    </row>
    <row r="328" spans="1:4" x14ac:dyDescent="0.3">
      <c r="A328" s="1" t="str">
        <f>Pop[[#This Row],[State]]&amp;" "&amp;Pop[[#This Row],[County]]</f>
        <v>CO Grand Total</v>
      </c>
      <c r="B328" t="s">
        <v>274</v>
      </c>
      <c r="C328" s="30" t="s">
        <v>67</v>
      </c>
      <c r="D328" s="16">
        <v>5029196</v>
      </c>
    </row>
    <row r="329" spans="1:4" x14ac:dyDescent="0.3">
      <c r="A329" t="str">
        <f>Pop[[#This Row],[State]]&amp;" "&amp;Pop[[#This Row],[County]]</f>
        <v>CT Fairfield</v>
      </c>
      <c r="B329" t="s">
        <v>149</v>
      </c>
      <c r="C329" s="30" t="s">
        <v>533</v>
      </c>
      <c r="D329" s="14">
        <v>916829</v>
      </c>
    </row>
    <row r="330" spans="1:4" x14ac:dyDescent="0.3">
      <c r="A330" t="str">
        <f>Pop[[#This Row],[State]]&amp;" "&amp;Pop[[#This Row],[County]]</f>
        <v>CT Hartford</v>
      </c>
      <c r="B330" t="s">
        <v>149</v>
      </c>
      <c r="C330" s="30" t="s">
        <v>534</v>
      </c>
      <c r="D330" s="14">
        <v>894014</v>
      </c>
    </row>
    <row r="331" spans="1:4" x14ac:dyDescent="0.3">
      <c r="A331" t="str">
        <f>Pop[[#This Row],[State]]&amp;" "&amp;Pop[[#This Row],[County]]</f>
        <v>CT Litchfield</v>
      </c>
      <c r="B331" t="s">
        <v>149</v>
      </c>
      <c r="C331" s="30" t="s">
        <v>535</v>
      </c>
      <c r="D331" s="14">
        <v>189927</v>
      </c>
    </row>
    <row r="332" spans="1:4" x14ac:dyDescent="0.3">
      <c r="A332" t="str">
        <f>Pop[[#This Row],[State]]&amp;" "&amp;Pop[[#This Row],[County]]</f>
        <v>CT Middlesex</v>
      </c>
      <c r="B332" t="s">
        <v>149</v>
      </c>
      <c r="C332" s="30" t="s">
        <v>536</v>
      </c>
      <c r="D332" s="14">
        <v>165676</v>
      </c>
    </row>
    <row r="333" spans="1:4" x14ac:dyDescent="0.3">
      <c r="A333" t="str">
        <f>Pop[[#This Row],[State]]&amp;" "&amp;Pop[[#This Row],[County]]</f>
        <v>CT New Haven</v>
      </c>
      <c r="B333" t="s">
        <v>149</v>
      </c>
      <c r="C333" s="30" t="s">
        <v>537</v>
      </c>
      <c r="D333" s="14">
        <v>862477</v>
      </c>
    </row>
    <row r="334" spans="1:4" x14ac:dyDescent="0.3">
      <c r="A334" t="str">
        <f>Pop[[#This Row],[State]]&amp;" "&amp;Pop[[#This Row],[County]]</f>
        <v>CT New London</v>
      </c>
      <c r="B334" t="s">
        <v>149</v>
      </c>
      <c r="C334" s="30" t="s">
        <v>538</v>
      </c>
      <c r="D334" s="14">
        <v>274055</v>
      </c>
    </row>
    <row r="335" spans="1:4" x14ac:dyDescent="0.3">
      <c r="A335" t="str">
        <f>Pop[[#This Row],[State]]&amp;" "&amp;Pop[[#This Row],[County]]</f>
        <v>CT Tolland</v>
      </c>
      <c r="B335" t="s">
        <v>149</v>
      </c>
      <c r="C335" s="30" t="s">
        <v>539</v>
      </c>
      <c r="D335" s="14">
        <v>152691</v>
      </c>
    </row>
    <row r="336" spans="1:4" x14ac:dyDescent="0.3">
      <c r="A336" t="str">
        <f>Pop[[#This Row],[State]]&amp;" "&amp;Pop[[#This Row],[County]]</f>
        <v>CT Windham</v>
      </c>
      <c r="B336" t="s">
        <v>149</v>
      </c>
      <c r="C336" s="30" t="s">
        <v>540</v>
      </c>
      <c r="D336" s="14">
        <v>118428</v>
      </c>
    </row>
    <row r="337" spans="1:4" x14ac:dyDescent="0.3">
      <c r="A337" s="1" t="str">
        <f>Pop[[#This Row],[State]]&amp;" "&amp;Pop[[#This Row],[County]]</f>
        <v>CT State Agencies</v>
      </c>
      <c r="B337" t="s">
        <v>149</v>
      </c>
      <c r="C337" s="30" t="s">
        <v>243</v>
      </c>
      <c r="D337" s="16" t="s">
        <v>244</v>
      </c>
    </row>
    <row r="338" spans="1:4" x14ac:dyDescent="0.3">
      <c r="A338" s="1" t="str">
        <f>Pop[[#This Row],[State]]&amp;" "&amp;Pop[[#This Row],[County]]</f>
        <v>CT Grand Total</v>
      </c>
      <c r="B338" t="s">
        <v>149</v>
      </c>
      <c r="C338" s="30" t="s">
        <v>67</v>
      </c>
      <c r="D338" s="16">
        <v>3574097</v>
      </c>
    </row>
    <row r="339" spans="1:4" x14ac:dyDescent="0.3">
      <c r="A339" t="str">
        <f>Pop[[#This Row],[State]]&amp;" "&amp;Pop[[#This Row],[County]]</f>
        <v>DC District of Columbia</v>
      </c>
      <c r="B339" t="s">
        <v>187</v>
      </c>
      <c r="C339" s="30" t="s">
        <v>188</v>
      </c>
      <c r="D339" s="1">
        <v>601723</v>
      </c>
    </row>
    <row r="340" spans="1:4" x14ac:dyDescent="0.3">
      <c r="A340" s="1" t="str">
        <f>Pop[[#This Row],[State]]&amp;" "&amp;Pop[[#This Row],[County]]</f>
        <v>DC State Agencies</v>
      </c>
      <c r="B340" t="s">
        <v>187</v>
      </c>
      <c r="C340" s="30" t="s">
        <v>243</v>
      </c>
      <c r="D340" s="16" t="s">
        <v>244</v>
      </c>
    </row>
    <row r="341" spans="1:4" x14ac:dyDescent="0.3">
      <c r="A341" s="1" t="str">
        <f>Pop[[#This Row],[State]]&amp;" "&amp;Pop[[#This Row],[County]]</f>
        <v>DC Grand Total</v>
      </c>
      <c r="B341" t="s">
        <v>187</v>
      </c>
      <c r="C341" s="30" t="s">
        <v>67</v>
      </c>
      <c r="D341" s="16">
        <v>601723</v>
      </c>
    </row>
    <row r="342" spans="1:4" x14ac:dyDescent="0.3">
      <c r="A342" t="str">
        <f>Pop[[#This Row],[State]]&amp;" "&amp;Pop[[#This Row],[County]]</f>
        <v>DE Kent</v>
      </c>
      <c r="B342" t="s">
        <v>190</v>
      </c>
      <c r="C342" s="30" t="s">
        <v>541</v>
      </c>
      <c r="D342" s="14">
        <v>162310</v>
      </c>
    </row>
    <row r="343" spans="1:4" x14ac:dyDescent="0.3">
      <c r="A343" t="str">
        <f>Pop[[#This Row],[State]]&amp;" "&amp;Pop[[#This Row],[County]]</f>
        <v>DE New Castle</v>
      </c>
      <c r="B343" t="s">
        <v>190</v>
      </c>
      <c r="C343" s="30" t="s">
        <v>542</v>
      </c>
      <c r="D343" s="14">
        <v>538479</v>
      </c>
    </row>
    <row r="344" spans="1:4" x14ac:dyDescent="0.3">
      <c r="A344" t="str">
        <f>Pop[[#This Row],[State]]&amp;" "&amp;Pop[[#This Row],[County]]</f>
        <v>DE Sussex</v>
      </c>
      <c r="B344" t="s">
        <v>190</v>
      </c>
      <c r="C344" s="30" t="s">
        <v>543</v>
      </c>
      <c r="D344" s="14">
        <v>197145</v>
      </c>
    </row>
    <row r="345" spans="1:4" x14ac:dyDescent="0.3">
      <c r="A345" s="1" t="str">
        <f>Pop[[#This Row],[State]]&amp;" "&amp;Pop[[#This Row],[County]]</f>
        <v>DE State Agencies</v>
      </c>
      <c r="B345" t="s">
        <v>190</v>
      </c>
      <c r="C345" s="30" t="s">
        <v>243</v>
      </c>
      <c r="D345" s="16" t="s">
        <v>244</v>
      </c>
    </row>
    <row r="346" spans="1:4" x14ac:dyDescent="0.3">
      <c r="A346" s="1" t="str">
        <f>Pop[[#This Row],[State]]&amp;" "&amp;Pop[[#This Row],[County]]</f>
        <v>DE Grand Total</v>
      </c>
      <c r="B346" t="s">
        <v>190</v>
      </c>
      <c r="C346" s="30" t="s">
        <v>67</v>
      </c>
      <c r="D346" s="16">
        <v>897934</v>
      </c>
    </row>
    <row r="347" spans="1:4" x14ac:dyDescent="0.3">
      <c r="A347" t="str">
        <f>Pop[[#This Row],[State]]&amp;" "&amp;Pop[[#This Row],[County]]</f>
        <v>FL Alachua</v>
      </c>
      <c r="B347" t="s">
        <v>210</v>
      </c>
      <c r="C347" s="30" t="s">
        <v>544</v>
      </c>
      <c r="D347" s="14">
        <v>278468</v>
      </c>
    </row>
    <row r="348" spans="1:4" x14ac:dyDescent="0.3">
      <c r="A348" t="str">
        <f>Pop[[#This Row],[State]]&amp;" "&amp;Pop[[#This Row],[County]]</f>
        <v>FL Baker</v>
      </c>
      <c r="B348" t="s">
        <v>210</v>
      </c>
      <c r="C348" s="30" t="s">
        <v>545</v>
      </c>
      <c r="D348" s="14">
        <v>28259</v>
      </c>
    </row>
    <row r="349" spans="1:4" x14ac:dyDescent="0.3">
      <c r="A349" t="str">
        <f>Pop[[#This Row],[State]]&amp;" "&amp;Pop[[#This Row],[County]]</f>
        <v>FL Bay</v>
      </c>
      <c r="B349" t="s">
        <v>210</v>
      </c>
      <c r="C349" s="30" t="s">
        <v>546</v>
      </c>
      <c r="D349" s="14">
        <v>175216</v>
      </c>
    </row>
    <row r="350" spans="1:4" x14ac:dyDescent="0.3">
      <c r="A350" t="str">
        <f>Pop[[#This Row],[State]]&amp;" "&amp;Pop[[#This Row],[County]]</f>
        <v>FL Bradford</v>
      </c>
      <c r="B350" t="s">
        <v>210</v>
      </c>
      <c r="C350" s="30" t="s">
        <v>547</v>
      </c>
      <c r="D350" s="14">
        <v>28303</v>
      </c>
    </row>
    <row r="351" spans="1:4" x14ac:dyDescent="0.3">
      <c r="A351" t="str">
        <f>Pop[[#This Row],[State]]&amp;" "&amp;Pop[[#This Row],[County]]</f>
        <v>FL Brevard</v>
      </c>
      <c r="B351" t="s">
        <v>210</v>
      </c>
      <c r="C351" s="30" t="s">
        <v>548</v>
      </c>
      <c r="D351" s="14">
        <v>606612</v>
      </c>
    </row>
    <row r="352" spans="1:4" x14ac:dyDescent="0.3">
      <c r="A352" t="str">
        <f>Pop[[#This Row],[State]]&amp;" "&amp;Pop[[#This Row],[County]]</f>
        <v>FL Broward</v>
      </c>
      <c r="B352" t="s">
        <v>210</v>
      </c>
      <c r="C352" s="30" t="s">
        <v>549</v>
      </c>
      <c r="D352" s="14">
        <v>1944375</v>
      </c>
    </row>
    <row r="353" spans="1:4" x14ac:dyDescent="0.3">
      <c r="A353" t="str">
        <f>Pop[[#This Row],[State]]&amp;" "&amp;Pop[[#This Row],[County]]</f>
        <v>FL Calhoun</v>
      </c>
      <c r="B353" t="s">
        <v>210</v>
      </c>
      <c r="C353" s="30" t="s">
        <v>270</v>
      </c>
      <c r="D353" s="14">
        <v>13648</v>
      </c>
    </row>
    <row r="354" spans="1:4" x14ac:dyDescent="0.3">
      <c r="A354" t="str">
        <f>Pop[[#This Row],[State]]&amp;" "&amp;Pop[[#This Row],[County]]</f>
        <v>FL Charlotte</v>
      </c>
      <c r="B354" t="s">
        <v>210</v>
      </c>
      <c r="C354" s="30" t="s">
        <v>550</v>
      </c>
      <c r="D354" s="14">
        <v>186847</v>
      </c>
    </row>
    <row r="355" spans="1:4" x14ac:dyDescent="0.3">
      <c r="A355" t="str">
        <f>Pop[[#This Row],[State]]&amp;" "&amp;Pop[[#This Row],[County]]</f>
        <v>FL Citrus</v>
      </c>
      <c r="B355" t="s">
        <v>210</v>
      </c>
      <c r="C355" s="30" t="s">
        <v>551</v>
      </c>
      <c r="D355" s="14">
        <v>153843</v>
      </c>
    </row>
    <row r="356" spans="1:4" x14ac:dyDescent="0.3">
      <c r="A356" t="str">
        <f>Pop[[#This Row],[State]]&amp;" "&amp;Pop[[#This Row],[County]]</f>
        <v>FL Clay</v>
      </c>
      <c r="B356" t="s">
        <v>210</v>
      </c>
      <c r="C356" s="30" t="s">
        <v>39</v>
      </c>
      <c r="D356" s="14">
        <v>218245</v>
      </c>
    </row>
    <row r="357" spans="1:4" x14ac:dyDescent="0.3">
      <c r="A357" t="str">
        <f>Pop[[#This Row],[State]]&amp;" "&amp;Pop[[#This Row],[County]]</f>
        <v>FL Collier</v>
      </c>
      <c r="B357" t="s">
        <v>210</v>
      </c>
      <c r="C357" s="30" t="s">
        <v>552</v>
      </c>
      <c r="D357" s="14">
        <v>375752</v>
      </c>
    </row>
    <row r="358" spans="1:4" x14ac:dyDescent="0.3">
      <c r="A358" t="str">
        <f>Pop[[#This Row],[State]]&amp;" "&amp;Pop[[#This Row],[County]]</f>
        <v>FL Columbia</v>
      </c>
      <c r="B358" t="s">
        <v>210</v>
      </c>
      <c r="C358" s="30" t="s">
        <v>360</v>
      </c>
      <c r="D358" s="14">
        <v>69698</v>
      </c>
    </row>
    <row r="359" spans="1:4" x14ac:dyDescent="0.3">
      <c r="A359" t="str">
        <f>Pop[[#This Row],[State]]&amp;" "&amp;Pop[[#This Row],[County]]</f>
        <v>FL DeSoto</v>
      </c>
      <c r="B359" t="s">
        <v>210</v>
      </c>
      <c r="C359" s="30" t="s">
        <v>553</v>
      </c>
      <c r="D359" s="14">
        <v>33976</v>
      </c>
    </row>
    <row r="360" spans="1:4" x14ac:dyDescent="0.3">
      <c r="A360" t="str">
        <f>Pop[[#This Row],[State]]&amp;" "&amp;Pop[[#This Row],[County]]</f>
        <v>FL Dixie</v>
      </c>
      <c r="B360" t="s">
        <v>210</v>
      </c>
      <c r="C360" s="30" t="s">
        <v>554</v>
      </c>
      <c r="D360" s="14">
        <v>16759</v>
      </c>
    </row>
    <row r="361" spans="1:4" x14ac:dyDescent="0.3">
      <c r="A361" t="str">
        <f>Pop[[#This Row],[State]]&amp;" "&amp;Pop[[#This Row],[County]]</f>
        <v>FL Duval</v>
      </c>
      <c r="B361" t="s">
        <v>210</v>
      </c>
      <c r="C361" s="30" t="s">
        <v>555</v>
      </c>
      <c r="D361" s="14">
        <v>995567</v>
      </c>
    </row>
    <row r="362" spans="1:4" x14ac:dyDescent="0.3">
      <c r="A362" t="str">
        <f>Pop[[#This Row],[State]]&amp;" "&amp;Pop[[#This Row],[County]]</f>
        <v>FL Escambia</v>
      </c>
      <c r="B362" t="s">
        <v>210</v>
      </c>
      <c r="C362" s="30" t="s">
        <v>324</v>
      </c>
      <c r="D362" s="14">
        <v>321905</v>
      </c>
    </row>
    <row r="363" spans="1:4" x14ac:dyDescent="0.3">
      <c r="A363" t="str">
        <f>Pop[[#This Row],[State]]&amp;" "&amp;Pop[[#This Row],[County]]</f>
        <v>FL Flagler</v>
      </c>
      <c r="B363" t="s">
        <v>210</v>
      </c>
      <c r="C363" s="30" t="s">
        <v>556</v>
      </c>
      <c r="D363" s="14">
        <v>115378</v>
      </c>
    </row>
    <row r="364" spans="1:4" x14ac:dyDescent="0.3">
      <c r="A364" t="str">
        <f>Pop[[#This Row],[State]]&amp;" "&amp;Pop[[#This Row],[County]]</f>
        <v>FL Franklin</v>
      </c>
      <c r="B364" t="s">
        <v>210</v>
      </c>
      <c r="C364" s="30" t="s">
        <v>43</v>
      </c>
      <c r="D364" s="14">
        <v>12451</v>
      </c>
    </row>
    <row r="365" spans="1:4" x14ac:dyDescent="0.3">
      <c r="A365" t="str">
        <f>Pop[[#This Row],[State]]&amp;" "&amp;Pop[[#This Row],[County]]</f>
        <v>FL Gadsden</v>
      </c>
      <c r="B365" t="s">
        <v>210</v>
      </c>
      <c r="C365" s="30" t="s">
        <v>557</v>
      </c>
      <c r="D365" s="14">
        <v>43826</v>
      </c>
    </row>
    <row r="366" spans="1:4" x14ac:dyDescent="0.3">
      <c r="A366" t="str">
        <f>Pop[[#This Row],[State]]&amp;" "&amp;Pop[[#This Row],[County]]</f>
        <v>FL Gilchrist</v>
      </c>
      <c r="B366" t="s">
        <v>210</v>
      </c>
      <c r="C366" s="30" t="s">
        <v>558</v>
      </c>
      <c r="D366" s="14">
        <v>17864</v>
      </c>
    </row>
    <row r="367" spans="1:4" x14ac:dyDescent="0.3">
      <c r="A367" t="str">
        <f>Pop[[#This Row],[State]]&amp;" "&amp;Pop[[#This Row],[County]]</f>
        <v>FL Glades</v>
      </c>
      <c r="B367" t="s">
        <v>210</v>
      </c>
      <c r="C367" s="30" t="s">
        <v>559</v>
      </c>
      <c r="D367" s="14">
        <v>12126</v>
      </c>
    </row>
    <row r="368" spans="1:4" x14ac:dyDescent="0.3">
      <c r="A368" t="str">
        <f>Pop[[#This Row],[State]]&amp;" "&amp;Pop[[#This Row],[County]]</f>
        <v>FL Gulf</v>
      </c>
      <c r="B368" t="s">
        <v>210</v>
      </c>
      <c r="C368" s="30" t="s">
        <v>560</v>
      </c>
      <c r="D368" s="14">
        <v>14192</v>
      </c>
    </row>
    <row r="369" spans="1:4" x14ac:dyDescent="0.3">
      <c r="A369" t="str">
        <f>Pop[[#This Row],[State]]&amp;" "&amp;Pop[[#This Row],[County]]</f>
        <v>FL Hamilton</v>
      </c>
      <c r="B369" t="s">
        <v>210</v>
      </c>
      <c r="C369" s="30" t="s">
        <v>561</v>
      </c>
      <c r="D369" s="14">
        <v>14004</v>
      </c>
    </row>
    <row r="370" spans="1:4" x14ac:dyDescent="0.3">
      <c r="A370" t="str">
        <f>Pop[[#This Row],[State]]&amp;" "&amp;Pop[[#This Row],[County]]</f>
        <v>FL Hardee</v>
      </c>
      <c r="B370" t="s">
        <v>210</v>
      </c>
      <c r="C370" s="30" t="s">
        <v>562</v>
      </c>
      <c r="D370" s="14">
        <v>25327</v>
      </c>
    </row>
    <row r="371" spans="1:4" x14ac:dyDescent="0.3">
      <c r="A371" t="str">
        <f>Pop[[#This Row],[State]]&amp;" "&amp;Pop[[#This Row],[County]]</f>
        <v>FL Hendry</v>
      </c>
      <c r="B371" t="s">
        <v>210</v>
      </c>
      <c r="C371" s="30" t="s">
        <v>563</v>
      </c>
      <c r="D371" s="14">
        <v>39619</v>
      </c>
    </row>
    <row r="372" spans="1:4" x14ac:dyDescent="0.3">
      <c r="A372" t="str">
        <f>Pop[[#This Row],[State]]&amp;" "&amp;Pop[[#This Row],[County]]</f>
        <v>FL Hernando</v>
      </c>
      <c r="B372" t="s">
        <v>210</v>
      </c>
      <c r="C372" s="30" t="s">
        <v>564</v>
      </c>
      <c r="D372" s="14">
        <v>194515</v>
      </c>
    </row>
    <row r="373" spans="1:4" x14ac:dyDescent="0.3">
      <c r="A373" t="str">
        <f>Pop[[#This Row],[State]]&amp;" "&amp;Pop[[#This Row],[County]]</f>
        <v>FL Highlands</v>
      </c>
      <c r="B373" t="s">
        <v>210</v>
      </c>
      <c r="C373" s="30" t="s">
        <v>565</v>
      </c>
      <c r="D373" s="14">
        <v>101235</v>
      </c>
    </row>
    <row r="374" spans="1:4" x14ac:dyDescent="0.3">
      <c r="A374" t="str">
        <f>Pop[[#This Row],[State]]&amp;" "&amp;Pop[[#This Row],[County]]</f>
        <v>FL Hillsborough</v>
      </c>
      <c r="B374" t="s">
        <v>210</v>
      </c>
      <c r="C374" s="30" t="s">
        <v>566</v>
      </c>
      <c r="D374" s="14">
        <v>1459762</v>
      </c>
    </row>
    <row r="375" spans="1:4" x14ac:dyDescent="0.3">
      <c r="A375" t="str">
        <f>Pop[[#This Row],[State]]&amp;" "&amp;Pop[[#This Row],[County]]</f>
        <v>FL Holmes</v>
      </c>
      <c r="B375" t="s">
        <v>210</v>
      </c>
      <c r="C375" s="30" t="s">
        <v>567</v>
      </c>
      <c r="D375" s="14">
        <v>19653</v>
      </c>
    </row>
    <row r="376" spans="1:4" x14ac:dyDescent="0.3">
      <c r="A376" t="str">
        <f>Pop[[#This Row],[State]]&amp;" "&amp;Pop[[#This Row],[County]]</f>
        <v>FL Indian River</v>
      </c>
      <c r="B376" t="s">
        <v>210</v>
      </c>
      <c r="C376" s="30" t="s">
        <v>568</v>
      </c>
      <c r="D376" s="14">
        <v>159788</v>
      </c>
    </row>
    <row r="377" spans="1:4" x14ac:dyDescent="0.3">
      <c r="A377" t="str">
        <f>Pop[[#This Row],[State]]&amp;" "&amp;Pop[[#This Row],[County]]</f>
        <v>FL Jackson</v>
      </c>
      <c r="B377" t="s">
        <v>210</v>
      </c>
      <c r="C377" s="30" t="s">
        <v>46</v>
      </c>
      <c r="D377" s="14">
        <v>47319</v>
      </c>
    </row>
    <row r="378" spans="1:4" x14ac:dyDescent="0.3">
      <c r="A378" t="str">
        <f>Pop[[#This Row],[State]]&amp;" "&amp;Pop[[#This Row],[County]]</f>
        <v>FL Jefferson</v>
      </c>
      <c r="B378" t="s">
        <v>210</v>
      </c>
      <c r="C378" s="30" t="s">
        <v>47</v>
      </c>
      <c r="D378" s="14">
        <v>14510</v>
      </c>
    </row>
    <row r="379" spans="1:4" x14ac:dyDescent="0.3">
      <c r="A379" t="str">
        <f>Pop[[#This Row],[State]]&amp;" "&amp;Pop[[#This Row],[County]]</f>
        <v>FL Lafayette</v>
      </c>
      <c r="B379" t="s">
        <v>210</v>
      </c>
      <c r="C379" s="30" t="s">
        <v>377</v>
      </c>
      <c r="D379" s="14">
        <v>8226</v>
      </c>
    </row>
    <row r="380" spans="1:4" x14ac:dyDescent="0.3">
      <c r="A380" t="str">
        <f>Pop[[#This Row],[State]]&amp;" "&amp;Pop[[#This Row],[County]]</f>
        <v>FL Lake</v>
      </c>
      <c r="B380" t="s">
        <v>210</v>
      </c>
      <c r="C380" s="30" t="s">
        <v>439</v>
      </c>
      <c r="D380" s="1">
        <v>383956</v>
      </c>
    </row>
    <row r="381" spans="1:4" x14ac:dyDescent="0.3">
      <c r="A381" t="str">
        <f>Pop[[#This Row],[State]]&amp;" "&amp;Pop[[#This Row],[County]]</f>
        <v>FL Lee</v>
      </c>
      <c r="B381" t="s">
        <v>210</v>
      </c>
      <c r="C381" s="30" t="s">
        <v>333</v>
      </c>
      <c r="D381" s="14">
        <v>760822</v>
      </c>
    </row>
    <row r="382" spans="1:4" x14ac:dyDescent="0.3">
      <c r="A382" t="str">
        <f>Pop[[#This Row],[State]]&amp;" "&amp;Pop[[#This Row],[County]]</f>
        <v>FL Leon</v>
      </c>
      <c r="B382" t="s">
        <v>210</v>
      </c>
      <c r="C382" s="30" t="s">
        <v>569</v>
      </c>
      <c r="D382" s="14">
        <v>292198</v>
      </c>
    </row>
    <row r="383" spans="1:4" x14ac:dyDescent="0.3">
      <c r="A383" t="str">
        <f>Pop[[#This Row],[State]]&amp;" "&amp;Pop[[#This Row],[County]]</f>
        <v>FL Levy</v>
      </c>
      <c r="B383" t="s">
        <v>210</v>
      </c>
      <c r="C383" s="30" t="s">
        <v>570</v>
      </c>
      <c r="D383" s="14">
        <v>42915</v>
      </c>
    </row>
    <row r="384" spans="1:4" x14ac:dyDescent="0.3">
      <c r="A384" t="str">
        <f>Pop[[#This Row],[State]]&amp;" "&amp;Pop[[#This Row],[County]]</f>
        <v>FL Liberty</v>
      </c>
      <c r="B384" t="s">
        <v>210</v>
      </c>
      <c r="C384" s="30" t="s">
        <v>571</v>
      </c>
      <c r="D384" s="14">
        <v>7974</v>
      </c>
    </row>
    <row r="385" spans="1:4" x14ac:dyDescent="0.3">
      <c r="A385" t="str">
        <f>Pop[[#This Row],[State]]&amp;" "&amp;Pop[[#This Row],[County]]</f>
        <v>FL Madison</v>
      </c>
      <c r="B385" t="s">
        <v>210</v>
      </c>
      <c r="C385" s="30" t="s">
        <v>49</v>
      </c>
      <c r="D385" s="14">
        <v>17968</v>
      </c>
    </row>
    <row r="386" spans="1:4" x14ac:dyDescent="0.3">
      <c r="A386" t="str">
        <f>Pop[[#This Row],[State]]&amp;" "&amp;Pop[[#This Row],[County]]</f>
        <v>FL Manatee</v>
      </c>
      <c r="B386" t="s">
        <v>210</v>
      </c>
      <c r="C386" s="30" t="s">
        <v>572</v>
      </c>
      <c r="D386" s="14">
        <v>399710</v>
      </c>
    </row>
    <row r="387" spans="1:4" x14ac:dyDescent="0.3">
      <c r="A387" t="str">
        <f>Pop[[#This Row],[State]]&amp;" "&amp;Pop[[#This Row],[County]]</f>
        <v>FL Marion</v>
      </c>
      <c r="B387" t="s">
        <v>210</v>
      </c>
      <c r="C387" s="30" t="s">
        <v>50</v>
      </c>
      <c r="D387" s="1">
        <v>375908</v>
      </c>
    </row>
    <row r="388" spans="1:4" x14ac:dyDescent="0.3">
      <c r="A388" t="str">
        <f>Pop[[#This Row],[State]]&amp;" "&amp;Pop[[#This Row],[County]]</f>
        <v>FL Martin</v>
      </c>
      <c r="B388" t="s">
        <v>210</v>
      </c>
      <c r="C388" s="30" t="s">
        <v>52</v>
      </c>
      <c r="D388" s="14">
        <v>158431</v>
      </c>
    </row>
    <row r="389" spans="1:4" x14ac:dyDescent="0.3">
      <c r="A389" t="str">
        <f>Pop[[#This Row],[State]]&amp;" "&amp;Pop[[#This Row],[County]]</f>
        <v>FL Miami-Dade</v>
      </c>
      <c r="B389" t="s">
        <v>210</v>
      </c>
      <c r="C389" s="30" t="s">
        <v>573</v>
      </c>
      <c r="D389" s="1">
        <v>2701767</v>
      </c>
    </row>
    <row r="390" spans="1:4" x14ac:dyDescent="0.3">
      <c r="A390" t="str">
        <f>Pop[[#This Row],[State]]&amp;" "&amp;Pop[[#This Row],[County]]</f>
        <v>FL Monroe</v>
      </c>
      <c r="B390" t="s">
        <v>210</v>
      </c>
      <c r="C390" s="30" t="s">
        <v>339</v>
      </c>
      <c r="D390" s="14">
        <v>82874</v>
      </c>
    </row>
    <row r="391" spans="1:4" x14ac:dyDescent="0.3">
      <c r="A391" t="str">
        <f>Pop[[#This Row],[State]]&amp;" "&amp;Pop[[#This Row],[County]]</f>
        <v>FL Nassau</v>
      </c>
      <c r="B391" t="s">
        <v>210</v>
      </c>
      <c r="C391" s="30" t="s">
        <v>574</v>
      </c>
      <c r="D391" s="14">
        <v>90352</v>
      </c>
    </row>
    <row r="392" spans="1:4" x14ac:dyDescent="0.3">
      <c r="A392" t="str">
        <f>Pop[[#This Row],[State]]&amp;" "&amp;Pop[[#This Row],[County]]</f>
        <v>FL Okaloosa</v>
      </c>
      <c r="B392" t="s">
        <v>210</v>
      </c>
      <c r="C392" s="30" t="s">
        <v>575</v>
      </c>
      <c r="D392" s="14">
        <v>211668</v>
      </c>
    </row>
    <row r="393" spans="1:4" x14ac:dyDescent="0.3">
      <c r="A393" t="str">
        <f>Pop[[#This Row],[State]]&amp;" "&amp;Pop[[#This Row],[County]]</f>
        <v>FL Okeechobee</v>
      </c>
      <c r="B393" t="s">
        <v>210</v>
      </c>
      <c r="C393" s="30" t="s">
        <v>576</v>
      </c>
      <c r="D393" s="14">
        <v>39644</v>
      </c>
    </row>
    <row r="394" spans="1:4" x14ac:dyDescent="0.3">
      <c r="A394" t="str">
        <f>Pop[[#This Row],[State]]&amp;" "&amp;Pop[[#This Row],[County]]</f>
        <v>FL Orange</v>
      </c>
      <c r="B394" t="s">
        <v>210</v>
      </c>
      <c r="C394" s="30" t="s">
        <v>55</v>
      </c>
      <c r="D394" s="14">
        <v>1429908</v>
      </c>
    </row>
    <row r="395" spans="1:4" x14ac:dyDescent="0.3">
      <c r="A395" t="str">
        <f>Pop[[#This Row],[State]]&amp;" "&amp;Pop[[#This Row],[County]]</f>
        <v>FL Osceola</v>
      </c>
      <c r="B395" t="s">
        <v>210</v>
      </c>
      <c r="C395" s="30" t="s">
        <v>577</v>
      </c>
      <c r="D395" s="14">
        <v>388656</v>
      </c>
    </row>
    <row r="396" spans="1:4" x14ac:dyDescent="0.3">
      <c r="A396" t="str">
        <f>Pop[[#This Row],[State]]&amp;" "&amp;Pop[[#This Row],[County]]</f>
        <v>FL Palm Beach</v>
      </c>
      <c r="B396" t="s">
        <v>210</v>
      </c>
      <c r="C396" s="30" t="s">
        <v>578</v>
      </c>
      <c r="D396" s="14">
        <v>1492191</v>
      </c>
    </row>
    <row r="397" spans="1:4" x14ac:dyDescent="0.3">
      <c r="A397" t="str">
        <f>Pop[[#This Row],[State]]&amp;" "&amp;Pop[[#This Row],[County]]</f>
        <v>FL Pasco</v>
      </c>
      <c r="B397" t="s">
        <v>210</v>
      </c>
      <c r="C397" s="30" t="s">
        <v>579</v>
      </c>
      <c r="D397" s="14">
        <v>561891</v>
      </c>
    </row>
    <row r="398" spans="1:4" x14ac:dyDescent="0.3">
      <c r="A398" t="str">
        <f>Pop[[#This Row],[State]]&amp;" "&amp;Pop[[#This Row],[County]]</f>
        <v>FL Pinellas</v>
      </c>
      <c r="B398" t="s">
        <v>210</v>
      </c>
      <c r="C398" s="30" t="s">
        <v>580</v>
      </c>
      <c r="D398" s="14">
        <v>959107</v>
      </c>
    </row>
    <row r="399" spans="1:4" x14ac:dyDescent="0.3">
      <c r="A399" t="str">
        <f>Pop[[#This Row],[State]]&amp;" "&amp;Pop[[#This Row],[County]]</f>
        <v>FL Polk</v>
      </c>
      <c r="B399" t="s">
        <v>210</v>
      </c>
      <c r="C399" s="30" t="s">
        <v>387</v>
      </c>
      <c r="D399" s="14">
        <v>725046</v>
      </c>
    </row>
    <row r="400" spans="1:4" x14ac:dyDescent="0.3">
      <c r="A400" t="str">
        <f>Pop[[#This Row],[State]]&amp;" "&amp;Pop[[#This Row],[County]]</f>
        <v>FL Putnam</v>
      </c>
      <c r="B400" t="s">
        <v>210</v>
      </c>
      <c r="C400" s="30" t="s">
        <v>581</v>
      </c>
      <c r="D400" s="14">
        <v>73321</v>
      </c>
    </row>
    <row r="401" spans="1:4" x14ac:dyDescent="0.3">
      <c r="A401" t="str">
        <f>Pop[[#This Row],[State]]&amp;" "&amp;Pop[[#This Row],[County]]</f>
        <v>FL Santa Rosa</v>
      </c>
      <c r="B401" t="s">
        <v>210</v>
      </c>
      <c r="C401" s="30" t="s">
        <v>582</v>
      </c>
      <c r="D401" s="14">
        <v>188000</v>
      </c>
    </row>
    <row r="402" spans="1:4" x14ac:dyDescent="0.3">
      <c r="A402" t="str">
        <f>Pop[[#This Row],[State]]&amp;" "&amp;Pop[[#This Row],[County]]</f>
        <v>FL Sarasota</v>
      </c>
      <c r="B402" t="s">
        <v>210</v>
      </c>
      <c r="C402" s="30" t="s">
        <v>583</v>
      </c>
      <c r="D402" s="14">
        <v>434006</v>
      </c>
    </row>
    <row r="403" spans="1:4" x14ac:dyDescent="0.3">
      <c r="A403" t="str">
        <f>Pop[[#This Row],[State]]&amp;" "&amp;Pop[[#This Row],[County]]</f>
        <v>FL Seminole</v>
      </c>
      <c r="B403" t="s">
        <v>210</v>
      </c>
      <c r="C403" s="30" t="s">
        <v>584</v>
      </c>
      <c r="D403" s="14">
        <v>470856</v>
      </c>
    </row>
    <row r="404" spans="1:4" x14ac:dyDescent="0.3">
      <c r="A404" t="str">
        <f>Pop[[#This Row],[State]]&amp;" "&amp;Pop[[#This Row],[County]]</f>
        <v>FL St. Johns</v>
      </c>
      <c r="B404" t="s">
        <v>210</v>
      </c>
      <c r="C404" s="30" t="s">
        <v>585</v>
      </c>
      <c r="D404" s="14">
        <v>273425</v>
      </c>
    </row>
    <row r="405" spans="1:4" x14ac:dyDescent="0.3">
      <c r="A405" t="str">
        <f>Pop[[#This Row],[State]]&amp;" "&amp;Pop[[#This Row],[County]]</f>
        <v>FL St. Lucie</v>
      </c>
      <c r="B405" t="s">
        <v>210</v>
      </c>
      <c r="C405" s="30" t="s">
        <v>586</v>
      </c>
      <c r="D405" s="14">
        <v>329226</v>
      </c>
    </row>
    <row r="406" spans="1:4" x14ac:dyDescent="0.3">
      <c r="A406" t="str">
        <f>Pop[[#This Row],[State]]&amp;" "&amp;Pop[[#This Row],[County]]</f>
        <v>FL Sumter</v>
      </c>
      <c r="B406" t="s">
        <v>210</v>
      </c>
      <c r="C406" s="30" t="s">
        <v>345</v>
      </c>
      <c r="D406" s="14">
        <v>129752</v>
      </c>
    </row>
    <row r="407" spans="1:4" x14ac:dyDescent="0.3">
      <c r="A407" t="str">
        <f>Pop[[#This Row],[State]]&amp;" "&amp;Pop[[#This Row],[County]]</f>
        <v>FL Suwannee</v>
      </c>
      <c r="B407" t="s">
        <v>210</v>
      </c>
      <c r="C407" s="30" t="s">
        <v>587</v>
      </c>
      <c r="D407" s="14">
        <v>43474</v>
      </c>
    </row>
    <row r="408" spans="1:4" x14ac:dyDescent="0.3">
      <c r="A408" t="str">
        <f>Pop[[#This Row],[State]]&amp;" "&amp;Pop[[#This Row],[County]]</f>
        <v>FL Taylor</v>
      </c>
      <c r="B408" t="s">
        <v>210</v>
      </c>
      <c r="C408" s="30" t="s">
        <v>588</v>
      </c>
      <c r="D408" s="14">
        <v>21796</v>
      </c>
    </row>
    <row r="409" spans="1:4" x14ac:dyDescent="0.3">
      <c r="A409" t="str">
        <f>Pop[[#This Row],[State]]&amp;" "&amp;Pop[[#This Row],[County]]</f>
        <v>FL Union</v>
      </c>
      <c r="B409" t="s">
        <v>210</v>
      </c>
      <c r="C409" s="30" t="s">
        <v>399</v>
      </c>
      <c r="D409" s="14">
        <v>16147</v>
      </c>
    </row>
    <row r="410" spans="1:4" x14ac:dyDescent="0.3">
      <c r="A410" t="str">
        <f>Pop[[#This Row],[State]]&amp;" "&amp;Pop[[#This Row],[County]]</f>
        <v>FL Volusia</v>
      </c>
      <c r="B410" t="s">
        <v>210</v>
      </c>
      <c r="C410" s="30" t="s">
        <v>589</v>
      </c>
      <c r="D410" s="14">
        <v>553543</v>
      </c>
    </row>
    <row r="411" spans="1:4" x14ac:dyDescent="0.3">
      <c r="A411" t="str">
        <f>Pop[[#This Row],[State]]&amp;" "&amp;Pop[[#This Row],[County]]</f>
        <v>FL Wakulla</v>
      </c>
      <c r="B411" t="s">
        <v>210</v>
      </c>
      <c r="C411" s="30" t="s">
        <v>590</v>
      </c>
      <c r="D411" s="14">
        <v>33764</v>
      </c>
    </row>
    <row r="412" spans="1:4" x14ac:dyDescent="0.3">
      <c r="A412" t="str">
        <f>Pop[[#This Row],[State]]&amp;" "&amp;Pop[[#This Row],[County]]</f>
        <v>FL Walton</v>
      </c>
      <c r="B412" t="s">
        <v>210</v>
      </c>
      <c r="C412" s="30" t="s">
        <v>591</v>
      </c>
      <c r="D412" s="14">
        <v>75305</v>
      </c>
    </row>
    <row r="413" spans="1:4" x14ac:dyDescent="0.3">
      <c r="A413" t="str">
        <f>Pop[[#This Row],[State]]&amp;" "&amp;Pop[[#This Row],[County]]</f>
        <v>FL Washington</v>
      </c>
      <c r="B413" t="s">
        <v>210</v>
      </c>
      <c r="C413" s="30" t="s">
        <v>65</v>
      </c>
      <c r="D413" s="14">
        <v>25318</v>
      </c>
    </row>
    <row r="414" spans="1:4" x14ac:dyDescent="0.3">
      <c r="A414" s="1" t="str">
        <f>Pop[[#This Row],[State]]&amp;" "&amp;Pop[[#This Row],[County]]</f>
        <v>FL State Agencies</v>
      </c>
      <c r="B414" t="s">
        <v>210</v>
      </c>
      <c r="C414" s="30" t="s">
        <v>243</v>
      </c>
      <c r="D414" s="16" t="s">
        <v>244</v>
      </c>
    </row>
    <row r="415" spans="1:4" x14ac:dyDescent="0.3">
      <c r="A415" s="1" t="str">
        <f>Pop[[#This Row],[State]]&amp;" "&amp;Pop[[#This Row],[County]]</f>
        <v>FL Grand Total</v>
      </c>
      <c r="B415" t="s">
        <v>210</v>
      </c>
      <c r="C415" s="30" t="s">
        <v>67</v>
      </c>
      <c r="D415" s="16">
        <v>21538187</v>
      </c>
    </row>
    <row r="416" spans="1:4" x14ac:dyDescent="0.3">
      <c r="A416" t="str">
        <f>Pop[[#This Row],[State]]&amp;" "&amp;Pop[[#This Row],[County]]</f>
        <v>GA Appling</v>
      </c>
      <c r="B416" t="s">
        <v>213</v>
      </c>
      <c r="C416" s="30" t="s">
        <v>592</v>
      </c>
      <c r="D416" s="14">
        <v>18444</v>
      </c>
    </row>
    <row r="417" spans="1:4" x14ac:dyDescent="0.3">
      <c r="A417" t="str">
        <f>Pop[[#This Row],[State]]&amp;" "&amp;Pop[[#This Row],[County]]</f>
        <v>GA Atkinson</v>
      </c>
      <c r="B417" t="s">
        <v>213</v>
      </c>
      <c r="C417" s="30" t="s">
        <v>593</v>
      </c>
      <c r="D417" s="14">
        <v>8286</v>
      </c>
    </row>
    <row r="418" spans="1:4" x14ac:dyDescent="0.3">
      <c r="A418" t="str">
        <f>Pop[[#This Row],[State]]&amp;" "&amp;Pop[[#This Row],[County]]</f>
        <v>GA Bacon</v>
      </c>
      <c r="B418" t="s">
        <v>213</v>
      </c>
      <c r="C418" s="30" t="s">
        <v>594</v>
      </c>
      <c r="D418" s="14">
        <v>11140</v>
      </c>
    </row>
    <row r="419" spans="1:4" x14ac:dyDescent="0.3">
      <c r="A419" t="str">
        <f>Pop[[#This Row],[State]]&amp;" "&amp;Pop[[#This Row],[County]]</f>
        <v>GA Baker</v>
      </c>
      <c r="B419" t="s">
        <v>213</v>
      </c>
      <c r="C419" s="30" t="s">
        <v>545</v>
      </c>
      <c r="D419" s="14">
        <v>2876</v>
      </c>
    </row>
    <row r="420" spans="1:4" x14ac:dyDescent="0.3">
      <c r="A420" t="str">
        <f>Pop[[#This Row],[State]]&amp;" "&amp;Pop[[#This Row],[County]]</f>
        <v>GA Baldwin</v>
      </c>
      <c r="B420" t="s">
        <v>213</v>
      </c>
      <c r="C420" s="30" t="s">
        <v>252</v>
      </c>
      <c r="D420" s="14">
        <v>43799</v>
      </c>
    </row>
    <row r="421" spans="1:4" x14ac:dyDescent="0.3">
      <c r="A421" t="str">
        <f>Pop[[#This Row],[State]]&amp;" "&amp;Pop[[#This Row],[County]]</f>
        <v>GA Banks</v>
      </c>
      <c r="B421" t="s">
        <v>213</v>
      </c>
      <c r="C421" s="30" t="s">
        <v>595</v>
      </c>
      <c r="D421" s="14">
        <v>18035</v>
      </c>
    </row>
    <row r="422" spans="1:4" x14ac:dyDescent="0.3">
      <c r="A422" t="str">
        <f>Pop[[#This Row],[State]]&amp;" "&amp;Pop[[#This Row],[County]]</f>
        <v>GA Barrow</v>
      </c>
      <c r="B422" t="s">
        <v>213</v>
      </c>
      <c r="C422" s="30" t="s">
        <v>596</v>
      </c>
      <c r="D422" s="14">
        <v>83505</v>
      </c>
    </row>
    <row r="423" spans="1:4" x14ac:dyDescent="0.3">
      <c r="A423" t="str">
        <f>Pop[[#This Row],[State]]&amp;" "&amp;Pop[[#This Row],[County]]</f>
        <v>GA Bartow</v>
      </c>
      <c r="B423" t="s">
        <v>213</v>
      </c>
      <c r="C423" s="30" t="s">
        <v>597</v>
      </c>
      <c r="D423" s="14">
        <v>108901</v>
      </c>
    </row>
    <row r="424" spans="1:4" x14ac:dyDescent="0.3">
      <c r="A424" t="str">
        <f>Pop[[#This Row],[State]]&amp;" "&amp;Pop[[#This Row],[County]]</f>
        <v>GA Ben Hill</v>
      </c>
      <c r="B424" t="s">
        <v>213</v>
      </c>
      <c r="C424" s="30" t="s">
        <v>598</v>
      </c>
      <c r="D424" s="14">
        <v>17194</v>
      </c>
    </row>
    <row r="425" spans="1:4" x14ac:dyDescent="0.3">
      <c r="A425" t="str">
        <f>Pop[[#This Row],[State]]&amp;" "&amp;Pop[[#This Row],[County]]</f>
        <v>GA Berrien</v>
      </c>
      <c r="B425" t="s">
        <v>213</v>
      </c>
      <c r="C425" s="30" t="s">
        <v>599</v>
      </c>
      <c r="D425" s="14">
        <v>18160</v>
      </c>
    </row>
    <row r="426" spans="1:4" x14ac:dyDescent="0.3">
      <c r="A426" t="str">
        <f>Pop[[#This Row],[State]]&amp;" "&amp;Pop[[#This Row],[County]]</f>
        <v>GA Bibb</v>
      </c>
      <c r="B426" t="s">
        <v>213</v>
      </c>
      <c r="C426" s="30" t="s">
        <v>258</v>
      </c>
      <c r="D426" s="14">
        <v>157346</v>
      </c>
    </row>
    <row r="427" spans="1:4" x14ac:dyDescent="0.3">
      <c r="A427" t="str">
        <f>Pop[[#This Row],[State]]&amp;" "&amp;Pop[[#This Row],[County]]</f>
        <v>GA Bleckley</v>
      </c>
      <c r="B427" t="s">
        <v>213</v>
      </c>
      <c r="C427" s="30" t="s">
        <v>600</v>
      </c>
      <c r="D427" s="14">
        <v>12583</v>
      </c>
    </row>
    <row r="428" spans="1:4" x14ac:dyDescent="0.3">
      <c r="A428" t="str">
        <f>Pop[[#This Row],[State]]&amp;" "&amp;Pop[[#This Row],[County]]</f>
        <v>GA Brantley</v>
      </c>
      <c r="B428" t="s">
        <v>213</v>
      </c>
      <c r="C428" s="30" t="s">
        <v>601</v>
      </c>
      <c r="D428" s="14">
        <v>18021</v>
      </c>
    </row>
    <row r="429" spans="1:4" x14ac:dyDescent="0.3">
      <c r="A429" t="str">
        <f>Pop[[#This Row],[State]]&amp;" "&amp;Pop[[#This Row],[County]]</f>
        <v>GA Brooks</v>
      </c>
      <c r="B429" t="s">
        <v>213</v>
      </c>
      <c r="C429" s="30" t="s">
        <v>602</v>
      </c>
      <c r="D429" s="14">
        <v>16301</v>
      </c>
    </row>
    <row r="430" spans="1:4" x14ac:dyDescent="0.3">
      <c r="A430" t="str">
        <f>Pop[[#This Row],[State]]&amp;" "&amp;Pop[[#This Row],[County]]</f>
        <v>GA Bryan</v>
      </c>
      <c r="B430" t="s">
        <v>213</v>
      </c>
      <c r="C430" s="30" t="s">
        <v>603</v>
      </c>
      <c r="D430" s="14">
        <v>44738</v>
      </c>
    </row>
    <row r="431" spans="1:4" x14ac:dyDescent="0.3">
      <c r="A431" t="str">
        <f>Pop[[#This Row],[State]]&amp;" "&amp;Pop[[#This Row],[County]]</f>
        <v>GA Bulloch</v>
      </c>
      <c r="B431" t="s">
        <v>213</v>
      </c>
      <c r="C431" s="30" t="s">
        <v>604</v>
      </c>
      <c r="D431" s="14">
        <v>81099</v>
      </c>
    </row>
    <row r="432" spans="1:4" x14ac:dyDescent="0.3">
      <c r="A432" t="str">
        <f>Pop[[#This Row],[State]]&amp;" "&amp;Pop[[#This Row],[County]]</f>
        <v>GA Burke</v>
      </c>
      <c r="B432" t="s">
        <v>213</v>
      </c>
      <c r="C432" s="30" t="s">
        <v>605</v>
      </c>
      <c r="D432" s="14">
        <v>24596</v>
      </c>
    </row>
    <row r="433" spans="1:4" x14ac:dyDescent="0.3">
      <c r="A433" t="str">
        <f>Pop[[#This Row],[State]]&amp;" "&amp;Pop[[#This Row],[County]]</f>
        <v>GA Butts</v>
      </c>
      <c r="B433" t="s">
        <v>213</v>
      </c>
      <c r="C433" s="30" t="s">
        <v>606</v>
      </c>
      <c r="D433" s="14">
        <v>25434</v>
      </c>
    </row>
    <row r="434" spans="1:4" x14ac:dyDescent="0.3">
      <c r="A434" t="str">
        <f>Pop[[#This Row],[State]]&amp;" "&amp;Pop[[#This Row],[County]]</f>
        <v>GA Calhoun</v>
      </c>
      <c r="B434" t="s">
        <v>213</v>
      </c>
      <c r="C434" s="30" t="s">
        <v>270</v>
      </c>
      <c r="D434" s="14">
        <v>5573</v>
      </c>
    </row>
    <row r="435" spans="1:4" x14ac:dyDescent="0.3">
      <c r="A435" t="str">
        <f>Pop[[#This Row],[State]]&amp;" "&amp;Pop[[#This Row],[County]]</f>
        <v>GA Camden</v>
      </c>
      <c r="B435" t="s">
        <v>213</v>
      </c>
      <c r="C435" s="30" t="s">
        <v>607</v>
      </c>
      <c r="D435" s="14">
        <v>54768</v>
      </c>
    </row>
    <row r="436" spans="1:4" x14ac:dyDescent="0.3">
      <c r="A436" t="str">
        <f>Pop[[#This Row],[State]]&amp;" "&amp;Pop[[#This Row],[County]]</f>
        <v>GA Candler</v>
      </c>
      <c r="B436" t="s">
        <v>213</v>
      </c>
      <c r="C436" s="30" t="s">
        <v>608</v>
      </c>
      <c r="D436" s="14">
        <v>10981</v>
      </c>
    </row>
    <row r="437" spans="1:4" x14ac:dyDescent="0.3">
      <c r="A437" t="str">
        <f>Pop[[#This Row],[State]]&amp;" "&amp;Pop[[#This Row],[County]]</f>
        <v>GA Carroll</v>
      </c>
      <c r="B437" t="s">
        <v>213</v>
      </c>
      <c r="C437" s="30" t="s">
        <v>357</v>
      </c>
      <c r="D437" s="14">
        <v>119148</v>
      </c>
    </row>
    <row r="438" spans="1:4" x14ac:dyDescent="0.3">
      <c r="A438" t="str">
        <f>Pop[[#This Row],[State]]&amp;" "&amp;Pop[[#This Row],[County]]</f>
        <v>GA Catoosa</v>
      </c>
      <c r="B438" t="s">
        <v>213</v>
      </c>
      <c r="C438" s="30" t="s">
        <v>609</v>
      </c>
      <c r="D438" s="14">
        <v>67872</v>
      </c>
    </row>
    <row r="439" spans="1:4" x14ac:dyDescent="0.3">
      <c r="A439" t="str">
        <f>Pop[[#This Row],[State]]&amp;" "&amp;Pop[[#This Row],[County]]</f>
        <v>GA Charlton</v>
      </c>
      <c r="B439" t="s">
        <v>213</v>
      </c>
      <c r="C439" s="30" t="s">
        <v>610</v>
      </c>
      <c r="D439" s="14">
        <v>12518</v>
      </c>
    </row>
    <row r="440" spans="1:4" x14ac:dyDescent="0.3">
      <c r="A440" t="str">
        <f>Pop[[#This Row],[State]]&amp;" "&amp;Pop[[#This Row],[County]]</f>
        <v>GA Chatham</v>
      </c>
      <c r="B440" t="s">
        <v>213</v>
      </c>
      <c r="C440" s="30" t="s">
        <v>611</v>
      </c>
      <c r="D440" s="1">
        <v>295291</v>
      </c>
    </row>
    <row r="441" spans="1:4" x14ac:dyDescent="0.3">
      <c r="A441" t="str">
        <f>Pop[[#This Row],[State]]&amp;" "&amp;Pop[[#This Row],[County]]</f>
        <v>GA Chattahoochee</v>
      </c>
      <c r="B441" t="s">
        <v>213</v>
      </c>
      <c r="C441" s="30" t="s">
        <v>612</v>
      </c>
      <c r="D441" s="14">
        <v>9565</v>
      </c>
    </row>
    <row r="442" spans="1:4" x14ac:dyDescent="0.3">
      <c r="A442" t="str">
        <f>Pop[[#This Row],[State]]&amp;" "&amp;Pop[[#This Row],[County]]</f>
        <v>GA Chattooga</v>
      </c>
      <c r="B442" t="s">
        <v>213</v>
      </c>
      <c r="C442" s="30" t="s">
        <v>613</v>
      </c>
      <c r="D442" s="14">
        <v>24965</v>
      </c>
    </row>
    <row r="443" spans="1:4" x14ac:dyDescent="0.3">
      <c r="A443" t="str">
        <f>Pop[[#This Row],[State]]&amp;" "&amp;Pop[[#This Row],[County]]</f>
        <v>GA Cherokee</v>
      </c>
      <c r="B443" t="s">
        <v>213</v>
      </c>
      <c r="C443" s="30" t="s">
        <v>276</v>
      </c>
      <c r="D443" s="14">
        <v>266620</v>
      </c>
    </row>
    <row r="444" spans="1:4" x14ac:dyDescent="0.3">
      <c r="A444" t="str">
        <f>Pop[[#This Row],[State]]&amp;" "&amp;Pop[[#This Row],[County]]</f>
        <v>GA Clarke</v>
      </c>
      <c r="B444" t="s">
        <v>213</v>
      </c>
      <c r="C444" s="30" t="s">
        <v>285</v>
      </c>
      <c r="D444" s="14">
        <v>128671</v>
      </c>
    </row>
    <row r="445" spans="1:4" x14ac:dyDescent="0.3">
      <c r="A445" t="str">
        <f>Pop[[#This Row],[State]]&amp;" "&amp;Pop[[#This Row],[County]]</f>
        <v>GA Clay</v>
      </c>
      <c r="B445" t="s">
        <v>213</v>
      </c>
      <c r="C445" s="30" t="s">
        <v>39</v>
      </c>
      <c r="D445" s="14">
        <v>2848</v>
      </c>
    </row>
    <row r="446" spans="1:4" x14ac:dyDescent="0.3">
      <c r="A446" t="str">
        <f>Pop[[#This Row],[State]]&amp;" "&amp;Pop[[#This Row],[County]]</f>
        <v>GA Clayton</v>
      </c>
      <c r="B446" t="s">
        <v>213</v>
      </c>
      <c r="C446" s="30" t="s">
        <v>614</v>
      </c>
      <c r="D446" s="14">
        <v>297595</v>
      </c>
    </row>
    <row r="447" spans="1:4" x14ac:dyDescent="0.3">
      <c r="A447" t="str">
        <f>Pop[[#This Row],[State]]&amp;" "&amp;Pop[[#This Row],[County]]</f>
        <v>GA Clinch</v>
      </c>
      <c r="B447" t="s">
        <v>213</v>
      </c>
      <c r="C447" s="30" t="s">
        <v>615</v>
      </c>
      <c r="D447" s="14">
        <v>6749</v>
      </c>
    </row>
    <row r="448" spans="1:4" x14ac:dyDescent="0.3">
      <c r="A448" s="1" t="str">
        <f>Pop[[#This Row],[State]]&amp;" "&amp;Pop[[#This Row],[County]]</f>
        <v>GA Cobb</v>
      </c>
      <c r="B448" t="s">
        <v>213</v>
      </c>
      <c r="C448" s="30" t="s">
        <v>616</v>
      </c>
      <c r="D448" s="16">
        <v>766149</v>
      </c>
    </row>
    <row r="449" spans="1:4" x14ac:dyDescent="0.3">
      <c r="A449" t="str">
        <f>Pop[[#This Row],[State]]&amp;" "&amp;Pop[[#This Row],[County]]</f>
        <v>GA Coffee</v>
      </c>
      <c r="B449" t="s">
        <v>213</v>
      </c>
      <c r="C449" s="31" t="s">
        <v>293</v>
      </c>
      <c r="D449" s="15">
        <v>43092</v>
      </c>
    </row>
    <row r="450" spans="1:4" x14ac:dyDescent="0.3">
      <c r="A450" t="str">
        <f>Pop[[#This Row],[State]]&amp;" "&amp;Pop[[#This Row],[County]]</f>
        <v>GA Colquitt</v>
      </c>
      <c r="B450" t="s">
        <v>213</v>
      </c>
      <c r="C450" s="30" t="s">
        <v>617</v>
      </c>
      <c r="D450" s="14">
        <v>45898</v>
      </c>
    </row>
    <row r="451" spans="1:4" x14ac:dyDescent="0.3">
      <c r="A451" t="str">
        <f>Pop[[#This Row],[State]]&amp;" "&amp;Pop[[#This Row],[County]]</f>
        <v>GA Columbia</v>
      </c>
      <c r="B451" t="s">
        <v>213</v>
      </c>
      <c r="C451" s="30" t="s">
        <v>360</v>
      </c>
      <c r="D451" s="14">
        <v>156010</v>
      </c>
    </row>
    <row r="452" spans="1:4" x14ac:dyDescent="0.3">
      <c r="A452" t="str">
        <f>Pop[[#This Row],[State]]&amp;" "&amp;Pop[[#This Row],[County]]</f>
        <v>GA Cook</v>
      </c>
      <c r="B452" t="s">
        <v>213</v>
      </c>
      <c r="C452" s="30" t="s">
        <v>618</v>
      </c>
      <c r="D452" s="14">
        <v>17229</v>
      </c>
    </row>
    <row r="453" spans="1:4" x14ac:dyDescent="0.3">
      <c r="A453" t="str">
        <f>Pop[[#This Row],[State]]&amp;" "&amp;Pop[[#This Row],[County]]</f>
        <v>GA Coweta</v>
      </c>
      <c r="B453" t="s">
        <v>213</v>
      </c>
      <c r="C453" s="30" t="s">
        <v>619</v>
      </c>
      <c r="D453" s="14">
        <v>146158</v>
      </c>
    </row>
    <row r="454" spans="1:4" x14ac:dyDescent="0.3">
      <c r="A454" t="str">
        <f>Pop[[#This Row],[State]]&amp;" "&amp;Pop[[#This Row],[County]]</f>
        <v>GA Crawford</v>
      </c>
      <c r="B454" t="s">
        <v>213</v>
      </c>
      <c r="C454" s="30" t="s">
        <v>40</v>
      </c>
      <c r="D454" s="14">
        <v>12130</v>
      </c>
    </row>
    <row r="455" spans="1:4" x14ac:dyDescent="0.3">
      <c r="A455" t="str">
        <f>Pop[[#This Row],[State]]&amp;" "&amp;Pop[[#This Row],[County]]</f>
        <v>GA Crisp</v>
      </c>
      <c r="B455" t="s">
        <v>213</v>
      </c>
      <c r="C455" s="30" t="s">
        <v>620</v>
      </c>
      <c r="D455" s="14">
        <v>20128</v>
      </c>
    </row>
    <row r="456" spans="1:4" x14ac:dyDescent="0.3">
      <c r="A456" t="str">
        <f>Pop[[#This Row],[State]]&amp;" "&amp;Pop[[#This Row],[County]]</f>
        <v>GA Dade</v>
      </c>
      <c r="B456" t="s">
        <v>213</v>
      </c>
      <c r="C456" s="30" t="s">
        <v>621</v>
      </c>
      <c r="D456" s="14">
        <v>16251</v>
      </c>
    </row>
    <row r="457" spans="1:4" x14ac:dyDescent="0.3">
      <c r="A457" t="str">
        <f>Pop[[#This Row],[State]]&amp;" "&amp;Pop[[#This Row],[County]]</f>
        <v>GA Dawson</v>
      </c>
      <c r="B457" t="s">
        <v>213</v>
      </c>
      <c r="C457" s="30" t="s">
        <v>622</v>
      </c>
      <c r="D457" s="14">
        <v>26798</v>
      </c>
    </row>
    <row r="458" spans="1:4" x14ac:dyDescent="0.3">
      <c r="A458" t="str">
        <f>Pop[[#This Row],[State]]&amp;" "&amp;Pop[[#This Row],[County]]</f>
        <v>GA Decatur</v>
      </c>
      <c r="B458" t="s">
        <v>213</v>
      </c>
      <c r="C458" s="30" t="s">
        <v>41</v>
      </c>
      <c r="D458" s="14">
        <v>29367</v>
      </c>
    </row>
    <row r="459" spans="1:4" x14ac:dyDescent="0.3">
      <c r="A459" t="str">
        <f>Pop[[#This Row],[State]]&amp;" "&amp;Pop[[#This Row],[County]]</f>
        <v>GA DeKalb</v>
      </c>
      <c r="B459" t="s">
        <v>213</v>
      </c>
      <c r="C459" s="30" t="s">
        <v>319</v>
      </c>
      <c r="D459" s="1">
        <v>764382</v>
      </c>
    </row>
    <row r="460" spans="1:4" x14ac:dyDescent="0.3">
      <c r="A460" t="str">
        <f>Pop[[#This Row],[State]]&amp;" "&amp;Pop[[#This Row],[County]]</f>
        <v>GA Dodge</v>
      </c>
      <c r="B460" t="s">
        <v>213</v>
      </c>
      <c r="C460" s="30" t="s">
        <v>623</v>
      </c>
      <c r="D460" s="14">
        <v>19925</v>
      </c>
    </row>
    <row r="461" spans="1:4" x14ac:dyDescent="0.3">
      <c r="A461" t="str">
        <f>Pop[[#This Row],[State]]&amp;" "&amp;Pop[[#This Row],[County]]</f>
        <v>GA Dooly</v>
      </c>
      <c r="B461" t="s">
        <v>213</v>
      </c>
      <c r="C461" s="30" t="s">
        <v>624</v>
      </c>
      <c r="D461" s="14">
        <v>11208</v>
      </c>
    </row>
    <row r="462" spans="1:4" x14ac:dyDescent="0.3">
      <c r="A462" t="str">
        <f>Pop[[#This Row],[State]]&amp;" "&amp;Pop[[#This Row],[County]]</f>
        <v>GA Dougherty</v>
      </c>
      <c r="B462" t="s">
        <v>213</v>
      </c>
      <c r="C462" s="30" t="s">
        <v>625</v>
      </c>
      <c r="D462" s="14">
        <v>85790</v>
      </c>
    </row>
    <row r="463" spans="1:4" x14ac:dyDescent="0.3">
      <c r="A463" t="str">
        <f>Pop[[#This Row],[State]]&amp;" "&amp;Pop[[#This Row],[County]]</f>
        <v>GA Douglas</v>
      </c>
      <c r="B463" t="s">
        <v>213</v>
      </c>
      <c r="C463" s="30" t="s">
        <v>496</v>
      </c>
      <c r="D463" s="14">
        <v>144237</v>
      </c>
    </row>
    <row r="464" spans="1:4" x14ac:dyDescent="0.3">
      <c r="A464" t="str">
        <f>Pop[[#This Row],[State]]&amp;" "&amp;Pop[[#This Row],[County]]</f>
        <v>GA Early</v>
      </c>
      <c r="B464" t="s">
        <v>213</v>
      </c>
      <c r="C464" s="30" t="s">
        <v>626</v>
      </c>
      <c r="D464" s="14">
        <v>10854</v>
      </c>
    </row>
    <row r="465" spans="1:4" x14ac:dyDescent="0.3">
      <c r="A465" t="str">
        <f>Pop[[#This Row],[State]]&amp;" "&amp;Pop[[#This Row],[County]]</f>
        <v>GA Echols</v>
      </c>
      <c r="B465" t="s">
        <v>213</v>
      </c>
      <c r="C465" s="30" t="s">
        <v>627</v>
      </c>
      <c r="D465" s="14">
        <v>3697</v>
      </c>
    </row>
    <row r="466" spans="1:4" x14ac:dyDescent="0.3">
      <c r="A466" t="str">
        <f>Pop[[#This Row],[State]]&amp;" "&amp;Pop[[#This Row],[County]]</f>
        <v>GA Effingham</v>
      </c>
      <c r="B466" t="s">
        <v>213</v>
      </c>
      <c r="C466" s="30" t="s">
        <v>628</v>
      </c>
      <c r="D466" s="14">
        <v>64769</v>
      </c>
    </row>
    <row r="467" spans="1:4" x14ac:dyDescent="0.3">
      <c r="A467" t="str">
        <f>Pop[[#This Row],[State]]&amp;" "&amp;Pop[[#This Row],[County]]</f>
        <v>GA Elbert</v>
      </c>
      <c r="B467" t="s">
        <v>213</v>
      </c>
      <c r="C467" s="30" t="s">
        <v>499</v>
      </c>
      <c r="D467" s="14">
        <v>19637</v>
      </c>
    </row>
    <row r="468" spans="1:4" x14ac:dyDescent="0.3">
      <c r="A468" t="str">
        <f>Pop[[#This Row],[State]]&amp;" "&amp;Pop[[#This Row],[County]]</f>
        <v>GA Emanuel</v>
      </c>
      <c r="B468" t="s">
        <v>213</v>
      </c>
      <c r="C468" s="30" t="s">
        <v>629</v>
      </c>
      <c r="D468" s="14">
        <v>22768</v>
      </c>
    </row>
    <row r="469" spans="1:4" x14ac:dyDescent="0.3">
      <c r="A469" t="str">
        <f>Pop[[#This Row],[State]]&amp;" "&amp;Pop[[#This Row],[County]]</f>
        <v>GA Evans</v>
      </c>
      <c r="B469" t="s">
        <v>213</v>
      </c>
      <c r="C469" s="30" t="s">
        <v>630</v>
      </c>
      <c r="D469" s="14">
        <v>10774</v>
      </c>
    </row>
    <row r="470" spans="1:4" x14ac:dyDescent="0.3">
      <c r="A470" t="str">
        <f>Pop[[#This Row],[State]]&amp;" "&amp;Pop[[#This Row],[County]]</f>
        <v>GA Fannin</v>
      </c>
      <c r="B470" t="s">
        <v>213</v>
      </c>
      <c r="C470" s="30" t="s">
        <v>631</v>
      </c>
      <c r="D470" s="14">
        <v>25319</v>
      </c>
    </row>
    <row r="471" spans="1:4" x14ac:dyDescent="0.3">
      <c r="A471" t="str">
        <f>Pop[[#This Row],[State]]&amp;" "&amp;Pop[[#This Row],[County]]</f>
        <v>GA Fayette</v>
      </c>
      <c r="B471" t="s">
        <v>213</v>
      </c>
      <c r="C471" s="30" t="s">
        <v>326</v>
      </c>
      <c r="D471" s="14">
        <v>119194</v>
      </c>
    </row>
    <row r="472" spans="1:4" x14ac:dyDescent="0.3">
      <c r="A472" t="str">
        <f>Pop[[#This Row],[State]]&amp;" "&amp;Pop[[#This Row],[County]]</f>
        <v>GA Floyd</v>
      </c>
      <c r="B472" t="s">
        <v>213</v>
      </c>
      <c r="C472" s="30" t="s">
        <v>42</v>
      </c>
      <c r="D472" s="14">
        <v>98584</v>
      </c>
    </row>
    <row r="473" spans="1:4" x14ac:dyDescent="0.3">
      <c r="A473" t="str">
        <f>Pop[[#This Row],[State]]&amp;" "&amp;Pop[[#This Row],[County]]</f>
        <v>GA Forsyth</v>
      </c>
      <c r="B473" t="s">
        <v>213</v>
      </c>
      <c r="C473" s="30" t="s">
        <v>632</v>
      </c>
      <c r="D473" s="14">
        <v>251283</v>
      </c>
    </row>
    <row r="474" spans="1:4" x14ac:dyDescent="0.3">
      <c r="A474" t="str">
        <f>Pop[[#This Row],[State]]&amp;" "&amp;Pop[[#This Row],[County]]</f>
        <v>GA Franklin</v>
      </c>
      <c r="B474" t="s">
        <v>213</v>
      </c>
      <c r="C474" s="30" t="s">
        <v>43</v>
      </c>
      <c r="D474" s="14">
        <v>23424</v>
      </c>
    </row>
    <row r="475" spans="1:4" x14ac:dyDescent="0.3">
      <c r="A475" t="str">
        <f>Pop[[#This Row],[State]]&amp;" "&amp;Pop[[#This Row],[County]]</f>
        <v>GA Fulton</v>
      </c>
      <c r="B475" t="s">
        <v>213</v>
      </c>
      <c r="C475" s="30" t="s">
        <v>368</v>
      </c>
      <c r="D475" s="1">
        <v>1066710</v>
      </c>
    </row>
    <row r="476" spans="1:4" x14ac:dyDescent="0.3">
      <c r="A476" t="str">
        <f>Pop[[#This Row],[State]]&amp;" "&amp;Pop[[#This Row],[County]]</f>
        <v>GA Gilmer</v>
      </c>
      <c r="B476" t="s">
        <v>213</v>
      </c>
      <c r="C476" s="30" t="s">
        <v>633</v>
      </c>
      <c r="D476" s="14">
        <v>31353</v>
      </c>
    </row>
    <row r="477" spans="1:4" x14ac:dyDescent="0.3">
      <c r="A477" t="str">
        <f>Pop[[#This Row],[State]]&amp;" "&amp;Pop[[#This Row],[County]]</f>
        <v>GA Glascock</v>
      </c>
      <c r="B477" t="s">
        <v>213</v>
      </c>
      <c r="C477" s="30" t="s">
        <v>634</v>
      </c>
      <c r="D477" s="14">
        <v>2884</v>
      </c>
    </row>
    <row r="478" spans="1:4" x14ac:dyDescent="0.3">
      <c r="A478" t="str">
        <f>Pop[[#This Row],[State]]&amp;" "&amp;Pop[[#This Row],[County]]</f>
        <v>GA Glynn</v>
      </c>
      <c r="B478" t="s">
        <v>213</v>
      </c>
      <c r="C478" s="30" t="s">
        <v>635</v>
      </c>
      <c r="D478" s="14">
        <v>84499</v>
      </c>
    </row>
    <row r="479" spans="1:4" x14ac:dyDescent="0.3">
      <c r="A479" t="str">
        <f>Pop[[#This Row],[State]]&amp;" "&amp;Pop[[#This Row],[County]]</f>
        <v>GA Gordon</v>
      </c>
      <c r="B479" t="s">
        <v>213</v>
      </c>
      <c r="C479" s="30" t="s">
        <v>636</v>
      </c>
      <c r="D479" s="14">
        <v>57544</v>
      </c>
    </row>
    <row r="480" spans="1:4" x14ac:dyDescent="0.3">
      <c r="A480" t="str">
        <f>Pop[[#This Row],[State]]&amp;" "&amp;Pop[[#This Row],[County]]</f>
        <v>GA Grady</v>
      </c>
      <c r="B480" t="s">
        <v>213</v>
      </c>
      <c r="C480" s="30" t="s">
        <v>637</v>
      </c>
      <c r="D480" s="14">
        <v>26236</v>
      </c>
    </row>
    <row r="481" spans="1:4" x14ac:dyDescent="0.3">
      <c r="A481" t="str">
        <f>Pop[[#This Row],[State]]&amp;" "&amp;Pop[[#This Row],[County]]</f>
        <v>GA Greene</v>
      </c>
      <c r="B481" t="s">
        <v>213</v>
      </c>
      <c r="C481" s="30" t="s">
        <v>44</v>
      </c>
      <c r="D481" s="14">
        <v>18915</v>
      </c>
    </row>
    <row r="482" spans="1:4" x14ac:dyDescent="0.3">
      <c r="A482" t="str">
        <f>Pop[[#This Row],[State]]&amp;" "&amp;Pop[[#This Row],[County]]</f>
        <v>GA Gwinnett</v>
      </c>
      <c r="B482" t="s">
        <v>213</v>
      </c>
      <c r="C482" s="30" t="s">
        <v>638</v>
      </c>
      <c r="D482" s="14">
        <v>957062</v>
      </c>
    </row>
    <row r="483" spans="1:4" x14ac:dyDescent="0.3">
      <c r="A483" t="str">
        <f>Pop[[#This Row],[State]]&amp;" "&amp;Pop[[#This Row],[County]]</f>
        <v>GA Habersham</v>
      </c>
      <c r="B483" t="s">
        <v>213</v>
      </c>
      <c r="C483" s="30" t="s">
        <v>639</v>
      </c>
      <c r="D483" s="14">
        <v>46031</v>
      </c>
    </row>
    <row r="484" spans="1:4" x14ac:dyDescent="0.3">
      <c r="A484" t="str">
        <f>Pop[[#This Row],[State]]&amp;" "&amp;Pop[[#This Row],[County]]</f>
        <v>GA Hall</v>
      </c>
      <c r="B484" t="s">
        <v>213</v>
      </c>
      <c r="C484" s="30" t="s">
        <v>640</v>
      </c>
      <c r="D484" s="14">
        <v>203136</v>
      </c>
    </row>
    <row r="485" spans="1:4" x14ac:dyDescent="0.3">
      <c r="A485" t="str">
        <f>Pop[[#This Row],[State]]&amp;" "&amp;Pop[[#This Row],[County]]</f>
        <v>GA Hancock</v>
      </c>
      <c r="B485" t="s">
        <v>213</v>
      </c>
      <c r="C485" s="30" t="s">
        <v>641</v>
      </c>
      <c r="D485" s="14">
        <v>8735</v>
      </c>
    </row>
    <row r="486" spans="1:4" x14ac:dyDescent="0.3">
      <c r="A486" t="str">
        <f>Pop[[#This Row],[State]]&amp;" "&amp;Pop[[#This Row],[County]]</f>
        <v>GA Haralson</v>
      </c>
      <c r="B486" t="s">
        <v>213</v>
      </c>
      <c r="C486" s="30" t="s">
        <v>642</v>
      </c>
      <c r="D486" s="14">
        <v>29919</v>
      </c>
    </row>
    <row r="487" spans="1:4" x14ac:dyDescent="0.3">
      <c r="A487" t="str">
        <f>Pop[[#This Row],[State]]&amp;" "&amp;Pop[[#This Row],[County]]</f>
        <v>GA Harris</v>
      </c>
      <c r="B487" t="s">
        <v>213</v>
      </c>
      <c r="C487" s="30" t="s">
        <v>643</v>
      </c>
      <c r="D487" s="14">
        <v>34668</v>
      </c>
    </row>
    <row r="488" spans="1:4" x14ac:dyDescent="0.3">
      <c r="A488" t="str">
        <f>Pop[[#This Row],[State]]&amp;" "&amp;Pop[[#This Row],[County]]</f>
        <v>GA Hart</v>
      </c>
      <c r="B488" t="s">
        <v>213</v>
      </c>
      <c r="C488" s="30" t="s">
        <v>644</v>
      </c>
      <c r="D488" s="14">
        <v>25828</v>
      </c>
    </row>
    <row r="489" spans="1:4" x14ac:dyDescent="0.3">
      <c r="A489" t="str">
        <f>Pop[[#This Row],[State]]&amp;" "&amp;Pop[[#This Row],[County]]</f>
        <v>GA Heard</v>
      </c>
      <c r="B489" t="s">
        <v>213</v>
      </c>
      <c r="C489" s="30" t="s">
        <v>645</v>
      </c>
      <c r="D489" s="14">
        <v>11412</v>
      </c>
    </row>
    <row r="490" spans="1:4" x14ac:dyDescent="0.3">
      <c r="A490" t="str">
        <f>Pop[[#This Row],[State]]&amp;" "&amp;Pop[[#This Row],[County]]</f>
        <v>GA Henry</v>
      </c>
      <c r="B490" t="s">
        <v>213</v>
      </c>
      <c r="C490" s="30" t="s">
        <v>329</v>
      </c>
      <c r="D490" s="14">
        <v>240712</v>
      </c>
    </row>
    <row r="491" spans="1:4" x14ac:dyDescent="0.3">
      <c r="A491" t="str">
        <f>Pop[[#This Row],[State]]&amp;" "&amp;Pop[[#This Row],[County]]</f>
        <v>GA Houston</v>
      </c>
      <c r="B491" t="s">
        <v>213</v>
      </c>
      <c r="C491" s="30" t="s">
        <v>330</v>
      </c>
      <c r="D491" s="14">
        <v>163633</v>
      </c>
    </row>
    <row r="492" spans="1:4" x14ac:dyDescent="0.3">
      <c r="A492" t="str">
        <f>Pop[[#This Row],[State]]&amp;" "&amp;Pop[[#This Row],[County]]</f>
        <v>GA Irwin</v>
      </c>
      <c r="B492" t="s">
        <v>213</v>
      </c>
      <c r="C492" s="30" t="s">
        <v>646</v>
      </c>
      <c r="D492" s="14">
        <v>9666</v>
      </c>
    </row>
    <row r="493" spans="1:4" x14ac:dyDescent="0.3">
      <c r="A493" t="str">
        <f>Pop[[#This Row],[State]]&amp;" "&amp;Pop[[#This Row],[County]]</f>
        <v>GA Jackson</v>
      </c>
      <c r="B493" t="s">
        <v>213</v>
      </c>
      <c r="C493" s="30" t="s">
        <v>46</v>
      </c>
      <c r="D493" s="14">
        <v>75907</v>
      </c>
    </row>
    <row r="494" spans="1:4" x14ac:dyDescent="0.3">
      <c r="A494" t="str">
        <f>Pop[[#This Row],[State]]&amp;" "&amp;Pop[[#This Row],[County]]</f>
        <v>GA Jasper</v>
      </c>
      <c r="B494" t="s">
        <v>213</v>
      </c>
      <c r="C494" s="30" t="s">
        <v>647</v>
      </c>
      <c r="D494" s="14">
        <v>14588</v>
      </c>
    </row>
    <row r="495" spans="1:4" x14ac:dyDescent="0.3">
      <c r="A495" t="str">
        <f>Pop[[#This Row],[State]]&amp;" "&amp;Pop[[#This Row],[County]]</f>
        <v>GA Jeff Davis</v>
      </c>
      <c r="B495" t="s">
        <v>213</v>
      </c>
      <c r="C495" s="30" t="s">
        <v>648</v>
      </c>
      <c r="D495" s="14">
        <v>14779</v>
      </c>
    </row>
    <row r="496" spans="1:4" x14ac:dyDescent="0.3">
      <c r="A496" t="str">
        <f>Pop[[#This Row],[State]]&amp;" "&amp;Pop[[#This Row],[County]]</f>
        <v>GA Jefferson</v>
      </c>
      <c r="B496" t="s">
        <v>213</v>
      </c>
      <c r="C496" s="30" t="s">
        <v>47</v>
      </c>
      <c r="D496" s="14">
        <v>15709</v>
      </c>
    </row>
    <row r="497" spans="1:4" x14ac:dyDescent="0.3">
      <c r="A497" t="str">
        <f>Pop[[#This Row],[State]]&amp;" "&amp;Pop[[#This Row],[County]]</f>
        <v>GA Jenkins</v>
      </c>
      <c r="B497" t="s">
        <v>213</v>
      </c>
      <c r="C497" s="30" t="s">
        <v>649</v>
      </c>
      <c r="D497" s="14">
        <v>8674</v>
      </c>
    </row>
    <row r="498" spans="1:4" x14ac:dyDescent="0.3">
      <c r="A498" t="str">
        <f>Pop[[#This Row],[State]]&amp;" "&amp;Pop[[#This Row],[County]]</f>
        <v>GA Johnson</v>
      </c>
      <c r="B498" t="s">
        <v>213</v>
      </c>
      <c r="C498" s="30" t="s">
        <v>376</v>
      </c>
      <c r="D498" s="14">
        <v>9189</v>
      </c>
    </row>
    <row r="499" spans="1:4" x14ac:dyDescent="0.3">
      <c r="A499" t="str">
        <f>Pop[[#This Row],[State]]&amp;" "&amp;Pop[[#This Row],[County]]</f>
        <v>GA Jones</v>
      </c>
      <c r="B499" t="s">
        <v>213</v>
      </c>
      <c r="C499" s="30" t="s">
        <v>650</v>
      </c>
      <c r="D499" s="14">
        <v>28347</v>
      </c>
    </row>
    <row r="500" spans="1:4" x14ac:dyDescent="0.3">
      <c r="A500" t="str">
        <f>Pop[[#This Row],[State]]&amp;" "&amp;Pop[[#This Row],[County]]</f>
        <v>GA Lamar</v>
      </c>
      <c r="B500" t="s">
        <v>213</v>
      </c>
      <c r="C500" s="30" t="s">
        <v>331</v>
      </c>
      <c r="D500" s="14">
        <v>18500</v>
      </c>
    </row>
    <row r="501" spans="1:4" x14ac:dyDescent="0.3">
      <c r="A501" t="str">
        <f>Pop[[#This Row],[State]]&amp;" "&amp;Pop[[#This Row],[County]]</f>
        <v>GA Lanier</v>
      </c>
      <c r="B501" t="s">
        <v>213</v>
      </c>
      <c r="C501" s="30" t="s">
        <v>651</v>
      </c>
      <c r="D501" s="14">
        <v>9877</v>
      </c>
    </row>
    <row r="502" spans="1:4" x14ac:dyDescent="0.3">
      <c r="A502" t="str">
        <f>Pop[[#This Row],[State]]&amp;" "&amp;Pop[[#This Row],[County]]</f>
        <v>GA Laurens</v>
      </c>
      <c r="B502" t="s">
        <v>213</v>
      </c>
      <c r="C502" s="30" t="s">
        <v>652</v>
      </c>
      <c r="D502" s="14">
        <v>49570</v>
      </c>
    </row>
    <row r="503" spans="1:4" x14ac:dyDescent="0.3">
      <c r="A503" t="str">
        <f>Pop[[#This Row],[State]]&amp;" "&amp;Pop[[#This Row],[County]]</f>
        <v>GA Lee</v>
      </c>
      <c r="B503" t="s">
        <v>213</v>
      </c>
      <c r="C503" s="30" t="s">
        <v>333</v>
      </c>
      <c r="D503" s="14">
        <v>33163</v>
      </c>
    </row>
    <row r="504" spans="1:4" x14ac:dyDescent="0.3">
      <c r="A504" t="str">
        <f>Pop[[#This Row],[State]]&amp;" "&amp;Pop[[#This Row],[County]]</f>
        <v>GA Liberty</v>
      </c>
      <c r="B504" t="s">
        <v>213</v>
      </c>
      <c r="C504" s="30" t="s">
        <v>571</v>
      </c>
      <c r="D504" s="14">
        <v>65256</v>
      </c>
    </row>
    <row r="505" spans="1:4" x14ac:dyDescent="0.3">
      <c r="A505" t="str">
        <f>Pop[[#This Row],[State]]&amp;" "&amp;Pop[[#This Row],[County]]</f>
        <v>GA Lincoln</v>
      </c>
      <c r="B505" t="s">
        <v>213</v>
      </c>
      <c r="C505" s="30" t="s">
        <v>378</v>
      </c>
      <c r="D505" s="14">
        <v>7690</v>
      </c>
    </row>
    <row r="506" spans="1:4" x14ac:dyDescent="0.3">
      <c r="A506" t="str">
        <f>Pop[[#This Row],[State]]&amp;" "&amp;Pop[[#This Row],[County]]</f>
        <v>GA Long</v>
      </c>
      <c r="B506" t="s">
        <v>213</v>
      </c>
      <c r="C506" s="30" t="s">
        <v>653</v>
      </c>
      <c r="D506" s="14">
        <v>16168</v>
      </c>
    </row>
    <row r="507" spans="1:4" x14ac:dyDescent="0.3">
      <c r="A507" t="str">
        <f>Pop[[#This Row],[State]]&amp;" "&amp;Pop[[#This Row],[County]]</f>
        <v>GA Lowndes</v>
      </c>
      <c r="B507" t="s">
        <v>213</v>
      </c>
      <c r="C507" s="30" t="s">
        <v>335</v>
      </c>
      <c r="D507" s="14">
        <v>118251</v>
      </c>
    </row>
    <row r="508" spans="1:4" x14ac:dyDescent="0.3">
      <c r="A508" t="str">
        <f>Pop[[#This Row],[State]]&amp;" "&amp;Pop[[#This Row],[County]]</f>
        <v>GA Lumpkin</v>
      </c>
      <c r="B508" t="s">
        <v>213</v>
      </c>
      <c r="C508" s="30" t="s">
        <v>654</v>
      </c>
      <c r="D508" s="14">
        <v>33488</v>
      </c>
    </row>
    <row r="509" spans="1:4" x14ac:dyDescent="0.3">
      <c r="A509" t="str">
        <f>Pop[[#This Row],[State]]&amp;" "&amp;Pop[[#This Row],[County]]</f>
        <v>GA Macon</v>
      </c>
      <c r="B509" t="s">
        <v>213</v>
      </c>
      <c r="C509" s="30" t="s">
        <v>336</v>
      </c>
      <c r="D509" s="14">
        <v>12082</v>
      </c>
    </row>
    <row r="510" spans="1:4" x14ac:dyDescent="0.3">
      <c r="A510" t="str">
        <f>Pop[[#This Row],[State]]&amp;" "&amp;Pop[[#This Row],[County]]</f>
        <v>GA Madison</v>
      </c>
      <c r="B510" t="s">
        <v>213</v>
      </c>
      <c r="C510" s="30" t="s">
        <v>49</v>
      </c>
      <c r="D510" s="14">
        <v>30120</v>
      </c>
    </row>
    <row r="511" spans="1:4" x14ac:dyDescent="0.3">
      <c r="A511" t="str">
        <f>Pop[[#This Row],[State]]&amp;" "&amp;Pop[[#This Row],[County]]</f>
        <v>GA Marion</v>
      </c>
      <c r="B511" t="s">
        <v>213</v>
      </c>
      <c r="C511" s="30" t="s">
        <v>50</v>
      </c>
      <c r="D511" s="14">
        <v>7498</v>
      </c>
    </row>
    <row r="512" spans="1:4" x14ac:dyDescent="0.3">
      <c r="A512" t="str">
        <f>Pop[[#This Row],[State]]&amp;" "&amp;Pop[[#This Row],[County]]</f>
        <v>GA McDuffie</v>
      </c>
      <c r="B512" t="s">
        <v>213</v>
      </c>
      <c r="C512" s="30" t="s">
        <v>655</v>
      </c>
      <c r="D512" s="14">
        <v>21632</v>
      </c>
    </row>
    <row r="513" spans="1:4" x14ac:dyDescent="0.3">
      <c r="A513" t="str">
        <f>Pop[[#This Row],[State]]&amp;" "&amp;Pop[[#This Row],[County]]</f>
        <v>GA McIntosh</v>
      </c>
      <c r="B513" t="s">
        <v>213</v>
      </c>
      <c r="C513" s="30" t="s">
        <v>656</v>
      </c>
      <c r="D513" s="14">
        <v>10975</v>
      </c>
    </row>
    <row r="514" spans="1:4" x14ac:dyDescent="0.3">
      <c r="A514" t="str">
        <f>Pop[[#This Row],[State]]&amp;" "&amp;Pop[[#This Row],[County]]</f>
        <v>GA Meriwether</v>
      </c>
      <c r="B514" t="s">
        <v>213</v>
      </c>
      <c r="C514" s="30" t="s">
        <v>657</v>
      </c>
      <c r="D514" s="14">
        <v>20613</v>
      </c>
    </row>
    <row r="515" spans="1:4" x14ac:dyDescent="0.3">
      <c r="A515" t="str">
        <f>Pop[[#This Row],[State]]&amp;" "&amp;Pop[[#This Row],[County]]</f>
        <v>GA Miller</v>
      </c>
      <c r="B515" t="s">
        <v>213</v>
      </c>
      <c r="C515" s="30" t="s">
        <v>382</v>
      </c>
      <c r="D515" s="14">
        <v>6000</v>
      </c>
    </row>
    <row r="516" spans="1:4" x14ac:dyDescent="0.3">
      <c r="A516" t="str">
        <f>Pop[[#This Row],[State]]&amp;" "&amp;Pop[[#This Row],[County]]</f>
        <v>GA Mitchell</v>
      </c>
      <c r="B516" t="s">
        <v>213</v>
      </c>
      <c r="C516" s="30" t="s">
        <v>658</v>
      </c>
      <c r="D516" s="14">
        <v>21755</v>
      </c>
    </row>
    <row r="517" spans="1:4" x14ac:dyDescent="0.3">
      <c r="A517" t="str">
        <f>Pop[[#This Row],[State]]&amp;" "&amp;Pop[[#This Row],[County]]</f>
        <v>GA Monroe</v>
      </c>
      <c r="B517" t="s">
        <v>213</v>
      </c>
      <c r="C517" s="30" t="s">
        <v>339</v>
      </c>
      <c r="D517" s="14">
        <v>27957</v>
      </c>
    </row>
    <row r="518" spans="1:4" x14ac:dyDescent="0.3">
      <c r="A518" t="str">
        <f>Pop[[#This Row],[State]]&amp;" "&amp;Pop[[#This Row],[County]]</f>
        <v>GA Montgomery</v>
      </c>
      <c r="B518" t="s">
        <v>213</v>
      </c>
      <c r="C518" s="30" t="s">
        <v>53</v>
      </c>
      <c r="D518" s="14">
        <v>8610</v>
      </c>
    </row>
    <row r="519" spans="1:4" x14ac:dyDescent="0.3">
      <c r="A519" t="str">
        <f>Pop[[#This Row],[State]]&amp;" "&amp;Pop[[#This Row],[County]]</f>
        <v>GA Morgan</v>
      </c>
      <c r="B519" t="s">
        <v>213</v>
      </c>
      <c r="C519" s="30" t="s">
        <v>54</v>
      </c>
      <c r="D519" s="14">
        <v>20097</v>
      </c>
    </row>
    <row r="520" spans="1:4" x14ac:dyDescent="0.3">
      <c r="A520" t="str">
        <f>Pop[[#This Row],[State]]&amp;" "&amp;Pop[[#This Row],[County]]</f>
        <v>GA Murray</v>
      </c>
      <c r="B520" t="s">
        <v>213</v>
      </c>
      <c r="C520" s="30" t="s">
        <v>659</v>
      </c>
      <c r="D520" s="14">
        <v>39973</v>
      </c>
    </row>
    <row r="521" spans="1:4" x14ac:dyDescent="0.3">
      <c r="A521" t="str">
        <f>Pop[[#This Row],[State]]&amp;" "&amp;Pop[[#This Row],[County]]</f>
        <v>GA Muscogee</v>
      </c>
      <c r="B521" t="s">
        <v>213</v>
      </c>
      <c r="C521" s="30" t="s">
        <v>660</v>
      </c>
      <c r="D521" s="14">
        <v>206922</v>
      </c>
    </row>
    <row r="522" spans="1:4" x14ac:dyDescent="0.3">
      <c r="A522" t="str">
        <f>Pop[[#This Row],[State]]&amp;" "&amp;Pop[[#This Row],[County]]</f>
        <v>GA Newton</v>
      </c>
      <c r="B522" t="s">
        <v>213</v>
      </c>
      <c r="C522" s="30" t="s">
        <v>383</v>
      </c>
      <c r="D522" s="14">
        <v>112483</v>
      </c>
    </row>
    <row r="523" spans="1:4" x14ac:dyDescent="0.3">
      <c r="A523" t="str">
        <f>Pop[[#This Row],[State]]&amp;" "&amp;Pop[[#This Row],[County]]</f>
        <v>GA Oconee</v>
      </c>
      <c r="B523" t="s">
        <v>213</v>
      </c>
      <c r="C523" s="30" t="s">
        <v>661</v>
      </c>
      <c r="D523" s="14">
        <v>41799</v>
      </c>
    </row>
    <row r="524" spans="1:4" x14ac:dyDescent="0.3">
      <c r="A524" t="str">
        <f>Pop[[#This Row],[State]]&amp;" "&amp;Pop[[#This Row],[County]]</f>
        <v>GA Oglethorpe</v>
      </c>
      <c r="B524" t="s">
        <v>213</v>
      </c>
      <c r="C524" s="30" t="s">
        <v>662</v>
      </c>
      <c r="D524" s="14">
        <v>14825</v>
      </c>
    </row>
    <row r="525" spans="1:4" x14ac:dyDescent="0.3">
      <c r="A525" t="str">
        <f>Pop[[#This Row],[State]]&amp;" "&amp;Pop[[#This Row],[County]]</f>
        <v>GA Paulding</v>
      </c>
      <c r="B525" t="s">
        <v>213</v>
      </c>
      <c r="C525" s="30" t="s">
        <v>663</v>
      </c>
      <c r="D525" s="14">
        <v>168661</v>
      </c>
    </row>
    <row r="526" spans="1:4" x14ac:dyDescent="0.3">
      <c r="A526" t="str">
        <f>Pop[[#This Row],[State]]&amp;" "&amp;Pop[[#This Row],[County]]</f>
        <v>GA Peach</v>
      </c>
      <c r="B526" t="s">
        <v>213</v>
      </c>
      <c r="C526" s="30" t="s">
        <v>664</v>
      </c>
      <c r="D526" s="14">
        <v>27981</v>
      </c>
    </row>
    <row r="527" spans="1:4" x14ac:dyDescent="0.3">
      <c r="A527" t="str">
        <f>Pop[[#This Row],[State]]&amp;" "&amp;Pop[[#This Row],[County]]</f>
        <v>GA Pickens</v>
      </c>
      <c r="B527" t="s">
        <v>213</v>
      </c>
      <c r="C527" s="30" t="s">
        <v>340</v>
      </c>
      <c r="D527" s="14">
        <v>33216</v>
      </c>
    </row>
    <row r="528" spans="1:4" x14ac:dyDescent="0.3">
      <c r="A528" t="str">
        <f>Pop[[#This Row],[State]]&amp;" "&amp;Pop[[#This Row],[County]]</f>
        <v>GA Pierce</v>
      </c>
      <c r="B528" t="s">
        <v>213</v>
      </c>
      <c r="C528" s="30" t="s">
        <v>665</v>
      </c>
      <c r="D528" s="14">
        <v>19716</v>
      </c>
    </row>
    <row r="529" spans="1:4" x14ac:dyDescent="0.3">
      <c r="A529" t="str">
        <f>Pop[[#This Row],[State]]&amp;" "&amp;Pop[[#This Row],[County]]</f>
        <v>GA Pike</v>
      </c>
      <c r="B529" t="s">
        <v>213</v>
      </c>
      <c r="C529" s="30" t="s">
        <v>341</v>
      </c>
      <c r="D529" s="14">
        <v>18889</v>
      </c>
    </row>
    <row r="530" spans="1:4" x14ac:dyDescent="0.3">
      <c r="A530" t="str">
        <f>Pop[[#This Row],[State]]&amp;" "&amp;Pop[[#This Row],[County]]</f>
        <v>GA Polk</v>
      </c>
      <c r="B530" t="s">
        <v>213</v>
      </c>
      <c r="C530" s="30" t="s">
        <v>387</v>
      </c>
      <c r="D530" s="14">
        <v>42853</v>
      </c>
    </row>
    <row r="531" spans="1:4" x14ac:dyDescent="0.3">
      <c r="A531" t="str">
        <f>Pop[[#This Row],[State]]&amp;" "&amp;Pop[[#This Row],[County]]</f>
        <v>GA Pulaski</v>
      </c>
      <c r="B531" t="s">
        <v>213</v>
      </c>
      <c r="C531" s="30" t="s">
        <v>390</v>
      </c>
      <c r="D531" s="14">
        <v>9855</v>
      </c>
    </row>
    <row r="532" spans="1:4" x14ac:dyDescent="0.3">
      <c r="A532" s="1" t="str">
        <f>Pop[[#This Row],[State]]&amp;" "&amp;Pop[[#This Row],[County]]</f>
        <v>GA Putnam</v>
      </c>
      <c r="B532" t="s">
        <v>213</v>
      </c>
      <c r="C532" s="30" t="s">
        <v>581</v>
      </c>
      <c r="D532" s="16">
        <v>22047</v>
      </c>
    </row>
    <row r="533" spans="1:4" x14ac:dyDescent="0.3">
      <c r="A533" t="str">
        <f>Pop[[#This Row],[State]]&amp;" "&amp;Pop[[#This Row],[County]]</f>
        <v>GA Quitman</v>
      </c>
      <c r="B533" t="s">
        <v>213</v>
      </c>
      <c r="C533" s="31" t="s">
        <v>666</v>
      </c>
      <c r="D533" s="14">
        <v>2235</v>
      </c>
    </row>
    <row r="534" spans="1:4" x14ac:dyDescent="0.3">
      <c r="A534" t="str">
        <f>Pop[[#This Row],[State]]&amp;" "&amp;Pop[[#This Row],[County]]</f>
        <v>GA Rabun</v>
      </c>
      <c r="B534" t="s">
        <v>213</v>
      </c>
      <c r="C534" s="30" t="s">
        <v>667</v>
      </c>
      <c r="D534" s="14">
        <v>16883</v>
      </c>
    </row>
    <row r="535" spans="1:4" x14ac:dyDescent="0.3">
      <c r="A535" t="str">
        <f>Pop[[#This Row],[State]]&amp;" "&amp;Pop[[#This Row],[County]]</f>
        <v>GA Randolph</v>
      </c>
      <c r="B535" t="s">
        <v>213</v>
      </c>
      <c r="C535" s="30" t="s">
        <v>342</v>
      </c>
      <c r="D535" s="14">
        <v>6425</v>
      </c>
    </row>
    <row r="536" spans="1:4" x14ac:dyDescent="0.3">
      <c r="A536" t="str">
        <f>Pop[[#This Row],[State]]&amp;" "&amp;Pop[[#This Row],[County]]</f>
        <v>GA Richmond</v>
      </c>
      <c r="B536" t="s">
        <v>213</v>
      </c>
      <c r="C536" s="30" t="s">
        <v>668</v>
      </c>
      <c r="D536" s="14">
        <v>206607</v>
      </c>
    </row>
    <row r="537" spans="1:4" x14ac:dyDescent="0.3">
      <c r="A537" t="str">
        <f>Pop[[#This Row],[State]]&amp;" "&amp;Pop[[#This Row],[County]]</f>
        <v>GA Rockdale</v>
      </c>
      <c r="B537" t="s">
        <v>213</v>
      </c>
      <c r="C537" s="30" t="s">
        <v>669</v>
      </c>
      <c r="D537" s="14">
        <v>93570</v>
      </c>
    </row>
    <row r="538" spans="1:4" x14ac:dyDescent="0.3">
      <c r="A538" t="str">
        <f>Pop[[#This Row],[State]]&amp;" "&amp;Pop[[#This Row],[County]]</f>
        <v>GA Schley</v>
      </c>
      <c r="B538" t="s">
        <v>213</v>
      </c>
      <c r="C538" s="30" t="s">
        <v>670</v>
      </c>
      <c r="D538" s="14">
        <v>4547</v>
      </c>
    </row>
    <row r="539" spans="1:4" x14ac:dyDescent="0.3">
      <c r="A539" t="str">
        <f>Pop[[#This Row],[State]]&amp;" "&amp;Pop[[#This Row],[County]]</f>
        <v>GA Screven</v>
      </c>
      <c r="B539" t="s">
        <v>213</v>
      </c>
      <c r="C539" s="30" t="s">
        <v>671</v>
      </c>
      <c r="D539" s="14">
        <v>14067</v>
      </c>
    </row>
    <row r="540" spans="1:4" x14ac:dyDescent="0.3">
      <c r="A540" t="str">
        <f>Pop[[#This Row],[State]]&amp;" "&amp;Pop[[#This Row],[County]]</f>
        <v>GA Seminole</v>
      </c>
      <c r="B540" t="s">
        <v>213</v>
      </c>
      <c r="C540" s="30" t="s">
        <v>584</v>
      </c>
      <c r="D540" s="14">
        <v>9147</v>
      </c>
    </row>
    <row r="541" spans="1:4" x14ac:dyDescent="0.3">
      <c r="A541" t="str">
        <f>Pop[[#This Row],[State]]&amp;" "&amp;Pop[[#This Row],[County]]</f>
        <v>GA Spalding</v>
      </c>
      <c r="B541" t="s">
        <v>213</v>
      </c>
      <c r="C541" s="30" t="s">
        <v>672</v>
      </c>
      <c r="D541" s="14">
        <v>67306</v>
      </c>
    </row>
    <row r="542" spans="1:4" x14ac:dyDescent="0.3">
      <c r="A542" t="str">
        <f>Pop[[#This Row],[State]]&amp;" "&amp;Pop[[#This Row],[County]]</f>
        <v>GA Stephens</v>
      </c>
      <c r="B542" t="s">
        <v>213</v>
      </c>
      <c r="C542" s="30" t="s">
        <v>673</v>
      </c>
      <c r="D542" s="14">
        <v>26784</v>
      </c>
    </row>
    <row r="543" spans="1:4" x14ac:dyDescent="0.3">
      <c r="A543" t="str">
        <f>Pop[[#This Row],[State]]&amp;" "&amp;Pop[[#This Row],[County]]</f>
        <v>GA Stewart</v>
      </c>
      <c r="B543" t="s">
        <v>213</v>
      </c>
      <c r="C543" s="30" t="s">
        <v>674</v>
      </c>
      <c r="D543" s="14">
        <v>5314</v>
      </c>
    </row>
    <row r="544" spans="1:4" x14ac:dyDescent="0.3">
      <c r="A544" t="str">
        <f>Pop[[#This Row],[State]]&amp;" "&amp;Pop[[#This Row],[County]]</f>
        <v>GA Sumter</v>
      </c>
      <c r="B544" t="s">
        <v>213</v>
      </c>
      <c r="C544" s="30" t="s">
        <v>345</v>
      </c>
      <c r="D544" s="14">
        <v>29616</v>
      </c>
    </row>
    <row r="545" spans="1:4" x14ac:dyDescent="0.3">
      <c r="A545" t="str">
        <f>Pop[[#This Row],[State]]&amp;" "&amp;Pop[[#This Row],[County]]</f>
        <v>GA Talbot</v>
      </c>
      <c r="B545" t="s">
        <v>213</v>
      </c>
      <c r="C545" s="30" t="s">
        <v>675</v>
      </c>
      <c r="D545" s="14">
        <v>5733</v>
      </c>
    </row>
    <row r="546" spans="1:4" x14ac:dyDescent="0.3">
      <c r="A546" t="str">
        <f>Pop[[#This Row],[State]]&amp;" "&amp;Pop[[#This Row],[County]]</f>
        <v>GA Taliaferro</v>
      </c>
      <c r="B546" t="s">
        <v>213</v>
      </c>
      <c r="C546" s="30" t="s">
        <v>676</v>
      </c>
      <c r="D546" s="14">
        <v>1559</v>
      </c>
    </row>
    <row r="547" spans="1:4" x14ac:dyDescent="0.3">
      <c r="A547" t="str">
        <f>Pop[[#This Row],[State]]&amp;" "&amp;Pop[[#This Row],[County]]</f>
        <v>GA Tattnall</v>
      </c>
      <c r="B547" t="s">
        <v>213</v>
      </c>
      <c r="C547" s="30" t="s">
        <v>677</v>
      </c>
      <c r="D547" s="14">
        <v>22842</v>
      </c>
    </row>
    <row r="548" spans="1:4" x14ac:dyDescent="0.3">
      <c r="A548" t="str">
        <f>Pop[[#This Row],[State]]&amp;" "&amp;Pop[[#This Row],[County]]</f>
        <v>GA Taylor</v>
      </c>
      <c r="B548" t="s">
        <v>213</v>
      </c>
      <c r="C548" s="30" t="s">
        <v>588</v>
      </c>
      <c r="D548" s="14">
        <v>7816</v>
      </c>
    </row>
    <row r="549" spans="1:4" x14ac:dyDescent="0.3">
      <c r="A549" t="str">
        <f>Pop[[#This Row],[State]]&amp;" "&amp;Pop[[#This Row],[County]]</f>
        <v>GA Telfair</v>
      </c>
      <c r="B549" t="s">
        <v>213</v>
      </c>
      <c r="C549" s="30" t="s">
        <v>678</v>
      </c>
      <c r="D549" s="14">
        <v>12477</v>
      </c>
    </row>
    <row r="550" spans="1:4" x14ac:dyDescent="0.3">
      <c r="A550" t="str">
        <f>Pop[[#This Row],[State]]&amp;" "&amp;Pop[[#This Row],[County]]</f>
        <v>GA Terrell</v>
      </c>
      <c r="B550" t="s">
        <v>213</v>
      </c>
      <c r="C550" s="30" t="s">
        <v>679</v>
      </c>
      <c r="D550" s="14">
        <v>9185</v>
      </c>
    </row>
    <row r="551" spans="1:4" x14ac:dyDescent="0.3">
      <c r="A551" t="str">
        <f>Pop[[#This Row],[State]]&amp;" "&amp;Pop[[#This Row],[County]]</f>
        <v>GA Thomas</v>
      </c>
      <c r="B551" t="s">
        <v>213</v>
      </c>
      <c r="C551" s="30" t="s">
        <v>680</v>
      </c>
      <c r="D551" s="14">
        <v>45798</v>
      </c>
    </row>
    <row r="552" spans="1:4" x14ac:dyDescent="0.3">
      <c r="A552" t="str">
        <f>Pop[[#This Row],[State]]&amp;" "&amp;Pop[[#This Row],[County]]</f>
        <v>GA Tift</v>
      </c>
      <c r="B552" t="s">
        <v>213</v>
      </c>
      <c r="C552" s="30" t="s">
        <v>681</v>
      </c>
      <c r="D552" s="14">
        <v>41344</v>
      </c>
    </row>
    <row r="553" spans="1:4" x14ac:dyDescent="0.3">
      <c r="A553" t="str">
        <f>Pop[[#This Row],[State]]&amp;" "&amp;Pop[[#This Row],[County]]</f>
        <v>GA Toombs</v>
      </c>
      <c r="B553" t="s">
        <v>213</v>
      </c>
      <c r="C553" s="30" t="s">
        <v>682</v>
      </c>
      <c r="D553" s="14">
        <v>27030</v>
      </c>
    </row>
    <row r="554" spans="1:4" x14ac:dyDescent="0.3">
      <c r="A554" t="str">
        <f>Pop[[#This Row],[State]]&amp;" "&amp;Pop[[#This Row],[County]]</f>
        <v>GA Towns</v>
      </c>
      <c r="B554" t="s">
        <v>213</v>
      </c>
      <c r="C554" s="30" t="s">
        <v>683</v>
      </c>
      <c r="D554" s="14">
        <v>12493</v>
      </c>
    </row>
    <row r="555" spans="1:4" x14ac:dyDescent="0.3">
      <c r="A555" t="str">
        <f>Pop[[#This Row],[State]]&amp;" "&amp;Pop[[#This Row],[County]]</f>
        <v>GA Treutlen</v>
      </c>
      <c r="B555" t="s">
        <v>213</v>
      </c>
      <c r="C555" s="30" t="s">
        <v>684</v>
      </c>
      <c r="D555" s="14">
        <v>6406</v>
      </c>
    </row>
    <row r="556" spans="1:4" x14ac:dyDescent="0.3">
      <c r="A556" t="str">
        <f>Pop[[#This Row],[State]]&amp;" "&amp;Pop[[#This Row],[County]]</f>
        <v>GA Troup</v>
      </c>
      <c r="B556" t="s">
        <v>213</v>
      </c>
      <c r="C556" s="30" t="s">
        <v>685</v>
      </c>
      <c r="D556" s="14">
        <v>69426</v>
      </c>
    </row>
    <row r="557" spans="1:4" x14ac:dyDescent="0.3">
      <c r="A557" t="str">
        <f>Pop[[#This Row],[State]]&amp;" "&amp;Pop[[#This Row],[County]]</f>
        <v>GA Turner</v>
      </c>
      <c r="B557" t="s">
        <v>213</v>
      </c>
      <c r="C557" s="30" t="s">
        <v>686</v>
      </c>
      <c r="D557" s="14">
        <v>9006</v>
      </c>
    </row>
    <row r="558" spans="1:4" x14ac:dyDescent="0.3">
      <c r="A558" t="str">
        <f>Pop[[#This Row],[State]]&amp;" "&amp;Pop[[#This Row],[County]]</f>
        <v>GA Twiggs</v>
      </c>
      <c r="B558" t="s">
        <v>213</v>
      </c>
      <c r="C558" s="30" t="s">
        <v>687</v>
      </c>
      <c r="D558" s="14">
        <v>8022</v>
      </c>
    </row>
    <row r="559" spans="1:4" x14ac:dyDescent="0.3">
      <c r="A559" t="str">
        <f>Pop[[#This Row],[State]]&amp;" "&amp;Pop[[#This Row],[County]]</f>
        <v>GA Union</v>
      </c>
      <c r="B559" t="s">
        <v>213</v>
      </c>
      <c r="C559" s="30" t="s">
        <v>399</v>
      </c>
      <c r="D559" s="14">
        <v>24632</v>
      </c>
    </row>
    <row r="560" spans="1:4" x14ac:dyDescent="0.3">
      <c r="A560" t="str">
        <f>Pop[[#This Row],[State]]&amp;" "&amp;Pop[[#This Row],[County]]</f>
        <v>GA Upson</v>
      </c>
      <c r="B560" t="s">
        <v>213</v>
      </c>
      <c r="C560" s="30" t="s">
        <v>688</v>
      </c>
      <c r="D560" s="14">
        <v>27700</v>
      </c>
    </row>
    <row r="561" spans="1:4" x14ac:dyDescent="0.3">
      <c r="A561" t="str">
        <f>Pop[[#This Row],[State]]&amp;" "&amp;Pop[[#This Row],[County]]</f>
        <v>GA Walker</v>
      </c>
      <c r="B561" t="s">
        <v>213</v>
      </c>
      <c r="C561" s="30" t="s">
        <v>349</v>
      </c>
      <c r="D561" s="14">
        <v>67654</v>
      </c>
    </row>
    <row r="562" spans="1:4" x14ac:dyDescent="0.3">
      <c r="A562" t="str">
        <f>Pop[[#This Row],[State]]&amp;" "&amp;Pop[[#This Row],[County]]</f>
        <v>GA Walton</v>
      </c>
      <c r="B562" t="s">
        <v>213</v>
      </c>
      <c r="C562" s="30" t="s">
        <v>591</v>
      </c>
      <c r="D562" s="14">
        <v>96673</v>
      </c>
    </row>
    <row r="563" spans="1:4" x14ac:dyDescent="0.3">
      <c r="A563" t="str">
        <f>Pop[[#This Row],[State]]&amp;" "&amp;Pop[[#This Row],[County]]</f>
        <v>GA Ware</v>
      </c>
      <c r="B563" t="s">
        <v>213</v>
      </c>
      <c r="C563" s="30" t="s">
        <v>689</v>
      </c>
      <c r="D563" s="14">
        <v>36251</v>
      </c>
    </row>
    <row r="564" spans="1:4" x14ac:dyDescent="0.3">
      <c r="A564" t="str">
        <f>Pop[[#This Row],[State]]&amp;" "&amp;Pop[[#This Row],[County]]</f>
        <v>GA Warren</v>
      </c>
      <c r="B564" t="s">
        <v>213</v>
      </c>
      <c r="C564" s="30" t="s">
        <v>690</v>
      </c>
      <c r="D564" s="14">
        <v>5215</v>
      </c>
    </row>
    <row r="565" spans="1:4" x14ac:dyDescent="0.3">
      <c r="A565" t="str">
        <f>Pop[[#This Row],[State]]&amp;" "&amp;Pop[[#This Row],[County]]</f>
        <v>GA Washington</v>
      </c>
      <c r="B565" t="s">
        <v>213</v>
      </c>
      <c r="C565" s="30" t="s">
        <v>65</v>
      </c>
      <c r="D565" s="14">
        <v>19988</v>
      </c>
    </row>
    <row r="566" spans="1:4" x14ac:dyDescent="0.3">
      <c r="A566" t="str">
        <f>Pop[[#This Row],[State]]&amp;" "&amp;Pop[[#This Row],[County]]</f>
        <v>GA Wayne</v>
      </c>
      <c r="B566" t="s">
        <v>213</v>
      </c>
      <c r="C566" s="30" t="s">
        <v>691</v>
      </c>
      <c r="D566" s="14">
        <v>30144</v>
      </c>
    </row>
    <row r="567" spans="1:4" x14ac:dyDescent="0.3">
      <c r="A567" t="str">
        <f>Pop[[#This Row],[State]]&amp;" "&amp;Pop[[#This Row],[County]]</f>
        <v>GA Webster</v>
      </c>
      <c r="B567" t="s">
        <v>213</v>
      </c>
      <c r="C567" s="30" t="s">
        <v>692</v>
      </c>
      <c r="D567" s="14">
        <v>2348</v>
      </c>
    </row>
    <row r="568" spans="1:4" x14ac:dyDescent="0.3">
      <c r="A568" t="str">
        <f>Pop[[#This Row],[State]]&amp;" "&amp;Pop[[#This Row],[County]]</f>
        <v>GA Wheeler</v>
      </c>
      <c r="B568" t="s">
        <v>213</v>
      </c>
      <c r="C568" s="30" t="s">
        <v>693</v>
      </c>
      <c r="D568" s="14">
        <v>7471</v>
      </c>
    </row>
    <row r="569" spans="1:4" x14ac:dyDescent="0.3">
      <c r="A569" t="str">
        <f>Pop[[#This Row],[State]]&amp;" "&amp;Pop[[#This Row],[County]]</f>
        <v>GA White</v>
      </c>
      <c r="B569" t="s">
        <v>213</v>
      </c>
      <c r="C569" s="30" t="s">
        <v>66</v>
      </c>
      <c r="D569" s="14">
        <v>28003</v>
      </c>
    </row>
    <row r="570" spans="1:4" x14ac:dyDescent="0.3">
      <c r="A570" t="str">
        <f>Pop[[#This Row],[State]]&amp;" "&amp;Pop[[#This Row],[County]]</f>
        <v>GA Whitfield</v>
      </c>
      <c r="B570" t="s">
        <v>213</v>
      </c>
      <c r="C570" s="30" t="s">
        <v>694</v>
      </c>
      <c r="D570" s="14">
        <v>102864</v>
      </c>
    </row>
    <row r="571" spans="1:4" x14ac:dyDescent="0.3">
      <c r="A571" t="str">
        <f>Pop[[#This Row],[State]]&amp;" "&amp;Pop[[#This Row],[County]]</f>
        <v>GA Wilcox</v>
      </c>
      <c r="B571" t="s">
        <v>213</v>
      </c>
      <c r="C571" s="30" t="s">
        <v>350</v>
      </c>
      <c r="D571" s="14">
        <v>8766</v>
      </c>
    </row>
    <row r="572" spans="1:4" x14ac:dyDescent="0.3">
      <c r="A572" t="str">
        <f>Pop[[#This Row],[State]]&amp;" "&amp;Pop[[#This Row],[County]]</f>
        <v>GA Wilkes</v>
      </c>
      <c r="B572" t="s">
        <v>213</v>
      </c>
      <c r="C572" s="30" t="s">
        <v>695</v>
      </c>
      <c r="D572" s="14">
        <v>9565</v>
      </c>
    </row>
    <row r="573" spans="1:4" x14ac:dyDescent="0.3">
      <c r="A573" t="str">
        <f>Pop[[#This Row],[State]]&amp;" "&amp;Pop[[#This Row],[County]]</f>
        <v>GA Wilkinson</v>
      </c>
      <c r="B573" t="s">
        <v>213</v>
      </c>
      <c r="C573" s="30" t="s">
        <v>696</v>
      </c>
      <c r="D573" s="14">
        <v>8877</v>
      </c>
    </row>
    <row r="574" spans="1:4" x14ac:dyDescent="0.3">
      <c r="A574" t="str">
        <f>Pop[[#This Row],[State]]&amp;" "&amp;Pop[[#This Row],[County]]</f>
        <v>GA Worth</v>
      </c>
      <c r="B574" t="s">
        <v>213</v>
      </c>
      <c r="C574" s="30" t="s">
        <v>697</v>
      </c>
      <c r="D574" s="14">
        <v>20784</v>
      </c>
    </row>
    <row r="575" spans="1:4" x14ac:dyDescent="0.3">
      <c r="A575" s="1" t="str">
        <f>Pop[[#This Row],[State]]&amp;" "&amp;Pop[[#This Row],[County]]</f>
        <v>GA State Agencies</v>
      </c>
      <c r="B575" t="s">
        <v>213</v>
      </c>
      <c r="C575" s="30" t="s">
        <v>243</v>
      </c>
      <c r="D575" s="16" t="s">
        <v>244</v>
      </c>
    </row>
    <row r="576" spans="1:4" x14ac:dyDescent="0.3">
      <c r="A576" s="1" t="str">
        <f>Pop[[#This Row],[State]]&amp;" "&amp;Pop[[#This Row],[County]]</f>
        <v>GA Grand Total</v>
      </c>
      <c r="B576" t="s">
        <v>213</v>
      </c>
      <c r="C576" s="30" t="s">
        <v>67</v>
      </c>
      <c r="D576" s="16">
        <v>10711908</v>
      </c>
    </row>
    <row r="577" spans="1:4" x14ac:dyDescent="0.3">
      <c r="A577" s="1" t="str">
        <f>Pop[[#This Row],[State]]&amp;" "&amp;Pop[[#This Row],[County]]</f>
        <v>GU Territory Wide</v>
      </c>
      <c r="B577" t="s">
        <v>300</v>
      </c>
      <c r="C577" s="30" t="s">
        <v>698</v>
      </c>
      <c r="D577" s="16">
        <v>159358</v>
      </c>
    </row>
    <row r="578" spans="1:4" x14ac:dyDescent="0.3">
      <c r="A578" s="1" t="str">
        <f>Pop[[#This Row],[State]]&amp;" "&amp;Pop[[#This Row],[County]]</f>
        <v>GU State Agencies</v>
      </c>
      <c r="B578" t="s">
        <v>300</v>
      </c>
      <c r="C578" s="30" t="s">
        <v>243</v>
      </c>
      <c r="D578" s="16" t="s">
        <v>244</v>
      </c>
    </row>
    <row r="579" spans="1:4" x14ac:dyDescent="0.3">
      <c r="A579" s="1" t="str">
        <f>Pop[[#This Row],[State]]&amp;" "&amp;Pop[[#This Row],[County]]</f>
        <v>GU Grand Total</v>
      </c>
      <c r="B579" t="s">
        <v>300</v>
      </c>
      <c r="C579" s="30" t="s">
        <v>67</v>
      </c>
      <c r="D579" s="16">
        <v>159358</v>
      </c>
    </row>
    <row r="580" spans="1:4" x14ac:dyDescent="0.3">
      <c r="A580" t="str">
        <f>Pop[[#This Row],[State]]&amp;" "&amp;Pop[[#This Row],[County]]</f>
        <v>HI Hawaii</v>
      </c>
      <c r="B580" t="s">
        <v>303</v>
      </c>
      <c r="C580" s="30" t="s">
        <v>304</v>
      </c>
      <c r="D580" s="14">
        <v>185079</v>
      </c>
    </row>
    <row r="581" spans="1:4" x14ac:dyDescent="0.3">
      <c r="A581" t="str">
        <f>Pop[[#This Row],[State]]&amp;" "&amp;Pop[[#This Row],[County]]</f>
        <v>HI Honolulu</v>
      </c>
      <c r="B581" t="s">
        <v>303</v>
      </c>
      <c r="C581" s="30" t="s">
        <v>699</v>
      </c>
      <c r="D581" s="14">
        <v>953207</v>
      </c>
    </row>
    <row r="582" spans="1:4" x14ac:dyDescent="0.3">
      <c r="A582" t="str">
        <f>Pop[[#This Row],[State]]&amp;" "&amp;Pop[[#This Row],[County]]</f>
        <v>HI Kalawao</v>
      </c>
      <c r="B582" t="s">
        <v>303</v>
      </c>
      <c r="C582" s="30" t="s">
        <v>700</v>
      </c>
      <c r="D582" s="14">
        <v>90</v>
      </c>
    </row>
    <row r="583" spans="1:4" x14ac:dyDescent="0.3">
      <c r="A583" t="str">
        <f>Pop[[#This Row],[State]]&amp;" "&amp;Pop[[#This Row],[County]]</f>
        <v>HI Kauai</v>
      </c>
      <c r="B583" t="s">
        <v>303</v>
      </c>
      <c r="C583" s="30" t="s">
        <v>701</v>
      </c>
      <c r="D583" s="14">
        <v>67091</v>
      </c>
    </row>
    <row r="584" spans="1:4" x14ac:dyDescent="0.3">
      <c r="A584" t="str">
        <f>Pop[[#This Row],[State]]&amp;" "&amp;Pop[[#This Row],[County]]</f>
        <v>HI Maui</v>
      </c>
      <c r="B584" t="s">
        <v>303</v>
      </c>
      <c r="C584" s="30" t="s">
        <v>702</v>
      </c>
      <c r="D584" s="14">
        <v>154834</v>
      </c>
    </row>
    <row r="585" spans="1:4" x14ac:dyDescent="0.3">
      <c r="A585" s="1" t="str">
        <f>Pop[[#This Row],[State]]&amp;" "&amp;Pop[[#This Row],[County]]</f>
        <v>HI State Agencies</v>
      </c>
      <c r="B585" t="s">
        <v>303</v>
      </c>
      <c r="C585" s="30" t="s">
        <v>243</v>
      </c>
      <c r="D585" s="16" t="s">
        <v>244</v>
      </c>
    </row>
    <row r="586" spans="1:4" x14ac:dyDescent="0.3">
      <c r="A586" s="1" t="str">
        <f>Pop[[#This Row],[State]]&amp;" "&amp;Pop[[#This Row],[County]]</f>
        <v>HI Grand Total</v>
      </c>
      <c r="B586" t="s">
        <v>303</v>
      </c>
      <c r="C586" s="30" t="s">
        <v>67</v>
      </c>
      <c r="D586" s="16">
        <v>1360301</v>
      </c>
    </row>
    <row r="587" spans="1:4" x14ac:dyDescent="0.3">
      <c r="A587" s="1" t="str">
        <f>Pop[[#This Row],[State]]&amp;" "&amp;Pop[[#This Row],[County]]</f>
        <v>IA Adair</v>
      </c>
      <c r="B587" t="s">
        <v>262</v>
      </c>
      <c r="C587" s="30" t="s">
        <v>703</v>
      </c>
      <c r="D587" s="16">
        <v>7682</v>
      </c>
    </row>
    <row r="588" spans="1:4" x14ac:dyDescent="0.3">
      <c r="A588" s="1" t="str">
        <f>Pop[[#This Row],[State]]&amp;" "&amp;Pop[[#This Row],[County]]</f>
        <v>IA Adams</v>
      </c>
      <c r="B588" t="s">
        <v>262</v>
      </c>
      <c r="C588" s="30" t="s">
        <v>478</v>
      </c>
      <c r="D588" s="16">
        <v>4029</v>
      </c>
    </row>
    <row r="589" spans="1:4" x14ac:dyDescent="0.3">
      <c r="A589" s="1" t="str">
        <f>Pop[[#This Row],[State]]&amp;" "&amp;Pop[[#This Row],[County]]</f>
        <v>IA Allamakee</v>
      </c>
      <c r="B589" t="s">
        <v>262</v>
      </c>
      <c r="C589" s="30" t="s">
        <v>704</v>
      </c>
      <c r="D589" s="16">
        <v>14330</v>
      </c>
    </row>
    <row r="590" spans="1:4" x14ac:dyDescent="0.3">
      <c r="A590" s="1" t="str">
        <f>Pop[[#This Row],[State]]&amp;" "&amp;Pop[[#This Row],[County]]</f>
        <v>IA Appanoose</v>
      </c>
      <c r="B590" t="s">
        <v>262</v>
      </c>
      <c r="C590" s="30" t="s">
        <v>705</v>
      </c>
      <c r="D590" s="16">
        <v>12887</v>
      </c>
    </row>
    <row r="591" spans="1:4" x14ac:dyDescent="0.3">
      <c r="A591" s="1" t="str">
        <f>Pop[[#This Row],[State]]&amp;" "&amp;Pop[[#This Row],[County]]</f>
        <v>IA Audubon</v>
      </c>
      <c r="B591" t="s">
        <v>262</v>
      </c>
      <c r="C591" s="30" t="s">
        <v>706</v>
      </c>
      <c r="D591" s="16">
        <v>6119</v>
      </c>
    </row>
    <row r="592" spans="1:4" x14ac:dyDescent="0.3">
      <c r="A592" s="1" t="str">
        <f>Pop[[#This Row],[State]]&amp;" "&amp;Pop[[#This Row],[County]]</f>
        <v>IA Benton</v>
      </c>
      <c r="B592" t="s">
        <v>262</v>
      </c>
      <c r="C592" s="30" t="s">
        <v>354</v>
      </c>
      <c r="D592" s="16">
        <v>26076</v>
      </c>
    </row>
    <row r="593" spans="1:4" x14ac:dyDescent="0.3">
      <c r="A593" s="1" t="str">
        <f>Pop[[#This Row],[State]]&amp;" "&amp;Pop[[#This Row],[County]]</f>
        <v>IA Black Hawk</v>
      </c>
      <c r="B593" t="s">
        <v>262</v>
      </c>
      <c r="C593" s="30" t="s">
        <v>707</v>
      </c>
      <c r="D593" s="16">
        <v>131090</v>
      </c>
    </row>
    <row r="594" spans="1:4" x14ac:dyDescent="0.3">
      <c r="A594" s="1" t="str">
        <f>Pop[[#This Row],[State]]&amp;" "&amp;Pop[[#This Row],[County]]</f>
        <v>IA Boone</v>
      </c>
      <c r="B594" t="s">
        <v>262</v>
      </c>
      <c r="C594" s="30" t="s">
        <v>355</v>
      </c>
      <c r="D594" s="16">
        <v>26306</v>
      </c>
    </row>
    <row r="595" spans="1:4" x14ac:dyDescent="0.3">
      <c r="A595" s="1" t="str">
        <f>Pop[[#This Row],[State]]&amp;" "&amp;Pop[[#This Row],[County]]</f>
        <v>IA Bremer</v>
      </c>
      <c r="B595" t="s">
        <v>262</v>
      </c>
      <c r="C595" s="30" t="s">
        <v>708</v>
      </c>
      <c r="D595" s="16">
        <v>24276</v>
      </c>
    </row>
    <row r="596" spans="1:4" x14ac:dyDescent="0.3">
      <c r="A596" s="1" t="str">
        <f>Pop[[#This Row],[State]]&amp;" "&amp;Pop[[#This Row],[County]]</f>
        <v>IA Buchanan</v>
      </c>
      <c r="B596" t="s">
        <v>262</v>
      </c>
      <c r="C596" s="30" t="s">
        <v>709</v>
      </c>
      <c r="D596" s="16">
        <v>20958</v>
      </c>
    </row>
    <row r="597" spans="1:4" x14ac:dyDescent="0.3">
      <c r="A597" s="1" t="str">
        <f>Pop[[#This Row],[State]]&amp;" "&amp;Pop[[#This Row],[County]]</f>
        <v>IA Buena Vista</v>
      </c>
      <c r="B597" t="s">
        <v>262</v>
      </c>
      <c r="C597" s="30" t="s">
        <v>710</v>
      </c>
      <c r="D597" s="16">
        <v>20260</v>
      </c>
    </row>
    <row r="598" spans="1:4" x14ac:dyDescent="0.3">
      <c r="A598" s="1" t="str">
        <f>Pop[[#This Row],[State]]&amp;" "&amp;Pop[[#This Row],[County]]</f>
        <v>IA Butler</v>
      </c>
      <c r="B598" t="s">
        <v>262</v>
      </c>
      <c r="C598" s="30" t="s">
        <v>267</v>
      </c>
      <c r="D598" s="16">
        <v>14867</v>
      </c>
    </row>
    <row r="599" spans="1:4" x14ac:dyDescent="0.3">
      <c r="A599" s="1" t="str">
        <f>Pop[[#This Row],[State]]&amp;" "&amp;Pop[[#This Row],[County]]</f>
        <v>IA Calhoun</v>
      </c>
      <c r="B599" t="s">
        <v>262</v>
      </c>
      <c r="C599" s="30" t="s">
        <v>270</v>
      </c>
      <c r="D599" s="16">
        <v>9670</v>
      </c>
    </row>
    <row r="600" spans="1:4" x14ac:dyDescent="0.3">
      <c r="A600" s="1" t="str">
        <f>Pop[[#This Row],[State]]&amp;" "&amp;Pop[[#This Row],[County]]</f>
        <v>IA Carroll</v>
      </c>
      <c r="B600" t="s">
        <v>262</v>
      </c>
      <c r="C600" s="30" t="s">
        <v>357</v>
      </c>
      <c r="D600" s="16">
        <v>20816</v>
      </c>
    </row>
    <row r="601" spans="1:4" x14ac:dyDescent="0.3">
      <c r="A601" s="1" t="str">
        <f>Pop[[#This Row],[State]]&amp;" "&amp;Pop[[#This Row],[County]]</f>
        <v>IA Cass</v>
      </c>
      <c r="B601" t="s">
        <v>262</v>
      </c>
      <c r="C601" s="30" t="s">
        <v>711</v>
      </c>
      <c r="D601" s="16">
        <v>13956</v>
      </c>
    </row>
    <row r="602" spans="1:4" x14ac:dyDescent="0.3">
      <c r="A602" s="1" t="str">
        <f>Pop[[#This Row],[State]]&amp;" "&amp;Pop[[#This Row],[County]]</f>
        <v>IA Cedar</v>
      </c>
      <c r="B602" t="s">
        <v>262</v>
      </c>
      <c r="C602" s="30" t="s">
        <v>712</v>
      </c>
      <c r="D602" s="16">
        <v>18499</v>
      </c>
    </row>
    <row r="603" spans="1:4" x14ac:dyDescent="0.3">
      <c r="A603" s="1" t="str">
        <f>Pop[[#This Row],[State]]&amp;" "&amp;Pop[[#This Row],[County]]</f>
        <v>IA Cerro Gordo</v>
      </c>
      <c r="B603" t="s">
        <v>262</v>
      </c>
      <c r="C603" s="30" t="s">
        <v>713</v>
      </c>
      <c r="D603" s="16">
        <v>44151</v>
      </c>
    </row>
    <row r="604" spans="1:4" x14ac:dyDescent="0.3">
      <c r="A604" s="1" t="str">
        <f>Pop[[#This Row],[State]]&amp;" "&amp;Pop[[#This Row],[County]]</f>
        <v>IA Cherokee</v>
      </c>
      <c r="B604" t="s">
        <v>262</v>
      </c>
      <c r="C604" s="30" t="s">
        <v>276</v>
      </c>
      <c r="D604" s="16">
        <v>12072</v>
      </c>
    </row>
    <row r="605" spans="1:4" x14ac:dyDescent="0.3">
      <c r="A605" s="1" t="str">
        <f>Pop[[#This Row],[State]]&amp;" "&amp;Pop[[#This Row],[County]]</f>
        <v>IA Chickasaw</v>
      </c>
      <c r="B605" t="s">
        <v>262</v>
      </c>
      <c r="C605" s="30" t="s">
        <v>714</v>
      </c>
      <c r="D605" s="16">
        <v>12439</v>
      </c>
    </row>
    <row r="606" spans="1:4" x14ac:dyDescent="0.3">
      <c r="A606" s="1" t="str">
        <f>Pop[[#This Row],[State]]&amp;" "&amp;Pop[[#This Row],[County]]</f>
        <v>IA Clarke</v>
      </c>
      <c r="B606" t="s">
        <v>262</v>
      </c>
      <c r="C606" s="30" t="s">
        <v>285</v>
      </c>
      <c r="D606" s="16">
        <v>9286</v>
      </c>
    </row>
    <row r="607" spans="1:4" x14ac:dyDescent="0.3">
      <c r="A607" s="1" t="str">
        <f>Pop[[#This Row],[State]]&amp;" "&amp;Pop[[#This Row],[County]]</f>
        <v>IA Clay</v>
      </c>
      <c r="B607" t="s">
        <v>262</v>
      </c>
      <c r="C607" s="30" t="s">
        <v>39</v>
      </c>
      <c r="D607" s="16">
        <v>16667</v>
      </c>
    </row>
    <row r="608" spans="1:4" x14ac:dyDescent="0.3">
      <c r="A608" s="1" t="str">
        <f>Pop[[#This Row],[State]]&amp;" "&amp;Pop[[#This Row],[County]]</f>
        <v>IA Clayton</v>
      </c>
      <c r="B608" t="s">
        <v>262</v>
      </c>
      <c r="C608" s="30" t="s">
        <v>614</v>
      </c>
      <c r="D608" s="16">
        <v>18129</v>
      </c>
    </row>
    <row r="609" spans="1:4" x14ac:dyDescent="0.3">
      <c r="A609" s="1" t="str">
        <f>Pop[[#This Row],[State]]&amp;" "&amp;Pop[[#This Row],[County]]</f>
        <v>IA Clinton</v>
      </c>
      <c r="B609" t="s">
        <v>262</v>
      </c>
      <c r="C609" s="30" t="s">
        <v>715</v>
      </c>
      <c r="D609" s="16">
        <v>49116</v>
      </c>
    </row>
    <row r="610" spans="1:4" x14ac:dyDescent="0.3">
      <c r="A610" s="1" t="str">
        <f>Pop[[#This Row],[State]]&amp;" "&amp;Pop[[#This Row],[County]]</f>
        <v>IA Crawford</v>
      </c>
      <c r="B610" t="s">
        <v>262</v>
      </c>
      <c r="C610" s="30" t="s">
        <v>40</v>
      </c>
      <c r="D610" s="16">
        <v>17096</v>
      </c>
    </row>
    <row r="611" spans="1:4" x14ac:dyDescent="0.3">
      <c r="A611" s="1" t="str">
        <f>Pop[[#This Row],[State]]&amp;" "&amp;Pop[[#This Row],[County]]</f>
        <v>IA Dallas</v>
      </c>
      <c r="B611" t="s">
        <v>262</v>
      </c>
      <c r="C611" s="30" t="s">
        <v>316</v>
      </c>
      <c r="D611" s="16">
        <v>66135</v>
      </c>
    </row>
    <row r="612" spans="1:4" x14ac:dyDescent="0.3">
      <c r="A612" s="1" t="str">
        <f>Pop[[#This Row],[State]]&amp;" "&amp;Pop[[#This Row],[County]]</f>
        <v>IA Davis</v>
      </c>
      <c r="B612" t="s">
        <v>262</v>
      </c>
      <c r="C612" s="30" t="s">
        <v>716</v>
      </c>
      <c r="D612" s="16">
        <v>8753</v>
      </c>
    </row>
    <row r="613" spans="1:4" x14ac:dyDescent="0.3">
      <c r="A613" s="1" t="str">
        <f>Pop[[#This Row],[State]]&amp;" "&amp;Pop[[#This Row],[County]]</f>
        <v>IA Decatur</v>
      </c>
      <c r="B613" t="s">
        <v>262</v>
      </c>
      <c r="C613" s="30" t="s">
        <v>41</v>
      </c>
      <c r="D613" s="16">
        <v>8457</v>
      </c>
    </row>
    <row r="614" spans="1:4" x14ac:dyDescent="0.3">
      <c r="A614" s="1" t="str">
        <f>Pop[[#This Row],[State]]&amp;" "&amp;Pop[[#This Row],[County]]</f>
        <v>IA Delaware</v>
      </c>
      <c r="B614" t="s">
        <v>262</v>
      </c>
      <c r="C614" s="30" t="s">
        <v>191</v>
      </c>
      <c r="D614" s="16">
        <v>17764</v>
      </c>
    </row>
    <row r="615" spans="1:4" x14ac:dyDescent="0.3">
      <c r="A615" s="1" t="str">
        <f>Pop[[#This Row],[State]]&amp;" "&amp;Pop[[#This Row],[County]]</f>
        <v>IA Des Moines</v>
      </c>
      <c r="B615" t="s">
        <v>262</v>
      </c>
      <c r="C615" s="30" t="s">
        <v>717</v>
      </c>
      <c r="D615" s="16">
        <v>40325</v>
      </c>
    </row>
    <row r="616" spans="1:4" x14ac:dyDescent="0.3">
      <c r="A616" s="1" t="str">
        <f>Pop[[#This Row],[State]]&amp;" "&amp;Pop[[#This Row],[County]]</f>
        <v>IA Dickinson</v>
      </c>
      <c r="B616" t="s">
        <v>262</v>
      </c>
      <c r="C616" s="30" t="s">
        <v>718</v>
      </c>
      <c r="D616" s="16">
        <v>16667</v>
      </c>
    </row>
    <row r="617" spans="1:4" x14ac:dyDescent="0.3">
      <c r="A617" s="1" t="str">
        <f>Pop[[#This Row],[State]]&amp;" "&amp;Pop[[#This Row],[County]]</f>
        <v>IA Dubuque</v>
      </c>
      <c r="B617" t="s">
        <v>262</v>
      </c>
      <c r="C617" s="30" t="s">
        <v>719</v>
      </c>
      <c r="D617" s="16">
        <v>93653</v>
      </c>
    </row>
    <row r="618" spans="1:4" x14ac:dyDescent="0.3">
      <c r="A618" s="1" t="str">
        <f>Pop[[#This Row],[State]]&amp;" "&amp;Pop[[#This Row],[County]]</f>
        <v>IA Emmet</v>
      </c>
      <c r="B618" t="s">
        <v>262</v>
      </c>
      <c r="C618" s="30" t="s">
        <v>720</v>
      </c>
      <c r="D618" s="16">
        <v>10302</v>
      </c>
    </row>
    <row r="619" spans="1:4" x14ac:dyDescent="0.3">
      <c r="A619" s="1" t="str">
        <f>Pop[[#This Row],[State]]&amp;" "&amp;Pop[[#This Row],[County]]</f>
        <v>IA Fayette</v>
      </c>
      <c r="B619" t="s">
        <v>262</v>
      </c>
      <c r="C619" s="30" t="s">
        <v>326</v>
      </c>
      <c r="D619" s="16">
        <v>20880</v>
      </c>
    </row>
    <row r="620" spans="1:4" x14ac:dyDescent="0.3">
      <c r="A620" s="1" t="str">
        <f>Pop[[#This Row],[State]]&amp;" "&amp;Pop[[#This Row],[County]]</f>
        <v>IA Floyd</v>
      </c>
      <c r="B620" t="s">
        <v>262</v>
      </c>
      <c r="C620" s="30" t="s">
        <v>42</v>
      </c>
      <c r="D620" s="16">
        <v>16303</v>
      </c>
    </row>
    <row r="621" spans="1:4" x14ac:dyDescent="0.3">
      <c r="A621" s="1" t="str">
        <f>Pop[[#This Row],[State]]&amp;" "&amp;Pop[[#This Row],[County]]</f>
        <v>IA Franklin</v>
      </c>
      <c r="B621" t="s">
        <v>262</v>
      </c>
      <c r="C621" s="30" t="s">
        <v>43</v>
      </c>
      <c r="D621" s="16">
        <v>10680</v>
      </c>
    </row>
    <row r="622" spans="1:4" x14ac:dyDescent="0.3">
      <c r="A622" s="1" t="str">
        <f>Pop[[#This Row],[State]]&amp;" "&amp;Pop[[#This Row],[County]]</f>
        <v>IA Fremont</v>
      </c>
      <c r="B622" t="s">
        <v>262</v>
      </c>
      <c r="C622" s="30" t="s">
        <v>500</v>
      </c>
      <c r="D622" s="16">
        <v>7441</v>
      </c>
    </row>
    <row r="623" spans="1:4" x14ac:dyDescent="0.3">
      <c r="A623" s="1" t="str">
        <f>Pop[[#This Row],[State]]&amp;" "&amp;Pop[[#This Row],[County]]</f>
        <v>IA Greene</v>
      </c>
      <c r="B623" t="s">
        <v>262</v>
      </c>
      <c r="C623" s="30" t="s">
        <v>44</v>
      </c>
      <c r="D623" s="16">
        <v>9336</v>
      </c>
    </row>
    <row r="624" spans="1:4" x14ac:dyDescent="0.3">
      <c r="A624" s="1" t="str">
        <f>Pop[[#This Row],[State]]&amp;" "&amp;Pop[[#This Row],[County]]</f>
        <v>IA Grundy</v>
      </c>
      <c r="B624" t="s">
        <v>262</v>
      </c>
      <c r="C624" s="30" t="s">
        <v>721</v>
      </c>
      <c r="D624" s="16">
        <v>12453</v>
      </c>
    </row>
    <row r="625" spans="1:4" x14ac:dyDescent="0.3">
      <c r="A625" s="1" t="str">
        <f>Pop[[#This Row],[State]]&amp;" "&amp;Pop[[#This Row],[County]]</f>
        <v>IA Guthrie</v>
      </c>
      <c r="B625" t="s">
        <v>262</v>
      </c>
      <c r="C625" s="30" t="s">
        <v>722</v>
      </c>
      <c r="D625" s="16">
        <v>10954</v>
      </c>
    </row>
    <row r="626" spans="1:4" x14ac:dyDescent="0.3">
      <c r="A626" s="1" t="str">
        <f>Pop[[#This Row],[State]]&amp;" "&amp;Pop[[#This Row],[County]]</f>
        <v>IA Hamilton</v>
      </c>
      <c r="B626" t="s">
        <v>262</v>
      </c>
      <c r="C626" s="30" t="s">
        <v>561</v>
      </c>
      <c r="D626" s="16">
        <v>15673</v>
      </c>
    </row>
    <row r="627" spans="1:4" x14ac:dyDescent="0.3">
      <c r="A627" s="1" t="str">
        <f>Pop[[#This Row],[State]]&amp;" "&amp;Pop[[#This Row],[County]]</f>
        <v>IA Hancock</v>
      </c>
      <c r="B627" t="s">
        <v>262</v>
      </c>
      <c r="C627" s="30" t="s">
        <v>641</v>
      </c>
      <c r="D627" s="16">
        <v>11341</v>
      </c>
    </row>
    <row r="628" spans="1:4" x14ac:dyDescent="0.3">
      <c r="A628" s="1" t="str">
        <f>Pop[[#This Row],[State]]&amp;" "&amp;Pop[[#This Row],[County]]</f>
        <v>IA Hardin</v>
      </c>
      <c r="B628" t="s">
        <v>262</v>
      </c>
      <c r="C628" s="30" t="s">
        <v>723</v>
      </c>
      <c r="D628" s="16">
        <v>17534</v>
      </c>
    </row>
    <row r="629" spans="1:4" x14ac:dyDescent="0.3">
      <c r="A629" s="1" t="str">
        <f>Pop[[#This Row],[State]]&amp;" "&amp;Pop[[#This Row],[County]]</f>
        <v>IA Harrison</v>
      </c>
      <c r="B629" t="s">
        <v>262</v>
      </c>
      <c r="C629" s="30" t="s">
        <v>45</v>
      </c>
      <c r="D629" s="16">
        <v>14928</v>
      </c>
    </row>
    <row r="630" spans="1:4" x14ac:dyDescent="0.3">
      <c r="A630" s="1" t="str">
        <f>Pop[[#This Row],[State]]&amp;" "&amp;Pop[[#This Row],[County]]</f>
        <v>IA Henry</v>
      </c>
      <c r="B630" t="s">
        <v>262</v>
      </c>
      <c r="C630" s="30" t="s">
        <v>329</v>
      </c>
      <c r="D630" s="16">
        <v>20145</v>
      </c>
    </row>
    <row r="631" spans="1:4" x14ac:dyDescent="0.3">
      <c r="A631" s="1" t="str">
        <f>Pop[[#This Row],[State]]&amp;" "&amp;Pop[[#This Row],[County]]</f>
        <v>IA Howard</v>
      </c>
      <c r="B631" t="s">
        <v>262</v>
      </c>
      <c r="C631" s="30" t="s">
        <v>373</v>
      </c>
      <c r="D631" s="16">
        <v>9566</v>
      </c>
    </row>
    <row r="632" spans="1:4" x14ac:dyDescent="0.3">
      <c r="A632" s="1" t="str">
        <f>Pop[[#This Row],[State]]&amp;" "&amp;Pop[[#This Row],[County]]</f>
        <v>IA Humboldt</v>
      </c>
      <c r="B632" t="s">
        <v>262</v>
      </c>
      <c r="C632" s="30" t="s">
        <v>434</v>
      </c>
      <c r="D632" s="16">
        <v>9815</v>
      </c>
    </row>
    <row r="633" spans="1:4" x14ac:dyDescent="0.3">
      <c r="A633" s="1" t="str">
        <f>Pop[[#This Row],[State]]&amp;" "&amp;Pop[[#This Row],[County]]</f>
        <v>IA Ida</v>
      </c>
      <c r="B633" t="s">
        <v>262</v>
      </c>
      <c r="C633" s="30" t="s">
        <v>724</v>
      </c>
      <c r="D633" s="16">
        <v>7089</v>
      </c>
    </row>
    <row r="634" spans="1:4" x14ac:dyDescent="0.3">
      <c r="A634" s="1" t="str">
        <f>Pop[[#This Row],[State]]&amp;" "&amp;Pop[[#This Row],[County]]</f>
        <v>IA Iowa</v>
      </c>
      <c r="B634" t="s">
        <v>262</v>
      </c>
      <c r="C634" s="30" t="s">
        <v>263</v>
      </c>
      <c r="D634" s="16">
        <v>16355</v>
      </c>
    </row>
    <row r="635" spans="1:4" x14ac:dyDescent="0.3">
      <c r="A635" s="1" t="str">
        <f>Pop[[#This Row],[State]]&amp;" "&amp;Pop[[#This Row],[County]]</f>
        <v>IA Jackson</v>
      </c>
      <c r="B635" t="s">
        <v>262</v>
      </c>
      <c r="C635" s="30" t="s">
        <v>46</v>
      </c>
      <c r="D635" s="16">
        <v>19848</v>
      </c>
    </row>
    <row r="636" spans="1:4" x14ac:dyDescent="0.3">
      <c r="A636" s="1" t="str">
        <f>Pop[[#This Row],[State]]&amp;" "&amp;Pop[[#This Row],[County]]</f>
        <v>IA Jasper</v>
      </c>
      <c r="B636" t="s">
        <v>262</v>
      </c>
      <c r="C636" s="30" t="s">
        <v>647</v>
      </c>
      <c r="D636" s="16">
        <v>36842</v>
      </c>
    </row>
    <row r="637" spans="1:4" x14ac:dyDescent="0.3">
      <c r="A637" s="1" t="str">
        <f>Pop[[#This Row],[State]]&amp;" "&amp;Pop[[#This Row],[County]]</f>
        <v>IA Jefferson</v>
      </c>
      <c r="B637" t="s">
        <v>262</v>
      </c>
      <c r="C637" s="30" t="s">
        <v>47</v>
      </c>
      <c r="D637" s="16">
        <v>16843</v>
      </c>
    </row>
    <row r="638" spans="1:4" x14ac:dyDescent="0.3">
      <c r="A638" s="1" t="str">
        <f>Pop[[#This Row],[State]]&amp;" "&amp;Pop[[#This Row],[County]]</f>
        <v>IA Johnson</v>
      </c>
      <c r="B638" t="s">
        <v>262</v>
      </c>
      <c r="C638" s="30" t="s">
        <v>376</v>
      </c>
      <c r="D638" s="16">
        <v>130882</v>
      </c>
    </row>
    <row r="639" spans="1:4" x14ac:dyDescent="0.3">
      <c r="A639" s="1" t="str">
        <f>Pop[[#This Row],[State]]&amp;" "&amp;Pop[[#This Row],[County]]</f>
        <v>IA Jones</v>
      </c>
      <c r="B639" t="s">
        <v>262</v>
      </c>
      <c r="C639" s="30" t="s">
        <v>650</v>
      </c>
      <c r="D639" s="16">
        <v>20638</v>
      </c>
    </row>
    <row r="640" spans="1:4" x14ac:dyDescent="0.3">
      <c r="A640" s="1" t="str">
        <f>Pop[[#This Row],[State]]&amp;" "&amp;Pop[[#This Row],[County]]</f>
        <v>IA Keokuk</v>
      </c>
      <c r="B640" t="s">
        <v>262</v>
      </c>
      <c r="C640" s="30" t="s">
        <v>725</v>
      </c>
      <c r="D640" s="16">
        <v>10511</v>
      </c>
    </row>
    <row r="641" spans="1:4" x14ac:dyDescent="0.3">
      <c r="A641" s="1" t="str">
        <f>Pop[[#This Row],[State]]&amp;" "&amp;Pop[[#This Row],[County]]</f>
        <v>IA Kossuth</v>
      </c>
      <c r="B641" t="s">
        <v>262</v>
      </c>
      <c r="C641" s="30" t="s">
        <v>726</v>
      </c>
      <c r="D641" s="16">
        <v>15543</v>
      </c>
    </row>
    <row r="642" spans="1:4" x14ac:dyDescent="0.3">
      <c r="A642" s="1" t="str">
        <f>Pop[[#This Row],[State]]&amp;" "&amp;Pop[[#This Row],[County]]</f>
        <v>IA Lee</v>
      </c>
      <c r="B642" t="s">
        <v>262</v>
      </c>
      <c r="C642" s="30" t="s">
        <v>333</v>
      </c>
      <c r="D642" s="16">
        <v>35862</v>
      </c>
    </row>
    <row r="643" spans="1:4" x14ac:dyDescent="0.3">
      <c r="A643" s="1" t="str">
        <f>Pop[[#This Row],[State]]&amp;" "&amp;Pop[[#This Row],[County]]</f>
        <v>IA Linn</v>
      </c>
      <c r="B643" t="s">
        <v>262</v>
      </c>
      <c r="C643" s="30" t="s">
        <v>727</v>
      </c>
      <c r="D643" s="16">
        <v>211226</v>
      </c>
    </row>
    <row r="644" spans="1:4" x14ac:dyDescent="0.3">
      <c r="A644" s="1" t="str">
        <f>Pop[[#This Row],[State]]&amp;" "&amp;Pop[[#This Row],[County]]</f>
        <v>IA Louisa</v>
      </c>
      <c r="B644" t="s">
        <v>262</v>
      </c>
      <c r="C644" s="30" t="s">
        <v>728</v>
      </c>
      <c r="D644" s="16">
        <v>11387</v>
      </c>
    </row>
    <row r="645" spans="1:4" x14ac:dyDescent="0.3">
      <c r="A645" s="1" t="str">
        <f>Pop[[#This Row],[State]]&amp;" "&amp;Pop[[#This Row],[County]]</f>
        <v>IA Lucas</v>
      </c>
      <c r="B645" t="s">
        <v>262</v>
      </c>
      <c r="C645" s="30" t="s">
        <v>729</v>
      </c>
      <c r="D645" s="16">
        <v>8898</v>
      </c>
    </row>
    <row r="646" spans="1:4" x14ac:dyDescent="0.3">
      <c r="A646" s="1" t="str">
        <f>Pop[[#This Row],[State]]&amp;" "&amp;Pop[[#This Row],[County]]</f>
        <v>IA Lyon</v>
      </c>
      <c r="B646" t="s">
        <v>262</v>
      </c>
      <c r="C646" s="30" t="s">
        <v>730</v>
      </c>
      <c r="D646" s="16">
        <v>11581</v>
      </c>
    </row>
    <row r="647" spans="1:4" x14ac:dyDescent="0.3">
      <c r="A647" s="1" t="str">
        <f>Pop[[#This Row],[State]]&amp;" "&amp;Pop[[#This Row],[County]]</f>
        <v>IA Madison</v>
      </c>
      <c r="B647" t="s">
        <v>262</v>
      </c>
      <c r="C647" s="30" t="s">
        <v>49</v>
      </c>
      <c r="D647" s="16">
        <v>15679</v>
      </c>
    </row>
    <row r="648" spans="1:4" x14ac:dyDescent="0.3">
      <c r="A648" s="1" t="str">
        <f>Pop[[#This Row],[State]]&amp;" "&amp;Pop[[#This Row],[County]]</f>
        <v>IA Mahaska</v>
      </c>
      <c r="B648" t="s">
        <v>262</v>
      </c>
      <c r="C648" s="30" t="s">
        <v>731</v>
      </c>
      <c r="D648" s="16">
        <v>22381</v>
      </c>
    </row>
    <row r="649" spans="1:4" x14ac:dyDescent="0.3">
      <c r="A649" s="1" t="str">
        <f>Pop[[#This Row],[State]]&amp;" "&amp;Pop[[#This Row],[County]]</f>
        <v>IA Marion</v>
      </c>
      <c r="B649" t="s">
        <v>262</v>
      </c>
      <c r="C649" s="30" t="s">
        <v>50</v>
      </c>
      <c r="D649" s="16">
        <v>33309</v>
      </c>
    </row>
    <row r="650" spans="1:4" x14ac:dyDescent="0.3">
      <c r="A650" s="1" t="str">
        <f>Pop[[#This Row],[State]]&amp;" "&amp;Pop[[#This Row],[County]]</f>
        <v>IA Marshall</v>
      </c>
      <c r="B650" t="s">
        <v>262</v>
      </c>
      <c r="C650" s="30" t="s">
        <v>51</v>
      </c>
      <c r="D650" s="16">
        <v>40648</v>
      </c>
    </row>
    <row r="651" spans="1:4" x14ac:dyDescent="0.3">
      <c r="A651" s="1" t="str">
        <f>Pop[[#This Row],[State]]&amp;" "&amp;Pop[[#This Row],[County]]</f>
        <v>IA Mills</v>
      </c>
      <c r="B651" t="s">
        <v>262</v>
      </c>
      <c r="C651" s="30" t="s">
        <v>732</v>
      </c>
      <c r="D651" s="16">
        <v>15059</v>
      </c>
    </row>
    <row r="652" spans="1:4" x14ac:dyDescent="0.3">
      <c r="A652" s="1" t="str">
        <f>Pop[[#This Row],[State]]&amp;" "&amp;Pop[[#This Row],[County]]</f>
        <v>IA Mitchell</v>
      </c>
      <c r="B652" t="s">
        <v>262</v>
      </c>
      <c r="C652" s="30" t="s">
        <v>658</v>
      </c>
      <c r="D652" s="16">
        <v>10776</v>
      </c>
    </row>
    <row r="653" spans="1:4" x14ac:dyDescent="0.3">
      <c r="A653" s="1" t="str">
        <f>Pop[[#This Row],[State]]&amp;" "&amp;Pop[[#This Row],[County]]</f>
        <v>IA Monona</v>
      </c>
      <c r="B653" t="s">
        <v>262</v>
      </c>
      <c r="C653" s="30" t="s">
        <v>733</v>
      </c>
      <c r="D653" s="16">
        <v>9243</v>
      </c>
    </row>
    <row r="654" spans="1:4" x14ac:dyDescent="0.3">
      <c r="A654" s="1" t="str">
        <f>Pop[[#This Row],[State]]&amp;" "&amp;Pop[[#This Row],[County]]</f>
        <v>IA Monroe</v>
      </c>
      <c r="B654" t="s">
        <v>262</v>
      </c>
      <c r="C654" s="30" t="s">
        <v>339</v>
      </c>
      <c r="D654" s="16">
        <v>7970</v>
      </c>
    </row>
    <row r="655" spans="1:4" x14ac:dyDescent="0.3">
      <c r="A655" s="1" t="str">
        <f>Pop[[#This Row],[State]]&amp;" "&amp;Pop[[#This Row],[County]]</f>
        <v>IA Montgomery</v>
      </c>
      <c r="B655" t="s">
        <v>262</v>
      </c>
      <c r="C655" s="30" t="s">
        <v>53</v>
      </c>
      <c r="D655" s="16">
        <v>10740</v>
      </c>
    </row>
    <row r="656" spans="1:4" x14ac:dyDescent="0.3">
      <c r="A656" s="1" t="str">
        <f>Pop[[#This Row],[State]]&amp;" "&amp;Pop[[#This Row],[County]]</f>
        <v>IA Muscatine</v>
      </c>
      <c r="B656" t="s">
        <v>262</v>
      </c>
      <c r="C656" s="30" t="s">
        <v>734</v>
      </c>
      <c r="D656" s="16">
        <v>42745</v>
      </c>
    </row>
    <row r="657" spans="1:4" x14ac:dyDescent="0.3">
      <c r="A657" s="1" t="str">
        <f>Pop[[#This Row],[State]]&amp;" "&amp;Pop[[#This Row],[County]]</f>
        <v>IA O'Brien</v>
      </c>
      <c r="B657" t="s">
        <v>262</v>
      </c>
      <c r="C657" s="30" t="s">
        <v>735</v>
      </c>
      <c r="D657" s="16">
        <v>14398</v>
      </c>
    </row>
    <row r="658" spans="1:4" x14ac:dyDescent="0.3">
      <c r="A658" s="1" t="str">
        <f>Pop[[#This Row],[State]]&amp;" "&amp;Pop[[#This Row],[County]]</f>
        <v>IA Osceola</v>
      </c>
      <c r="B658" t="s">
        <v>262</v>
      </c>
      <c r="C658" s="30" t="s">
        <v>577</v>
      </c>
      <c r="D658" s="16">
        <v>6462</v>
      </c>
    </row>
    <row r="659" spans="1:4" x14ac:dyDescent="0.3">
      <c r="A659" s="1" t="str">
        <f>Pop[[#This Row],[State]]&amp;" "&amp;Pop[[#This Row],[County]]</f>
        <v>IA Page</v>
      </c>
      <c r="B659" t="s">
        <v>262</v>
      </c>
      <c r="C659" s="30" t="s">
        <v>736</v>
      </c>
      <c r="D659" s="16">
        <v>15932</v>
      </c>
    </row>
    <row r="660" spans="1:4" x14ac:dyDescent="0.3">
      <c r="A660" s="1" t="str">
        <f>Pop[[#This Row],[State]]&amp;" "&amp;Pop[[#This Row],[County]]</f>
        <v>IA Palo Alto</v>
      </c>
      <c r="B660" t="s">
        <v>262</v>
      </c>
      <c r="C660" s="30" t="s">
        <v>737</v>
      </c>
      <c r="D660" s="16">
        <v>9421</v>
      </c>
    </row>
    <row r="661" spans="1:4" x14ac:dyDescent="0.3">
      <c r="A661" s="1" t="str">
        <f>Pop[[#This Row],[State]]&amp;" "&amp;Pop[[#This Row],[County]]</f>
        <v>IA Plymouth</v>
      </c>
      <c r="B661" t="s">
        <v>262</v>
      </c>
      <c r="C661" s="30" t="s">
        <v>738</v>
      </c>
      <c r="D661" s="16">
        <v>24986</v>
      </c>
    </row>
    <row r="662" spans="1:4" x14ac:dyDescent="0.3">
      <c r="A662" s="1" t="str">
        <f>Pop[[#This Row],[State]]&amp;" "&amp;Pop[[#This Row],[County]]</f>
        <v>IA Pocahontas</v>
      </c>
      <c r="B662" t="s">
        <v>262</v>
      </c>
      <c r="C662" s="30" t="s">
        <v>739</v>
      </c>
      <c r="D662" s="16">
        <v>7310</v>
      </c>
    </row>
    <row r="663" spans="1:4" x14ac:dyDescent="0.3">
      <c r="A663" s="1" t="str">
        <f>Pop[[#This Row],[State]]&amp;" "&amp;Pop[[#This Row],[County]]</f>
        <v>IA Polk</v>
      </c>
      <c r="B663" t="s">
        <v>262</v>
      </c>
      <c r="C663" s="30" t="s">
        <v>387</v>
      </c>
      <c r="D663" s="16">
        <v>430640</v>
      </c>
    </row>
    <row r="664" spans="1:4" x14ac:dyDescent="0.3">
      <c r="A664" s="1" t="str">
        <f>Pop[[#This Row],[State]]&amp;" "&amp;Pop[[#This Row],[County]]</f>
        <v>IA Pottawattamie</v>
      </c>
      <c r="B664" t="s">
        <v>262</v>
      </c>
      <c r="C664" s="30" t="s">
        <v>740</v>
      </c>
      <c r="D664" s="16">
        <v>93158</v>
      </c>
    </row>
    <row r="665" spans="1:4" x14ac:dyDescent="0.3">
      <c r="A665" s="1" t="str">
        <f>Pop[[#This Row],[State]]&amp;" "&amp;Pop[[#This Row],[County]]</f>
        <v>IA Poweshiek</v>
      </c>
      <c r="B665" t="s">
        <v>262</v>
      </c>
      <c r="C665" s="30" t="s">
        <v>741</v>
      </c>
      <c r="D665" s="16">
        <v>18914</v>
      </c>
    </row>
    <row r="666" spans="1:4" x14ac:dyDescent="0.3">
      <c r="A666" s="1" t="str">
        <f>Pop[[#This Row],[State]]&amp;" "&amp;Pop[[#This Row],[County]]</f>
        <v>IA Ringgold</v>
      </c>
      <c r="B666" t="s">
        <v>262</v>
      </c>
      <c r="C666" s="30" t="s">
        <v>742</v>
      </c>
      <c r="D666" s="16">
        <v>5131</v>
      </c>
    </row>
    <row r="667" spans="1:4" x14ac:dyDescent="0.3">
      <c r="A667" s="1" t="str">
        <f>Pop[[#This Row],[State]]&amp;" "&amp;Pop[[#This Row],[County]]</f>
        <v>IA Sac</v>
      </c>
      <c r="B667" t="s">
        <v>262</v>
      </c>
      <c r="C667" s="30" t="s">
        <v>743</v>
      </c>
      <c r="D667" s="16">
        <v>10350</v>
      </c>
    </row>
    <row r="668" spans="1:4" x14ac:dyDescent="0.3">
      <c r="A668" s="1" t="str">
        <f>Pop[[#This Row],[State]]&amp;" "&amp;Pop[[#This Row],[County]]</f>
        <v>IA Scott</v>
      </c>
      <c r="B668" t="s">
        <v>262</v>
      </c>
      <c r="C668" s="30" t="s">
        <v>392</v>
      </c>
      <c r="D668" s="16">
        <v>165224</v>
      </c>
    </row>
    <row r="669" spans="1:4" x14ac:dyDescent="0.3">
      <c r="A669" s="1" t="str">
        <f>Pop[[#This Row],[State]]&amp;" "&amp;Pop[[#This Row],[County]]</f>
        <v>IA Shelby</v>
      </c>
      <c r="B669" t="s">
        <v>262</v>
      </c>
      <c r="C669" s="30" t="s">
        <v>59</v>
      </c>
      <c r="D669" s="16">
        <v>12167</v>
      </c>
    </row>
    <row r="670" spans="1:4" x14ac:dyDescent="0.3">
      <c r="A670" s="1" t="str">
        <f>Pop[[#This Row],[State]]&amp;" "&amp;Pop[[#This Row],[County]]</f>
        <v>IA Sioux</v>
      </c>
      <c r="B670" t="s">
        <v>262</v>
      </c>
      <c r="C670" s="30" t="s">
        <v>744</v>
      </c>
      <c r="D670" s="16">
        <v>33704</v>
      </c>
    </row>
    <row r="671" spans="1:4" x14ac:dyDescent="0.3">
      <c r="A671" s="1" t="str">
        <f>Pop[[#This Row],[State]]&amp;" "&amp;Pop[[#This Row],[County]]</f>
        <v>IA Story</v>
      </c>
      <c r="B671" t="s">
        <v>262</v>
      </c>
      <c r="C671" s="30" t="s">
        <v>745</v>
      </c>
      <c r="D671" s="16">
        <v>89542</v>
      </c>
    </row>
    <row r="672" spans="1:4" x14ac:dyDescent="0.3">
      <c r="A672" s="1" t="str">
        <f>Pop[[#This Row],[State]]&amp;" "&amp;Pop[[#This Row],[County]]</f>
        <v>IA Tama</v>
      </c>
      <c r="B672" t="s">
        <v>262</v>
      </c>
      <c r="C672" s="30" t="s">
        <v>746</v>
      </c>
      <c r="D672" s="16">
        <v>17767</v>
      </c>
    </row>
    <row r="673" spans="1:4" x14ac:dyDescent="0.3">
      <c r="A673" s="1" t="str">
        <f>Pop[[#This Row],[State]]&amp;" "&amp;Pop[[#This Row],[County]]</f>
        <v>IA Taylor</v>
      </c>
      <c r="B673" t="s">
        <v>262</v>
      </c>
      <c r="C673" s="30" t="s">
        <v>588</v>
      </c>
      <c r="D673" s="16">
        <v>6317</v>
      </c>
    </row>
    <row r="674" spans="1:4" x14ac:dyDescent="0.3">
      <c r="A674" s="1" t="str">
        <f>Pop[[#This Row],[State]]&amp;" "&amp;Pop[[#This Row],[County]]</f>
        <v>IA Union</v>
      </c>
      <c r="B674" t="s">
        <v>262</v>
      </c>
      <c r="C674" s="30" t="s">
        <v>399</v>
      </c>
      <c r="D674" s="16">
        <v>12534</v>
      </c>
    </row>
    <row r="675" spans="1:4" x14ac:dyDescent="0.3">
      <c r="A675" s="1" t="str">
        <f>Pop[[#This Row],[State]]&amp;" "&amp;Pop[[#This Row],[County]]</f>
        <v>IA Van Buren</v>
      </c>
      <c r="B675" t="s">
        <v>262</v>
      </c>
      <c r="C675" s="30" t="s">
        <v>400</v>
      </c>
      <c r="D675" s="16">
        <v>7570</v>
      </c>
    </row>
    <row r="676" spans="1:4" x14ac:dyDescent="0.3">
      <c r="A676" s="1" t="str">
        <f>Pop[[#This Row],[State]]&amp;" "&amp;Pop[[#This Row],[County]]</f>
        <v>IA Wapello</v>
      </c>
      <c r="B676" t="s">
        <v>262</v>
      </c>
      <c r="C676" s="30" t="s">
        <v>747</v>
      </c>
      <c r="D676" s="16">
        <v>35625</v>
      </c>
    </row>
    <row r="677" spans="1:4" x14ac:dyDescent="0.3">
      <c r="A677" s="1" t="str">
        <f>Pop[[#This Row],[State]]&amp;" "&amp;Pop[[#This Row],[County]]</f>
        <v>IA Warren</v>
      </c>
      <c r="B677" t="s">
        <v>262</v>
      </c>
      <c r="C677" s="30" t="s">
        <v>690</v>
      </c>
      <c r="D677" s="16">
        <v>46225</v>
      </c>
    </row>
    <row r="678" spans="1:4" x14ac:dyDescent="0.3">
      <c r="A678" s="1" t="str">
        <f>Pop[[#This Row],[State]]&amp;" "&amp;Pop[[#This Row],[County]]</f>
        <v>IA Washington</v>
      </c>
      <c r="B678" t="s">
        <v>262</v>
      </c>
      <c r="C678" s="30" t="s">
        <v>65</v>
      </c>
      <c r="D678" s="16">
        <v>21704</v>
      </c>
    </row>
    <row r="679" spans="1:4" x14ac:dyDescent="0.3">
      <c r="A679" s="1" t="str">
        <f>Pop[[#This Row],[State]]&amp;" "&amp;Pop[[#This Row],[County]]</f>
        <v>IA Wayne</v>
      </c>
      <c r="B679" t="s">
        <v>262</v>
      </c>
      <c r="C679" s="30" t="s">
        <v>691</v>
      </c>
      <c r="D679" s="16">
        <v>6403</v>
      </c>
    </row>
    <row r="680" spans="1:4" x14ac:dyDescent="0.3">
      <c r="A680" s="1" t="str">
        <f>Pop[[#This Row],[State]]&amp;" "&amp;Pop[[#This Row],[County]]</f>
        <v>IA Webster</v>
      </c>
      <c r="B680" t="s">
        <v>262</v>
      </c>
      <c r="C680" s="30" t="s">
        <v>692</v>
      </c>
      <c r="D680" s="16">
        <v>38013</v>
      </c>
    </row>
    <row r="681" spans="1:4" x14ac:dyDescent="0.3">
      <c r="A681" s="1" t="str">
        <f>Pop[[#This Row],[State]]&amp;" "&amp;Pop[[#This Row],[County]]</f>
        <v>IA Winnebago</v>
      </c>
      <c r="B681" t="s">
        <v>262</v>
      </c>
      <c r="C681" s="30" t="s">
        <v>748</v>
      </c>
      <c r="D681" s="16">
        <v>10866</v>
      </c>
    </row>
    <row r="682" spans="1:4" x14ac:dyDescent="0.3">
      <c r="A682" s="1" t="str">
        <f>Pop[[#This Row],[State]]&amp;" "&amp;Pop[[#This Row],[County]]</f>
        <v>IA Winneshiek</v>
      </c>
      <c r="B682" t="s">
        <v>262</v>
      </c>
      <c r="C682" s="30" t="s">
        <v>749</v>
      </c>
      <c r="D682" s="16">
        <v>21056</v>
      </c>
    </row>
    <row r="683" spans="1:4" x14ac:dyDescent="0.3">
      <c r="A683" s="1" t="str">
        <f>Pop[[#This Row],[State]]&amp;" "&amp;Pop[[#This Row],[County]]</f>
        <v>IA Woodbury</v>
      </c>
      <c r="B683" t="s">
        <v>262</v>
      </c>
      <c r="C683" s="30" t="s">
        <v>750</v>
      </c>
      <c r="D683" s="16">
        <v>102172</v>
      </c>
    </row>
    <row r="684" spans="1:4" x14ac:dyDescent="0.3">
      <c r="A684" s="1" t="str">
        <f>Pop[[#This Row],[State]]&amp;" "&amp;Pop[[#This Row],[County]]</f>
        <v>IA Worth</v>
      </c>
      <c r="B684" t="s">
        <v>262</v>
      </c>
      <c r="C684" s="30" t="s">
        <v>697</v>
      </c>
      <c r="D684" s="16">
        <v>7598</v>
      </c>
    </row>
    <row r="685" spans="1:4" x14ac:dyDescent="0.3">
      <c r="A685" s="1" t="str">
        <f>Pop[[#This Row],[State]]&amp;" "&amp;Pop[[#This Row],[County]]</f>
        <v>IA Wright</v>
      </c>
      <c r="B685" t="s">
        <v>262</v>
      </c>
      <c r="C685" s="30" t="s">
        <v>751</v>
      </c>
      <c r="D685" s="16">
        <v>13229</v>
      </c>
    </row>
    <row r="686" spans="1:4" x14ac:dyDescent="0.3">
      <c r="A686" s="1" t="str">
        <f>Pop[[#This Row],[State]]&amp;" "&amp;Pop[[#This Row],[County]]</f>
        <v>IA State Agencies</v>
      </c>
      <c r="B686" t="s">
        <v>262</v>
      </c>
      <c r="C686" s="30" t="s">
        <v>243</v>
      </c>
      <c r="D686" s="16" t="s">
        <v>244</v>
      </c>
    </row>
    <row r="687" spans="1:4" x14ac:dyDescent="0.3">
      <c r="A687" s="1" t="str">
        <f>Pop[[#This Row],[State]]&amp;" "&amp;Pop[[#This Row],[County]]</f>
        <v>IA Grand Total</v>
      </c>
      <c r="B687" t="s">
        <v>262</v>
      </c>
      <c r="C687" s="30" t="s">
        <v>67</v>
      </c>
      <c r="D687" s="16">
        <v>3046355</v>
      </c>
    </row>
    <row r="688" spans="1:4" x14ac:dyDescent="0.3">
      <c r="A688" t="str">
        <f>Pop[[#This Row],[State]]&amp;" "&amp;Pop[[#This Row],[County]]</f>
        <v>ID Ada</v>
      </c>
      <c r="B688" t="s">
        <v>317</v>
      </c>
      <c r="C688" s="30" t="s">
        <v>752</v>
      </c>
      <c r="D688" s="14">
        <v>392365</v>
      </c>
    </row>
    <row r="689" spans="1:4" x14ac:dyDescent="0.3">
      <c r="A689" t="str">
        <f>Pop[[#This Row],[State]]&amp;" "&amp;Pop[[#This Row],[County]]</f>
        <v>ID Adams</v>
      </c>
      <c r="B689" t="s">
        <v>317</v>
      </c>
      <c r="C689" s="30" t="s">
        <v>478</v>
      </c>
      <c r="D689" s="14">
        <v>3976</v>
      </c>
    </row>
    <row r="690" spans="1:4" x14ac:dyDescent="0.3">
      <c r="A690" t="str">
        <f>Pop[[#This Row],[State]]&amp;" "&amp;Pop[[#This Row],[County]]</f>
        <v>ID Bannock</v>
      </c>
      <c r="B690" t="s">
        <v>317</v>
      </c>
      <c r="C690" s="30" t="s">
        <v>753</v>
      </c>
      <c r="D690" s="14">
        <v>82839</v>
      </c>
    </row>
    <row r="691" spans="1:4" x14ac:dyDescent="0.3">
      <c r="A691" t="str">
        <f>Pop[[#This Row],[State]]&amp;" "&amp;Pop[[#This Row],[County]]</f>
        <v>ID Bear Lake</v>
      </c>
      <c r="B691" t="s">
        <v>317</v>
      </c>
      <c r="C691" s="30" t="s">
        <v>754</v>
      </c>
      <c r="D691" s="14">
        <v>5986</v>
      </c>
    </row>
    <row r="692" spans="1:4" x14ac:dyDescent="0.3">
      <c r="A692" t="str">
        <f>Pop[[#This Row],[State]]&amp;" "&amp;Pop[[#This Row],[County]]</f>
        <v>ID Benewah</v>
      </c>
      <c r="B692" t="s">
        <v>317</v>
      </c>
      <c r="C692" s="30" t="s">
        <v>755</v>
      </c>
      <c r="D692" s="14">
        <v>9285</v>
      </c>
    </row>
    <row r="693" spans="1:4" x14ac:dyDescent="0.3">
      <c r="A693" t="str">
        <f>Pop[[#This Row],[State]]&amp;" "&amp;Pop[[#This Row],[County]]</f>
        <v>ID Bingham</v>
      </c>
      <c r="B693" t="s">
        <v>317</v>
      </c>
      <c r="C693" s="30" t="s">
        <v>756</v>
      </c>
      <c r="D693" s="14">
        <v>45607</v>
      </c>
    </row>
    <row r="694" spans="1:4" x14ac:dyDescent="0.3">
      <c r="A694" t="str">
        <f>Pop[[#This Row],[State]]&amp;" "&amp;Pop[[#This Row],[County]]</f>
        <v>ID Blaine</v>
      </c>
      <c r="B694" t="s">
        <v>317</v>
      </c>
      <c r="C694" s="30" t="s">
        <v>757</v>
      </c>
      <c r="D694" s="14">
        <v>21376</v>
      </c>
    </row>
    <row r="695" spans="1:4" x14ac:dyDescent="0.3">
      <c r="A695" t="str">
        <f>Pop[[#This Row],[State]]&amp;" "&amp;Pop[[#This Row],[County]]</f>
        <v>ID Boise</v>
      </c>
      <c r="B695" t="s">
        <v>317</v>
      </c>
      <c r="C695" s="30" t="s">
        <v>758</v>
      </c>
      <c r="D695" s="14">
        <v>7028</v>
      </c>
    </row>
    <row r="696" spans="1:4" x14ac:dyDescent="0.3">
      <c r="A696" t="str">
        <f>Pop[[#This Row],[State]]&amp;" "&amp;Pop[[#This Row],[County]]</f>
        <v>ID Bonner</v>
      </c>
      <c r="B696" t="s">
        <v>317</v>
      </c>
      <c r="C696" s="30" t="s">
        <v>759</v>
      </c>
      <c r="D696" s="14">
        <v>40877</v>
      </c>
    </row>
    <row r="697" spans="1:4" x14ac:dyDescent="0.3">
      <c r="A697" t="str">
        <f>Pop[[#This Row],[State]]&amp;" "&amp;Pop[[#This Row],[County]]</f>
        <v>ID Bonneville</v>
      </c>
      <c r="B697" t="s">
        <v>317</v>
      </c>
      <c r="C697" s="30" t="s">
        <v>760</v>
      </c>
      <c r="D697" s="1">
        <v>104234</v>
      </c>
    </row>
    <row r="698" spans="1:4" x14ac:dyDescent="0.3">
      <c r="A698" t="str">
        <f>Pop[[#This Row],[State]]&amp;" "&amp;Pop[[#This Row],[County]]</f>
        <v>ID Boundary</v>
      </c>
      <c r="B698" t="s">
        <v>317</v>
      </c>
      <c r="C698" s="30" t="s">
        <v>761</v>
      </c>
      <c r="D698" s="14">
        <v>10972</v>
      </c>
    </row>
    <row r="699" spans="1:4" x14ac:dyDescent="0.3">
      <c r="A699" t="str">
        <f>Pop[[#This Row],[State]]&amp;" "&amp;Pop[[#This Row],[County]]</f>
        <v>ID Butte</v>
      </c>
      <c r="B699" t="s">
        <v>317</v>
      </c>
      <c r="C699" s="30" t="s">
        <v>426</v>
      </c>
      <c r="D699" s="14">
        <v>2891</v>
      </c>
    </row>
    <row r="700" spans="1:4" x14ac:dyDescent="0.3">
      <c r="A700" t="str">
        <f>Pop[[#This Row],[State]]&amp;" "&amp;Pop[[#This Row],[County]]</f>
        <v>ID Camas</v>
      </c>
      <c r="B700" t="s">
        <v>317</v>
      </c>
      <c r="C700" s="30" t="s">
        <v>762</v>
      </c>
      <c r="D700" s="14">
        <v>1117</v>
      </c>
    </row>
    <row r="701" spans="1:4" x14ac:dyDescent="0.3">
      <c r="A701" t="str">
        <f>Pop[[#This Row],[State]]&amp;" "&amp;Pop[[#This Row],[County]]</f>
        <v>ID Canyon</v>
      </c>
      <c r="B701" t="s">
        <v>317</v>
      </c>
      <c r="C701" s="30" t="s">
        <v>763</v>
      </c>
      <c r="D701" s="14">
        <v>188923</v>
      </c>
    </row>
    <row r="702" spans="1:4" x14ac:dyDescent="0.3">
      <c r="A702" t="str">
        <f>Pop[[#This Row],[State]]&amp;" "&amp;Pop[[#This Row],[County]]</f>
        <v>ID Caribou</v>
      </c>
      <c r="B702" t="s">
        <v>317</v>
      </c>
      <c r="C702" s="30" t="s">
        <v>764</v>
      </c>
      <c r="D702" s="14">
        <v>6963</v>
      </c>
    </row>
    <row r="703" spans="1:4" x14ac:dyDescent="0.3">
      <c r="A703" t="str">
        <f>Pop[[#This Row],[State]]&amp;" "&amp;Pop[[#This Row],[County]]</f>
        <v>ID Cassia</v>
      </c>
      <c r="B703" t="s">
        <v>317</v>
      </c>
      <c r="C703" s="30" t="s">
        <v>765</v>
      </c>
      <c r="D703" s="14">
        <v>22952</v>
      </c>
    </row>
    <row r="704" spans="1:4" x14ac:dyDescent="0.3">
      <c r="A704" t="str">
        <f>Pop[[#This Row],[State]]&amp;" "&amp;Pop[[#This Row],[County]]</f>
        <v>ID Clark</v>
      </c>
      <c r="B704" t="s">
        <v>317</v>
      </c>
      <c r="C704" s="30" t="s">
        <v>38</v>
      </c>
      <c r="D704" s="14">
        <v>982</v>
      </c>
    </row>
    <row r="705" spans="1:4" x14ac:dyDescent="0.3">
      <c r="A705" t="str">
        <f>Pop[[#This Row],[State]]&amp;" "&amp;Pop[[#This Row],[County]]</f>
        <v>ID Clearwater</v>
      </c>
      <c r="B705" t="s">
        <v>317</v>
      </c>
      <c r="C705" s="30" t="s">
        <v>766</v>
      </c>
      <c r="D705" s="14">
        <v>8761</v>
      </c>
    </row>
    <row r="706" spans="1:4" x14ac:dyDescent="0.3">
      <c r="A706" t="str">
        <f>Pop[[#This Row],[State]]&amp;" "&amp;Pop[[#This Row],[County]]</f>
        <v>ID Custer</v>
      </c>
      <c r="B706" t="s">
        <v>317</v>
      </c>
      <c r="C706" s="30" t="s">
        <v>492</v>
      </c>
      <c r="D706" s="14">
        <v>4368</v>
      </c>
    </row>
    <row r="707" spans="1:4" x14ac:dyDescent="0.3">
      <c r="A707" t="str">
        <f>Pop[[#This Row],[State]]&amp;" "&amp;Pop[[#This Row],[County]]</f>
        <v>ID Elmore</v>
      </c>
      <c r="B707" t="s">
        <v>317</v>
      </c>
      <c r="C707" s="30" t="s">
        <v>322</v>
      </c>
      <c r="D707" s="14">
        <v>27038</v>
      </c>
    </row>
    <row r="708" spans="1:4" x14ac:dyDescent="0.3">
      <c r="A708" t="str">
        <f>Pop[[#This Row],[State]]&amp;" "&amp;Pop[[#This Row],[County]]</f>
        <v>ID Franklin</v>
      </c>
      <c r="B708" t="s">
        <v>317</v>
      </c>
      <c r="C708" s="30" t="s">
        <v>43</v>
      </c>
      <c r="D708" s="14">
        <v>12786</v>
      </c>
    </row>
    <row r="709" spans="1:4" x14ac:dyDescent="0.3">
      <c r="A709" t="str">
        <f>Pop[[#This Row],[State]]&amp;" "&amp;Pop[[#This Row],[County]]</f>
        <v>ID Fremont</v>
      </c>
      <c r="B709" t="s">
        <v>317</v>
      </c>
      <c r="C709" s="30" t="s">
        <v>500</v>
      </c>
      <c r="D709" s="14">
        <v>13242</v>
      </c>
    </row>
    <row r="710" spans="1:4" x14ac:dyDescent="0.3">
      <c r="A710" t="str">
        <f>Pop[[#This Row],[State]]&amp;" "&amp;Pop[[#This Row],[County]]</f>
        <v>ID Gem</v>
      </c>
      <c r="B710" t="s">
        <v>317</v>
      </c>
      <c r="C710" s="30" t="s">
        <v>767</v>
      </c>
      <c r="D710" s="14">
        <v>16719</v>
      </c>
    </row>
    <row r="711" spans="1:4" x14ac:dyDescent="0.3">
      <c r="A711" t="str">
        <f>Pop[[#This Row],[State]]&amp;" "&amp;Pop[[#This Row],[County]]</f>
        <v>ID Gooding</v>
      </c>
      <c r="B711" t="s">
        <v>317</v>
      </c>
      <c r="C711" s="30" t="s">
        <v>768</v>
      </c>
      <c r="D711" s="14">
        <v>15464</v>
      </c>
    </row>
    <row r="712" spans="1:4" x14ac:dyDescent="0.3">
      <c r="A712" t="str">
        <f>Pop[[#This Row],[State]]&amp;" "&amp;Pop[[#This Row],[County]]</f>
        <v>ID Idaho</v>
      </c>
      <c r="B712" t="s">
        <v>317</v>
      </c>
      <c r="C712" s="30" t="s">
        <v>318</v>
      </c>
      <c r="D712" s="14">
        <v>16267</v>
      </c>
    </row>
    <row r="713" spans="1:4" x14ac:dyDescent="0.3">
      <c r="A713" t="str">
        <f>Pop[[#This Row],[State]]&amp;" "&amp;Pop[[#This Row],[County]]</f>
        <v>ID Jefferson</v>
      </c>
      <c r="B713" t="s">
        <v>317</v>
      </c>
      <c r="C713" s="30" t="s">
        <v>47</v>
      </c>
      <c r="D713" s="14">
        <v>26140</v>
      </c>
    </row>
    <row r="714" spans="1:4" x14ac:dyDescent="0.3">
      <c r="A714" t="str">
        <f>Pop[[#This Row],[State]]&amp;" "&amp;Pop[[#This Row],[County]]</f>
        <v>ID Jerome</v>
      </c>
      <c r="B714" t="s">
        <v>317</v>
      </c>
      <c r="C714" s="30" t="s">
        <v>769</v>
      </c>
      <c r="D714" s="14">
        <v>22374</v>
      </c>
    </row>
    <row r="715" spans="1:4" x14ac:dyDescent="0.3">
      <c r="A715" t="str">
        <f>Pop[[#This Row],[State]]&amp;" "&amp;Pop[[#This Row],[County]]</f>
        <v>ID Kootenai</v>
      </c>
      <c r="B715" t="s">
        <v>317</v>
      </c>
      <c r="C715" s="30" t="s">
        <v>770</v>
      </c>
      <c r="D715" s="14">
        <v>138494</v>
      </c>
    </row>
    <row r="716" spans="1:4" x14ac:dyDescent="0.3">
      <c r="A716" t="str">
        <f>Pop[[#This Row],[State]]&amp;" "&amp;Pop[[#This Row],[County]]</f>
        <v>ID Latah</v>
      </c>
      <c r="B716" t="s">
        <v>317</v>
      </c>
      <c r="C716" s="30" t="s">
        <v>771</v>
      </c>
      <c r="D716" s="14">
        <v>37244</v>
      </c>
    </row>
    <row r="717" spans="1:4" x14ac:dyDescent="0.3">
      <c r="A717" t="str">
        <f>Pop[[#This Row],[State]]&amp;" "&amp;Pop[[#This Row],[County]]</f>
        <v>ID Lemhi</v>
      </c>
      <c r="B717" t="s">
        <v>317</v>
      </c>
      <c r="C717" s="30" t="s">
        <v>772</v>
      </c>
      <c r="D717" s="14">
        <v>7936</v>
      </c>
    </row>
    <row r="718" spans="1:4" x14ac:dyDescent="0.3">
      <c r="A718" t="str">
        <f>Pop[[#This Row],[State]]&amp;" "&amp;Pop[[#This Row],[County]]</f>
        <v>ID Lewis</v>
      </c>
      <c r="B718" t="s">
        <v>317</v>
      </c>
      <c r="C718" s="30" t="s">
        <v>773</v>
      </c>
      <c r="D718" s="14">
        <v>3821</v>
      </c>
    </row>
    <row r="719" spans="1:4" x14ac:dyDescent="0.3">
      <c r="A719" t="str">
        <f>Pop[[#This Row],[State]]&amp;" "&amp;Pop[[#This Row],[County]]</f>
        <v>ID Lincoln</v>
      </c>
      <c r="B719" t="s">
        <v>317</v>
      </c>
      <c r="C719" s="30" t="s">
        <v>378</v>
      </c>
      <c r="D719" s="14">
        <v>5208</v>
      </c>
    </row>
    <row r="720" spans="1:4" x14ac:dyDescent="0.3">
      <c r="A720" t="str">
        <f>Pop[[#This Row],[State]]&amp;" "&amp;Pop[[#This Row],[County]]</f>
        <v>ID Madison</v>
      </c>
      <c r="B720" t="s">
        <v>317</v>
      </c>
      <c r="C720" s="30" t="s">
        <v>49</v>
      </c>
      <c r="D720" s="14">
        <v>37536</v>
      </c>
    </row>
    <row r="721" spans="1:4" x14ac:dyDescent="0.3">
      <c r="A721" t="str">
        <f>Pop[[#This Row],[State]]&amp;" "&amp;Pop[[#This Row],[County]]</f>
        <v>ID Minidoka</v>
      </c>
      <c r="B721" t="s">
        <v>317</v>
      </c>
      <c r="C721" s="30" t="s">
        <v>774</v>
      </c>
      <c r="D721" s="14">
        <v>20069</v>
      </c>
    </row>
    <row r="722" spans="1:4" x14ac:dyDescent="0.3">
      <c r="A722" t="str">
        <f>Pop[[#This Row],[State]]&amp;" "&amp;Pop[[#This Row],[County]]</f>
        <v>ID Nez Perce</v>
      </c>
      <c r="B722" t="s">
        <v>317</v>
      </c>
      <c r="C722" s="30" t="s">
        <v>775</v>
      </c>
      <c r="D722" s="14">
        <v>39265</v>
      </c>
    </row>
    <row r="723" spans="1:4" x14ac:dyDescent="0.3">
      <c r="A723" t="str">
        <f>Pop[[#This Row],[State]]&amp;" "&amp;Pop[[#This Row],[County]]</f>
        <v>ID Oneida</v>
      </c>
      <c r="B723" t="s">
        <v>317</v>
      </c>
      <c r="C723" s="30" t="s">
        <v>776</v>
      </c>
      <c r="D723" s="14">
        <v>4286</v>
      </c>
    </row>
    <row r="724" spans="1:4" x14ac:dyDescent="0.3">
      <c r="A724" t="str">
        <f>Pop[[#This Row],[State]]&amp;" "&amp;Pop[[#This Row],[County]]</f>
        <v>ID Owyhee</v>
      </c>
      <c r="B724" t="s">
        <v>317</v>
      </c>
      <c r="C724" s="30" t="s">
        <v>777</v>
      </c>
      <c r="D724" s="14">
        <v>11526</v>
      </c>
    </row>
    <row r="725" spans="1:4" x14ac:dyDescent="0.3">
      <c r="A725" t="str">
        <f>Pop[[#This Row],[State]]&amp;" "&amp;Pop[[#This Row],[County]]</f>
        <v>ID Payette</v>
      </c>
      <c r="B725" t="s">
        <v>317</v>
      </c>
      <c r="C725" s="30" t="s">
        <v>778</v>
      </c>
      <c r="D725" s="14">
        <v>22623</v>
      </c>
    </row>
    <row r="726" spans="1:4" x14ac:dyDescent="0.3">
      <c r="A726" t="str">
        <f>Pop[[#This Row],[State]]&amp;" "&amp;Pop[[#This Row],[County]]</f>
        <v>ID Power</v>
      </c>
      <c r="B726" t="s">
        <v>317</v>
      </c>
      <c r="C726" s="30" t="s">
        <v>779</v>
      </c>
      <c r="D726" s="14">
        <v>7817</v>
      </c>
    </row>
    <row r="727" spans="1:4" x14ac:dyDescent="0.3">
      <c r="A727" t="str">
        <f>Pop[[#This Row],[State]]&amp;" "&amp;Pop[[#This Row],[County]]</f>
        <v>ID Shoshone</v>
      </c>
      <c r="B727" t="s">
        <v>317</v>
      </c>
      <c r="C727" s="30" t="s">
        <v>780</v>
      </c>
      <c r="D727" s="14">
        <v>12765</v>
      </c>
    </row>
    <row r="728" spans="1:4" x14ac:dyDescent="0.3">
      <c r="A728" t="str">
        <f>Pop[[#This Row],[State]]&amp;" "&amp;Pop[[#This Row],[County]]</f>
        <v>ID Teton</v>
      </c>
      <c r="B728" t="s">
        <v>317</v>
      </c>
      <c r="C728" s="30" t="s">
        <v>781</v>
      </c>
      <c r="D728" s="14">
        <v>10170</v>
      </c>
    </row>
    <row r="729" spans="1:4" x14ac:dyDescent="0.3">
      <c r="A729" t="str">
        <f>Pop[[#This Row],[State]]&amp;" "&amp;Pop[[#This Row],[County]]</f>
        <v>ID Twin Falls</v>
      </c>
      <c r="B729" t="s">
        <v>317</v>
      </c>
      <c r="C729" s="30" t="s">
        <v>782</v>
      </c>
      <c r="D729" s="14">
        <v>77230</v>
      </c>
    </row>
    <row r="730" spans="1:4" x14ac:dyDescent="0.3">
      <c r="A730" t="str">
        <f>Pop[[#This Row],[State]]&amp;" "&amp;Pop[[#This Row],[County]]</f>
        <v>ID Valley</v>
      </c>
      <c r="B730" t="s">
        <v>317</v>
      </c>
      <c r="C730" s="30" t="s">
        <v>783</v>
      </c>
      <c r="D730" s="14">
        <v>9862</v>
      </c>
    </row>
    <row r="731" spans="1:4" x14ac:dyDescent="0.3">
      <c r="A731" t="str">
        <f>Pop[[#This Row],[State]]&amp;" "&amp;Pop[[#This Row],[County]]</f>
        <v>ID Washington</v>
      </c>
      <c r="B731" t="s">
        <v>317</v>
      </c>
      <c r="C731" s="30" t="s">
        <v>65</v>
      </c>
      <c r="D731" s="14">
        <v>10198</v>
      </c>
    </row>
    <row r="732" spans="1:4" x14ac:dyDescent="0.3">
      <c r="A732" s="1" t="str">
        <f>Pop[[#This Row],[State]]&amp;" "&amp;Pop[[#This Row],[County]]</f>
        <v>ID State Agencies</v>
      </c>
      <c r="B732" t="s">
        <v>317</v>
      </c>
      <c r="C732" s="30" t="s">
        <v>243</v>
      </c>
      <c r="D732" s="16" t="s">
        <v>244</v>
      </c>
    </row>
    <row r="733" spans="1:4" x14ac:dyDescent="0.3">
      <c r="A733" s="1" t="str">
        <f>Pop[[#This Row],[State]]&amp;" "&amp;Pop[[#This Row],[County]]</f>
        <v>ID Grand Total</v>
      </c>
      <c r="B733" t="s">
        <v>317</v>
      </c>
      <c r="C733" s="30" t="s">
        <v>67</v>
      </c>
      <c r="D733" s="16">
        <v>1567582</v>
      </c>
    </row>
    <row r="734" spans="1:4" x14ac:dyDescent="0.3">
      <c r="A734" t="str">
        <f>Pop[[#This Row],[State]]&amp;" "&amp;Pop[[#This Row],[County]]</f>
        <v>IL Adams</v>
      </c>
      <c r="B734" t="s">
        <v>231</v>
      </c>
      <c r="C734" s="30" t="s">
        <v>478</v>
      </c>
      <c r="D734" s="14">
        <v>65737</v>
      </c>
    </row>
    <row r="735" spans="1:4" x14ac:dyDescent="0.3">
      <c r="A735" t="str">
        <f>Pop[[#This Row],[State]]&amp;" "&amp;Pop[[#This Row],[County]]</f>
        <v>IL Alexander</v>
      </c>
      <c r="B735" t="s">
        <v>231</v>
      </c>
      <c r="C735" s="30" t="s">
        <v>784</v>
      </c>
      <c r="D735" s="14">
        <v>5240</v>
      </c>
    </row>
    <row r="736" spans="1:4" x14ac:dyDescent="0.3">
      <c r="A736" t="str">
        <f>Pop[[#This Row],[State]]&amp;" "&amp;Pop[[#This Row],[County]]</f>
        <v>IL Bond</v>
      </c>
      <c r="B736" t="s">
        <v>231</v>
      </c>
      <c r="C736" s="30" t="s">
        <v>785</v>
      </c>
      <c r="D736" s="14">
        <v>16725</v>
      </c>
    </row>
    <row r="737" spans="1:4" x14ac:dyDescent="0.3">
      <c r="A737" t="str">
        <f>Pop[[#This Row],[State]]&amp;" "&amp;Pop[[#This Row],[County]]</f>
        <v>IL Boone</v>
      </c>
      <c r="B737" t="s">
        <v>231</v>
      </c>
      <c r="C737" s="30" t="s">
        <v>355</v>
      </c>
      <c r="D737" s="14">
        <v>53448</v>
      </c>
    </row>
    <row r="738" spans="1:4" x14ac:dyDescent="0.3">
      <c r="A738" t="str">
        <f>Pop[[#This Row],[State]]&amp;" "&amp;Pop[[#This Row],[County]]</f>
        <v>IL Brown</v>
      </c>
      <c r="B738" t="s">
        <v>231</v>
      </c>
      <c r="C738" s="30" t="s">
        <v>37</v>
      </c>
      <c r="D738" s="14">
        <v>6244</v>
      </c>
    </row>
    <row r="739" spans="1:4" x14ac:dyDescent="0.3">
      <c r="A739" t="str">
        <f>Pop[[#This Row],[State]]&amp;" "&amp;Pop[[#This Row],[County]]</f>
        <v>IL Bureau</v>
      </c>
      <c r="B739" t="s">
        <v>231</v>
      </c>
      <c r="C739" s="30" t="s">
        <v>786</v>
      </c>
      <c r="D739" s="14">
        <v>33244</v>
      </c>
    </row>
    <row r="740" spans="1:4" x14ac:dyDescent="0.3">
      <c r="A740" t="str">
        <f>Pop[[#This Row],[State]]&amp;" "&amp;Pop[[#This Row],[County]]</f>
        <v>IL Calhoun</v>
      </c>
      <c r="B740" t="s">
        <v>231</v>
      </c>
      <c r="C740" s="30" t="s">
        <v>270</v>
      </c>
      <c r="D740" s="14">
        <v>4437</v>
      </c>
    </row>
    <row r="741" spans="1:4" x14ac:dyDescent="0.3">
      <c r="A741" t="str">
        <f>Pop[[#This Row],[State]]&amp;" "&amp;Pop[[#This Row],[County]]</f>
        <v>IL Carroll</v>
      </c>
      <c r="B741" t="s">
        <v>231</v>
      </c>
      <c r="C741" s="30" t="s">
        <v>357</v>
      </c>
      <c r="D741" s="14">
        <v>15702</v>
      </c>
    </row>
    <row r="742" spans="1:4" x14ac:dyDescent="0.3">
      <c r="A742" t="str">
        <f>Pop[[#This Row],[State]]&amp;" "&amp;Pop[[#This Row],[County]]</f>
        <v>IL Cass</v>
      </c>
      <c r="B742" t="s">
        <v>231</v>
      </c>
      <c r="C742" s="30" t="s">
        <v>711</v>
      </c>
      <c r="D742" s="14">
        <v>13042</v>
      </c>
    </row>
    <row r="743" spans="1:4" x14ac:dyDescent="0.3">
      <c r="A743" t="str">
        <f>Pop[[#This Row],[State]]&amp;" "&amp;Pop[[#This Row],[County]]</f>
        <v>IL Champaign</v>
      </c>
      <c r="B743" t="s">
        <v>231</v>
      </c>
      <c r="C743" s="30" t="s">
        <v>787</v>
      </c>
      <c r="D743" s="14">
        <v>205865</v>
      </c>
    </row>
    <row r="744" spans="1:4" x14ac:dyDescent="0.3">
      <c r="A744" s="1" t="str">
        <f>Pop[[#This Row],[State]]&amp;" "&amp;Pop[[#This Row],[County]]</f>
        <v>IL Christian</v>
      </c>
      <c r="B744" t="s">
        <v>231</v>
      </c>
      <c r="C744" s="30" t="s">
        <v>788</v>
      </c>
      <c r="D744" s="16">
        <v>34032</v>
      </c>
    </row>
    <row r="745" spans="1:4" x14ac:dyDescent="0.3">
      <c r="A745" t="str">
        <f>Pop[[#This Row],[State]]&amp;" "&amp;Pop[[#This Row],[County]]</f>
        <v>IL Clark</v>
      </c>
      <c r="B745" t="s">
        <v>231</v>
      </c>
      <c r="C745" s="31" t="s">
        <v>38</v>
      </c>
      <c r="D745" s="14">
        <v>15455</v>
      </c>
    </row>
    <row r="746" spans="1:4" x14ac:dyDescent="0.3">
      <c r="A746" t="str">
        <f>Pop[[#This Row],[State]]&amp;" "&amp;Pop[[#This Row],[County]]</f>
        <v>IL Clay</v>
      </c>
      <c r="B746" t="s">
        <v>231</v>
      </c>
      <c r="C746" s="30" t="s">
        <v>39</v>
      </c>
      <c r="D746" s="14">
        <v>13288</v>
      </c>
    </row>
    <row r="747" spans="1:4" x14ac:dyDescent="0.3">
      <c r="A747" t="str">
        <f>Pop[[#This Row],[State]]&amp;" "&amp;Pop[[#This Row],[County]]</f>
        <v>IL Clinton</v>
      </c>
      <c r="B747" t="s">
        <v>231</v>
      </c>
      <c r="C747" s="30" t="s">
        <v>715</v>
      </c>
      <c r="D747" s="14">
        <v>36899</v>
      </c>
    </row>
    <row r="748" spans="1:4" x14ac:dyDescent="0.3">
      <c r="A748" t="str">
        <f>Pop[[#This Row],[State]]&amp;" "&amp;Pop[[#This Row],[County]]</f>
        <v>IL Coles</v>
      </c>
      <c r="B748" t="s">
        <v>231</v>
      </c>
      <c r="C748" s="30" t="s">
        <v>789</v>
      </c>
      <c r="D748" s="14">
        <v>46863</v>
      </c>
    </row>
    <row r="749" spans="1:4" x14ac:dyDescent="0.3">
      <c r="A749" t="str">
        <f>Pop[[#This Row],[State]]&amp;" "&amp;Pop[[#This Row],[County]]</f>
        <v>IL Cook</v>
      </c>
      <c r="B749" t="s">
        <v>231</v>
      </c>
      <c r="C749" s="30" t="s">
        <v>618</v>
      </c>
      <c r="D749" s="14">
        <v>5275541</v>
      </c>
    </row>
    <row r="750" spans="1:4" x14ac:dyDescent="0.3">
      <c r="A750" t="str">
        <f>Pop[[#This Row],[State]]&amp;" "&amp;Pop[[#This Row],[County]]</f>
        <v>IL Crawford</v>
      </c>
      <c r="B750" t="s">
        <v>231</v>
      </c>
      <c r="C750" s="30" t="s">
        <v>40</v>
      </c>
      <c r="D750" s="14">
        <v>18679</v>
      </c>
    </row>
    <row r="751" spans="1:4" x14ac:dyDescent="0.3">
      <c r="A751" t="str">
        <f>Pop[[#This Row],[State]]&amp;" "&amp;Pop[[#This Row],[County]]</f>
        <v>IL Cumberland</v>
      </c>
      <c r="B751" t="s">
        <v>231</v>
      </c>
      <c r="C751" s="30" t="s">
        <v>790</v>
      </c>
      <c r="D751" s="14">
        <v>10450</v>
      </c>
    </row>
    <row r="752" spans="1:4" x14ac:dyDescent="0.3">
      <c r="A752" t="str">
        <f>Pop[[#This Row],[State]]&amp;" "&amp;Pop[[#This Row],[County]]</f>
        <v>IL De Witt</v>
      </c>
      <c r="B752" t="s">
        <v>231</v>
      </c>
      <c r="C752" s="30" t="s">
        <v>791</v>
      </c>
      <c r="D752" s="14">
        <v>15516</v>
      </c>
    </row>
    <row r="753" spans="1:4" x14ac:dyDescent="0.3">
      <c r="A753" t="str">
        <f>Pop[[#This Row],[State]]&amp;" "&amp;Pop[[#This Row],[County]]</f>
        <v>IL DeKalb</v>
      </c>
      <c r="B753" t="s">
        <v>231</v>
      </c>
      <c r="C753" s="30" t="s">
        <v>319</v>
      </c>
      <c r="D753" s="14">
        <v>100420</v>
      </c>
    </row>
    <row r="754" spans="1:4" x14ac:dyDescent="0.3">
      <c r="A754" t="str">
        <f>Pop[[#This Row],[State]]&amp;" "&amp;Pop[[#This Row],[County]]</f>
        <v>IL Douglas</v>
      </c>
      <c r="B754" t="s">
        <v>231</v>
      </c>
      <c r="C754" s="30" t="s">
        <v>496</v>
      </c>
      <c r="D754" s="14">
        <v>19740</v>
      </c>
    </row>
    <row r="755" spans="1:4" x14ac:dyDescent="0.3">
      <c r="A755" t="str">
        <f>Pop[[#This Row],[State]]&amp;" "&amp;Pop[[#This Row],[County]]</f>
        <v>IL DuPage</v>
      </c>
      <c r="B755" t="s">
        <v>231</v>
      </c>
      <c r="C755" s="30" t="s">
        <v>792</v>
      </c>
      <c r="D755" s="14">
        <v>932877</v>
      </c>
    </row>
    <row r="756" spans="1:4" x14ac:dyDescent="0.3">
      <c r="A756" t="str">
        <f>Pop[[#This Row],[State]]&amp;" "&amp;Pop[[#This Row],[County]]</f>
        <v>IL Edgar</v>
      </c>
      <c r="B756" t="s">
        <v>231</v>
      </c>
      <c r="C756" s="30" t="s">
        <v>793</v>
      </c>
      <c r="D756" s="14">
        <v>16866</v>
      </c>
    </row>
    <row r="757" spans="1:4" x14ac:dyDescent="0.3">
      <c r="A757" t="str">
        <f>Pop[[#This Row],[State]]&amp;" "&amp;Pop[[#This Row],[County]]</f>
        <v>IL Edwards</v>
      </c>
      <c r="B757" t="s">
        <v>231</v>
      </c>
      <c r="C757" s="30" t="s">
        <v>794</v>
      </c>
      <c r="D757" s="14">
        <v>6245</v>
      </c>
    </row>
    <row r="758" spans="1:4" x14ac:dyDescent="0.3">
      <c r="A758" t="str">
        <f>Pop[[#This Row],[State]]&amp;" "&amp;Pop[[#This Row],[County]]</f>
        <v>IL Effingham</v>
      </c>
      <c r="B758" t="s">
        <v>231</v>
      </c>
      <c r="C758" s="30" t="s">
        <v>628</v>
      </c>
      <c r="D758" s="14">
        <v>34668</v>
      </c>
    </row>
    <row r="759" spans="1:4" x14ac:dyDescent="0.3">
      <c r="A759" t="str">
        <f>Pop[[#This Row],[State]]&amp;" "&amp;Pop[[#This Row],[County]]</f>
        <v>IL Fayette</v>
      </c>
      <c r="B759" t="s">
        <v>231</v>
      </c>
      <c r="C759" s="30" t="s">
        <v>326</v>
      </c>
      <c r="D759" s="14">
        <v>21488</v>
      </c>
    </row>
    <row r="760" spans="1:4" x14ac:dyDescent="0.3">
      <c r="A760" t="str">
        <f>Pop[[#This Row],[State]]&amp;" "&amp;Pop[[#This Row],[County]]</f>
        <v>IL Ford</v>
      </c>
      <c r="B760" t="s">
        <v>231</v>
      </c>
      <c r="C760" s="30" t="s">
        <v>795</v>
      </c>
      <c r="D760" s="14">
        <v>13534</v>
      </c>
    </row>
    <row r="761" spans="1:4" x14ac:dyDescent="0.3">
      <c r="A761" t="str">
        <f>Pop[[#This Row],[State]]&amp;" "&amp;Pop[[#This Row],[County]]</f>
        <v>IL Franklin</v>
      </c>
      <c r="B761" t="s">
        <v>231</v>
      </c>
      <c r="C761" s="30" t="s">
        <v>43</v>
      </c>
      <c r="D761" s="14">
        <v>37804</v>
      </c>
    </row>
    <row r="762" spans="1:4" x14ac:dyDescent="0.3">
      <c r="A762" t="str">
        <f>Pop[[#This Row],[State]]&amp;" "&amp;Pop[[#This Row],[County]]</f>
        <v>IL Fulton</v>
      </c>
      <c r="B762" t="s">
        <v>231</v>
      </c>
      <c r="C762" s="30" t="s">
        <v>368</v>
      </c>
      <c r="D762" s="14">
        <v>33609</v>
      </c>
    </row>
    <row r="763" spans="1:4" x14ac:dyDescent="0.3">
      <c r="A763" t="str">
        <f>Pop[[#This Row],[State]]&amp;" "&amp;Pop[[#This Row],[County]]</f>
        <v>IL Gallatin</v>
      </c>
      <c r="B763" t="s">
        <v>231</v>
      </c>
      <c r="C763" s="30" t="s">
        <v>796</v>
      </c>
      <c r="D763" s="14">
        <v>4946</v>
      </c>
    </row>
    <row r="764" spans="1:4" x14ac:dyDescent="0.3">
      <c r="A764" t="str">
        <f>Pop[[#This Row],[State]]&amp;" "&amp;Pop[[#This Row],[County]]</f>
        <v>IL Greene</v>
      </c>
      <c r="B764" t="s">
        <v>231</v>
      </c>
      <c r="C764" s="30" t="s">
        <v>44</v>
      </c>
      <c r="D764" s="14">
        <v>11985</v>
      </c>
    </row>
    <row r="765" spans="1:4" x14ac:dyDescent="0.3">
      <c r="A765" t="str">
        <f>Pop[[#This Row],[State]]&amp;" "&amp;Pop[[#This Row],[County]]</f>
        <v>IL Grundy</v>
      </c>
      <c r="B765" t="s">
        <v>231</v>
      </c>
      <c r="C765" s="30" t="s">
        <v>721</v>
      </c>
      <c r="D765" s="14">
        <v>52533</v>
      </c>
    </row>
    <row r="766" spans="1:4" x14ac:dyDescent="0.3">
      <c r="A766" t="str">
        <f>Pop[[#This Row],[State]]&amp;" "&amp;Pop[[#This Row],[County]]</f>
        <v>IL Hamilton</v>
      </c>
      <c r="B766" t="s">
        <v>231</v>
      </c>
      <c r="C766" s="30" t="s">
        <v>561</v>
      </c>
      <c r="D766" s="14">
        <v>7993</v>
      </c>
    </row>
    <row r="767" spans="1:4" x14ac:dyDescent="0.3">
      <c r="A767" t="str">
        <f>Pop[[#This Row],[State]]&amp;" "&amp;Pop[[#This Row],[County]]</f>
        <v>IL Hancock</v>
      </c>
      <c r="B767" t="s">
        <v>231</v>
      </c>
      <c r="C767" s="30" t="s">
        <v>641</v>
      </c>
      <c r="D767" s="14">
        <v>17620</v>
      </c>
    </row>
    <row r="768" spans="1:4" x14ac:dyDescent="0.3">
      <c r="A768" t="str">
        <f>Pop[[#This Row],[State]]&amp;" "&amp;Pop[[#This Row],[County]]</f>
        <v>IL Hardin</v>
      </c>
      <c r="B768" t="s">
        <v>231</v>
      </c>
      <c r="C768" s="30" t="s">
        <v>723</v>
      </c>
      <c r="D768" s="14">
        <v>3649</v>
      </c>
    </row>
    <row r="769" spans="1:4" x14ac:dyDescent="0.3">
      <c r="A769" t="str">
        <f>Pop[[#This Row],[State]]&amp;" "&amp;Pop[[#This Row],[County]]</f>
        <v>IL Henderson</v>
      </c>
      <c r="B769" t="s">
        <v>231</v>
      </c>
      <c r="C769" s="30" t="s">
        <v>797</v>
      </c>
      <c r="D769" s="14">
        <v>6387</v>
      </c>
    </row>
    <row r="770" spans="1:4" x14ac:dyDescent="0.3">
      <c r="A770" t="str">
        <f>Pop[[#This Row],[State]]&amp;" "&amp;Pop[[#This Row],[County]]</f>
        <v>IL Henry</v>
      </c>
      <c r="B770" t="s">
        <v>231</v>
      </c>
      <c r="C770" s="30" t="s">
        <v>329</v>
      </c>
      <c r="D770" s="14">
        <v>49284</v>
      </c>
    </row>
    <row r="771" spans="1:4" x14ac:dyDescent="0.3">
      <c r="A771" t="str">
        <f>Pop[[#This Row],[State]]&amp;" "&amp;Pop[[#This Row],[County]]</f>
        <v>IL Iroquois</v>
      </c>
      <c r="B771" t="s">
        <v>231</v>
      </c>
      <c r="C771" s="30" t="s">
        <v>798</v>
      </c>
      <c r="D771" s="14">
        <v>27077</v>
      </c>
    </row>
    <row r="772" spans="1:4" x14ac:dyDescent="0.3">
      <c r="A772" t="str">
        <f>Pop[[#This Row],[State]]&amp;" "&amp;Pop[[#This Row],[County]]</f>
        <v>IL Jackson</v>
      </c>
      <c r="B772" t="s">
        <v>231</v>
      </c>
      <c r="C772" s="30" t="s">
        <v>46</v>
      </c>
      <c r="D772" s="14">
        <v>52974</v>
      </c>
    </row>
    <row r="773" spans="1:4" x14ac:dyDescent="0.3">
      <c r="A773" t="str">
        <f>Pop[[#This Row],[State]]&amp;" "&amp;Pop[[#This Row],[County]]</f>
        <v>IL Jasper</v>
      </c>
      <c r="B773" t="s">
        <v>231</v>
      </c>
      <c r="C773" s="30" t="s">
        <v>647</v>
      </c>
      <c r="D773" s="14">
        <v>9287</v>
      </c>
    </row>
    <row r="774" spans="1:4" x14ac:dyDescent="0.3">
      <c r="A774" t="str">
        <f>Pop[[#This Row],[State]]&amp;" "&amp;Pop[[#This Row],[County]]</f>
        <v>IL Jefferson</v>
      </c>
      <c r="B774" t="s">
        <v>231</v>
      </c>
      <c r="C774" s="30" t="s">
        <v>47</v>
      </c>
      <c r="D774" s="14">
        <v>37113</v>
      </c>
    </row>
    <row r="775" spans="1:4" x14ac:dyDescent="0.3">
      <c r="A775" t="str">
        <f>Pop[[#This Row],[State]]&amp;" "&amp;Pop[[#This Row],[County]]</f>
        <v>IL Jersey</v>
      </c>
      <c r="B775" t="s">
        <v>231</v>
      </c>
      <c r="C775" s="30" t="s">
        <v>799</v>
      </c>
      <c r="D775" s="14">
        <v>21512</v>
      </c>
    </row>
    <row r="776" spans="1:4" x14ac:dyDescent="0.3">
      <c r="A776" t="str">
        <f>Pop[[#This Row],[State]]&amp;" "&amp;Pop[[#This Row],[County]]</f>
        <v>IL Jo Daviess</v>
      </c>
      <c r="B776" t="s">
        <v>231</v>
      </c>
      <c r="C776" s="30" t="s">
        <v>800</v>
      </c>
      <c r="D776" s="14">
        <v>22035</v>
      </c>
    </row>
    <row r="777" spans="1:4" x14ac:dyDescent="0.3">
      <c r="A777" t="str">
        <f>Pop[[#This Row],[State]]&amp;" "&amp;Pop[[#This Row],[County]]</f>
        <v>IL Johnson</v>
      </c>
      <c r="B777" t="s">
        <v>231</v>
      </c>
      <c r="C777" s="30" t="s">
        <v>376</v>
      </c>
      <c r="D777" s="14">
        <v>13308</v>
      </c>
    </row>
    <row r="778" spans="1:4" x14ac:dyDescent="0.3">
      <c r="A778" t="str">
        <f>Pop[[#This Row],[State]]&amp;" "&amp;Pop[[#This Row],[County]]</f>
        <v>IL Kane</v>
      </c>
      <c r="B778" t="s">
        <v>231</v>
      </c>
      <c r="C778" s="30" t="s">
        <v>801</v>
      </c>
      <c r="D778" s="14">
        <v>516522</v>
      </c>
    </row>
    <row r="779" spans="1:4" x14ac:dyDescent="0.3">
      <c r="A779" t="str">
        <f>Pop[[#This Row],[State]]&amp;" "&amp;Pop[[#This Row],[County]]</f>
        <v>IL Kankakee</v>
      </c>
      <c r="B779" t="s">
        <v>231</v>
      </c>
      <c r="C779" s="30" t="s">
        <v>802</v>
      </c>
      <c r="D779" s="14">
        <v>107502</v>
      </c>
    </row>
    <row r="780" spans="1:4" x14ac:dyDescent="0.3">
      <c r="A780" t="str">
        <f>Pop[[#This Row],[State]]&amp;" "&amp;Pop[[#This Row],[County]]</f>
        <v>IL Kendall</v>
      </c>
      <c r="B780" t="s">
        <v>231</v>
      </c>
      <c r="C780" s="30" t="s">
        <v>803</v>
      </c>
      <c r="D780" s="14">
        <v>131869</v>
      </c>
    </row>
    <row r="781" spans="1:4" x14ac:dyDescent="0.3">
      <c r="A781" t="str">
        <f>Pop[[#This Row],[State]]&amp;" "&amp;Pop[[#This Row],[County]]</f>
        <v>IL Knox</v>
      </c>
      <c r="B781" t="s">
        <v>231</v>
      </c>
      <c r="C781" s="30" t="s">
        <v>804</v>
      </c>
      <c r="D781" s="14">
        <v>49967</v>
      </c>
    </row>
    <row r="782" spans="1:4" x14ac:dyDescent="0.3">
      <c r="A782" t="str">
        <f>Pop[[#This Row],[State]]&amp;" "&amp;Pop[[#This Row],[County]]</f>
        <v>IL Lake</v>
      </c>
      <c r="B782" t="s">
        <v>231</v>
      </c>
      <c r="C782" s="30" t="s">
        <v>439</v>
      </c>
      <c r="D782" s="14">
        <v>714342</v>
      </c>
    </row>
    <row r="783" spans="1:4" x14ac:dyDescent="0.3">
      <c r="A783" t="str">
        <f>Pop[[#This Row],[State]]&amp;" "&amp;Pop[[#This Row],[County]]</f>
        <v>IL LaSalle</v>
      </c>
      <c r="B783" t="s">
        <v>231</v>
      </c>
      <c r="C783" s="30" t="s">
        <v>805</v>
      </c>
      <c r="D783" s="14">
        <v>109658</v>
      </c>
    </row>
    <row r="784" spans="1:4" x14ac:dyDescent="0.3">
      <c r="A784" t="str">
        <f>Pop[[#This Row],[State]]&amp;" "&amp;Pop[[#This Row],[County]]</f>
        <v>IL Lawrence</v>
      </c>
      <c r="B784" t="s">
        <v>231</v>
      </c>
      <c r="C784" s="30" t="s">
        <v>48</v>
      </c>
      <c r="D784" s="14">
        <v>15280</v>
      </c>
    </row>
    <row r="785" spans="1:4" x14ac:dyDescent="0.3">
      <c r="A785" t="str">
        <f>Pop[[#This Row],[State]]&amp;" "&amp;Pop[[#This Row],[County]]</f>
        <v>IL Lee</v>
      </c>
      <c r="B785" t="s">
        <v>231</v>
      </c>
      <c r="C785" s="30" t="s">
        <v>333</v>
      </c>
      <c r="D785" s="14">
        <v>34145</v>
      </c>
    </row>
    <row r="786" spans="1:4" x14ac:dyDescent="0.3">
      <c r="A786" t="str">
        <f>Pop[[#This Row],[State]]&amp;" "&amp;Pop[[#This Row],[County]]</f>
        <v>IL Livingston</v>
      </c>
      <c r="B786" t="s">
        <v>231</v>
      </c>
      <c r="C786" s="30" t="s">
        <v>806</v>
      </c>
      <c r="D786" s="14">
        <v>35815</v>
      </c>
    </row>
    <row r="787" spans="1:4" x14ac:dyDescent="0.3">
      <c r="A787" t="str">
        <f>Pop[[#This Row],[State]]&amp;" "&amp;Pop[[#This Row],[County]]</f>
        <v>IL Logan</v>
      </c>
      <c r="B787" t="s">
        <v>231</v>
      </c>
      <c r="C787" s="30" t="s">
        <v>380</v>
      </c>
      <c r="D787" s="14">
        <v>27987</v>
      </c>
    </row>
    <row r="788" spans="1:4" x14ac:dyDescent="0.3">
      <c r="A788" t="str">
        <f>Pop[[#This Row],[State]]&amp;" "&amp;Pop[[#This Row],[County]]</f>
        <v>IL Macon</v>
      </c>
      <c r="B788" t="s">
        <v>231</v>
      </c>
      <c r="C788" s="30" t="s">
        <v>336</v>
      </c>
      <c r="D788" s="14">
        <v>103998</v>
      </c>
    </row>
    <row r="789" spans="1:4" x14ac:dyDescent="0.3">
      <c r="A789" s="1" t="str">
        <f>Pop[[#This Row],[State]]&amp;" "&amp;Pop[[#This Row],[County]]</f>
        <v>IL Macoupin</v>
      </c>
      <c r="B789" t="s">
        <v>231</v>
      </c>
      <c r="C789" s="30" t="s">
        <v>807</v>
      </c>
      <c r="D789" s="16">
        <v>44967</v>
      </c>
    </row>
    <row r="790" spans="1:4" x14ac:dyDescent="0.3">
      <c r="A790" t="str">
        <f>Pop[[#This Row],[State]]&amp;" "&amp;Pop[[#This Row],[County]]</f>
        <v>IL Madison</v>
      </c>
      <c r="B790" t="s">
        <v>231</v>
      </c>
      <c r="C790" s="30" t="s">
        <v>49</v>
      </c>
      <c r="D790" s="14">
        <v>265859</v>
      </c>
    </row>
    <row r="791" spans="1:4" x14ac:dyDescent="0.3">
      <c r="A791" t="str">
        <f>Pop[[#This Row],[State]]&amp;" "&amp;Pop[[#This Row],[County]]</f>
        <v>IL Marion</v>
      </c>
      <c r="B791" t="s">
        <v>231</v>
      </c>
      <c r="C791" s="30" t="s">
        <v>50</v>
      </c>
      <c r="D791" s="16">
        <v>37729</v>
      </c>
    </row>
    <row r="792" spans="1:4" x14ac:dyDescent="0.3">
      <c r="A792" t="str">
        <f>Pop[[#This Row],[State]]&amp;" "&amp;Pop[[#This Row],[County]]</f>
        <v>IL Marshall</v>
      </c>
      <c r="B792" t="s">
        <v>231</v>
      </c>
      <c r="C792" s="30" t="s">
        <v>51</v>
      </c>
      <c r="D792" s="16">
        <v>11742</v>
      </c>
    </row>
    <row r="793" spans="1:4" x14ac:dyDescent="0.3">
      <c r="A793" t="str">
        <f>Pop[[#This Row],[State]]&amp;" "&amp;Pop[[#This Row],[County]]</f>
        <v>IL Mason</v>
      </c>
      <c r="B793" t="s">
        <v>231</v>
      </c>
      <c r="C793" s="30" t="s">
        <v>808</v>
      </c>
      <c r="D793" s="16">
        <v>13086</v>
      </c>
    </row>
    <row r="794" spans="1:4" x14ac:dyDescent="0.3">
      <c r="A794" t="str">
        <f>Pop[[#This Row],[State]]&amp;" "&amp;Pop[[#This Row],[County]]</f>
        <v>IL Massac</v>
      </c>
      <c r="B794" t="s">
        <v>231</v>
      </c>
      <c r="C794" s="30" t="s">
        <v>809</v>
      </c>
      <c r="D794" s="16">
        <v>14169</v>
      </c>
    </row>
    <row r="795" spans="1:4" x14ac:dyDescent="0.3">
      <c r="A795" t="str">
        <f>Pop[[#This Row],[State]]&amp;" "&amp;Pop[[#This Row],[County]]</f>
        <v>IL McDonough</v>
      </c>
      <c r="B795" t="s">
        <v>231</v>
      </c>
      <c r="C795" s="30" t="s">
        <v>810</v>
      </c>
      <c r="D795" s="14">
        <v>27238</v>
      </c>
    </row>
    <row r="796" spans="1:4" x14ac:dyDescent="0.3">
      <c r="A796" t="str">
        <f>Pop[[#This Row],[State]]&amp;" "&amp;Pop[[#This Row],[County]]</f>
        <v>IL McHenry</v>
      </c>
      <c r="B796" t="s">
        <v>231</v>
      </c>
      <c r="C796" s="30" t="s">
        <v>811</v>
      </c>
      <c r="D796" s="14">
        <v>310229</v>
      </c>
    </row>
    <row r="797" spans="1:4" x14ac:dyDescent="0.3">
      <c r="A797" t="str">
        <f>Pop[[#This Row],[State]]&amp;" "&amp;Pop[[#This Row],[County]]</f>
        <v>IL McLean</v>
      </c>
      <c r="B797" t="s">
        <v>231</v>
      </c>
      <c r="C797" s="30" t="s">
        <v>812</v>
      </c>
      <c r="D797" s="14">
        <v>170954</v>
      </c>
    </row>
    <row r="798" spans="1:4" x14ac:dyDescent="0.3">
      <c r="A798" t="str">
        <f>Pop[[#This Row],[State]]&amp;" "&amp;Pop[[#This Row],[County]]</f>
        <v>IL Menard</v>
      </c>
      <c r="B798" t="s">
        <v>231</v>
      </c>
      <c r="C798" s="30" t="s">
        <v>813</v>
      </c>
      <c r="D798" s="16">
        <v>12297</v>
      </c>
    </row>
    <row r="799" spans="1:4" x14ac:dyDescent="0.3">
      <c r="A799" t="str">
        <f>Pop[[#This Row],[State]]&amp;" "&amp;Pop[[#This Row],[County]]</f>
        <v>IL Mercer</v>
      </c>
      <c r="B799" t="s">
        <v>231</v>
      </c>
      <c r="C799" s="30" t="s">
        <v>814</v>
      </c>
      <c r="D799" s="16">
        <v>15699</v>
      </c>
    </row>
    <row r="800" spans="1:4" x14ac:dyDescent="0.3">
      <c r="A800" t="str">
        <f>Pop[[#This Row],[State]]&amp;" "&amp;Pop[[#This Row],[County]]</f>
        <v>IL Monroe</v>
      </c>
      <c r="B800" t="s">
        <v>231</v>
      </c>
      <c r="C800" s="30" t="s">
        <v>339</v>
      </c>
      <c r="D800" s="16">
        <v>34962</v>
      </c>
    </row>
    <row r="801" spans="1:4" x14ac:dyDescent="0.3">
      <c r="A801" t="str">
        <f>Pop[[#This Row],[State]]&amp;" "&amp;Pop[[#This Row],[County]]</f>
        <v>IL Montgomery</v>
      </c>
      <c r="B801" t="s">
        <v>231</v>
      </c>
      <c r="C801" s="30" t="s">
        <v>53</v>
      </c>
      <c r="D801" s="16">
        <v>28288</v>
      </c>
    </row>
    <row r="802" spans="1:4" x14ac:dyDescent="0.3">
      <c r="A802" t="str">
        <f>Pop[[#This Row],[State]]&amp;" "&amp;Pop[[#This Row],[County]]</f>
        <v>IL Morgan</v>
      </c>
      <c r="B802" t="s">
        <v>231</v>
      </c>
      <c r="C802" s="30" t="s">
        <v>54</v>
      </c>
      <c r="D802" s="16">
        <v>32915</v>
      </c>
    </row>
    <row r="803" spans="1:4" x14ac:dyDescent="0.3">
      <c r="A803" t="str">
        <f>Pop[[#This Row],[State]]&amp;" "&amp;Pop[[#This Row],[County]]</f>
        <v>IL Moultrie</v>
      </c>
      <c r="B803" t="s">
        <v>231</v>
      </c>
      <c r="C803" s="30" t="s">
        <v>815</v>
      </c>
      <c r="D803" s="16">
        <v>14526</v>
      </c>
    </row>
    <row r="804" spans="1:4" x14ac:dyDescent="0.3">
      <c r="A804" t="str">
        <f>Pop[[#This Row],[State]]&amp;" "&amp;Pop[[#This Row],[County]]</f>
        <v>IL Ogle</v>
      </c>
      <c r="B804" t="s">
        <v>231</v>
      </c>
      <c r="C804" s="30" t="s">
        <v>816</v>
      </c>
      <c r="D804" s="16">
        <v>51788</v>
      </c>
    </row>
    <row r="805" spans="1:4" x14ac:dyDescent="0.3">
      <c r="A805" t="str">
        <f>Pop[[#This Row],[State]]&amp;" "&amp;Pop[[#This Row],[County]]</f>
        <v>IL Peoria</v>
      </c>
      <c r="B805" t="s">
        <v>231</v>
      </c>
      <c r="C805" s="30" t="s">
        <v>817</v>
      </c>
      <c r="D805" s="16">
        <v>181830</v>
      </c>
    </row>
    <row r="806" spans="1:4" x14ac:dyDescent="0.3">
      <c r="A806" t="str">
        <f>Pop[[#This Row],[State]]&amp;" "&amp;Pop[[#This Row],[County]]</f>
        <v>IL Perry</v>
      </c>
      <c r="B806" t="s">
        <v>231</v>
      </c>
      <c r="C806" s="30" t="s">
        <v>58</v>
      </c>
      <c r="D806" s="16">
        <v>20945</v>
      </c>
    </row>
    <row r="807" spans="1:4" x14ac:dyDescent="0.3">
      <c r="A807" t="str">
        <f>Pop[[#This Row],[State]]&amp;" "&amp;Pop[[#This Row],[County]]</f>
        <v>IL Piatt</v>
      </c>
      <c r="B807" t="s">
        <v>231</v>
      </c>
      <c r="C807" s="30" t="s">
        <v>818</v>
      </c>
      <c r="D807" s="16">
        <v>16673</v>
      </c>
    </row>
    <row r="808" spans="1:4" x14ac:dyDescent="0.3">
      <c r="A808" t="str">
        <f>Pop[[#This Row],[State]]&amp;" "&amp;Pop[[#This Row],[County]]</f>
        <v>IL Pike</v>
      </c>
      <c r="B808" t="s">
        <v>231</v>
      </c>
      <c r="C808" s="30" t="s">
        <v>341</v>
      </c>
      <c r="D808" s="16">
        <v>14739</v>
      </c>
    </row>
    <row r="809" spans="1:4" x14ac:dyDescent="0.3">
      <c r="A809" t="str">
        <f>Pop[[#This Row],[State]]&amp;" "&amp;Pop[[#This Row],[County]]</f>
        <v>IL Pope</v>
      </c>
      <c r="B809" t="s">
        <v>231</v>
      </c>
      <c r="C809" s="30" t="s">
        <v>388</v>
      </c>
      <c r="D809" s="16">
        <v>3763</v>
      </c>
    </row>
    <row r="810" spans="1:4" x14ac:dyDescent="0.3">
      <c r="A810" t="str">
        <f>Pop[[#This Row],[State]]&amp;" "&amp;Pop[[#This Row],[County]]</f>
        <v>IL Pulaski</v>
      </c>
      <c r="B810" t="s">
        <v>231</v>
      </c>
      <c r="C810" s="30" t="s">
        <v>390</v>
      </c>
      <c r="D810" s="16">
        <v>5193</v>
      </c>
    </row>
    <row r="811" spans="1:4" x14ac:dyDescent="0.3">
      <c r="A811" t="str">
        <f>Pop[[#This Row],[State]]&amp;" "&amp;Pop[[#This Row],[County]]</f>
        <v>IL Putnam</v>
      </c>
      <c r="B811" t="s">
        <v>231</v>
      </c>
      <c r="C811" s="30" t="s">
        <v>581</v>
      </c>
      <c r="D811" s="16">
        <v>5637</v>
      </c>
    </row>
    <row r="812" spans="1:4" x14ac:dyDescent="0.3">
      <c r="A812" t="str">
        <f>Pop[[#This Row],[State]]&amp;" "&amp;Pop[[#This Row],[County]]</f>
        <v>IL Randolph</v>
      </c>
      <c r="B812" t="s">
        <v>231</v>
      </c>
      <c r="C812" s="30" t="s">
        <v>342</v>
      </c>
      <c r="D812" s="16">
        <v>30163</v>
      </c>
    </row>
    <row r="813" spans="1:4" x14ac:dyDescent="0.3">
      <c r="A813" t="str">
        <f>Pop[[#This Row],[State]]&amp;" "&amp;Pop[[#This Row],[County]]</f>
        <v>IL Richland</v>
      </c>
      <c r="B813" t="s">
        <v>231</v>
      </c>
      <c r="C813" s="30" t="s">
        <v>819</v>
      </c>
      <c r="D813" s="16">
        <v>15813</v>
      </c>
    </row>
    <row r="814" spans="1:4" x14ac:dyDescent="0.3">
      <c r="A814" t="str">
        <f>Pop[[#This Row],[State]]&amp;" "&amp;Pop[[#This Row],[County]]</f>
        <v>IL Rock Island</v>
      </c>
      <c r="B814" t="s">
        <v>231</v>
      </c>
      <c r="C814" s="30" t="s">
        <v>820</v>
      </c>
      <c r="D814" s="16">
        <v>144672</v>
      </c>
    </row>
    <row r="815" spans="1:4" x14ac:dyDescent="0.3">
      <c r="A815" t="str">
        <f>Pop[[#This Row],[State]]&amp;" "&amp;Pop[[#This Row],[County]]</f>
        <v>IL Saline</v>
      </c>
      <c r="B815" t="s">
        <v>231</v>
      </c>
      <c r="C815" s="30" t="s">
        <v>391</v>
      </c>
      <c r="D815" s="16">
        <v>23768</v>
      </c>
    </row>
    <row r="816" spans="1:4" x14ac:dyDescent="0.3">
      <c r="A816" t="str">
        <f>Pop[[#This Row],[State]]&amp;" "&amp;Pop[[#This Row],[County]]</f>
        <v>IL Sangamon</v>
      </c>
      <c r="B816" t="s">
        <v>231</v>
      </c>
      <c r="C816" s="30" t="s">
        <v>821</v>
      </c>
      <c r="D816" s="16">
        <v>196343</v>
      </c>
    </row>
    <row r="817" spans="1:4" x14ac:dyDescent="0.3">
      <c r="A817" t="str">
        <f>Pop[[#This Row],[State]]&amp;" "&amp;Pop[[#This Row],[County]]</f>
        <v>IL Schuyler</v>
      </c>
      <c r="B817" t="s">
        <v>231</v>
      </c>
      <c r="C817" s="30" t="s">
        <v>822</v>
      </c>
      <c r="D817" s="16">
        <v>6902</v>
      </c>
    </row>
    <row r="818" spans="1:4" x14ac:dyDescent="0.3">
      <c r="A818" t="str">
        <f>Pop[[#This Row],[State]]&amp;" "&amp;Pop[[#This Row],[County]]</f>
        <v>IL Scott</v>
      </c>
      <c r="B818" t="s">
        <v>231</v>
      </c>
      <c r="C818" s="30" t="s">
        <v>392</v>
      </c>
      <c r="D818" s="16">
        <v>4949</v>
      </c>
    </row>
    <row r="819" spans="1:4" x14ac:dyDescent="0.3">
      <c r="A819" t="str">
        <f>Pop[[#This Row],[State]]&amp;" "&amp;Pop[[#This Row],[County]]</f>
        <v>IL Shelby</v>
      </c>
      <c r="B819" t="s">
        <v>231</v>
      </c>
      <c r="C819" s="30" t="s">
        <v>59</v>
      </c>
      <c r="D819" s="16">
        <v>20990</v>
      </c>
    </row>
    <row r="820" spans="1:4" x14ac:dyDescent="0.3">
      <c r="A820" t="str">
        <f>Pop[[#This Row],[State]]&amp;" "&amp;Pop[[#This Row],[County]]</f>
        <v>IL St. Clair</v>
      </c>
      <c r="B820" t="s">
        <v>231</v>
      </c>
      <c r="C820" s="30" t="s">
        <v>344</v>
      </c>
      <c r="D820" s="16">
        <v>257400</v>
      </c>
    </row>
    <row r="821" spans="1:4" x14ac:dyDescent="0.3">
      <c r="A821" t="str">
        <f>Pop[[#This Row],[State]]&amp;" "&amp;Pop[[#This Row],[County]]</f>
        <v>IL Stark</v>
      </c>
      <c r="B821" t="s">
        <v>231</v>
      </c>
      <c r="C821" s="30" t="s">
        <v>823</v>
      </c>
      <c r="D821" s="16">
        <v>5400</v>
      </c>
    </row>
    <row r="822" spans="1:4" x14ac:dyDescent="0.3">
      <c r="A822" t="str">
        <f>Pop[[#This Row],[State]]&amp;" "&amp;Pop[[#This Row],[County]]</f>
        <v>IL Stephenson</v>
      </c>
      <c r="B822" t="s">
        <v>231</v>
      </c>
      <c r="C822" s="30" t="s">
        <v>824</v>
      </c>
      <c r="D822" s="16">
        <v>44630</v>
      </c>
    </row>
    <row r="823" spans="1:4" x14ac:dyDescent="0.3">
      <c r="A823" t="str">
        <f>Pop[[#This Row],[State]]&amp;" "&amp;Pop[[#This Row],[County]]</f>
        <v>IL Tazewell</v>
      </c>
      <c r="B823" t="s">
        <v>231</v>
      </c>
      <c r="C823" s="30" t="s">
        <v>825</v>
      </c>
      <c r="D823" s="16">
        <v>131343</v>
      </c>
    </row>
    <row r="824" spans="1:4" x14ac:dyDescent="0.3">
      <c r="A824" t="str">
        <f>Pop[[#This Row],[State]]&amp;" "&amp;Pop[[#This Row],[County]]</f>
        <v>IL Union</v>
      </c>
      <c r="B824" t="s">
        <v>231</v>
      </c>
      <c r="C824" s="30" t="s">
        <v>399</v>
      </c>
      <c r="D824" s="16">
        <v>17244</v>
      </c>
    </row>
    <row r="825" spans="1:4" x14ac:dyDescent="0.3">
      <c r="A825" t="str">
        <f>Pop[[#This Row],[State]]&amp;" "&amp;Pop[[#This Row],[County]]</f>
        <v>IL Vermilion</v>
      </c>
      <c r="B825" t="s">
        <v>231</v>
      </c>
      <c r="C825" s="30" t="s">
        <v>826</v>
      </c>
      <c r="D825" s="16">
        <v>74188</v>
      </c>
    </row>
    <row r="826" spans="1:4" x14ac:dyDescent="0.3">
      <c r="A826" t="str">
        <f>Pop[[#This Row],[State]]&amp;" "&amp;Pop[[#This Row],[County]]</f>
        <v>IL Wabash</v>
      </c>
      <c r="B826" t="s">
        <v>231</v>
      </c>
      <c r="C826" s="30" t="s">
        <v>827</v>
      </c>
      <c r="D826" s="16">
        <v>11361</v>
      </c>
    </row>
    <row r="827" spans="1:4" x14ac:dyDescent="0.3">
      <c r="A827" t="str">
        <f>Pop[[#This Row],[State]]&amp;" "&amp;Pop[[#This Row],[County]]</f>
        <v>IL Warren</v>
      </c>
      <c r="B827" t="s">
        <v>231</v>
      </c>
      <c r="C827" s="30" t="s">
        <v>690</v>
      </c>
      <c r="D827" s="16">
        <v>16835</v>
      </c>
    </row>
    <row r="828" spans="1:4" x14ac:dyDescent="0.3">
      <c r="A828" t="str">
        <f>Pop[[#This Row],[State]]&amp;" "&amp;Pop[[#This Row],[County]]</f>
        <v>IL Washington</v>
      </c>
      <c r="B828" t="s">
        <v>231</v>
      </c>
      <c r="C828" s="30" t="s">
        <v>65</v>
      </c>
      <c r="D828" s="16">
        <v>13761</v>
      </c>
    </row>
    <row r="829" spans="1:4" x14ac:dyDescent="0.3">
      <c r="A829" t="str">
        <f>Pop[[#This Row],[State]]&amp;" "&amp;Pop[[#This Row],[County]]</f>
        <v>IL Wayne</v>
      </c>
      <c r="B829" t="s">
        <v>231</v>
      </c>
      <c r="C829" s="30" t="s">
        <v>691</v>
      </c>
      <c r="D829" s="16">
        <v>16179</v>
      </c>
    </row>
    <row r="830" spans="1:4" x14ac:dyDescent="0.3">
      <c r="A830" t="str">
        <f>Pop[[#This Row],[State]]&amp;" "&amp;Pop[[#This Row],[County]]</f>
        <v>IL White</v>
      </c>
      <c r="B830" t="s">
        <v>231</v>
      </c>
      <c r="C830" s="30" t="s">
        <v>66</v>
      </c>
      <c r="D830" s="16">
        <v>13877</v>
      </c>
    </row>
    <row r="831" spans="1:4" x14ac:dyDescent="0.3">
      <c r="A831" t="str">
        <f>Pop[[#This Row],[State]]&amp;" "&amp;Pop[[#This Row],[County]]</f>
        <v>IL Whiteside</v>
      </c>
      <c r="B831" t="s">
        <v>231</v>
      </c>
      <c r="C831" s="30" t="s">
        <v>828</v>
      </c>
      <c r="D831" s="16">
        <v>55691</v>
      </c>
    </row>
    <row r="832" spans="1:4" x14ac:dyDescent="0.3">
      <c r="A832" t="str">
        <f>Pop[[#This Row],[State]]&amp;" "&amp;Pop[[#This Row],[County]]</f>
        <v>IL Will</v>
      </c>
      <c r="B832" t="s">
        <v>231</v>
      </c>
      <c r="C832" s="30" t="s">
        <v>829</v>
      </c>
      <c r="D832" s="16">
        <v>696355</v>
      </c>
    </row>
    <row r="833" spans="1:4" x14ac:dyDescent="0.3">
      <c r="A833" t="str">
        <f>Pop[[#This Row],[State]]&amp;" "&amp;Pop[[#This Row],[County]]</f>
        <v>IL Williamson</v>
      </c>
      <c r="B833" t="s">
        <v>231</v>
      </c>
      <c r="C833" s="30" t="s">
        <v>830</v>
      </c>
      <c r="D833" s="16">
        <v>67153</v>
      </c>
    </row>
    <row r="834" spans="1:4" x14ac:dyDescent="0.3">
      <c r="A834" t="str">
        <f>Pop[[#This Row],[State]]&amp;" "&amp;Pop[[#This Row],[County]]</f>
        <v>IL Winnebago</v>
      </c>
      <c r="B834" t="s">
        <v>231</v>
      </c>
      <c r="C834" s="30" t="s">
        <v>748</v>
      </c>
      <c r="D834" s="16">
        <v>285350</v>
      </c>
    </row>
    <row r="835" spans="1:4" x14ac:dyDescent="0.3">
      <c r="A835" t="str">
        <f>Pop[[#This Row],[State]]&amp;" "&amp;Pop[[#This Row],[County]]</f>
        <v>IL Woodford</v>
      </c>
      <c r="B835" t="s">
        <v>231</v>
      </c>
      <c r="C835" s="30" t="s">
        <v>831</v>
      </c>
      <c r="D835" s="16">
        <v>38467</v>
      </c>
    </row>
    <row r="836" spans="1:4" x14ac:dyDescent="0.3">
      <c r="A836" s="1" t="str">
        <f>Pop[[#This Row],[State]]&amp;" "&amp;Pop[[#This Row],[County]]</f>
        <v>IL State Agencies</v>
      </c>
      <c r="B836" t="s">
        <v>231</v>
      </c>
      <c r="C836" s="30" t="s">
        <v>243</v>
      </c>
      <c r="D836" s="16" t="s">
        <v>244</v>
      </c>
    </row>
    <row r="837" spans="1:4" x14ac:dyDescent="0.3">
      <c r="A837" s="1" t="str">
        <f>Pop[[#This Row],[State]]&amp;" "&amp;Pop[[#This Row],[County]]</f>
        <v>IL Grand Total</v>
      </c>
      <c r="B837" t="s">
        <v>231</v>
      </c>
      <c r="C837" s="30" t="s">
        <v>67</v>
      </c>
      <c r="D837" s="16">
        <v>12812508</v>
      </c>
    </row>
    <row r="838" spans="1:4" x14ac:dyDescent="0.3">
      <c r="A838" t="str">
        <f>Pop[[#This Row],[State]]&amp;" "&amp;Pop[[#This Row],[County]]</f>
        <v>IN Adams</v>
      </c>
      <c r="B838" t="s">
        <v>74</v>
      </c>
      <c r="C838" s="30" t="s">
        <v>478</v>
      </c>
      <c r="D838" s="16">
        <v>35809</v>
      </c>
    </row>
    <row r="839" spans="1:4" x14ac:dyDescent="0.3">
      <c r="A839" t="str">
        <f>Pop[[#This Row],[State]]&amp;" "&amp;Pop[[#This Row],[County]]</f>
        <v>IN Allen</v>
      </c>
      <c r="B839" t="s">
        <v>74</v>
      </c>
      <c r="C839" s="30" t="s">
        <v>832</v>
      </c>
      <c r="D839" s="16">
        <v>385410</v>
      </c>
    </row>
    <row r="840" spans="1:4" x14ac:dyDescent="0.3">
      <c r="A840" t="str">
        <f>Pop[[#This Row],[State]]&amp;" "&amp;Pop[[#This Row],[County]]</f>
        <v>IN Bartholomew</v>
      </c>
      <c r="B840" t="s">
        <v>74</v>
      </c>
      <c r="C840" s="30" t="s">
        <v>36</v>
      </c>
      <c r="D840" s="16">
        <v>82208</v>
      </c>
    </row>
    <row r="841" spans="1:4" x14ac:dyDescent="0.3">
      <c r="A841" t="str">
        <f>Pop[[#This Row],[State]]&amp;" "&amp;Pop[[#This Row],[County]]</f>
        <v>IN Benton</v>
      </c>
      <c r="B841" t="s">
        <v>74</v>
      </c>
      <c r="C841" s="30" t="s">
        <v>354</v>
      </c>
      <c r="D841" s="16">
        <v>8719</v>
      </c>
    </row>
    <row r="842" spans="1:4" x14ac:dyDescent="0.3">
      <c r="A842" t="str">
        <f>Pop[[#This Row],[State]]&amp;" "&amp;Pop[[#This Row],[County]]</f>
        <v>IN Blackford</v>
      </c>
      <c r="B842" t="s">
        <v>74</v>
      </c>
      <c r="C842" s="30" t="s">
        <v>833</v>
      </c>
      <c r="D842" s="16">
        <v>12112</v>
      </c>
    </row>
    <row r="843" spans="1:4" x14ac:dyDescent="0.3">
      <c r="A843" t="str">
        <f>Pop[[#This Row],[State]]&amp;" "&amp;Pop[[#This Row],[County]]</f>
        <v>IN Boone</v>
      </c>
      <c r="B843" t="s">
        <v>74</v>
      </c>
      <c r="C843" s="30" t="s">
        <v>355</v>
      </c>
      <c r="D843" s="16">
        <v>70812</v>
      </c>
    </row>
    <row r="844" spans="1:4" x14ac:dyDescent="0.3">
      <c r="A844" t="str">
        <f>Pop[[#This Row],[State]]&amp;" "&amp;Pop[[#This Row],[County]]</f>
        <v>IN Brown</v>
      </c>
      <c r="B844" t="s">
        <v>74</v>
      </c>
      <c r="C844" s="30" t="s">
        <v>37</v>
      </c>
      <c r="D844" s="16">
        <v>15475</v>
      </c>
    </row>
    <row r="845" spans="1:4" x14ac:dyDescent="0.3">
      <c r="A845" t="str">
        <f>Pop[[#This Row],[State]]&amp;" "&amp;Pop[[#This Row],[County]]</f>
        <v>IN Carroll</v>
      </c>
      <c r="B845" t="s">
        <v>74</v>
      </c>
      <c r="C845" s="30" t="s">
        <v>357</v>
      </c>
      <c r="D845" s="16">
        <v>20306</v>
      </c>
    </row>
    <row r="846" spans="1:4" x14ac:dyDescent="0.3">
      <c r="A846" t="str">
        <f>Pop[[#This Row],[State]]&amp;" "&amp;Pop[[#This Row],[County]]</f>
        <v>IN Cass</v>
      </c>
      <c r="B846" t="s">
        <v>74</v>
      </c>
      <c r="C846" s="30" t="s">
        <v>711</v>
      </c>
      <c r="D846" s="16">
        <v>37870</v>
      </c>
    </row>
    <row r="847" spans="1:4" x14ac:dyDescent="0.3">
      <c r="A847" t="str">
        <f>Pop[[#This Row],[State]]&amp;" "&amp;Pop[[#This Row],[County]]</f>
        <v>IN Clark</v>
      </c>
      <c r="B847" t="s">
        <v>74</v>
      </c>
      <c r="C847" s="30" t="s">
        <v>38</v>
      </c>
      <c r="D847" s="16">
        <v>121093</v>
      </c>
    </row>
    <row r="848" spans="1:4" x14ac:dyDescent="0.3">
      <c r="A848" t="str">
        <f>Pop[[#This Row],[State]]&amp;" "&amp;Pop[[#This Row],[County]]</f>
        <v>IN Clay</v>
      </c>
      <c r="B848" t="s">
        <v>74</v>
      </c>
      <c r="C848" s="30" t="s">
        <v>39</v>
      </c>
      <c r="D848" s="16">
        <v>26466</v>
      </c>
    </row>
    <row r="849" spans="1:4" x14ac:dyDescent="0.3">
      <c r="A849" t="str">
        <f>Pop[[#This Row],[State]]&amp;" "&amp;Pop[[#This Row],[County]]</f>
        <v>IN Clinton</v>
      </c>
      <c r="B849" t="s">
        <v>74</v>
      </c>
      <c r="C849" s="30" t="s">
        <v>715</v>
      </c>
      <c r="D849" s="16">
        <v>33190</v>
      </c>
    </row>
    <row r="850" spans="1:4" x14ac:dyDescent="0.3">
      <c r="A850" t="str">
        <f>Pop[[#This Row],[State]]&amp;" "&amp;Pop[[#This Row],[County]]</f>
        <v>IN Crawford</v>
      </c>
      <c r="B850" t="s">
        <v>74</v>
      </c>
      <c r="C850" s="30" t="s">
        <v>40</v>
      </c>
      <c r="D850" s="16">
        <v>10526</v>
      </c>
    </row>
    <row r="851" spans="1:4" x14ac:dyDescent="0.3">
      <c r="A851" t="str">
        <f>Pop[[#This Row],[State]]&amp;" "&amp;Pop[[#This Row],[County]]</f>
        <v>IN Daviess</v>
      </c>
      <c r="B851" t="s">
        <v>74</v>
      </c>
      <c r="C851" s="30" t="s">
        <v>834</v>
      </c>
      <c r="D851" s="16">
        <v>33381</v>
      </c>
    </row>
    <row r="852" spans="1:4" x14ac:dyDescent="0.3">
      <c r="A852" t="str">
        <f>Pop[[#This Row],[State]]&amp;" "&amp;Pop[[#This Row],[County]]</f>
        <v>IN Dearborn</v>
      </c>
      <c r="B852" t="s">
        <v>74</v>
      </c>
      <c r="C852" s="30" t="s">
        <v>835</v>
      </c>
      <c r="D852" s="16">
        <v>50679</v>
      </c>
    </row>
    <row r="853" spans="1:4" x14ac:dyDescent="0.3">
      <c r="A853" t="str">
        <f>Pop[[#This Row],[State]]&amp;" "&amp;Pop[[#This Row],[County]]</f>
        <v>IN Decatur</v>
      </c>
      <c r="B853" t="s">
        <v>74</v>
      </c>
      <c r="C853" s="30" t="s">
        <v>41</v>
      </c>
      <c r="D853" s="16">
        <v>26472</v>
      </c>
    </row>
    <row r="854" spans="1:4" x14ac:dyDescent="0.3">
      <c r="A854" t="str">
        <f>Pop[[#This Row],[State]]&amp;" "&amp;Pop[[#This Row],[County]]</f>
        <v>IN DeKalb</v>
      </c>
      <c r="B854" t="s">
        <v>74</v>
      </c>
      <c r="C854" s="30" t="s">
        <v>319</v>
      </c>
      <c r="D854" s="16">
        <v>43265</v>
      </c>
    </row>
    <row r="855" spans="1:4" x14ac:dyDescent="0.3">
      <c r="A855" t="str">
        <f>Pop[[#This Row],[State]]&amp;" "&amp;Pop[[#This Row],[County]]</f>
        <v>IN Delaware</v>
      </c>
      <c r="B855" t="s">
        <v>74</v>
      </c>
      <c r="C855" s="30" t="s">
        <v>191</v>
      </c>
      <c r="D855" s="16">
        <v>111903</v>
      </c>
    </row>
    <row r="856" spans="1:4" x14ac:dyDescent="0.3">
      <c r="A856" t="str">
        <f>Pop[[#This Row],[State]]&amp;" "&amp;Pop[[#This Row],[County]]</f>
        <v>IN Dubois</v>
      </c>
      <c r="B856" t="s">
        <v>74</v>
      </c>
      <c r="C856" s="30" t="s">
        <v>836</v>
      </c>
      <c r="D856" s="16">
        <v>43637</v>
      </c>
    </row>
    <row r="857" spans="1:4" x14ac:dyDescent="0.3">
      <c r="A857" t="str">
        <f>Pop[[#This Row],[State]]&amp;" "&amp;Pop[[#This Row],[County]]</f>
        <v>IN Elkhart</v>
      </c>
      <c r="B857" t="s">
        <v>74</v>
      </c>
      <c r="C857" s="30" t="s">
        <v>837</v>
      </c>
      <c r="D857" s="16">
        <v>207047</v>
      </c>
    </row>
    <row r="858" spans="1:4" x14ac:dyDescent="0.3">
      <c r="A858" t="str">
        <f>Pop[[#This Row],[State]]&amp;" "&amp;Pop[[#This Row],[County]]</f>
        <v>IN Fayette</v>
      </c>
      <c r="B858" t="s">
        <v>74</v>
      </c>
      <c r="C858" s="30" t="s">
        <v>326</v>
      </c>
      <c r="D858" s="16">
        <v>23398</v>
      </c>
    </row>
    <row r="859" spans="1:4" x14ac:dyDescent="0.3">
      <c r="A859" t="str">
        <f>Pop[[#This Row],[State]]&amp;" "&amp;Pop[[#This Row],[County]]</f>
        <v>IN Floyd</v>
      </c>
      <c r="B859" t="s">
        <v>74</v>
      </c>
      <c r="C859" s="30" t="s">
        <v>42</v>
      </c>
      <c r="D859" s="16">
        <v>80484</v>
      </c>
    </row>
    <row r="860" spans="1:4" x14ac:dyDescent="0.3">
      <c r="A860" t="str">
        <f>Pop[[#This Row],[State]]&amp;" "&amp;Pop[[#This Row],[County]]</f>
        <v>IN Fountain</v>
      </c>
      <c r="B860" t="s">
        <v>74</v>
      </c>
      <c r="C860" s="30" t="s">
        <v>838</v>
      </c>
      <c r="D860" s="16">
        <v>16479</v>
      </c>
    </row>
    <row r="861" spans="1:4" x14ac:dyDescent="0.3">
      <c r="A861" t="str">
        <f>Pop[[#This Row],[State]]&amp;" "&amp;Pop[[#This Row],[County]]</f>
        <v>IN Franklin</v>
      </c>
      <c r="B861" t="s">
        <v>74</v>
      </c>
      <c r="C861" s="30" t="s">
        <v>43</v>
      </c>
      <c r="D861" s="16">
        <v>22785</v>
      </c>
    </row>
    <row r="862" spans="1:4" x14ac:dyDescent="0.3">
      <c r="A862" t="str">
        <f>Pop[[#This Row],[State]]&amp;" "&amp;Pop[[#This Row],[County]]</f>
        <v>IN Fulton</v>
      </c>
      <c r="B862" t="s">
        <v>74</v>
      </c>
      <c r="C862" s="30" t="s">
        <v>368</v>
      </c>
      <c r="D862" s="16">
        <v>20480</v>
      </c>
    </row>
    <row r="863" spans="1:4" x14ac:dyDescent="0.3">
      <c r="A863" t="str">
        <f>Pop[[#This Row],[State]]&amp;" "&amp;Pop[[#This Row],[County]]</f>
        <v>IN Gibson</v>
      </c>
      <c r="B863" t="s">
        <v>74</v>
      </c>
      <c r="C863" s="30" t="s">
        <v>839</v>
      </c>
      <c r="D863" s="16">
        <v>33011</v>
      </c>
    </row>
    <row r="864" spans="1:4" x14ac:dyDescent="0.3">
      <c r="A864" t="str">
        <f>Pop[[#This Row],[State]]&amp;" "&amp;Pop[[#This Row],[County]]</f>
        <v>IN Grant</v>
      </c>
      <c r="B864" t="s">
        <v>74</v>
      </c>
      <c r="C864" s="30" t="s">
        <v>370</v>
      </c>
      <c r="D864" s="16">
        <v>66674</v>
      </c>
    </row>
    <row r="865" spans="1:4" x14ac:dyDescent="0.3">
      <c r="A865" t="str">
        <f>Pop[[#This Row],[State]]&amp;" "&amp;Pop[[#This Row],[County]]</f>
        <v>IN Greene</v>
      </c>
      <c r="B865" t="s">
        <v>74</v>
      </c>
      <c r="C865" s="30" t="s">
        <v>44</v>
      </c>
      <c r="D865" s="16">
        <v>30803</v>
      </c>
    </row>
    <row r="866" spans="1:4" x14ac:dyDescent="0.3">
      <c r="A866" t="str">
        <f>Pop[[#This Row],[State]]&amp;" "&amp;Pop[[#This Row],[County]]</f>
        <v>IN Hamilton</v>
      </c>
      <c r="B866" t="s">
        <v>74</v>
      </c>
      <c r="C866" s="30" t="s">
        <v>561</v>
      </c>
      <c r="D866" s="16">
        <v>347467</v>
      </c>
    </row>
    <row r="867" spans="1:4" x14ac:dyDescent="0.3">
      <c r="A867" t="str">
        <f>Pop[[#This Row],[State]]&amp;" "&amp;Pop[[#This Row],[County]]</f>
        <v>IN Hancock</v>
      </c>
      <c r="B867" t="s">
        <v>74</v>
      </c>
      <c r="C867" s="30" t="s">
        <v>641</v>
      </c>
      <c r="D867" s="16">
        <v>79840</v>
      </c>
    </row>
    <row r="868" spans="1:4" x14ac:dyDescent="0.3">
      <c r="A868" t="str">
        <f>Pop[[#This Row],[State]]&amp;" "&amp;Pop[[#This Row],[County]]</f>
        <v>IN Harrison</v>
      </c>
      <c r="B868" t="s">
        <v>74</v>
      </c>
      <c r="C868" s="30" t="s">
        <v>45</v>
      </c>
      <c r="D868" s="16">
        <v>39654</v>
      </c>
    </row>
    <row r="869" spans="1:4" x14ac:dyDescent="0.3">
      <c r="A869" t="str">
        <f>Pop[[#This Row],[State]]&amp;" "&amp;Pop[[#This Row],[County]]</f>
        <v>IN Hendricks</v>
      </c>
      <c r="B869" t="s">
        <v>74</v>
      </c>
      <c r="C869" s="30" t="s">
        <v>840</v>
      </c>
      <c r="D869" s="16">
        <v>174788</v>
      </c>
    </row>
    <row r="870" spans="1:4" x14ac:dyDescent="0.3">
      <c r="A870" t="str">
        <f>Pop[[#This Row],[State]]&amp;" "&amp;Pop[[#This Row],[County]]</f>
        <v>IN Henry</v>
      </c>
      <c r="B870" t="s">
        <v>74</v>
      </c>
      <c r="C870" s="30" t="s">
        <v>329</v>
      </c>
      <c r="D870" s="16">
        <v>48914</v>
      </c>
    </row>
    <row r="871" spans="1:4" x14ac:dyDescent="0.3">
      <c r="A871" t="str">
        <f>Pop[[#This Row],[State]]&amp;" "&amp;Pop[[#This Row],[County]]</f>
        <v>IN Howard</v>
      </c>
      <c r="B871" t="s">
        <v>74</v>
      </c>
      <c r="C871" s="30" t="s">
        <v>373</v>
      </c>
      <c r="D871" s="16">
        <v>83658</v>
      </c>
    </row>
    <row r="872" spans="1:4" x14ac:dyDescent="0.3">
      <c r="A872" t="str">
        <f>Pop[[#This Row],[State]]&amp;" "&amp;Pop[[#This Row],[County]]</f>
        <v>IN Huntington</v>
      </c>
      <c r="B872" t="s">
        <v>74</v>
      </c>
      <c r="C872" s="30" t="s">
        <v>841</v>
      </c>
      <c r="D872" s="16">
        <v>36662</v>
      </c>
    </row>
    <row r="873" spans="1:4" x14ac:dyDescent="0.3">
      <c r="A873" t="str">
        <f>Pop[[#This Row],[State]]&amp;" "&amp;Pop[[#This Row],[County]]</f>
        <v>IN Jackson</v>
      </c>
      <c r="B873" t="s">
        <v>74</v>
      </c>
      <c r="C873" s="30" t="s">
        <v>46</v>
      </c>
      <c r="D873" s="16">
        <v>46428</v>
      </c>
    </row>
    <row r="874" spans="1:4" x14ac:dyDescent="0.3">
      <c r="A874" t="str">
        <f>Pop[[#This Row],[State]]&amp;" "&amp;Pop[[#This Row],[County]]</f>
        <v>IN Jasper</v>
      </c>
      <c r="B874" t="s">
        <v>74</v>
      </c>
      <c r="C874" s="30" t="s">
        <v>647</v>
      </c>
      <c r="D874" s="16">
        <v>32918</v>
      </c>
    </row>
    <row r="875" spans="1:4" x14ac:dyDescent="0.3">
      <c r="A875" t="str">
        <f>Pop[[#This Row],[State]]&amp;" "&amp;Pop[[#This Row],[County]]</f>
        <v>IN Jay</v>
      </c>
      <c r="B875" t="s">
        <v>74</v>
      </c>
      <c r="C875" s="30" t="s">
        <v>842</v>
      </c>
      <c r="D875" s="16">
        <v>20478</v>
      </c>
    </row>
    <row r="876" spans="1:4" x14ac:dyDescent="0.3">
      <c r="A876" t="str">
        <f>Pop[[#This Row],[State]]&amp;" "&amp;Pop[[#This Row],[County]]</f>
        <v>IN Jefferson</v>
      </c>
      <c r="B876" t="s">
        <v>74</v>
      </c>
      <c r="C876" s="30" t="s">
        <v>47</v>
      </c>
      <c r="D876" s="16">
        <v>33147</v>
      </c>
    </row>
    <row r="877" spans="1:4" x14ac:dyDescent="0.3">
      <c r="A877" t="str">
        <f>Pop[[#This Row],[State]]&amp;" "&amp;Pop[[#This Row],[County]]</f>
        <v>IN Jennings</v>
      </c>
      <c r="B877" t="s">
        <v>74</v>
      </c>
      <c r="C877" s="30" t="s">
        <v>843</v>
      </c>
      <c r="D877" s="16">
        <v>27613</v>
      </c>
    </row>
    <row r="878" spans="1:4" x14ac:dyDescent="0.3">
      <c r="A878" t="str">
        <f>Pop[[#This Row],[State]]&amp;" "&amp;Pop[[#This Row],[County]]</f>
        <v>IN Johnson</v>
      </c>
      <c r="B878" t="s">
        <v>74</v>
      </c>
      <c r="C878" s="30" t="s">
        <v>376</v>
      </c>
      <c r="D878" s="16">
        <v>161765</v>
      </c>
    </row>
    <row r="879" spans="1:4" x14ac:dyDescent="0.3">
      <c r="A879" t="str">
        <f>Pop[[#This Row],[State]]&amp;" "&amp;Pop[[#This Row],[County]]</f>
        <v>IN Knox</v>
      </c>
      <c r="B879" t="s">
        <v>74</v>
      </c>
      <c r="C879" s="30" t="s">
        <v>804</v>
      </c>
      <c r="D879" s="16">
        <v>36282</v>
      </c>
    </row>
    <row r="880" spans="1:4" x14ac:dyDescent="0.3">
      <c r="A880" t="str">
        <f>Pop[[#This Row],[State]]&amp;" "&amp;Pop[[#This Row],[County]]</f>
        <v>IN Kosciusko</v>
      </c>
      <c r="B880" t="s">
        <v>74</v>
      </c>
      <c r="C880" s="30" t="s">
        <v>844</v>
      </c>
      <c r="D880" s="16">
        <v>80240</v>
      </c>
    </row>
    <row r="881" spans="1:4" x14ac:dyDescent="0.3">
      <c r="A881" t="str">
        <f>Pop[[#This Row],[State]]&amp;" "&amp;Pop[[#This Row],[County]]</f>
        <v>IN LaGrange</v>
      </c>
      <c r="B881" t="s">
        <v>74</v>
      </c>
      <c r="C881" s="30" t="s">
        <v>845</v>
      </c>
      <c r="D881" s="16">
        <v>40446</v>
      </c>
    </row>
    <row r="882" spans="1:4" x14ac:dyDescent="0.3">
      <c r="A882" t="str">
        <f>Pop[[#This Row],[State]]&amp;" "&amp;Pop[[#This Row],[County]]</f>
        <v>IN Lake</v>
      </c>
      <c r="B882" t="s">
        <v>74</v>
      </c>
      <c r="C882" s="30" t="s">
        <v>439</v>
      </c>
      <c r="D882" s="16">
        <v>498700</v>
      </c>
    </row>
    <row r="883" spans="1:4" x14ac:dyDescent="0.3">
      <c r="A883" t="str">
        <f>Pop[[#This Row],[State]]&amp;" "&amp;Pop[[#This Row],[County]]</f>
        <v>IN LaPorte</v>
      </c>
      <c r="B883" t="s">
        <v>74</v>
      </c>
      <c r="C883" s="30" t="s">
        <v>846</v>
      </c>
      <c r="D883" s="16">
        <v>112417</v>
      </c>
    </row>
    <row r="884" spans="1:4" x14ac:dyDescent="0.3">
      <c r="A884" t="str">
        <f>Pop[[#This Row],[State]]&amp;" "&amp;Pop[[#This Row],[County]]</f>
        <v>IN Lawrence</v>
      </c>
      <c r="B884" t="s">
        <v>74</v>
      </c>
      <c r="C884" s="30" t="s">
        <v>48</v>
      </c>
      <c r="D884" s="16">
        <v>45011</v>
      </c>
    </row>
    <row r="885" spans="1:4" x14ac:dyDescent="0.3">
      <c r="A885" t="str">
        <f>Pop[[#This Row],[State]]&amp;" "&amp;Pop[[#This Row],[County]]</f>
        <v>IN Madison</v>
      </c>
      <c r="B885" t="s">
        <v>74</v>
      </c>
      <c r="C885" s="30" t="s">
        <v>49</v>
      </c>
      <c r="D885" s="16">
        <v>130129</v>
      </c>
    </row>
    <row r="886" spans="1:4" x14ac:dyDescent="0.3">
      <c r="A886" t="str">
        <f>Pop[[#This Row],[State]]&amp;" "&amp;Pop[[#This Row],[County]]</f>
        <v>IN Marion</v>
      </c>
      <c r="B886" t="s">
        <v>74</v>
      </c>
      <c r="C886" s="30" t="s">
        <v>50</v>
      </c>
      <c r="D886" s="16">
        <v>977203</v>
      </c>
    </row>
    <row r="887" spans="1:4" x14ac:dyDescent="0.3">
      <c r="A887" t="str">
        <f>Pop[[#This Row],[State]]&amp;" "&amp;Pop[[#This Row],[County]]</f>
        <v>IN Marshall</v>
      </c>
      <c r="B887" t="s">
        <v>74</v>
      </c>
      <c r="C887" s="30" t="s">
        <v>51</v>
      </c>
      <c r="D887" s="16">
        <v>46095</v>
      </c>
    </row>
    <row r="888" spans="1:4" x14ac:dyDescent="0.3">
      <c r="A888" t="str">
        <f>Pop[[#This Row],[State]]&amp;" "&amp;Pop[[#This Row],[County]]</f>
        <v>IN Martin</v>
      </c>
      <c r="B888" t="s">
        <v>74</v>
      </c>
      <c r="C888" s="30" t="s">
        <v>52</v>
      </c>
      <c r="D888" s="16">
        <v>9812</v>
      </c>
    </row>
    <row r="889" spans="1:4" x14ac:dyDescent="0.3">
      <c r="A889" t="str">
        <f>Pop[[#This Row],[State]]&amp;" "&amp;Pop[[#This Row],[County]]</f>
        <v>IN Miami</v>
      </c>
      <c r="B889" t="s">
        <v>74</v>
      </c>
      <c r="C889" s="30" t="s">
        <v>847</v>
      </c>
      <c r="D889" s="16">
        <v>35962</v>
      </c>
    </row>
    <row r="890" spans="1:4" x14ac:dyDescent="0.3">
      <c r="A890" t="str">
        <f>Pop[[#This Row],[State]]&amp;" "&amp;Pop[[#This Row],[County]]</f>
        <v>IN Monroe</v>
      </c>
      <c r="B890" t="s">
        <v>74</v>
      </c>
      <c r="C890" s="30" t="s">
        <v>339</v>
      </c>
      <c r="D890" s="16">
        <v>139718</v>
      </c>
    </row>
    <row r="891" spans="1:4" x14ac:dyDescent="0.3">
      <c r="A891" s="1" t="str">
        <f>Pop[[#This Row],[State]]&amp;" "&amp;Pop[[#This Row],[County]]</f>
        <v>IN Montgomery</v>
      </c>
      <c r="B891" t="s">
        <v>74</v>
      </c>
      <c r="C891" s="30" t="s">
        <v>53</v>
      </c>
      <c r="D891" s="16">
        <v>37936</v>
      </c>
    </row>
    <row r="892" spans="1:4" x14ac:dyDescent="0.3">
      <c r="A892" t="str">
        <f>Pop[[#This Row],[State]]&amp;" "&amp;Pop[[#This Row],[County]]</f>
        <v>IN Morgan</v>
      </c>
      <c r="B892" t="s">
        <v>74</v>
      </c>
      <c r="C892" s="30" t="s">
        <v>54</v>
      </c>
      <c r="D892" s="16">
        <v>71780</v>
      </c>
    </row>
    <row r="893" spans="1:4" x14ac:dyDescent="0.3">
      <c r="A893" s="1" t="str">
        <f>Pop[[#This Row],[State]]&amp;" "&amp;Pop[[#This Row],[County]]</f>
        <v>IN Newton</v>
      </c>
      <c r="B893" t="s">
        <v>74</v>
      </c>
      <c r="C893" s="31" t="s">
        <v>383</v>
      </c>
      <c r="D893" s="16">
        <v>13830</v>
      </c>
    </row>
    <row r="894" spans="1:4" x14ac:dyDescent="0.3">
      <c r="A894" s="1" t="str">
        <f>Pop[[#This Row],[State]]&amp;" "&amp;Pop[[#This Row],[County]]</f>
        <v>IN Noble</v>
      </c>
      <c r="B894" t="s">
        <v>74</v>
      </c>
      <c r="C894" s="30" t="s">
        <v>848</v>
      </c>
      <c r="D894" s="16">
        <v>47457</v>
      </c>
    </row>
    <row r="895" spans="1:4" x14ac:dyDescent="0.3">
      <c r="A895" s="1" t="str">
        <f>Pop[[#This Row],[State]]&amp;" "&amp;Pop[[#This Row],[County]]</f>
        <v>IN Ohio</v>
      </c>
      <c r="B895" t="s">
        <v>74</v>
      </c>
      <c r="C895" s="30" t="s">
        <v>242</v>
      </c>
      <c r="D895" s="16">
        <v>5940</v>
      </c>
    </row>
    <row r="896" spans="1:4" x14ac:dyDescent="0.3">
      <c r="A896" s="1" t="str">
        <f>Pop[[#This Row],[State]]&amp;" "&amp;Pop[[#This Row],[County]]</f>
        <v>IN Orange</v>
      </c>
      <c r="B896" t="s">
        <v>74</v>
      </c>
      <c r="C896" s="30" t="s">
        <v>55</v>
      </c>
      <c r="D896" s="16">
        <v>19867</v>
      </c>
    </row>
    <row r="897" spans="1:4" x14ac:dyDescent="0.3">
      <c r="A897" s="1" t="str">
        <f>Pop[[#This Row],[State]]&amp;" "&amp;Pop[[#This Row],[County]]</f>
        <v>IN Owen</v>
      </c>
      <c r="B897" t="s">
        <v>74</v>
      </c>
      <c r="C897" s="30" t="s">
        <v>56</v>
      </c>
      <c r="D897" s="16">
        <v>21321</v>
      </c>
    </row>
    <row r="898" spans="1:4" x14ac:dyDescent="0.3">
      <c r="A898" s="1" t="str">
        <f>Pop[[#This Row],[State]]&amp;" "&amp;Pop[[#This Row],[County]]</f>
        <v>IN Parke</v>
      </c>
      <c r="B898" t="s">
        <v>74</v>
      </c>
      <c r="C898" s="30" t="s">
        <v>57</v>
      </c>
      <c r="D898" s="16">
        <v>16156</v>
      </c>
    </row>
    <row r="899" spans="1:4" x14ac:dyDescent="0.3">
      <c r="A899" s="1" t="str">
        <f>Pop[[#This Row],[State]]&amp;" "&amp;Pop[[#This Row],[County]]</f>
        <v>IN Perry</v>
      </c>
      <c r="B899" t="s">
        <v>74</v>
      </c>
      <c r="C899" s="30" t="s">
        <v>58</v>
      </c>
      <c r="D899" s="16">
        <v>19170</v>
      </c>
    </row>
    <row r="900" spans="1:4" x14ac:dyDescent="0.3">
      <c r="A900" s="1" t="str">
        <f>Pop[[#This Row],[State]]&amp;" "&amp;Pop[[#This Row],[County]]</f>
        <v>IN Pike</v>
      </c>
      <c r="B900" t="s">
        <v>74</v>
      </c>
      <c r="C900" s="30" t="s">
        <v>341</v>
      </c>
      <c r="D900" s="16">
        <v>12250</v>
      </c>
    </row>
    <row r="901" spans="1:4" x14ac:dyDescent="0.3">
      <c r="A901" s="1" t="str">
        <f>Pop[[#This Row],[State]]&amp;" "&amp;Pop[[#This Row],[County]]</f>
        <v>IN Porter</v>
      </c>
      <c r="B901" t="s">
        <v>74</v>
      </c>
      <c r="C901" s="30" t="s">
        <v>849</v>
      </c>
      <c r="D901" s="16">
        <v>173215</v>
      </c>
    </row>
    <row r="902" spans="1:4" x14ac:dyDescent="0.3">
      <c r="A902" s="1" t="str">
        <f>Pop[[#This Row],[State]]&amp;" "&amp;Pop[[#This Row],[County]]</f>
        <v>IN Posey</v>
      </c>
      <c r="B902" t="s">
        <v>74</v>
      </c>
      <c r="C902" s="30" t="s">
        <v>850</v>
      </c>
      <c r="D902" s="16">
        <v>25222</v>
      </c>
    </row>
    <row r="903" spans="1:4" x14ac:dyDescent="0.3">
      <c r="A903" s="1" t="str">
        <f>Pop[[#This Row],[State]]&amp;" "&amp;Pop[[#This Row],[County]]</f>
        <v>IN Pulaski</v>
      </c>
      <c r="B903" t="s">
        <v>74</v>
      </c>
      <c r="C903" s="30" t="s">
        <v>390</v>
      </c>
      <c r="D903" s="16">
        <v>12514</v>
      </c>
    </row>
    <row r="904" spans="1:4" x14ac:dyDescent="0.3">
      <c r="A904" s="1" t="str">
        <f>Pop[[#This Row],[State]]&amp;" "&amp;Pop[[#This Row],[County]]</f>
        <v>IN Putnam</v>
      </c>
      <c r="B904" t="s">
        <v>74</v>
      </c>
      <c r="C904" s="30" t="s">
        <v>581</v>
      </c>
      <c r="D904" s="16">
        <v>36726</v>
      </c>
    </row>
    <row r="905" spans="1:4" x14ac:dyDescent="0.3">
      <c r="A905" s="1" t="str">
        <f>Pop[[#This Row],[State]]&amp;" "&amp;Pop[[#This Row],[County]]</f>
        <v>IN Randolph</v>
      </c>
      <c r="B905" t="s">
        <v>74</v>
      </c>
      <c r="C905" s="30" t="s">
        <v>342</v>
      </c>
      <c r="D905" s="16">
        <v>24502</v>
      </c>
    </row>
    <row r="906" spans="1:4" x14ac:dyDescent="0.3">
      <c r="A906" s="1" t="str">
        <f>Pop[[#This Row],[State]]&amp;" "&amp;Pop[[#This Row],[County]]</f>
        <v>IN Ripley</v>
      </c>
      <c r="B906" t="s">
        <v>74</v>
      </c>
      <c r="C906" s="30" t="s">
        <v>851</v>
      </c>
      <c r="D906" s="16">
        <v>28995</v>
      </c>
    </row>
    <row r="907" spans="1:4" x14ac:dyDescent="0.3">
      <c r="A907" s="1" t="str">
        <f>Pop[[#This Row],[State]]&amp;" "&amp;Pop[[#This Row],[County]]</f>
        <v>IN Rush</v>
      </c>
      <c r="B907" t="s">
        <v>74</v>
      </c>
      <c r="C907" s="30" t="s">
        <v>852</v>
      </c>
      <c r="D907" s="16">
        <v>16752</v>
      </c>
    </row>
    <row r="908" spans="1:4" x14ac:dyDescent="0.3">
      <c r="A908" s="1" t="str">
        <f>Pop[[#This Row],[State]]&amp;" "&amp;Pop[[#This Row],[County]]</f>
        <v>IN Scott</v>
      </c>
      <c r="B908" t="s">
        <v>74</v>
      </c>
      <c r="C908" s="30" t="s">
        <v>392</v>
      </c>
      <c r="D908" s="16">
        <v>24384</v>
      </c>
    </row>
    <row r="909" spans="1:4" x14ac:dyDescent="0.3">
      <c r="A909" s="1" t="str">
        <f>Pop[[#This Row],[State]]&amp;" "&amp;Pop[[#This Row],[County]]</f>
        <v>IN Shelby</v>
      </c>
      <c r="B909" t="s">
        <v>74</v>
      </c>
      <c r="C909" s="30" t="s">
        <v>59</v>
      </c>
      <c r="D909" s="16">
        <v>45055</v>
      </c>
    </row>
    <row r="910" spans="1:4" x14ac:dyDescent="0.3">
      <c r="A910" s="1" t="str">
        <f>Pop[[#This Row],[State]]&amp;" "&amp;Pop[[#This Row],[County]]</f>
        <v>IN Spencer</v>
      </c>
      <c r="B910" t="s">
        <v>74</v>
      </c>
      <c r="C910" s="30" t="s">
        <v>60</v>
      </c>
      <c r="D910" s="16">
        <v>19810</v>
      </c>
    </row>
    <row r="911" spans="1:4" x14ac:dyDescent="0.3">
      <c r="A911" s="1" t="str">
        <f>Pop[[#This Row],[State]]&amp;" "&amp;Pop[[#This Row],[County]]</f>
        <v>IN St. Joseph</v>
      </c>
      <c r="B911" t="s">
        <v>74</v>
      </c>
      <c r="C911" s="30" t="s">
        <v>853</v>
      </c>
      <c r="D911" s="16">
        <v>272912</v>
      </c>
    </row>
    <row r="912" spans="1:4" x14ac:dyDescent="0.3">
      <c r="A912" s="1" t="str">
        <f>Pop[[#This Row],[State]]&amp;" "&amp;Pop[[#This Row],[County]]</f>
        <v>IN Starke</v>
      </c>
      <c r="B912" t="s">
        <v>74</v>
      </c>
      <c r="C912" s="30" t="s">
        <v>854</v>
      </c>
      <c r="D912" s="16">
        <v>23371</v>
      </c>
    </row>
    <row r="913" spans="1:4" x14ac:dyDescent="0.3">
      <c r="A913" s="1" t="str">
        <f>Pop[[#This Row],[State]]&amp;" "&amp;Pop[[#This Row],[County]]</f>
        <v>IN Steuben</v>
      </c>
      <c r="B913" t="s">
        <v>74</v>
      </c>
      <c r="C913" s="30" t="s">
        <v>855</v>
      </c>
      <c r="D913" s="16">
        <v>34435</v>
      </c>
    </row>
    <row r="914" spans="1:4" x14ac:dyDescent="0.3">
      <c r="A914" s="1" t="str">
        <f>Pop[[#This Row],[State]]&amp;" "&amp;Pop[[#This Row],[County]]</f>
        <v>IN Sullivan</v>
      </c>
      <c r="B914" t="s">
        <v>74</v>
      </c>
      <c r="C914" s="30" t="s">
        <v>856</v>
      </c>
      <c r="D914" s="16">
        <v>20817</v>
      </c>
    </row>
    <row r="915" spans="1:4" x14ac:dyDescent="0.3">
      <c r="A915" s="1" t="str">
        <f>Pop[[#This Row],[State]]&amp;" "&amp;Pop[[#This Row],[County]]</f>
        <v>IN Switzerland</v>
      </c>
      <c r="B915" t="s">
        <v>74</v>
      </c>
      <c r="C915" s="30" t="s">
        <v>61</v>
      </c>
      <c r="D915" s="16">
        <v>9737</v>
      </c>
    </row>
    <row r="916" spans="1:4" x14ac:dyDescent="0.3">
      <c r="A916" s="1" t="str">
        <f>Pop[[#This Row],[State]]&amp;" "&amp;Pop[[#This Row],[County]]</f>
        <v>IN Tippecanoe</v>
      </c>
      <c r="B916" t="s">
        <v>74</v>
      </c>
      <c r="C916" s="30" t="s">
        <v>857</v>
      </c>
      <c r="D916" s="16">
        <v>186251</v>
      </c>
    </row>
    <row r="917" spans="1:4" x14ac:dyDescent="0.3">
      <c r="A917" s="1" t="str">
        <f>Pop[[#This Row],[State]]&amp;" "&amp;Pop[[#This Row],[County]]</f>
        <v>IN Tipton</v>
      </c>
      <c r="B917" t="s">
        <v>74</v>
      </c>
      <c r="C917" s="30" t="s">
        <v>858</v>
      </c>
      <c r="D917" s="16">
        <v>15359</v>
      </c>
    </row>
    <row r="918" spans="1:4" x14ac:dyDescent="0.3">
      <c r="A918" s="1" t="str">
        <f>Pop[[#This Row],[State]]&amp;" "&amp;Pop[[#This Row],[County]]</f>
        <v>IN Union</v>
      </c>
      <c r="B918" t="s">
        <v>74</v>
      </c>
      <c r="C918" s="30" t="s">
        <v>399</v>
      </c>
      <c r="D918" s="16">
        <v>7087</v>
      </c>
    </row>
    <row r="919" spans="1:4" x14ac:dyDescent="0.3">
      <c r="A919" s="1" t="str">
        <f>Pop[[#This Row],[State]]&amp;" "&amp;Pop[[#This Row],[County]]</f>
        <v>IN Vanderburgh</v>
      </c>
      <c r="B919" t="s">
        <v>74</v>
      </c>
      <c r="C919" s="30" t="s">
        <v>62</v>
      </c>
      <c r="D919" s="16">
        <v>180136</v>
      </c>
    </row>
    <row r="920" spans="1:4" x14ac:dyDescent="0.3">
      <c r="A920" s="1" t="str">
        <f>Pop[[#This Row],[State]]&amp;" "&amp;Pop[[#This Row],[County]]</f>
        <v>IN Vermillion</v>
      </c>
      <c r="B920" t="s">
        <v>74</v>
      </c>
      <c r="C920" s="30" t="s">
        <v>859</v>
      </c>
      <c r="D920" s="16">
        <v>15439</v>
      </c>
    </row>
    <row r="921" spans="1:4" x14ac:dyDescent="0.3">
      <c r="A921" s="1" t="str">
        <f>Pop[[#This Row],[State]]&amp;" "&amp;Pop[[#This Row],[County]]</f>
        <v>IN Vigo</v>
      </c>
      <c r="B921" t="s">
        <v>74</v>
      </c>
      <c r="C921" s="30" t="s">
        <v>63</v>
      </c>
      <c r="D921" s="16">
        <v>106153</v>
      </c>
    </row>
    <row r="922" spans="1:4" x14ac:dyDescent="0.3">
      <c r="A922" s="1" t="str">
        <f>Pop[[#This Row],[State]]&amp;" "&amp;Pop[[#This Row],[County]]</f>
        <v>IN Wabash</v>
      </c>
      <c r="B922" t="s">
        <v>74</v>
      </c>
      <c r="C922" s="30" t="s">
        <v>827</v>
      </c>
      <c r="D922" s="16">
        <v>30976</v>
      </c>
    </row>
    <row r="923" spans="1:4" x14ac:dyDescent="0.3">
      <c r="A923" s="1" t="str">
        <f>Pop[[#This Row],[State]]&amp;" "&amp;Pop[[#This Row],[County]]</f>
        <v>IN Warren</v>
      </c>
      <c r="B923" t="s">
        <v>74</v>
      </c>
      <c r="C923" s="30" t="s">
        <v>690</v>
      </c>
      <c r="D923" s="16">
        <v>8440</v>
      </c>
    </row>
    <row r="924" spans="1:4" x14ac:dyDescent="0.3">
      <c r="A924" s="1" t="str">
        <f>Pop[[#This Row],[State]]&amp;" "&amp;Pop[[#This Row],[County]]</f>
        <v>IN Warrick</v>
      </c>
      <c r="B924" t="s">
        <v>74</v>
      </c>
      <c r="C924" s="30" t="s">
        <v>64</v>
      </c>
      <c r="D924" s="16">
        <v>63898</v>
      </c>
    </row>
    <row r="925" spans="1:4" x14ac:dyDescent="0.3">
      <c r="A925" s="1" t="str">
        <f>Pop[[#This Row],[State]]&amp;" "&amp;Pop[[#This Row],[County]]</f>
        <v>IN Washington</v>
      </c>
      <c r="B925" t="s">
        <v>74</v>
      </c>
      <c r="C925" s="30" t="s">
        <v>65</v>
      </c>
      <c r="D925" s="16">
        <v>28182</v>
      </c>
    </row>
    <row r="926" spans="1:4" x14ac:dyDescent="0.3">
      <c r="A926" s="1" t="str">
        <f>Pop[[#This Row],[State]]&amp;" "&amp;Pop[[#This Row],[County]]</f>
        <v>IN Wayne</v>
      </c>
      <c r="B926" t="s">
        <v>74</v>
      </c>
      <c r="C926" s="30" t="s">
        <v>691</v>
      </c>
      <c r="D926" s="16">
        <v>66553</v>
      </c>
    </row>
    <row r="927" spans="1:4" x14ac:dyDescent="0.3">
      <c r="A927" s="1" t="str">
        <f>Pop[[#This Row],[State]]&amp;" "&amp;Pop[[#This Row],[County]]</f>
        <v>IN Wells</v>
      </c>
      <c r="B927" t="s">
        <v>74</v>
      </c>
      <c r="C927" s="30" t="s">
        <v>860</v>
      </c>
      <c r="D927" s="16">
        <v>28180</v>
      </c>
    </row>
    <row r="928" spans="1:4" x14ac:dyDescent="0.3">
      <c r="A928" s="1" t="str">
        <f>Pop[[#This Row],[State]]&amp;" "&amp;Pop[[#This Row],[County]]</f>
        <v>IN White</v>
      </c>
      <c r="B928" t="s">
        <v>74</v>
      </c>
      <c r="C928" s="30" t="s">
        <v>66</v>
      </c>
      <c r="D928" s="16">
        <v>24688</v>
      </c>
    </row>
    <row r="929" spans="1:4" x14ac:dyDescent="0.3">
      <c r="A929" s="1" t="str">
        <f>Pop[[#This Row],[State]]&amp;" "&amp;Pop[[#This Row],[County]]</f>
        <v>IN Whitley</v>
      </c>
      <c r="B929" t="s">
        <v>74</v>
      </c>
      <c r="C929" s="30" t="s">
        <v>861</v>
      </c>
      <c r="D929" s="16">
        <v>34191</v>
      </c>
    </row>
    <row r="930" spans="1:4" x14ac:dyDescent="0.3">
      <c r="A930" s="1" t="str">
        <f>Pop[[#This Row],[State]]&amp;" "&amp;Pop[[#This Row],[County]]</f>
        <v>IN State Agencies</v>
      </c>
      <c r="B930" t="s">
        <v>74</v>
      </c>
      <c r="C930" s="30" t="s">
        <v>243</v>
      </c>
      <c r="D930" s="16" t="s">
        <v>244</v>
      </c>
    </row>
    <row r="931" spans="1:4" x14ac:dyDescent="0.3">
      <c r="A931" s="1" t="str">
        <f>Pop[[#This Row],[State]]&amp;" "&amp;Pop[[#This Row],[County]]</f>
        <v>IN Grand Total</v>
      </c>
      <c r="B931" t="s">
        <v>74</v>
      </c>
      <c r="C931" s="30" t="s">
        <v>67</v>
      </c>
      <c r="D931" s="16">
        <v>6785528</v>
      </c>
    </row>
    <row r="932" spans="1:4" x14ac:dyDescent="0.3">
      <c r="A932" s="1" t="str">
        <f>Pop[[#This Row],[State]]&amp;" "&amp;Pop[[#This Row],[County]]</f>
        <v>KS Allen</v>
      </c>
      <c r="B932" t="s">
        <v>265</v>
      </c>
      <c r="C932" s="30" t="s">
        <v>832</v>
      </c>
      <c r="D932" s="16">
        <v>13371</v>
      </c>
    </row>
    <row r="933" spans="1:4" x14ac:dyDescent="0.3">
      <c r="A933" s="1" t="str">
        <f>Pop[[#This Row],[State]]&amp;" "&amp;Pop[[#This Row],[County]]</f>
        <v>KS Anderson</v>
      </c>
      <c r="B933" t="s">
        <v>265</v>
      </c>
      <c r="C933" s="30" t="s">
        <v>862</v>
      </c>
      <c r="D933" s="16">
        <v>8102</v>
      </c>
    </row>
    <row r="934" spans="1:4" x14ac:dyDescent="0.3">
      <c r="A934" s="1" t="str">
        <f>Pop[[#This Row],[State]]&amp;" "&amp;Pop[[#This Row],[County]]</f>
        <v>KS Atchison</v>
      </c>
      <c r="B934" t="s">
        <v>265</v>
      </c>
      <c r="C934" s="30" t="s">
        <v>863</v>
      </c>
      <c r="D934" s="16">
        <v>16924</v>
      </c>
    </row>
    <row r="935" spans="1:4" x14ac:dyDescent="0.3">
      <c r="A935" s="1" t="str">
        <f>Pop[[#This Row],[State]]&amp;" "&amp;Pop[[#This Row],[County]]</f>
        <v>KS Barber</v>
      </c>
      <c r="B935" t="s">
        <v>265</v>
      </c>
      <c r="C935" s="30" t="s">
        <v>864</v>
      </c>
      <c r="D935" s="16">
        <v>4861</v>
      </c>
    </row>
    <row r="936" spans="1:4" x14ac:dyDescent="0.3">
      <c r="A936" s="1" t="str">
        <f>Pop[[#This Row],[State]]&amp;" "&amp;Pop[[#This Row],[County]]</f>
        <v>KS Barton</v>
      </c>
      <c r="B936" t="s">
        <v>265</v>
      </c>
      <c r="C936" s="30" t="s">
        <v>865</v>
      </c>
      <c r="D936" s="16">
        <v>27674</v>
      </c>
    </row>
    <row r="937" spans="1:4" x14ac:dyDescent="0.3">
      <c r="A937" s="1" t="str">
        <f>Pop[[#This Row],[State]]&amp;" "&amp;Pop[[#This Row],[County]]</f>
        <v>KS Bourbon</v>
      </c>
      <c r="B937" t="s">
        <v>265</v>
      </c>
      <c r="C937" s="30" t="s">
        <v>866</v>
      </c>
      <c r="D937" s="16">
        <v>15173</v>
      </c>
    </row>
    <row r="938" spans="1:4" x14ac:dyDescent="0.3">
      <c r="A938" s="1" t="str">
        <f>Pop[[#This Row],[State]]&amp;" "&amp;Pop[[#This Row],[County]]</f>
        <v>KS Brown</v>
      </c>
      <c r="B938" t="s">
        <v>265</v>
      </c>
      <c r="C938" s="30" t="s">
        <v>37</v>
      </c>
      <c r="D938" s="16">
        <v>9984</v>
      </c>
    </row>
    <row r="939" spans="1:4" x14ac:dyDescent="0.3">
      <c r="A939" s="1" t="str">
        <f>Pop[[#This Row],[State]]&amp;" "&amp;Pop[[#This Row],[County]]</f>
        <v>KS Butler</v>
      </c>
      <c r="B939" t="s">
        <v>265</v>
      </c>
      <c r="C939" s="30" t="s">
        <v>267</v>
      </c>
      <c r="D939" s="16">
        <v>65880</v>
      </c>
    </row>
    <row r="940" spans="1:4" x14ac:dyDescent="0.3">
      <c r="A940" s="1" t="str">
        <f>Pop[[#This Row],[State]]&amp;" "&amp;Pop[[#This Row],[County]]</f>
        <v>KS Chase</v>
      </c>
      <c r="B940" t="s">
        <v>265</v>
      </c>
      <c r="C940" s="30" t="s">
        <v>867</v>
      </c>
      <c r="D940" s="16">
        <v>2790</v>
      </c>
    </row>
    <row r="941" spans="1:4" x14ac:dyDescent="0.3">
      <c r="A941" s="1" t="str">
        <f>Pop[[#This Row],[State]]&amp;" "&amp;Pop[[#This Row],[County]]</f>
        <v>KS Chautauqua</v>
      </c>
      <c r="B941" t="s">
        <v>265</v>
      </c>
      <c r="C941" s="30" t="s">
        <v>868</v>
      </c>
      <c r="D941" s="16">
        <v>3669</v>
      </c>
    </row>
    <row r="942" spans="1:4" x14ac:dyDescent="0.3">
      <c r="A942" s="1" t="str">
        <f>Pop[[#This Row],[State]]&amp;" "&amp;Pop[[#This Row],[County]]</f>
        <v>KS Cherokee</v>
      </c>
      <c r="B942" t="s">
        <v>265</v>
      </c>
      <c r="C942" s="30" t="s">
        <v>276</v>
      </c>
      <c r="D942" s="16">
        <v>21603</v>
      </c>
    </row>
    <row r="943" spans="1:4" x14ac:dyDescent="0.3">
      <c r="A943" s="1" t="str">
        <f>Pop[[#This Row],[State]]&amp;" "&amp;Pop[[#This Row],[County]]</f>
        <v>KS Cheyenne</v>
      </c>
      <c r="B943" t="s">
        <v>265</v>
      </c>
      <c r="C943" s="30" t="s">
        <v>487</v>
      </c>
      <c r="D943" s="16">
        <v>2726</v>
      </c>
    </row>
    <row r="944" spans="1:4" x14ac:dyDescent="0.3">
      <c r="A944" s="1" t="str">
        <f>Pop[[#This Row],[State]]&amp;" "&amp;Pop[[#This Row],[County]]</f>
        <v>KS Clark</v>
      </c>
      <c r="B944" t="s">
        <v>265</v>
      </c>
      <c r="C944" s="30" t="s">
        <v>38</v>
      </c>
      <c r="D944" s="16">
        <v>2215</v>
      </c>
    </row>
    <row r="945" spans="1:4" x14ac:dyDescent="0.3">
      <c r="A945" s="1" t="str">
        <f>Pop[[#This Row],[State]]&amp;" "&amp;Pop[[#This Row],[County]]</f>
        <v>KS Clay</v>
      </c>
      <c r="B945" t="s">
        <v>265</v>
      </c>
      <c r="C945" s="30" t="s">
        <v>39</v>
      </c>
      <c r="D945" s="16">
        <v>8535</v>
      </c>
    </row>
    <row r="946" spans="1:4" x14ac:dyDescent="0.3">
      <c r="A946" s="1" t="str">
        <f>Pop[[#This Row],[State]]&amp;" "&amp;Pop[[#This Row],[County]]</f>
        <v>KS Cloud</v>
      </c>
      <c r="B946" t="s">
        <v>265</v>
      </c>
      <c r="C946" s="30" t="s">
        <v>869</v>
      </c>
      <c r="D946" s="16">
        <v>9533</v>
      </c>
    </row>
    <row r="947" spans="1:4" x14ac:dyDescent="0.3">
      <c r="A947" s="1" t="str">
        <f>Pop[[#This Row],[State]]&amp;" "&amp;Pop[[#This Row],[County]]</f>
        <v>KS Coffey</v>
      </c>
      <c r="B947" t="s">
        <v>265</v>
      </c>
      <c r="C947" s="30" t="s">
        <v>870</v>
      </c>
      <c r="D947" s="16">
        <v>8601</v>
      </c>
    </row>
    <row r="948" spans="1:4" x14ac:dyDescent="0.3">
      <c r="A948" s="1" t="str">
        <f>Pop[[#This Row],[State]]&amp;" "&amp;Pop[[#This Row],[County]]</f>
        <v>KS Comanche</v>
      </c>
      <c r="B948" t="s">
        <v>265</v>
      </c>
      <c r="C948" s="30" t="s">
        <v>871</v>
      </c>
      <c r="D948" s="16">
        <v>1891</v>
      </c>
    </row>
    <row r="949" spans="1:4" x14ac:dyDescent="0.3">
      <c r="A949" s="1" t="str">
        <f>Pop[[#This Row],[State]]&amp;" "&amp;Pop[[#This Row],[County]]</f>
        <v>KS Cowley</v>
      </c>
      <c r="B949" t="s">
        <v>265</v>
      </c>
      <c r="C949" s="30" t="s">
        <v>872</v>
      </c>
      <c r="D949" s="16">
        <v>36311</v>
      </c>
    </row>
    <row r="950" spans="1:4" x14ac:dyDescent="0.3">
      <c r="A950" s="1" t="str">
        <f>Pop[[#This Row],[State]]&amp;" "&amp;Pop[[#This Row],[County]]</f>
        <v>KS Crawford</v>
      </c>
      <c r="B950" t="s">
        <v>265</v>
      </c>
      <c r="C950" s="30" t="s">
        <v>40</v>
      </c>
      <c r="D950" s="16">
        <v>39134</v>
      </c>
    </row>
    <row r="951" spans="1:4" x14ac:dyDescent="0.3">
      <c r="A951" s="1" t="str">
        <f>Pop[[#This Row],[State]]&amp;" "&amp;Pop[[#This Row],[County]]</f>
        <v>KS Decatur</v>
      </c>
      <c r="B951" t="s">
        <v>265</v>
      </c>
      <c r="C951" s="30" t="s">
        <v>41</v>
      </c>
      <c r="D951" s="16">
        <v>2961</v>
      </c>
    </row>
    <row r="952" spans="1:4" x14ac:dyDescent="0.3">
      <c r="A952" s="1" t="str">
        <f>Pop[[#This Row],[State]]&amp;" "&amp;Pop[[#This Row],[County]]</f>
        <v>KS Dickinson</v>
      </c>
      <c r="B952" t="s">
        <v>265</v>
      </c>
      <c r="C952" s="30" t="s">
        <v>718</v>
      </c>
      <c r="D952" s="16">
        <v>19754</v>
      </c>
    </row>
    <row r="953" spans="1:4" x14ac:dyDescent="0.3">
      <c r="A953" s="1" t="str">
        <f>Pop[[#This Row],[State]]&amp;" "&amp;Pop[[#This Row],[County]]</f>
        <v>KS Doniphan</v>
      </c>
      <c r="B953" t="s">
        <v>265</v>
      </c>
      <c r="C953" s="30" t="s">
        <v>873</v>
      </c>
      <c r="D953" s="16">
        <v>7945</v>
      </c>
    </row>
    <row r="954" spans="1:4" x14ac:dyDescent="0.3">
      <c r="A954" s="1" t="str">
        <f>Pop[[#This Row],[State]]&amp;" "&amp;Pop[[#This Row],[County]]</f>
        <v>KS Douglas</v>
      </c>
      <c r="B954" t="s">
        <v>265</v>
      </c>
      <c r="C954" s="30" t="s">
        <v>496</v>
      </c>
      <c r="D954" s="16">
        <v>110826</v>
      </c>
    </row>
    <row r="955" spans="1:4" x14ac:dyDescent="0.3">
      <c r="A955" s="1" t="str">
        <f>Pop[[#This Row],[State]]&amp;" "&amp;Pop[[#This Row],[County]]</f>
        <v>KS Edwards</v>
      </c>
      <c r="B955" t="s">
        <v>265</v>
      </c>
      <c r="C955" s="30" t="s">
        <v>794</v>
      </c>
      <c r="D955" s="16">
        <v>3037</v>
      </c>
    </row>
    <row r="956" spans="1:4" x14ac:dyDescent="0.3">
      <c r="A956" s="1" t="str">
        <f>Pop[[#This Row],[State]]&amp;" "&amp;Pop[[#This Row],[County]]</f>
        <v>KS Elk</v>
      </c>
      <c r="B956" t="s">
        <v>265</v>
      </c>
      <c r="C956" s="30" t="s">
        <v>874</v>
      </c>
      <c r="D956" s="16">
        <v>2882</v>
      </c>
    </row>
    <row r="957" spans="1:4" x14ac:dyDescent="0.3">
      <c r="A957" s="1" t="str">
        <f>Pop[[#This Row],[State]]&amp;" "&amp;Pop[[#This Row],[County]]</f>
        <v>KS Ellis</v>
      </c>
      <c r="B957" t="s">
        <v>265</v>
      </c>
      <c r="C957" s="30" t="s">
        <v>875</v>
      </c>
      <c r="D957" s="16">
        <v>28452</v>
      </c>
    </row>
    <row r="958" spans="1:4" x14ac:dyDescent="0.3">
      <c r="A958" s="1" t="str">
        <f>Pop[[#This Row],[State]]&amp;" "&amp;Pop[[#This Row],[County]]</f>
        <v>KS Ellsworth</v>
      </c>
      <c r="B958" t="s">
        <v>265</v>
      </c>
      <c r="C958" s="30" t="s">
        <v>876</v>
      </c>
      <c r="D958" s="16">
        <v>6497</v>
      </c>
    </row>
    <row r="959" spans="1:4" x14ac:dyDescent="0.3">
      <c r="A959" s="1" t="str">
        <f>Pop[[#This Row],[State]]&amp;" "&amp;Pop[[#This Row],[County]]</f>
        <v>KS Finney</v>
      </c>
      <c r="B959" t="s">
        <v>265</v>
      </c>
      <c r="C959" s="30" t="s">
        <v>877</v>
      </c>
      <c r="D959" s="16">
        <v>36776</v>
      </c>
    </row>
    <row r="960" spans="1:4" x14ac:dyDescent="0.3">
      <c r="A960" s="1" t="str">
        <f>Pop[[#This Row],[State]]&amp;" "&amp;Pop[[#This Row],[County]]</f>
        <v>KS Ford</v>
      </c>
      <c r="B960" t="s">
        <v>265</v>
      </c>
      <c r="C960" s="30" t="s">
        <v>795</v>
      </c>
      <c r="D960" s="16">
        <v>33848</v>
      </c>
    </row>
    <row r="961" spans="1:4" x14ac:dyDescent="0.3">
      <c r="A961" s="1" t="str">
        <f>Pop[[#This Row],[State]]&amp;" "&amp;Pop[[#This Row],[County]]</f>
        <v>KS Franklin</v>
      </c>
      <c r="B961" t="s">
        <v>265</v>
      </c>
      <c r="C961" s="30" t="s">
        <v>43</v>
      </c>
      <c r="D961" s="16">
        <v>25992</v>
      </c>
    </row>
    <row r="962" spans="1:4" x14ac:dyDescent="0.3">
      <c r="A962" s="1" t="str">
        <f>Pop[[#This Row],[State]]&amp;" "&amp;Pop[[#This Row],[County]]</f>
        <v>KS Geary</v>
      </c>
      <c r="B962" t="s">
        <v>265</v>
      </c>
      <c r="C962" s="30" t="s">
        <v>878</v>
      </c>
      <c r="D962" s="16">
        <v>34362</v>
      </c>
    </row>
    <row r="963" spans="1:4" x14ac:dyDescent="0.3">
      <c r="A963" s="1" t="str">
        <f>Pop[[#This Row],[State]]&amp;" "&amp;Pop[[#This Row],[County]]</f>
        <v>KS Gove</v>
      </c>
      <c r="B963" t="s">
        <v>265</v>
      </c>
      <c r="C963" s="30" t="s">
        <v>879</v>
      </c>
      <c r="D963" s="16">
        <v>2695</v>
      </c>
    </row>
    <row r="964" spans="1:4" x14ac:dyDescent="0.3">
      <c r="A964" s="1" t="str">
        <f>Pop[[#This Row],[State]]&amp;" "&amp;Pop[[#This Row],[County]]</f>
        <v>KS Graham</v>
      </c>
      <c r="B964" t="s">
        <v>265</v>
      </c>
      <c r="C964" s="30" t="s">
        <v>412</v>
      </c>
      <c r="D964" s="16">
        <v>2597</v>
      </c>
    </row>
    <row r="965" spans="1:4" x14ac:dyDescent="0.3">
      <c r="A965" s="1" t="str">
        <f>Pop[[#This Row],[State]]&amp;" "&amp;Pop[[#This Row],[County]]</f>
        <v>KS Grant</v>
      </c>
      <c r="B965" t="s">
        <v>265</v>
      </c>
      <c r="C965" s="30" t="s">
        <v>370</v>
      </c>
      <c r="D965" s="16">
        <v>7829</v>
      </c>
    </row>
    <row r="966" spans="1:4" x14ac:dyDescent="0.3">
      <c r="A966" s="1" t="str">
        <f>Pop[[#This Row],[State]]&amp;" "&amp;Pop[[#This Row],[County]]</f>
        <v>KS Gray</v>
      </c>
      <c r="B966" t="s">
        <v>265</v>
      </c>
      <c r="C966" s="30" t="s">
        <v>880</v>
      </c>
      <c r="D966" s="16">
        <v>6006</v>
      </c>
    </row>
    <row r="967" spans="1:4" x14ac:dyDescent="0.3">
      <c r="A967" s="1" t="str">
        <f>Pop[[#This Row],[State]]&amp;" "&amp;Pop[[#This Row],[County]]</f>
        <v>KS Greeley</v>
      </c>
      <c r="B967" t="s">
        <v>265</v>
      </c>
      <c r="C967" s="30" t="s">
        <v>881</v>
      </c>
      <c r="D967" s="16">
        <v>1247</v>
      </c>
    </row>
    <row r="968" spans="1:4" x14ac:dyDescent="0.3">
      <c r="A968" s="1" t="str">
        <f>Pop[[#This Row],[State]]&amp;" "&amp;Pop[[#This Row],[County]]</f>
        <v>KS Greenwood</v>
      </c>
      <c r="B968" t="s">
        <v>265</v>
      </c>
      <c r="C968" s="30" t="s">
        <v>882</v>
      </c>
      <c r="D968" s="16">
        <v>6689</v>
      </c>
    </row>
    <row r="969" spans="1:4" x14ac:dyDescent="0.3">
      <c r="A969" s="1" t="str">
        <f>Pop[[#This Row],[State]]&amp;" "&amp;Pop[[#This Row],[County]]</f>
        <v>KS Hamilton</v>
      </c>
      <c r="B969" t="s">
        <v>265</v>
      </c>
      <c r="C969" s="30" t="s">
        <v>561</v>
      </c>
      <c r="D969" s="16">
        <v>2690</v>
      </c>
    </row>
    <row r="970" spans="1:4" x14ac:dyDescent="0.3">
      <c r="A970" s="1" t="str">
        <f>Pop[[#This Row],[State]]&amp;" "&amp;Pop[[#This Row],[County]]</f>
        <v>KS Harper</v>
      </c>
      <c r="B970" t="s">
        <v>265</v>
      </c>
      <c r="C970" s="30" t="s">
        <v>883</v>
      </c>
      <c r="D970" s="16">
        <v>6034</v>
      </c>
    </row>
    <row r="971" spans="1:4" x14ac:dyDescent="0.3">
      <c r="A971" s="1" t="str">
        <f>Pop[[#This Row],[State]]&amp;" "&amp;Pop[[#This Row],[County]]</f>
        <v>KS Harvey</v>
      </c>
      <c r="B971" t="s">
        <v>265</v>
      </c>
      <c r="C971" s="30" t="s">
        <v>884</v>
      </c>
      <c r="D971" s="16">
        <v>34684</v>
      </c>
    </row>
    <row r="972" spans="1:4" x14ac:dyDescent="0.3">
      <c r="A972" s="1" t="str">
        <f>Pop[[#This Row],[State]]&amp;" "&amp;Pop[[#This Row],[County]]</f>
        <v>KS Haskell</v>
      </c>
      <c r="B972" t="s">
        <v>265</v>
      </c>
      <c r="C972" s="30" t="s">
        <v>885</v>
      </c>
      <c r="D972" s="16">
        <v>4256</v>
      </c>
    </row>
    <row r="973" spans="1:4" x14ac:dyDescent="0.3">
      <c r="A973" s="1" t="str">
        <f>Pop[[#This Row],[State]]&amp;" "&amp;Pop[[#This Row],[County]]</f>
        <v>KS Hodgeman</v>
      </c>
      <c r="B973" t="s">
        <v>265</v>
      </c>
      <c r="C973" s="30" t="s">
        <v>886</v>
      </c>
      <c r="D973" s="16">
        <v>1916</v>
      </c>
    </row>
    <row r="974" spans="1:4" x14ac:dyDescent="0.3">
      <c r="A974" s="1" t="str">
        <f>Pop[[#This Row],[State]]&amp;" "&amp;Pop[[#This Row],[County]]</f>
        <v>KS Jackson</v>
      </c>
      <c r="B974" t="s">
        <v>265</v>
      </c>
      <c r="C974" s="30" t="s">
        <v>46</v>
      </c>
      <c r="D974" s="16">
        <v>13462</v>
      </c>
    </row>
    <row r="975" spans="1:4" x14ac:dyDescent="0.3">
      <c r="A975" s="1" t="str">
        <f>Pop[[#This Row],[State]]&amp;" "&amp;Pop[[#This Row],[County]]</f>
        <v>KS Jefferson</v>
      </c>
      <c r="B975" t="s">
        <v>265</v>
      </c>
      <c r="C975" s="30" t="s">
        <v>47</v>
      </c>
      <c r="D975" s="16">
        <v>19126</v>
      </c>
    </row>
    <row r="976" spans="1:4" x14ac:dyDescent="0.3">
      <c r="A976" s="1" t="str">
        <f>Pop[[#This Row],[State]]&amp;" "&amp;Pop[[#This Row],[County]]</f>
        <v>KS Jewell</v>
      </c>
      <c r="B976" t="s">
        <v>265</v>
      </c>
      <c r="C976" s="30" t="s">
        <v>887</v>
      </c>
      <c r="D976" s="16">
        <v>3077</v>
      </c>
    </row>
    <row r="977" spans="1:4" x14ac:dyDescent="0.3">
      <c r="A977" s="1" t="str">
        <f>Pop[[#This Row],[State]]&amp;" "&amp;Pop[[#This Row],[County]]</f>
        <v>KS Johnson</v>
      </c>
      <c r="B977" t="s">
        <v>265</v>
      </c>
      <c r="C977" s="30" t="s">
        <v>376</v>
      </c>
      <c r="D977" s="16">
        <v>544179</v>
      </c>
    </row>
    <row r="978" spans="1:4" x14ac:dyDescent="0.3">
      <c r="A978" s="1" t="str">
        <f>Pop[[#This Row],[State]]&amp;" "&amp;Pop[[#This Row],[County]]</f>
        <v>KS Kearny</v>
      </c>
      <c r="B978" t="s">
        <v>265</v>
      </c>
      <c r="C978" s="30" t="s">
        <v>888</v>
      </c>
      <c r="D978" s="16">
        <v>3977</v>
      </c>
    </row>
    <row r="979" spans="1:4" x14ac:dyDescent="0.3">
      <c r="A979" s="1" t="str">
        <f>Pop[[#This Row],[State]]&amp;" "&amp;Pop[[#This Row],[County]]</f>
        <v>KS Kingman</v>
      </c>
      <c r="B979" t="s">
        <v>265</v>
      </c>
      <c r="C979" s="30" t="s">
        <v>889</v>
      </c>
      <c r="D979" s="16">
        <v>7858</v>
      </c>
    </row>
    <row r="980" spans="1:4" x14ac:dyDescent="0.3">
      <c r="A980" s="1" t="str">
        <f>Pop[[#This Row],[State]]&amp;" "&amp;Pop[[#This Row],[County]]</f>
        <v>KS Kiowa</v>
      </c>
      <c r="B980" t="s">
        <v>265</v>
      </c>
      <c r="C980" s="30" t="s">
        <v>507</v>
      </c>
      <c r="D980" s="16">
        <v>2553</v>
      </c>
    </row>
    <row r="981" spans="1:4" x14ac:dyDescent="0.3">
      <c r="A981" s="1" t="str">
        <f>Pop[[#This Row],[State]]&amp;" "&amp;Pop[[#This Row],[County]]</f>
        <v>KS Labette</v>
      </c>
      <c r="B981" t="s">
        <v>265</v>
      </c>
      <c r="C981" s="30" t="s">
        <v>890</v>
      </c>
      <c r="D981" s="16">
        <v>21607</v>
      </c>
    </row>
    <row r="982" spans="1:4" x14ac:dyDescent="0.3">
      <c r="A982" s="1" t="str">
        <f>Pop[[#This Row],[State]]&amp;" "&amp;Pop[[#This Row],[County]]</f>
        <v>KS Lane</v>
      </c>
      <c r="B982" t="s">
        <v>265</v>
      </c>
      <c r="C982" s="30" t="s">
        <v>891</v>
      </c>
      <c r="D982" s="16">
        <v>1750</v>
      </c>
    </row>
    <row r="983" spans="1:4" x14ac:dyDescent="0.3">
      <c r="A983" s="1" t="str">
        <f>Pop[[#This Row],[State]]&amp;" "&amp;Pop[[#This Row],[County]]</f>
        <v>KS Leavenworth</v>
      </c>
      <c r="B983" t="s">
        <v>265</v>
      </c>
      <c r="C983" s="30" t="s">
        <v>892</v>
      </c>
      <c r="D983" s="16">
        <v>76227</v>
      </c>
    </row>
    <row r="984" spans="1:4" x14ac:dyDescent="0.3">
      <c r="A984" s="1" t="str">
        <f>Pop[[#This Row],[State]]&amp;" "&amp;Pop[[#This Row],[County]]</f>
        <v>KS Lincoln</v>
      </c>
      <c r="B984" t="s">
        <v>265</v>
      </c>
      <c r="C984" s="30" t="s">
        <v>378</v>
      </c>
      <c r="D984" s="16">
        <v>3241</v>
      </c>
    </row>
    <row r="985" spans="1:4" x14ac:dyDescent="0.3">
      <c r="A985" s="1" t="str">
        <f>Pop[[#This Row],[State]]&amp;" "&amp;Pop[[#This Row],[County]]</f>
        <v>KS Linn</v>
      </c>
      <c r="B985" t="s">
        <v>265</v>
      </c>
      <c r="C985" s="30" t="s">
        <v>727</v>
      </c>
      <c r="D985" s="16">
        <v>9656</v>
      </c>
    </row>
    <row r="986" spans="1:4" x14ac:dyDescent="0.3">
      <c r="A986" s="1" t="str">
        <f>Pop[[#This Row],[State]]&amp;" "&amp;Pop[[#This Row],[County]]</f>
        <v>KS Logan</v>
      </c>
      <c r="B986" t="s">
        <v>265</v>
      </c>
      <c r="C986" s="30" t="s">
        <v>380</v>
      </c>
      <c r="D986" s="16">
        <v>2756</v>
      </c>
    </row>
    <row r="987" spans="1:4" x14ac:dyDescent="0.3">
      <c r="A987" s="1" t="str">
        <f>Pop[[#This Row],[State]]&amp;" "&amp;Pop[[#This Row],[County]]</f>
        <v>KS Lyon</v>
      </c>
      <c r="B987" t="s">
        <v>265</v>
      </c>
      <c r="C987" s="30" t="s">
        <v>730</v>
      </c>
      <c r="D987" s="16">
        <v>33690</v>
      </c>
    </row>
    <row r="988" spans="1:4" x14ac:dyDescent="0.3">
      <c r="A988" s="1" t="str">
        <f>Pop[[#This Row],[State]]&amp;" "&amp;Pop[[#This Row],[County]]</f>
        <v>KS Marion</v>
      </c>
      <c r="B988" t="s">
        <v>265</v>
      </c>
      <c r="C988" s="30" t="s">
        <v>50</v>
      </c>
      <c r="D988" s="16">
        <v>12660</v>
      </c>
    </row>
    <row r="989" spans="1:4" x14ac:dyDescent="0.3">
      <c r="A989" s="1" t="str">
        <f>Pop[[#This Row],[State]]&amp;" "&amp;Pop[[#This Row],[County]]</f>
        <v>KS Marshall</v>
      </c>
      <c r="B989" t="s">
        <v>265</v>
      </c>
      <c r="C989" s="30" t="s">
        <v>51</v>
      </c>
      <c r="D989" s="16">
        <v>10117</v>
      </c>
    </row>
    <row r="990" spans="1:4" x14ac:dyDescent="0.3">
      <c r="A990" s="1" t="str">
        <f>Pop[[#This Row],[State]]&amp;" "&amp;Pop[[#This Row],[County]]</f>
        <v>KS McPherson</v>
      </c>
      <c r="B990" t="s">
        <v>265</v>
      </c>
      <c r="C990" s="30" t="s">
        <v>893</v>
      </c>
      <c r="D990" s="16">
        <v>29180</v>
      </c>
    </row>
    <row r="991" spans="1:4" x14ac:dyDescent="0.3">
      <c r="A991" s="1" t="str">
        <f>Pop[[#This Row],[State]]&amp;" "&amp;Pop[[#This Row],[County]]</f>
        <v>KS Meade</v>
      </c>
      <c r="B991" t="s">
        <v>265</v>
      </c>
      <c r="C991" s="30" t="s">
        <v>894</v>
      </c>
      <c r="D991" s="16">
        <v>4575</v>
      </c>
    </row>
    <row r="992" spans="1:4" x14ac:dyDescent="0.3">
      <c r="A992" s="1" t="str">
        <f>Pop[[#This Row],[State]]&amp;" "&amp;Pop[[#This Row],[County]]</f>
        <v>KS Miami</v>
      </c>
      <c r="B992" t="s">
        <v>265</v>
      </c>
      <c r="C992" s="30" t="s">
        <v>847</v>
      </c>
      <c r="D992" s="16">
        <v>32787</v>
      </c>
    </row>
    <row r="993" spans="1:4" x14ac:dyDescent="0.3">
      <c r="A993" s="1" t="str">
        <f>Pop[[#This Row],[State]]&amp;" "&amp;Pop[[#This Row],[County]]</f>
        <v>KS Mitchell</v>
      </c>
      <c r="B993" t="s">
        <v>265</v>
      </c>
      <c r="C993" s="30" t="s">
        <v>658</v>
      </c>
      <c r="D993" s="16">
        <v>6373</v>
      </c>
    </row>
    <row r="994" spans="1:4" x14ac:dyDescent="0.3">
      <c r="A994" s="1" t="str">
        <f>Pop[[#This Row],[State]]&amp;" "&amp;Pop[[#This Row],[County]]</f>
        <v>KS Montgomery</v>
      </c>
      <c r="B994" t="s">
        <v>265</v>
      </c>
      <c r="C994" s="30" t="s">
        <v>53</v>
      </c>
      <c r="D994" s="16">
        <v>35471</v>
      </c>
    </row>
    <row r="995" spans="1:4" x14ac:dyDescent="0.3">
      <c r="A995" s="1" t="str">
        <f>Pop[[#This Row],[State]]&amp;" "&amp;Pop[[#This Row],[County]]</f>
        <v>KS Morris</v>
      </c>
      <c r="B995" t="s">
        <v>265</v>
      </c>
      <c r="C995" s="30" t="s">
        <v>895</v>
      </c>
      <c r="D995" s="16">
        <v>5923</v>
      </c>
    </row>
    <row r="996" spans="1:4" x14ac:dyDescent="0.3">
      <c r="A996" s="1" t="str">
        <f>Pop[[#This Row],[State]]&amp;" "&amp;Pop[[#This Row],[County]]</f>
        <v>KS Morton</v>
      </c>
      <c r="B996" t="s">
        <v>265</v>
      </c>
      <c r="C996" s="30" t="s">
        <v>896</v>
      </c>
      <c r="D996" s="16">
        <v>3233</v>
      </c>
    </row>
    <row r="997" spans="1:4" x14ac:dyDescent="0.3">
      <c r="A997" s="1" t="str">
        <f>Pop[[#This Row],[State]]&amp;" "&amp;Pop[[#This Row],[County]]</f>
        <v>KS Nemaha</v>
      </c>
      <c r="B997" t="s">
        <v>265</v>
      </c>
      <c r="C997" s="30" t="s">
        <v>897</v>
      </c>
      <c r="D997" s="16">
        <v>10178</v>
      </c>
    </row>
    <row r="998" spans="1:4" x14ac:dyDescent="0.3">
      <c r="A998" s="1" t="str">
        <f>Pop[[#This Row],[State]]&amp;" "&amp;Pop[[#This Row],[County]]</f>
        <v>KS Neosho</v>
      </c>
      <c r="B998" t="s">
        <v>265</v>
      </c>
      <c r="C998" s="30" t="s">
        <v>898</v>
      </c>
      <c r="D998" s="16">
        <v>16512</v>
      </c>
    </row>
    <row r="999" spans="1:4" x14ac:dyDescent="0.3">
      <c r="A999" s="1" t="str">
        <f>Pop[[#This Row],[State]]&amp;" "&amp;Pop[[#This Row],[County]]</f>
        <v>KS Ness</v>
      </c>
      <c r="B999" t="s">
        <v>265</v>
      </c>
      <c r="C999" s="30" t="s">
        <v>899</v>
      </c>
      <c r="D999" s="16">
        <v>3107</v>
      </c>
    </row>
    <row r="1000" spans="1:4" x14ac:dyDescent="0.3">
      <c r="A1000" s="1" t="str">
        <f>Pop[[#This Row],[State]]&amp;" "&amp;Pop[[#This Row],[County]]</f>
        <v>KS Norton</v>
      </c>
      <c r="B1000" t="s">
        <v>265</v>
      </c>
      <c r="C1000" s="30" t="s">
        <v>900</v>
      </c>
      <c r="D1000" s="16">
        <v>5671</v>
      </c>
    </row>
    <row r="1001" spans="1:4" x14ac:dyDescent="0.3">
      <c r="A1001" s="1" t="str">
        <f>Pop[[#This Row],[State]]&amp;" "&amp;Pop[[#This Row],[County]]</f>
        <v>KS Osage</v>
      </c>
      <c r="B1001" t="s">
        <v>265</v>
      </c>
      <c r="C1001" s="30" t="s">
        <v>901</v>
      </c>
      <c r="D1001" s="16">
        <v>16295</v>
      </c>
    </row>
    <row r="1002" spans="1:4" x14ac:dyDescent="0.3">
      <c r="A1002" s="1" t="str">
        <f>Pop[[#This Row],[State]]&amp;" "&amp;Pop[[#This Row],[County]]</f>
        <v>KS Osborne</v>
      </c>
      <c r="B1002" t="s">
        <v>265</v>
      </c>
      <c r="C1002" s="30" t="s">
        <v>902</v>
      </c>
      <c r="D1002" s="16">
        <v>3858</v>
      </c>
    </row>
    <row r="1003" spans="1:4" x14ac:dyDescent="0.3">
      <c r="A1003" s="1" t="str">
        <f>Pop[[#This Row],[State]]&amp;" "&amp;Pop[[#This Row],[County]]</f>
        <v>KS Ottawa</v>
      </c>
      <c r="B1003" t="s">
        <v>265</v>
      </c>
      <c r="C1003" s="30" t="s">
        <v>903</v>
      </c>
      <c r="D1003" s="16">
        <v>6091</v>
      </c>
    </row>
    <row r="1004" spans="1:4" x14ac:dyDescent="0.3">
      <c r="A1004" s="1" t="str">
        <f>Pop[[#This Row],[State]]&amp;" "&amp;Pop[[#This Row],[County]]</f>
        <v>KS Pawnee</v>
      </c>
      <c r="B1004" t="s">
        <v>265</v>
      </c>
      <c r="C1004" s="30" t="s">
        <v>904</v>
      </c>
      <c r="D1004" s="16">
        <v>6973</v>
      </c>
    </row>
    <row r="1005" spans="1:4" x14ac:dyDescent="0.3">
      <c r="A1005" s="1" t="str">
        <f>Pop[[#This Row],[State]]&amp;" "&amp;Pop[[#This Row],[County]]</f>
        <v>KS Phillips</v>
      </c>
      <c r="B1005" t="s">
        <v>265</v>
      </c>
      <c r="C1005" s="30" t="s">
        <v>385</v>
      </c>
      <c r="D1005" s="16">
        <v>5642</v>
      </c>
    </row>
    <row r="1006" spans="1:4" x14ac:dyDescent="0.3">
      <c r="A1006" s="1" t="str">
        <f>Pop[[#This Row],[State]]&amp;" "&amp;Pop[[#This Row],[County]]</f>
        <v>KS Pottawatomie</v>
      </c>
      <c r="B1006" t="s">
        <v>265</v>
      </c>
      <c r="C1006" s="30" t="s">
        <v>905</v>
      </c>
      <c r="D1006" s="16">
        <v>21604</v>
      </c>
    </row>
    <row r="1007" spans="1:4" x14ac:dyDescent="0.3">
      <c r="A1007" s="1" t="str">
        <f>Pop[[#This Row],[State]]&amp;" "&amp;Pop[[#This Row],[County]]</f>
        <v>KS Pratt</v>
      </c>
      <c r="B1007" t="s">
        <v>265</v>
      </c>
      <c r="C1007" s="30" t="s">
        <v>906</v>
      </c>
      <c r="D1007" s="16">
        <v>9656</v>
      </c>
    </row>
    <row r="1008" spans="1:4" x14ac:dyDescent="0.3">
      <c r="A1008" s="1" t="str">
        <f>Pop[[#This Row],[State]]&amp;" "&amp;Pop[[#This Row],[County]]</f>
        <v>KS Rawlins</v>
      </c>
      <c r="B1008" t="s">
        <v>265</v>
      </c>
      <c r="C1008" s="30" t="s">
        <v>907</v>
      </c>
      <c r="D1008" s="16">
        <v>2519</v>
      </c>
    </row>
    <row r="1009" spans="1:4" x14ac:dyDescent="0.3">
      <c r="A1009" s="1" t="str">
        <f>Pop[[#This Row],[State]]&amp;" "&amp;Pop[[#This Row],[County]]</f>
        <v>KS Reno</v>
      </c>
      <c r="B1009" t="s">
        <v>265</v>
      </c>
      <c r="C1009" s="30" t="s">
        <v>908</v>
      </c>
      <c r="D1009" s="16">
        <v>64511</v>
      </c>
    </row>
    <row r="1010" spans="1:4" x14ac:dyDescent="0.3">
      <c r="A1010" s="1" t="str">
        <f>Pop[[#This Row],[State]]&amp;" "&amp;Pop[[#This Row],[County]]</f>
        <v>KS Republic</v>
      </c>
      <c r="B1010" t="s">
        <v>265</v>
      </c>
      <c r="C1010" s="30" t="s">
        <v>909</v>
      </c>
      <c r="D1010" s="16">
        <v>4980</v>
      </c>
    </row>
    <row r="1011" spans="1:4" x14ac:dyDescent="0.3">
      <c r="A1011" s="1" t="str">
        <f>Pop[[#This Row],[State]]&amp;" "&amp;Pop[[#This Row],[County]]</f>
        <v>KS Rice</v>
      </c>
      <c r="B1011" t="s">
        <v>265</v>
      </c>
      <c r="C1011" s="30" t="s">
        <v>910</v>
      </c>
      <c r="D1011" s="16">
        <v>10083</v>
      </c>
    </row>
    <row r="1012" spans="1:4" x14ac:dyDescent="0.3">
      <c r="A1012" s="1" t="str">
        <f>Pop[[#This Row],[State]]&amp;" "&amp;Pop[[#This Row],[County]]</f>
        <v>KS Riley</v>
      </c>
      <c r="B1012" t="s">
        <v>265</v>
      </c>
      <c r="C1012" s="30" t="s">
        <v>911</v>
      </c>
      <c r="D1012" s="16">
        <v>71115</v>
      </c>
    </row>
    <row r="1013" spans="1:4" x14ac:dyDescent="0.3">
      <c r="A1013" s="1" t="str">
        <f>Pop[[#This Row],[State]]&amp;" "&amp;Pop[[#This Row],[County]]</f>
        <v>KS Rooks</v>
      </c>
      <c r="B1013" t="s">
        <v>265</v>
      </c>
      <c r="C1013" s="30" t="s">
        <v>912</v>
      </c>
      <c r="D1013" s="16">
        <v>5181</v>
      </c>
    </row>
    <row r="1014" spans="1:4" x14ac:dyDescent="0.3">
      <c r="A1014" s="1" t="str">
        <f>Pop[[#This Row],[State]]&amp;" "&amp;Pop[[#This Row],[County]]</f>
        <v>KS Rush</v>
      </c>
      <c r="B1014" t="s">
        <v>265</v>
      </c>
      <c r="C1014" s="30" t="s">
        <v>852</v>
      </c>
      <c r="D1014" s="16">
        <v>3307</v>
      </c>
    </row>
    <row r="1015" spans="1:4" x14ac:dyDescent="0.3">
      <c r="A1015" s="1" t="str">
        <f>Pop[[#This Row],[State]]&amp;" "&amp;Pop[[#This Row],[County]]</f>
        <v>KS Russell</v>
      </c>
      <c r="B1015" t="s">
        <v>265</v>
      </c>
      <c r="C1015" s="30" t="s">
        <v>343</v>
      </c>
      <c r="D1015" s="16">
        <v>6970</v>
      </c>
    </row>
    <row r="1016" spans="1:4" x14ac:dyDescent="0.3">
      <c r="A1016" s="1" t="str">
        <f>Pop[[#This Row],[State]]&amp;" "&amp;Pop[[#This Row],[County]]</f>
        <v>KS Saline</v>
      </c>
      <c r="B1016" t="s">
        <v>265</v>
      </c>
      <c r="C1016" s="30" t="s">
        <v>391</v>
      </c>
      <c r="D1016" s="16">
        <v>55606</v>
      </c>
    </row>
    <row r="1017" spans="1:4" x14ac:dyDescent="0.3">
      <c r="A1017" s="1" t="str">
        <f>Pop[[#This Row],[State]]&amp;" "&amp;Pop[[#This Row],[County]]</f>
        <v>KS Scott</v>
      </c>
      <c r="B1017" t="s">
        <v>265</v>
      </c>
      <c r="C1017" s="30" t="s">
        <v>392</v>
      </c>
      <c r="D1017" s="16">
        <v>4936</v>
      </c>
    </row>
    <row r="1018" spans="1:4" x14ac:dyDescent="0.3">
      <c r="A1018" s="1" t="str">
        <f>Pop[[#This Row],[State]]&amp;" "&amp;Pop[[#This Row],[County]]</f>
        <v>KS Sedgwick</v>
      </c>
      <c r="B1018" t="s">
        <v>265</v>
      </c>
      <c r="C1018" s="30" t="s">
        <v>529</v>
      </c>
      <c r="D1018" s="16">
        <v>498365</v>
      </c>
    </row>
    <row r="1019" spans="1:4" x14ac:dyDescent="0.3">
      <c r="A1019" s="1" t="str">
        <f>Pop[[#This Row],[State]]&amp;" "&amp;Pop[[#This Row],[County]]</f>
        <v>KS Seward</v>
      </c>
      <c r="B1019" t="s">
        <v>265</v>
      </c>
      <c r="C1019" s="30" t="s">
        <v>913</v>
      </c>
      <c r="D1019" s="16">
        <v>22952</v>
      </c>
    </row>
    <row r="1020" spans="1:4" x14ac:dyDescent="0.3">
      <c r="A1020" s="1" t="str">
        <f>Pop[[#This Row],[State]]&amp;" "&amp;Pop[[#This Row],[County]]</f>
        <v>KS Shawnee</v>
      </c>
      <c r="B1020" t="s">
        <v>265</v>
      </c>
      <c r="C1020" s="30" t="s">
        <v>914</v>
      </c>
      <c r="D1020" s="16">
        <v>177934</v>
      </c>
    </row>
    <row r="1021" spans="1:4" x14ac:dyDescent="0.3">
      <c r="A1021" s="1" t="str">
        <f>Pop[[#This Row],[State]]&amp;" "&amp;Pop[[#This Row],[County]]</f>
        <v>KS Sheridan</v>
      </c>
      <c r="B1021" t="s">
        <v>265</v>
      </c>
      <c r="C1021" s="30" t="s">
        <v>915</v>
      </c>
      <c r="D1021" s="16">
        <v>2556</v>
      </c>
    </row>
    <row r="1022" spans="1:4" x14ac:dyDescent="0.3">
      <c r="A1022" s="1" t="str">
        <f>Pop[[#This Row],[State]]&amp;" "&amp;Pop[[#This Row],[County]]</f>
        <v>KS Sherman</v>
      </c>
      <c r="B1022" t="s">
        <v>265</v>
      </c>
      <c r="C1022" s="30" t="s">
        <v>916</v>
      </c>
      <c r="D1022" s="16">
        <v>6010</v>
      </c>
    </row>
    <row r="1023" spans="1:4" x14ac:dyDescent="0.3">
      <c r="A1023" s="1" t="str">
        <f>Pop[[#This Row],[State]]&amp;" "&amp;Pop[[#This Row],[County]]</f>
        <v>KS Smith</v>
      </c>
      <c r="B1023" t="s">
        <v>265</v>
      </c>
      <c r="C1023" s="30" t="s">
        <v>917</v>
      </c>
      <c r="D1023" s="16">
        <v>3853</v>
      </c>
    </row>
    <row r="1024" spans="1:4" x14ac:dyDescent="0.3">
      <c r="A1024" s="1" t="str">
        <f>Pop[[#This Row],[State]]&amp;" "&amp;Pop[[#This Row],[County]]</f>
        <v>KS Stafford</v>
      </c>
      <c r="B1024" t="s">
        <v>265</v>
      </c>
      <c r="C1024" s="30" t="s">
        <v>918</v>
      </c>
      <c r="D1024" s="16">
        <v>4437</v>
      </c>
    </row>
    <row r="1025" spans="1:4" x14ac:dyDescent="0.3">
      <c r="A1025" s="1" t="str">
        <f>Pop[[#This Row],[State]]&amp;" "&amp;Pop[[#This Row],[County]]</f>
        <v>KS Stanton</v>
      </c>
      <c r="B1025" t="s">
        <v>265</v>
      </c>
      <c r="C1025" s="30" t="s">
        <v>919</v>
      </c>
      <c r="D1025" s="16">
        <v>2235</v>
      </c>
    </row>
    <row r="1026" spans="1:4" x14ac:dyDescent="0.3">
      <c r="A1026" s="1" t="str">
        <f>Pop[[#This Row],[State]]&amp;" "&amp;Pop[[#This Row],[County]]</f>
        <v>KS Stevens</v>
      </c>
      <c r="B1026" t="s">
        <v>265</v>
      </c>
      <c r="C1026" s="30" t="s">
        <v>920</v>
      </c>
      <c r="D1026" s="16">
        <v>5724</v>
      </c>
    </row>
    <row r="1027" spans="1:4" x14ac:dyDescent="0.3">
      <c r="A1027" s="1" t="str">
        <f>Pop[[#This Row],[State]]&amp;" "&amp;Pop[[#This Row],[County]]</f>
        <v>KS Sumner</v>
      </c>
      <c r="B1027" t="s">
        <v>265</v>
      </c>
      <c r="C1027" s="30" t="s">
        <v>921</v>
      </c>
      <c r="D1027" s="16">
        <v>24132</v>
      </c>
    </row>
    <row r="1028" spans="1:4" x14ac:dyDescent="0.3">
      <c r="A1028" s="1" t="str">
        <f>Pop[[#This Row],[State]]&amp;" "&amp;Pop[[#This Row],[County]]</f>
        <v>KS Thomas</v>
      </c>
      <c r="B1028" t="s">
        <v>265</v>
      </c>
      <c r="C1028" s="30" t="s">
        <v>680</v>
      </c>
      <c r="D1028" s="16">
        <v>7900</v>
      </c>
    </row>
    <row r="1029" spans="1:4" x14ac:dyDescent="0.3">
      <c r="A1029" s="1" t="str">
        <f>Pop[[#This Row],[State]]&amp;" "&amp;Pop[[#This Row],[County]]</f>
        <v>KS Trego</v>
      </c>
      <c r="B1029" t="s">
        <v>265</v>
      </c>
      <c r="C1029" s="30" t="s">
        <v>922</v>
      </c>
      <c r="D1029" s="16">
        <v>3001</v>
      </c>
    </row>
    <row r="1030" spans="1:4" x14ac:dyDescent="0.3">
      <c r="A1030" s="1" t="str">
        <f>Pop[[#This Row],[State]]&amp;" "&amp;Pop[[#This Row],[County]]</f>
        <v>KS Wabaunsee</v>
      </c>
      <c r="B1030" t="s">
        <v>265</v>
      </c>
      <c r="C1030" s="30" t="s">
        <v>923</v>
      </c>
      <c r="D1030" s="16">
        <v>7053</v>
      </c>
    </row>
    <row r="1031" spans="1:4" x14ac:dyDescent="0.3">
      <c r="A1031" s="1" t="str">
        <f>Pop[[#This Row],[State]]&amp;" "&amp;Pop[[#This Row],[County]]</f>
        <v>KS Wallace</v>
      </c>
      <c r="B1031" t="s">
        <v>265</v>
      </c>
      <c r="C1031" s="30" t="s">
        <v>924</v>
      </c>
      <c r="D1031" s="16">
        <v>1485</v>
      </c>
    </row>
    <row r="1032" spans="1:4" x14ac:dyDescent="0.3">
      <c r="A1032" s="1" t="str">
        <f>Pop[[#This Row],[State]]&amp;" "&amp;Pop[[#This Row],[County]]</f>
        <v>KS Washington</v>
      </c>
      <c r="B1032" t="s">
        <v>265</v>
      </c>
      <c r="C1032" s="30" t="s">
        <v>65</v>
      </c>
      <c r="D1032" s="16">
        <v>5799</v>
      </c>
    </row>
    <row r="1033" spans="1:4" x14ac:dyDescent="0.3">
      <c r="A1033" s="1" t="str">
        <f>Pop[[#This Row],[State]]&amp;" "&amp;Pop[[#This Row],[County]]</f>
        <v>KS Wichita</v>
      </c>
      <c r="B1033" t="s">
        <v>265</v>
      </c>
      <c r="C1033" s="30" t="s">
        <v>925</v>
      </c>
      <c r="D1033" s="16">
        <v>2234</v>
      </c>
    </row>
    <row r="1034" spans="1:4" x14ac:dyDescent="0.3">
      <c r="A1034" s="1" t="str">
        <f>Pop[[#This Row],[State]]&amp;" "&amp;Pop[[#This Row],[County]]</f>
        <v>KS Wilson</v>
      </c>
      <c r="B1034" t="s">
        <v>265</v>
      </c>
      <c r="C1034" s="30" t="s">
        <v>926</v>
      </c>
      <c r="D1034" s="16">
        <v>9409</v>
      </c>
    </row>
    <row r="1035" spans="1:4" x14ac:dyDescent="0.3">
      <c r="A1035" s="1" t="str">
        <f>Pop[[#This Row],[State]]&amp;" "&amp;Pop[[#This Row],[County]]</f>
        <v>KS Woodson</v>
      </c>
      <c r="B1035" t="s">
        <v>265</v>
      </c>
      <c r="C1035" s="30" t="s">
        <v>927</v>
      </c>
      <c r="D1035" s="16">
        <v>3309</v>
      </c>
    </row>
    <row r="1036" spans="1:4" x14ac:dyDescent="0.3">
      <c r="A1036" s="1" t="str">
        <f>Pop[[#This Row],[State]]&amp;" "&amp;Pop[[#This Row],[County]]</f>
        <v>KS Wyandotte</v>
      </c>
      <c r="B1036" t="s">
        <v>265</v>
      </c>
      <c r="C1036" s="30" t="s">
        <v>928</v>
      </c>
      <c r="D1036" s="16">
        <v>157505</v>
      </c>
    </row>
    <row r="1037" spans="1:4" x14ac:dyDescent="0.3">
      <c r="A1037" s="1" t="str">
        <f>Pop[[#This Row],[State]]&amp;" "&amp;Pop[[#This Row],[County]]</f>
        <v>KS State Agencies</v>
      </c>
      <c r="B1037" t="s">
        <v>265</v>
      </c>
      <c r="C1037" s="30" t="s">
        <v>243</v>
      </c>
      <c r="D1037" s="16" t="s">
        <v>244</v>
      </c>
    </row>
    <row r="1038" spans="1:4" x14ac:dyDescent="0.3">
      <c r="A1038" s="1" t="str">
        <f>Pop[[#This Row],[State]]&amp;" "&amp;Pop[[#This Row],[County]]</f>
        <v>KS Grand Total</v>
      </c>
      <c r="B1038" t="s">
        <v>265</v>
      </c>
      <c r="C1038" s="30" t="s">
        <v>67</v>
      </c>
      <c r="D1038" s="16">
        <v>2853118</v>
      </c>
    </row>
    <row r="1039" spans="1:4" x14ac:dyDescent="0.3">
      <c r="A1039" s="1" t="str">
        <f>Pop[[#This Row],[State]]&amp;" "&amp;Pop[[#This Row],[County]]</f>
        <v>KY Adair</v>
      </c>
      <c r="B1039" t="s">
        <v>216</v>
      </c>
      <c r="C1039" s="30" t="s">
        <v>703</v>
      </c>
      <c r="D1039" s="16">
        <v>18903</v>
      </c>
    </row>
    <row r="1040" spans="1:4" x14ac:dyDescent="0.3">
      <c r="A1040" s="1" t="str">
        <f>Pop[[#This Row],[State]]&amp;" "&amp;Pop[[#This Row],[County]]</f>
        <v>KY Allen</v>
      </c>
      <c r="B1040" t="s">
        <v>216</v>
      </c>
      <c r="C1040" s="30" t="s">
        <v>832</v>
      </c>
      <c r="D1040" s="16">
        <v>20588</v>
      </c>
    </row>
    <row r="1041" spans="1:4" x14ac:dyDescent="0.3">
      <c r="A1041" s="1" t="str">
        <f>Pop[[#This Row],[State]]&amp;" "&amp;Pop[[#This Row],[County]]</f>
        <v>KY Anderson</v>
      </c>
      <c r="B1041" t="s">
        <v>216</v>
      </c>
      <c r="C1041" s="30" t="s">
        <v>862</v>
      </c>
      <c r="D1041" s="16">
        <v>23852</v>
      </c>
    </row>
    <row r="1042" spans="1:4" x14ac:dyDescent="0.3">
      <c r="A1042" s="1" t="str">
        <f>Pop[[#This Row],[State]]&amp;" "&amp;Pop[[#This Row],[County]]</f>
        <v>KY Ballard</v>
      </c>
      <c r="B1042" t="s">
        <v>216</v>
      </c>
      <c r="C1042" s="30" t="s">
        <v>929</v>
      </c>
      <c r="D1042" s="16">
        <v>7728</v>
      </c>
    </row>
    <row r="1043" spans="1:4" x14ac:dyDescent="0.3">
      <c r="A1043" s="1" t="str">
        <f>Pop[[#This Row],[State]]&amp;" "&amp;Pop[[#This Row],[County]]</f>
        <v>KY Barren</v>
      </c>
      <c r="B1043" t="s">
        <v>216</v>
      </c>
      <c r="C1043" s="30" t="s">
        <v>930</v>
      </c>
      <c r="D1043" s="16">
        <v>44485</v>
      </c>
    </row>
    <row r="1044" spans="1:4" x14ac:dyDescent="0.3">
      <c r="A1044" s="1" t="str">
        <f>Pop[[#This Row],[State]]&amp;" "&amp;Pop[[#This Row],[County]]</f>
        <v>KY Bath</v>
      </c>
      <c r="B1044" t="s">
        <v>216</v>
      </c>
      <c r="C1044" s="30" t="s">
        <v>931</v>
      </c>
      <c r="D1044" s="16">
        <v>12750</v>
      </c>
    </row>
    <row r="1045" spans="1:4" x14ac:dyDescent="0.3">
      <c r="A1045" s="1" t="str">
        <f>Pop[[#This Row],[State]]&amp;" "&amp;Pop[[#This Row],[County]]</f>
        <v>KY Bell</v>
      </c>
      <c r="B1045" t="s">
        <v>216</v>
      </c>
      <c r="C1045" s="30" t="s">
        <v>932</v>
      </c>
      <c r="D1045" s="16">
        <v>24097</v>
      </c>
    </row>
    <row r="1046" spans="1:4" x14ac:dyDescent="0.3">
      <c r="A1046" s="1" t="str">
        <f>Pop[[#This Row],[State]]&amp;" "&amp;Pop[[#This Row],[County]]</f>
        <v>KY Boone</v>
      </c>
      <c r="B1046" t="s">
        <v>216</v>
      </c>
      <c r="C1046" s="30" t="s">
        <v>355</v>
      </c>
      <c r="D1046" s="16">
        <v>135968</v>
      </c>
    </row>
    <row r="1047" spans="1:4" x14ac:dyDescent="0.3">
      <c r="A1047" s="1" t="str">
        <f>Pop[[#This Row],[State]]&amp;" "&amp;Pop[[#This Row],[County]]</f>
        <v>KY Bourbon</v>
      </c>
      <c r="B1047" t="s">
        <v>216</v>
      </c>
      <c r="C1047" s="30" t="s">
        <v>866</v>
      </c>
      <c r="D1047" s="16">
        <v>20252</v>
      </c>
    </row>
    <row r="1048" spans="1:4" x14ac:dyDescent="0.3">
      <c r="A1048" s="1" t="str">
        <f>Pop[[#This Row],[State]]&amp;" "&amp;Pop[[#This Row],[County]]</f>
        <v>KY Boyd</v>
      </c>
      <c r="B1048" t="s">
        <v>216</v>
      </c>
      <c r="C1048" s="30" t="s">
        <v>933</v>
      </c>
      <c r="D1048" s="16">
        <v>48261</v>
      </c>
    </row>
    <row r="1049" spans="1:4" x14ac:dyDescent="0.3">
      <c r="A1049" s="1" t="str">
        <f>Pop[[#This Row],[State]]&amp;" "&amp;Pop[[#This Row],[County]]</f>
        <v>KY Boyle</v>
      </c>
      <c r="B1049" t="s">
        <v>216</v>
      </c>
      <c r="C1049" s="30" t="s">
        <v>934</v>
      </c>
      <c r="D1049" s="16">
        <v>30614</v>
      </c>
    </row>
    <row r="1050" spans="1:4" x14ac:dyDescent="0.3">
      <c r="A1050" s="1" t="str">
        <f>Pop[[#This Row],[State]]&amp;" "&amp;Pop[[#This Row],[County]]</f>
        <v>KY Bracken</v>
      </c>
      <c r="B1050" t="s">
        <v>216</v>
      </c>
      <c r="C1050" s="30" t="s">
        <v>935</v>
      </c>
      <c r="D1050" s="16">
        <v>8400</v>
      </c>
    </row>
    <row r="1051" spans="1:4" x14ac:dyDescent="0.3">
      <c r="A1051" s="1" t="str">
        <f>Pop[[#This Row],[State]]&amp;" "&amp;Pop[[#This Row],[County]]</f>
        <v>KY Breathitt</v>
      </c>
      <c r="B1051" t="s">
        <v>216</v>
      </c>
      <c r="C1051" s="30" t="s">
        <v>936</v>
      </c>
      <c r="D1051" s="16">
        <v>13718</v>
      </c>
    </row>
    <row r="1052" spans="1:4" x14ac:dyDescent="0.3">
      <c r="A1052" s="1" t="str">
        <f>Pop[[#This Row],[State]]&amp;" "&amp;Pop[[#This Row],[County]]</f>
        <v>KY Breckinridge</v>
      </c>
      <c r="B1052" t="s">
        <v>216</v>
      </c>
      <c r="C1052" s="30" t="s">
        <v>937</v>
      </c>
      <c r="D1052" s="16">
        <v>20432</v>
      </c>
    </row>
    <row r="1053" spans="1:4" x14ac:dyDescent="0.3">
      <c r="A1053" s="1" t="str">
        <f>Pop[[#This Row],[State]]&amp;" "&amp;Pop[[#This Row],[County]]</f>
        <v>KY Bullitt</v>
      </c>
      <c r="B1053" t="s">
        <v>216</v>
      </c>
      <c r="C1053" s="30" t="s">
        <v>938</v>
      </c>
      <c r="D1053" s="16">
        <v>82217</v>
      </c>
    </row>
    <row r="1054" spans="1:4" x14ac:dyDescent="0.3">
      <c r="A1054" s="1" t="str">
        <f>Pop[[#This Row],[State]]&amp;" "&amp;Pop[[#This Row],[County]]</f>
        <v>KY Butler</v>
      </c>
      <c r="B1054" t="s">
        <v>216</v>
      </c>
      <c r="C1054" s="30" t="s">
        <v>267</v>
      </c>
      <c r="D1054" s="16">
        <v>12371</v>
      </c>
    </row>
    <row r="1055" spans="1:4" x14ac:dyDescent="0.3">
      <c r="A1055" s="1" t="str">
        <f>Pop[[#This Row],[State]]&amp;" "&amp;Pop[[#This Row],[County]]</f>
        <v>KY Caldwell</v>
      </c>
      <c r="B1055" t="s">
        <v>216</v>
      </c>
      <c r="C1055" s="30" t="s">
        <v>939</v>
      </c>
      <c r="D1055" s="16">
        <v>12649</v>
      </c>
    </row>
    <row r="1056" spans="1:4" x14ac:dyDescent="0.3">
      <c r="A1056" s="1" t="str">
        <f>Pop[[#This Row],[State]]&amp;" "&amp;Pop[[#This Row],[County]]</f>
        <v>KY Calloway</v>
      </c>
      <c r="B1056" t="s">
        <v>216</v>
      </c>
      <c r="C1056" s="30" t="s">
        <v>940</v>
      </c>
      <c r="D1056" s="16">
        <v>37103</v>
      </c>
    </row>
    <row r="1057" spans="1:4" x14ac:dyDescent="0.3">
      <c r="A1057" s="1" t="str">
        <f>Pop[[#This Row],[State]]&amp;" "&amp;Pop[[#This Row],[County]]</f>
        <v>KY Campbell</v>
      </c>
      <c r="B1057" t="s">
        <v>216</v>
      </c>
      <c r="C1057" s="30" t="s">
        <v>941</v>
      </c>
      <c r="D1057" s="16">
        <v>93076</v>
      </c>
    </row>
    <row r="1058" spans="1:4" x14ac:dyDescent="0.3">
      <c r="A1058" s="1" t="str">
        <f>Pop[[#This Row],[State]]&amp;" "&amp;Pop[[#This Row],[County]]</f>
        <v>KY Carlisle</v>
      </c>
      <c r="B1058" t="s">
        <v>216</v>
      </c>
      <c r="C1058" s="30" t="s">
        <v>942</v>
      </c>
      <c r="D1058" s="16">
        <v>4826</v>
      </c>
    </row>
    <row r="1059" spans="1:4" x14ac:dyDescent="0.3">
      <c r="A1059" s="1" t="str">
        <f>Pop[[#This Row],[State]]&amp;" "&amp;Pop[[#This Row],[County]]</f>
        <v>KY Carroll</v>
      </c>
      <c r="B1059" t="s">
        <v>216</v>
      </c>
      <c r="C1059" s="30" t="s">
        <v>357</v>
      </c>
      <c r="D1059" s="16">
        <v>10810</v>
      </c>
    </row>
    <row r="1060" spans="1:4" x14ac:dyDescent="0.3">
      <c r="A1060" s="1" t="str">
        <f>Pop[[#This Row],[State]]&amp;" "&amp;Pop[[#This Row],[County]]</f>
        <v>KY Carter</v>
      </c>
      <c r="B1060" t="s">
        <v>216</v>
      </c>
      <c r="C1060" s="30" t="s">
        <v>943</v>
      </c>
      <c r="D1060" s="16">
        <v>26627</v>
      </c>
    </row>
    <row r="1061" spans="1:4" x14ac:dyDescent="0.3">
      <c r="A1061" s="1" t="str">
        <f>Pop[[#This Row],[State]]&amp;" "&amp;Pop[[#This Row],[County]]</f>
        <v>KY Casey</v>
      </c>
      <c r="B1061" t="s">
        <v>216</v>
      </c>
      <c r="C1061" s="30" t="s">
        <v>944</v>
      </c>
      <c r="D1061" s="16">
        <v>15941</v>
      </c>
    </row>
    <row r="1062" spans="1:4" x14ac:dyDescent="0.3">
      <c r="A1062" s="1" t="str">
        <f>Pop[[#This Row],[State]]&amp;" "&amp;Pop[[#This Row],[County]]</f>
        <v>KY Christian</v>
      </c>
      <c r="B1062" t="s">
        <v>216</v>
      </c>
      <c r="C1062" s="30" t="s">
        <v>788</v>
      </c>
      <c r="D1062" s="16">
        <v>72748</v>
      </c>
    </row>
    <row r="1063" spans="1:4" x14ac:dyDescent="0.3">
      <c r="A1063" s="1" t="str">
        <f>Pop[[#This Row],[State]]&amp;" "&amp;Pop[[#This Row],[County]]</f>
        <v>KY Clark</v>
      </c>
      <c r="B1063" t="s">
        <v>216</v>
      </c>
      <c r="C1063" s="30" t="s">
        <v>38</v>
      </c>
      <c r="D1063" s="16">
        <v>36972</v>
      </c>
    </row>
    <row r="1064" spans="1:4" x14ac:dyDescent="0.3">
      <c r="A1064" s="1" t="str">
        <f>Pop[[#This Row],[State]]&amp;" "&amp;Pop[[#This Row],[County]]</f>
        <v>KY Clay</v>
      </c>
      <c r="B1064" t="s">
        <v>216</v>
      </c>
      <c r="C1064" s="30" t="s">
        <v>39</v>
      </c>
      <c r="D1064" s="16">
        <v>20345</v>
      </c>
    </row>
    <row r="1065" spans="1:4" x14ac:dyDescent="0.3">
      <c r="A1065" s="1" t="str">
        <f>Pop[[#This Row],[State]]&amp;" "&amp;Pop[[#This Row],[County]]</f>
        <v>KY Clinton</v>
      </c>
      <c r="B1065" t="s">
        <v>216</v>
      </c>
      <c r="C1065" s="30" t="s">
        <v>715</v>
      </c>
      <c r="D1065" s="16">
        <v>9253</v>
      </c>
    </row>
    <row r="1066" spans="1:4" x14ac:dyDescent="0.3">
      <c r="A1066" s="1" t="str">
        <f>Pop[[#This Row],[State]]&amp;" "&amp;Pop[[#This Row],[County]]</f>
        <v>KY Crittenden</v>
      </c>
      <c r="B1066" t="s">
        <v>216</v>
      </c>
      <c r="C1066" s="30" t="s">
        <v>363</v>
      </c>
      <c r="D1066" s="16">
        <v>8990</v>
      </c>
    </row>
    <row r="1067" spans="1:4" x14ac:dyDescent="0.3">
      <c r="A1067" s="1" t="str">
        <f>Pop[[#This Row],[State]]&amp;" "&amp;Pop[[#This Row],[County]]</f>
        <v>KY Cumberland</v>
      </c>
      <c r="B1067" t="s">
        <v>216</v>
      </c>
      <c r="C1067" s="30" t="s">
        <v>790</v>
      </c>
      <c r="D1067" s="16">
        <v>5888</v>
      </c>
    </row>
    <row r="1068" spans="1:4" x14ac:dyDescent="0.3">
      <c r="A1068" s="1" t="str">
        <f>Pop[[#This Row],[State]]&amp;" "&amp;Pop[[#This Row],[County]]</f>
        <v>KY Daviess</v>
      </c>
      <c r="B1068" t="s">
        <v>216</v>
      </c>
      <c r="C1068" s="30" t="s">
        <v>834</v>
      </c>
      <c r="D1068" s="16">
        <v>103312</v>
      </c>
    </row>
    <row r="1069" spans="1:4" x14ac:dyDescent="0.3">
      <c r="A1069" s="1" t="str">
        <f>Pop[[#This Row],[State]]&amp;" "&amp;Pop[[#This Row],[County]]</f>
        <v>KY Edmonson</v>
      </c>
      <c r="B1069" t="s">
        <v>216</v>
      </c>
      <c r="C1069" s="30" t="s">
        <v>945</v>
      </c>
      <c r="D1069" s="16">
        <v>12126</v>
      </c>
    </row>
    <row r="1070" spans="1:4" x14ac:dyDescent="0.3">
      <c r="A1070" s="1" t="str">
        <f>Pop[[#This Row],[State]]&amp;" "&amp;Pop[[#This Row],[County]]</f>
        <v>KY Elliott</v>
      </c>
      <c r="B1070" t="s">
        <v>216</v>
      </c>
      <c r="C1070" s="30" t="s">
        <v>946</v>
      </c>
      <c r="D1070" s="16">
        <v>7354</v>
      </c>
    </row>
    <row r="1071" spans="1:4" x14ac:dyDescent="0.3">
      <c r="A1071" s="1" t="str">
        <f>Pop[[#This Row],[State]]&amp;" "&amp;Pop[[#This Row],[County]]</f>
        <v>KY Estill</v>
      </c>
      <c r="B1071" t="s">
        <v>216</v>
      </c>
      <c r="C1071" s="30" t="s">
        <v>947</v>
      </c>
      <c r="D1071" s="16">
        <v>14163</v>
      </c>
    </row>
    <row r="1072" spans="1:4" x14ac:dyDescent="0.3">
      <c r="A1072" s="1" t="str">
        <f>Pop[[#This Row],[State]]&amp;" "&amp;Pop[[#This Row],[County]]</f>
        <v>KY Fayette</v>
      </c>
      <c r="B1072" t="s">
        <v>216</v>
      </c>
      <c r="C1072" s="30" t="s">
        <v>326</v>
      </c>
      <c r="D1072" s="16">
        <v>322570</v>
      </c>
    </row>
    <row r="1073" spans="1:4" x14ac:dyDescent="0.3">
      <c r="A1073" s="1" t="str">
        <f>Pop[[#This Row],[State]]&amp;" "&amp;Pop[[#This Row],[County]]</f>
        <v>KY Fleming</v>
      </c>
      <c r="B1073" t="s">
        <v>216</v>
      </c>
      <c r="C1073" s="30" t="s">
        <v>948</v>
      </c>
      <c r="D1073" s="16">
        <v>15082</v>
      </c>
    </row>
    <row r="1074" spans="1:4" x14ac:dyDescent="0.3">
      <c r="A1074" s="1" t="str">
        <f>Pop[[#This Row],[State]]&amp;" "&amp;Pop[[#This Row],[County]]</f>
        <v>KY Floyd</v>
      </c>
      <c r="B1074" t="s">
        <v>216</v>
      </c>
      <c r="C1074" s="30" t="s">
        <v>42</v>
      </c>
      <c r="D1074" s="16">
        <v>35942</v>
      </c>
    </row>
    <row r="1075" spans="1:4" x14ac:dyDescent="0.3">
      <c r="A1075" s="1" t="str">
        <f>Pop[[#This Row],[State]]&amp;" "&amp;Pop[[#This Row],[County]]</f>
        <v>KY Franklin</v>
      </c>
      <c r="B1075" t="s">
        <v>216</v>
      </c>
      <c r="C1075" s="30" t="s">
        <v>43</v>
      </c>
      <c r="D1075" s="16">
        <v>51541</v>
      </c>
    </row>
    <row r="1076" spans="1:4" x14ac:dyDescent="0.3">
      <c r="A1076" s="1" t="str">
        <f>Pop[[#This Row],[State]]&amp;" "&amp;Pop[[#This Row],[County]]</f>
        <v>KY Fulton</v>
      </c>
      <c r="B1076" t="s">
        <v>216</v>
      </c>
      <c r="C1076" s="30" t="s">
        <v>368</v>
      </c>
      <c r="D1076" s="16">
        <v>6515</v>
      </c>
    </row>
    <row r="1077" spans="1:4" x14ac:dyDescent="0.3">
      <c r="A1077" s="1" t="str">
        <f>Pop[[#This Row],[State]]&amp;" "&amp;Pop[[#This Row],[County]]</f>
        <v>KY Gallatin</v>
      </c>
      <c r="B1077" t="s">
        <v>216</v>
      </c>
      <c r="C1077" s="30" t="s">
        <v>796</v>
      </c>
      <c r="D1077" s="16">
        <v>8690</v>
      </c>
    </row>
    <row r="1078" spans="1:4" x14ac:dyDescent="0.3">
      <c r="A1078" s="1" t="str">
        <f>Pop[[#This Row],[State]]&amp;" "&amp;Pop[[#This Row],[County]]</f>
        <v>KY Garrard</v>
      </c>
      <c r="B1078" t="s">
        <v>216</v>
      </c>
      <c r="C1078" s="30" t="s">
        <v>949</v>
      </c>
      <c r="D1078" s="16">
        <v>16953</v>
      </c>
    </row>
    <row r="1079" spans="1:4" x14ac:dyDescent="0.3">
      <c r="A1079" s="1" t="str">
        <f>Pop[[#This Row],[State]]&amp;" "&amp;Pop[[#This Row],[County]]</f>
        <v>KY Grant</v>
      </c>
      <c r="B1079" t="s">
        <v>216</v>
      </c>
      <c r="C1079" s="30" t="s">
        <v>370</v>
      </c>
      <c r="D1079" s="16">
        <v>24941</v>
      </c>
    </row>
    <row r="1080" spans="1:4" x14ac:dyDescent="0.3">
      <c r="A1080" s="1" t="str">
        <f>Pop[[#This Row],[State]]&amp;" "&amp;Pop[[#This Row],[County]]</f>
        <v>KY Graves</v>
      </c>
      <c r="B1080" t="s">
        <v>216</v>
      </c>
      <c r="C1080" s="30" t="s">
        <v>950</v>
      </c>
      <c r="D1080" s="16">
        <v>36649</v>
      </c>
    </row>
    <row r="1081" spans="1:4" x14ac:dyDescent="0.3">
      <c r="A1081" s="1" t="str">
        <f>Pop[[#This Row],[State]]&amp;" "&amp;Pop[[#This Row],[County]]</f>
        <v>KY Grayson</v>
      </c>
      <c r="B1081" t="s">
        <v>216</v>
      </c>
      <c r="C1081" s="30" t="s">
        <v>951</v>
      </c>
      <c r="D1081" s="16">
        <v>26420</v>
      </c>
    </row>
    <row r="1082" spans="1:4" x14ac:dyDescent="0.3">
      <c r="A1082" s="1" t="str">
        <f>Pop[[#This Row],[State]]&amp;" "&amp;Pop[[#This Row],[County]]</f>
        <v>KY Green</v>
      </c>
      <c r="B1082" t="s">
        <v>216</v>
      </c>
      <c r="C1082" s="30" t="s">
        <v>952</v>
      </c>
      <c r="D1082" s="16">
        <v>11107</v>
      </c>
    </row>
    <row r="1083" spans="1:4" x14ac:dyDescent="0.3">
      <c r="A1083" s="1" t="str">
        <f>Pop[[#This Row],[State]]&amp;" "&amp;Pop[[#This Row],[County]]</f>
        <v>KY Greenup</v>
      </c>
      <c r="B1083" t="s">
        <v>216</v>
      </c>
      <c r="C1083" s="30" t="s">
        <v>953</v>
      </c>
      <c r="D1083" s="16">
        <v>35962</v>
      </c>
    </row>
    <row r="1084" spans="1:4" x14ac:dyDescent="0.3">
      <c r="A1084" s="1" t="str">
        <f>Pop[[#This Row],[State]]&amp;" "&amp;Pop[[#This Row],[County]]</f>
        <v>KY Hancock</v>
      </c>
      <c r="B1084" t="s">
        <v>216</v>
      </c>
      <c r="C1084" s="30" t="s">
        <v>641</v>
      </c>
      <c r="D1084" s="16">
        <v>9095</v>
      </c>
    </row>
    <row r="1085" spans="1:4" x14ac:dyDescent="0.3">
      <c r="A1085" s="1" t="str">
        <f>Pop[[#This Row],[State]]&amp;" "&amp;Pop[[#This Row],[County]]</f>
        <v>KY Hardin</v>
      </c>
      <c r="B1085" t="s">
        <v>216</v>
      </c>
      <c r="C1085" s="30" t="s">
        <v>723</v>
      </c>
      <c r="D1085" s="16">
        <v>110702</v>
      </c>
    </row>
    <row r="1086" spans="1:4" x14ac:dyDescent="0.3">
      <c r="A1086" s="1" t="str">
        <f>Pop[[#This Row],[State]]&amp;" "&amp;Pop[[#This Row],[County]]</f>
        <v>KY Harlan</v>
      </c>
      <c r="B1086" t="s">
        <v>216</v>
      </c>
      <c r="C1086" s="30" t="s">
        <v>954</v>
      </c>
      <c r="D1086" s="16">
        <v>26831</v>
      </c>
    </row>
    <row r="1087" spans="1:4" x14ac:dyDescent="0.3">
      <c r="A1087" s="1" t="str">
        <f>Pop[[#This Row],[State]]&amp;" "&amp;Pop[[#This Row],[County]]</f>
        <v>KY Harrison</v>
      </c>
      <c r="B1087" t="s">
        <v>216</v>
      </c>
      <c r="C1087" s="30" t="s">
        <v>45</v>
      </c>
      <c r="D1087" s="16">
        <v>18692</v>
      </c>
    </row>
    <row r="1088" spans="1:4" x14ac:dyDescent="0.3">
      <c r="A1088" s="1" t="str">
        <f>Pop[[#This Row],[State]]&amp;" "&amp;Pop[[#This Row],[County]]</f>
        <v>KY Hart</v>
      </c>
      <c r="B1088" t="s">
        <v>216</v>
      </c>
      <c r="C1088" s="30" t="s">
        <v>644</v>
      </c>
      <c r="D1088" s="16">
        <v>19288</v>
      </c>
    </row>
    <row r="1089" spans="1:4" x14ac:dyDescent="0.3">
      <c r="A1089" s="1" t="str">
        <f>Pop[[#This Row],[State]]&amp;" "&amp;Pop[[#This Row],[County]]</f>
        <v>KY Henderson</v>
      </c>
      <c r="B1089" t="s">
        <v>216</v>
      </c>
      <c r="C1089" s="30" t="s">
        <v>797</v>
      </c>
      <c r="D1089" s="16">
        <v>44793</v>
      </c>
    </row>
    <row r="1090" spans="1:4" x14ac:dyDescent="0.3">
      <c r="A1090" s="1" t="str">
        <f>Pop[[#This Row],[State]]&amp;" "&amp;Pop[[#This Row],[County]]</f>
        <v>KY Henry</v>
      </c>
      <c r="B1090" t="s">
        <v>216</v>
      </c>
      <c r="C1090" s="30" t="s">
        <v>329</v>
      </c>
      <c r="D1090" s="16">
        <v>15678</v>
      </c>
    </row>
    <row r="1091" spans="1:4" x14ac:dyDescent="0.3">
      <c r="A1091" s="1" t="str">
        <f>Pop[[#This Row],[State]]&amp;" "&amp;Pop[[#This Row],[County]]</f>
        <v>KY Hickman</v>
      </c>
      <c r="B1091" t="s">
        <v>216</v>
      </c>
      <c r="C1091" s="30" t="s">
        <v>955</v>
      </c>
      <c r="D1091" s="16">
        <v>4521</v>
      </c>
    </row>
    <row r="1092" spans="1:4" x14ac:dyDescent="0.3">
      <c r="A1092" s="1" t="str">
        <f>Pop[[#This Row],[State]]&amp;" "&amp;Pop[[#This Row],[County]]</f>
        <v>KY Hopkins</v>
      </c>
      <c r="B1092" t="s">
        <v>216</v>
      </c>
      <c r="C1092" s="30" t="s">
        <v>956</v>
      </c>
      <c r="D1092" s="16">
        <v>45423</v>
      </c>
    </row>
    <row r="1093" spans="1:4" x14ac:dyDescent="0.3">
      <c r="A1093" s="1" t="str">
        <f>Pop[[#This Row],[State]]&amp;" "&amp;Pop[[#This Row],[County]]</f>
        <v>KY Jackson</v>
      </c>
      <c r="B1093" t="s">
        <v>216</v>
      </c>
      <c r="C1093" s="30" t="s">
        <v>46</v>
      </c>
      <c r="D1093" s="16">
        <v>12955</v>
      </c>
    </row>
    <row r="1094" spans="1:4" x14ac:dyDescent="0.3">
      <c r="A1094" s="1" t="str">
        <f>Pop[[#This Row],[State]]&amp;" "&amp;Pop[[#This Row],[County]]</f>
        <v>KY Jefferson</v>
      </c>
      <c r="B1094" t="s">
        <v>216</v>
      </c>
      <c r="C1094" s="30" t="s">
        <v>47</v>
      </c>
      <c r="D1094" s="16">
        <v>782969</v>
      </c>
    </row>
    <row r="1095" spans="1:4" x14ac:dyDescent="0.3">
      <c r="A1095" s="1" t="str">
        <f>Pop[[#This Row],[State]]&amp;" "&amp;Pop[[#This Row],[County]]</f>
        <v>KY Jessamine</v>
      </c>
      <c r="B1095" t="s">
        <v>216</v>
      </c>
      <c r="C1095" s="30" t="s">
        <v>957</v>
      </c>
      <c r="D1095" s="16">
        <v>52991</v>
      </c>
    </row>
    <row r="1096" spans="1:4" x14ac:dyDescent="0.3">
      <c r="A1096" s="1" t="str">
        <f>Pop[[#This Row],[State]]&amp;" "&amp;Pop[[#This Row],[County]]</f>
        <v>KY Johnson</v>
      </c>
      <c r="B1096" t="s">
        <v>216</v>
      </c>
      <c r="C1096" s="30" t="s">
        <v>376</v>
      </c>
      <c r="D1096" s="16">
        <v>22680</v>
      </c>
    </row>
    <row r="1097" spans="1:4" x14ac:dyDescent="0.3">
      <c r="A1097" s="1" t="str">
        <f>Pop[[#This Row],[State]]&amp;" "&amp;Pop[[#This Row],[County]]</f>
        <v>KY Kenton</v>
      </c>
      <c r="B1097" t="s">
        <v>216</v>
      </c>
      <c r="C1097" s="30" t="s">
        <v>958</v>
      </c>
      <c r="D1097" s="16">
        <v>169064</v>
      </c>
    </row>
    <row r="1098" spans="1:4" x14ac:dyDescent="0.3">
      <c r="A1098" s="1" t="str">
        <f>Pop[[#This Row],[State]]&amp;" "&amp;Pop[[#This Row],[County]]</f>
        <v>KY Knott</v>
      </c>
      <c r="B1098" t="s">
        <v>216</v>
      </c>
      <c r="C1098" s="30" t="s">
        <v>959</v>
      </c>
      <c r="D1098" s="16">
        <v>14251</v>
      </c>
    </row>
    <row r="1099" spans="1:4" x14ac:dyDescent="0.3">
      <c r="A1099" s="1" t="str">
        <f>Pop[[#This Row],[State]]&amp;" "&amp;Pop[[#This Row],[County]]</f>
        <v>KY Knox</v>
      </c>
      <c r="B1099" t="s">
        <v>216</v>
      </c>
      <c r="C1099" s="30" t="s">
        <v>804</v>
      </c>
      <c r="D1099" s="16">
        <v>30193</v>
      </c>
    </row>
    <row r="1100" spans="1:4" x14ac:dyDescent="0.3">
      <c r="A1100" s="1" t="str">
        <f>Pop[[#This Row],[State]]&amp;" "&amp;Pop[[#This Row],[County]]</f>
        <v>KY Larue</v>
      </c>
      <c r="B1100" t="s">
        <v>216</v>
      </c>
      <c r="C1100" s="30" t="s">
        <v>960</v>
      </c>
      <c r="D1100" s="16">
        <v>14867</v>
      </c>
    </row>
    <row r="1101" spans="1:4" x14ac:dyDescent="0.3">
      <c r="A1101" s="1" t="str">
        <f>Pop[[#This Row],[State]]&amp;" "&amp;Pop[[#This Row],[County]]</f>
        <v>KY Laurel</v>
      </c>
      <c r="B1101" t="s">
        <v>216</v>
      </c>
      <c r="C1101" s="30" t="s">
        <v>961</v>
      </c>
      <c r="D1101" s="16">
        <v>62613</v>
      </c>
    </row>
    <row r="1102" spans="1:4" x14ac:dyDescent="0.3">
      <c r="A1102" s="1" t="str">
        <f>Pop[[#This Row],[State]]&amp;" "&amp;Pop[[#This Row],[County]]</f>
        <v>KY Lawrence</v>
      </c>
      <c r="B1102" t="s">
        <v>216</v>
      </c>
      <c r="C1102" s="30" t="s">
        <v>48</v>
      </c>
      <c r="D1102" s="16">
        <v>16293</v>
      </c>
    </row>
    <row r="1103" spans="1:4" x14ac:dyDescent="0.3">
      <c r="A1103" s="1" t="str">
        <f>Pop[[#This Row],[State]]&amp;" "&amp;Pop[[#This Row],[County]]</f>
        <v>KY Lee</v>
      </c>
      <c r="B1103" t="s">
        <v>216</v>
      </c>
      <c r="C1103" s="30" t="s">
        <v>333</v>
      </c>
      <c r="D1103" s="16">
        <v>7395</v>
      </c>
    </row>
    <row r="1104" spans="1:4" x14ac:dyDescent="0.3">
      <c r="A1104" s="1" t="str">
        <f>Pop[[#This Row],[State]]&amp;" "&amp;Pop[[#This Row],[County]]</f>
        <v>KY Leslie</v>
      </c>
      <c r="B1104" t="s">
        <v>216</v>
      </c>
      <c r="C1104" s="30" t="s">
        <v>962</v>
      </c>
      <c r="D1104" s="16">
        <v>10513</v>
      </c>
    </row>
    <row r="1105" spans="1:4" x14ac:dyDescent="0.3">
      <c r="A1105" s="1" t="str">
        <f>Pop[[#This Row],[State]]&amp;" "&amp;Pop[[#This Row],[County]]</f>
        <v>KY Letcher</v>
      </c>
      <c r="B1105" t="s">
        <v>216</v>
      </c>
      <c r="C1105" s="30" t="s">
        <v>963</v>
      </c>
      <c r="D1105" s="16">
        <v>21548</v>
      </c>
    </row>
    <row r="1106" spans="1:4" x14ac:dyDescent="0.3">
      <c r="A1106" s="1" t="str">
        <f>Pop[[#This Row],[State]]&amp;" "&amp;Pop[[#This Row],[County]]</f>
        <v>KY Lewis</v>
      </c>
      <c r="B1106" t="s">
        <v>216</v>
      </c>
      <c r="C1106" s="30" t="s">
        <v>773</v>
      </c>
      <c r="D1106" s="16">
        <v>13080</v>
      </c>
    </row>
    <row r="1107" spans="1:4" x14ac:dyDescent="0.3">
      <c r="A1107" s="1" t="str">
        <f>Pop[[#This Row],[State]]&amp;" "&amp;Pop[[#This Row],[County]]</f>
        <v>KY Lincoln</v>
      </c>
      <c r="B1107" t="s">
        <v>216</v>
      </c>
      <c r="C1107" s="30" t="s">
        <v>378</v>
      </c>
      <c r="D1107" s="16">
        <v>24275</v>
      </c>
    </row>
    <row r="1108" spans="1:4" x14ac:dyDescent="0.3">
      <c r="A1108" s="1" t="str">
        <f>Pop[[#This Row],[State]]&amp;" "&amp;Pop[[#This Row],[County]]</f>
        <v>KY Livingston</v>
      </c>
      <c r="B1108" t="s">
        <v>216</v>
      </c>
      <c r="C1108" s="30" t="s">
        <v>806</v>
      </c>
      <c r="D1108" s="16">
        <v>8888</v>
      </c>
    </row>
    <row r="1109" spans="1:4" x14ac:dyDescent="0.3">
      <c r="A1109" s="1" t="str">
        <f>Pop[[#This Row],[State]]&amp;" "&amp;Pop[[#This Row],[County]]</f>
        <v>KY Logan</v>
      </c>
      <c r="B1109" t="s">
        <v>216</v>
      </c>
      <c r="C1109" s="30" t="s">
        <v>380</v>
      </c>
      <c r="D1109" s="16">
        <v>27432</v>
      </c>
    </row>
    <row r="1110" spans="1:4" x14ac:dyDescent="0.3">
      <c r="A1110" s="1" t="str">
        <f>Pop[[#This Row],[State]]&amp;" "&amp;Pop[[#This Row],[County]]</f>
        <v>KY Lyon</v>
      </c>
      <c r="B1110" t="s">
        <v>216</v>
      </c>
      <c r="C1110" s="30" t="s">
        <v>730</v>
      </c>
      <c r="D1110" s="16">
        <v>8680</v>
      </c>
    </row>
    <row r="1111" spans="1:4" x14ac:dyDescent="0.3">
      <c r="A1111" s="1" t="str">
        <f>Pop[[#This Row],[State]]&amp;" "&amp;Pop[[#This Row],[County]]</f>
        <v>KY Madison</v>
      </c>
      <c r="B1111" t="s">
        <v>216</v>
      </c>
      <c r="C1111" s="30" t="s">
        <v>49</v>
      </c>
      <c r="D1111" s="16">
        <v>92701</v>
      </c>
    </row>
    <row r="1112" spans="1:4" x14ac:dyDescent="0.3">
      <c r="A1112" s="1" t="str">
        <f>Pop[[#This Row],[State]]&amp;" "&amp;Pop[[#This Row],[County]]</f>
        <v>KY Magoffin</v>
      </c>
      <c r="B1112" t="s">
        <v>216</v>
      </c>
      <c r="C1112" s="30" t="s">
        <v>964</v>
      </c>
      <c r="D1112" s="16">
        <v>11637</v>
      </c>
    </row>
    <row r="1113" spans="1:4" x14ac:dyDescent="0.3">
      <c r="A1113" s="1" t="str">
        <f>Pop[[#This Row],[State]]&amp;" "&amp;Pop[[#This Row],[County]]</f>
        <v>KY Marion</v>
      </c>
      <c r="B1113" t="s">
        <v>216</v>
      </c>
      <c r="C1113" s="30" t="s">
        <v>50</v>
      </c>
      <c r="D1113" s="16">
        <v>19581</v>
      </c>
    </row>
    <row r="1114" spans="1:4" x14ac:dyDescent="0.3">
      <c r="A1114" s="1" t="str">
        <f>Pop[[#This Row],[State]]&amp;" "&amp;Pop[[#This Row],[County]]</f>
        <v>KY Marshall</v>
      </c>
      <c r="B1114" t="s">
        <v>216</v>
      </c>
      <c r="C1114" s="30" t="s">
        <v>51</v>
      </c>
      <c r="D1114" s="16">
        <v>31659</v>
      </c>
    </row>
    <row r="1115" spans="1:4" x14ac:dyDescent="0.3">
      <c r="A1115" s="1" t="str">
        <f>Pop[[#This Row],[State]]&amp;" "&amp;Pop[[#This Row],[County]]</f>
        <v>KY Martin</v>
      </c>
      <c r="B1115" t="s">
        <v>216</v>
      </c>
      <c r="C1115" s="30" t="s">
        <v>52</v>
      </c>
      <c r="D1115" s="16">
        <v>11287</v>
      </c>
    </row>
    <row r="1116" spans="1:4" x14ac:dyDescent="0.3">
      <c r="A1116" s="1" t="str">
        <f>Pop[[#This Row],[State]]&amp;" "&amp;Pop[[#This Row],[County]]</f>
        <v>KY Mason</v>
      </c>
      <c r="B1116" t="s">
        <v>216</v>
      </c>
      <c r="C1116" s="30" t="s">
        <v>808</v>
      </c>
      <c r="D1116" s="16">
        <v>17120</v>
      </c>
    </row>
    <row r="1117" spans="1:4" x14ac:dyDescent="0.3">
      <c r="A1117" s="1" t="str">
        <f>Pop[[#This Row],[State]]&amp;" "&amp;Pop[[#This Row],[County]]</f>
        <v>KY McCracken</v>
      </c>
      <c r="B1117" t="s">
        <v>216</v>
      </c>
      <c r="C1117" s="30" t="s">
        <v>965</v>
      </c>
      <c r="D1117" s="16">
        <v>67875</v>
      </c>
    </row>
    <row r="1118" spans="1:4" x14ac:dyDescent="0.3">
      <c r="A1118" s="1" t="str">
        <f>Pop[[#This Row],[State]]&amp;" "&amp;Pop[[#This Row],[County]]</f>
        <v>KY McCreary</v>
      </c>
      <c r="B1118" t="s">
        <v>216</v>
      </c>
      <c r="C1118" s="30" t="s">
        <v>966</v>
      </c>
      <c r="D1118" s="16">
        <v>16888</v>
      </c>
    </row>
    <row r="1119" spans="1:4" x14ac:dyDescent="0.3">
      <c r="A1119" s="1" t="str">
        <f>Pop[[#This Row],[State]]&amp;" "&amp;Pop[[#This Row],[County]]</f>
        <v>KY McLean</v>
      </c>
      <c r="B1119" t="s">
        <v>216</v>
      </c>
      <c r="C1119" s="30" t="s">
        <v>812</v>
      </c>
      <c r="D1119" s="16">
        <v>9152</v>
      </c>
    </row>
    <row r="1120" spans="1:4" x14ac:dyDescent="0.3">
      <c r="A1120" s="1" t="str">
        <f>Pop[[#This Row],[State]]&amp;" "&amp;Pop[[#This Row],[County]]</f>
        <v>KY Meade</v>
      </c>
      <c r="B1120" t="s">
        <v>216</v>
      </c>
      <c r="C1120" s="30" t="s">
        <v>894</v>
      </c>
      <c r="D1120" s="16">
        <v>30003</v>
      </c>
    </row>
    <row r="1121" spans="1:4" x14ac:dyDescent="0.3">
      <c r="A1121" s="1" t="str">
        <f>Pop[[#This Row],[State]]&amp;" "&amp;Pop[[#This Row],[County]]</f>
        <v>KY Menifee</v>
      </c>
      <c r="B1121" t="s">
        <v>216</v>
      </c>
      <c r="C1121" s="30" t="s">
        <v>967</v>
      </c>
      <c r="D1121" s="16">
        <v>6113</v>
      </c>
    </row>
    <row r="1122" spans="1:4" x14ac:dyDescent="0.3">
      <c r="A1122" s="1" t="str">
        <f>Pop[[#This Row],[State]]&amp;" "&amp;Pop[[#This Row],[County]]</f>
        <v>KY Mercer</v>
      </c>
      <c r="B1122" t="s">
        <v>216</v>
      </c>
      <c r="C1122" s="30" t="s">
        <v>814</v>
      </c>
      <c r="D1122" s="16">
        <v>22641</v>
      </c>
    </row>
    <row r="1123" spans="1:4" x14ac:dyDescent="0.3">
      <c r="A1123" s="1" t="str">
        <f>Pop[[#This Row],[State]]&amp;" "&amp;Pop[[#This Row],[County]]</f>
        <v>KY Metcalfe</v>
      </c>
      <c r="B1123" t="s">
        <v>216</v>
      </c>
      <c r="C1123" s="30" t="s">
        <v>968</v>
      </c>
      <c r="D1123" s="16">
        <v>10286</v>
      </c>
    </row>
    <row r="1124" spans="1:4" x14ac:dyDescent="0.3">
      <c r="A1124" s="1" t="str">
        <f>Pop[[#This Row],[State]]&amp;" "&amp;Pop[[#This Row],[County]]</f>
        <v>KY Monroe</v>
      </c>
      <c r="B1124" t="s">
        <v>216</v>
      </c>
      <c r="C1124" s="30" t="s">
        <v>339</v>
      </c>
      <c r="D1124" s="16">
        <v>11338</v>
      </c>
    </row>
    <row r="1125" spans="1:4" x14ac:dyDescent="0.3">
      <c r="A1125" s="1" t="str">
        <f>Pop[[#This Row],[State]]&amp;" "&amp;Pop[[#This Row],[County]]</f>
        <v>KY Montgomery</v>
      </c>
      <c r="B1125" t="s">
        <v>216</v>
      </c>
      <c r="C1125" s="30" t="s">
        <v>53</v>
      </c>
      <c r="D1125" s="16">
        <v>28114</v>
      </c>
    </row>
    <row r="1126" spans="1:4" x14ac:dyDescent="0.3">
      <c r="A1126" s="1" t="str">
        <f>Pop[[#This Row],[State]]&amp;" "&amp;Pop[[#This Row],[County]]</f>
        <v>KY Morgan</v>
      </c>
      <c r="B1126" t="s">
        <v>216</v>
      </c>
      <c r="C1126" s="30" t="s">
        <v>54</v>
      </c>
      <c r="D1126" s="16">
        <v>13726</v>
      </c>
    </row>
    <row r="1127" spans="1:4" x14ac:dyDescent="0.3">
      <c r="A1127" s="1" t="str">
        <f>Pop[[#This Row],[State]]&amp;" "&amp;Pop[[#This Row],[County]]</f>
        <v>KY Muhlenberg</v>
      </c>
      <c r="B1127" t="s">
        <v>216</v>
      </c>
      <c r="C1127" s="30" t="s">
        <v>969</v>
      </c>
      <c r="D1127" s="16">
        <v>30928</v>
      </c>
    </row>
    <row r="1128" spans="1:4" x14ac:dyDescent="0.3">
      <c r="A1128" s="1" t="str">
        <f>Pop[[#This Row],[State]]&amp;" "&amp;Pop[[#This Row],[County]]</f>
        <v>KY Nelson</v>
      </c>
      <c r="B1128" t="s">
        <v>216</v>
      </c>
      <c r="C1128" s="30" t="s">
        <v>970</v>
      </c>
      <c r="D1128" s="16">
        <v>46738</v>
      </c>
    </row>
    <row r="1129" spans="1:4" x14ac:dyDescent="0.3">
      <c r="A1129" s="1" t="str">
        <f>Pop[[#This Row],[State]]&amp;" "&amp;Pop[[#This Row],[County]]</f>
        <v>KY Nicholas</v>
      </c>
      <c r="B1129" t="s">
        <v>216</v>
      </c>
      <c r="C1129" s="30" t="s">
        <v>971</v>
      </c>
      <c r="D1129" s="16">
        <v>7537</v>
      </c>
    </row>
    <row r="1130" spans="1:4" x14ac:dyDescent="0.3">
      <c r="A1130" s="1" t="str">
        <f>Pop[[#This Row],[State]]&amp;" "&amp;Pop[[#This Row],[County]]</f>
        <v>KY Ohio</v>
      </c>
      <c r="B1130" t="s">
        <v>216</v>
      </c>
      <c r="C1130" s="30" t="s">
        <v>242</v>
      </c>
      <c r="D1130" s="16">
        <v>23772</v>
      </c>
    </row>
    <row r="1131" spans="1:4" x14ac:dyDescent="0.3">
      <c r="A1131" s="1" t="str">
        <f>Pop[[#This Row],[State]]&amp;" "&amp;Pop[[#This Row],[County]]</f>
        <v>KY Oldham</v>
      </c>
      <c r="B1131" t="s">
        <v>216</v>
      </c>
      <c r="C1131" s="30" t="s">
        <v>972</v>
      </c>
      <c r="D1131" s="16">
        <v>67607</v>
      </c>
    </row>
    <row r="1132" spans="1:4" x14ac:dyDescent="0.3">
      <c r="A1132" s="1" t="str">
        <f>Pop[[#This Row],[State]]&amp;" "&amp;Pop[[#This Row],[County]]</f>
        <v>KY Owen</v>
      </c>
      <c r="B1132" t="s">
        <v>216</v>
      </c>
      <c r="C1132" s="30" t="s">
        <v>56</v>
      </c>
      <c r="D1132" s="16">
        <v>11278</v>
      </c>
    </row>
    <row r="1133" spans="1:4" x14ac:dyDescent="0.3">
      <c r="A1133" s="1" t="str">
        <f>Pop[[#This Row],[State]]&amp;" "&amp;Pop[[#This Row],[County]]</f>
        <v>KY Owsley</v>
      </c>
      <c r="B1133" t="s">
        <v>216</v>
      </c>
      <c r="C1133" s="30" t="s">
        <v>973</v>
      </c>
      <c r="D1133" s="16">
        <v>4051</v>
      </c>
    </row>
    <row r="1134" spans="1:4" x14ac:dyDescent="0.3">
      <c r="A1134" s="1" t="str">
        <f>Pop[[#This Row],[State]]&amp;" "&amp;Pop[[#This Row],[County]]</f>
        <v>KY Pendleton</v>
      </c>
      <c r="B1134" t="s">
        <v>216</v>
      </c>
      <c r="C1134" s="30" t="s">
        <v>974</v>
      </c>
      <c r="D1134" s="16">
        <v>14644</v>
      </c>
    </row>
    <row r="1135" spans="1:4" x14ac:dyDescent="0.3">
      <c r="A1135" s="1" t="str">
        <f>Pop[[#This Row],[State]]&amp;" "&amp;Pop[[#This Row],[County]]</f>
        <v>KY Perry</v>
      </c>
      <c r="B1135" t="s">
        <v>216</v>
      </c>
      <c r="C1135" s="30" t="s">
        <v>58</v>
      </c>
      <c r="D1135" s="16">
        <v>28473</v>
      </c>
    </row>
    <row r="1136" spans="1:4" x14ac:dyDescent="0.3">
      <c r="A1136" s="1" t="str">
        <f>Pop[[#This Row],[State]]&amp;" "&amp;Pop[[#This Row],[County]]</f>
        <v>KY Pike</v>
      </c>
      <c r="B1136" t="s">
        <v>216</v>
      </c>
      <c r="C1136" s="30" t="s">
        <v>341</v>
      </c>
      <c r="D1136" s="16">
        <v>58669</v>
      </c>
    </row>
    <row r="1137" spans="1:4" x14ac:dyDescent="0.3">
      <c r="A1137" s="1" t="str">
        <f>Pop[[#This Row],[State]]&amp;" "&amp;Pop[[#This Row],[County]]</f>
        <v>KY Powell</v>
      </c>
      <c r="B1137" t="s">
        <v>216</v>
      </c>
      <c r="C1137" s="30" t="s">
        <v>975</v>
      </c>
      <c r="D1137" s="16">
        <v>13129</v>
      </c>
    </row>
    <row r="1138" spans="1:4" x14ac:dyDescent="0.3">
      <c r="A1138" s="1" t="str">
        <f>Pop[[#This Row],[State]]&amp;" "&amp;Pop[[#This Row],[County]]</f>
        <v>KY Pulaski</v>
      </c>
      <c r="B1138" t="s">
        <v>216</v>
      </c>
      <c r="C1138" s="30" t="s">
        <v>390</v>
      </c>
      <c r="D1138" s="16">
        <v>65034</v>
      </c>
    </row>
    <row r="1139" spans="1:4" x14ac:dyDescent="0.3">
      <c r="A1139" s="1" t="str">
        <f>Pop[[#This Row],[State]]&amp;" "&amp;Pop[[#This Row],[County]]</f>
        <v>KY Robertson</v>
      </c>
      <c r="B1139" t="s">
        <v>216</v>
      </c>
      <c r="C1139" s="30" t="s">
        <v>976</v>
      </c>
      <c r="D1139" s="16">
        <v>2193</v>
      </c>
    </row>
    <row r="1140" spans="1:4" x14ac:dyDescent="0.3">
      <c r="A1140" s="1" t="str">
        <f>Pop[[#This Row],[State]]&amp;" "&amp;Pop[[#This Row],[County]]</f>
        <v>KY Rockcastle</v>
      </c>
      <c r="B1140" t="s">
        <v>216</v>
      </c>
      <c r="C1140" s="30" t="s">
        <v>977</v>
      </c>
      <c r="D1140" s="16">
        <v>16037</v>
      </c>
    </row>
    <row r="1141" spans="1:4" x14ac:dyDescent="0.3">
      <c r="A1141" s="1" t="str">
        <f>Pop[[#This Row],[State]]&amp;" "&amp;Pop[[#This Row],[County]]</f>
        <v>KY Rowan</v>
      </c>
      <c r="B1141" t="s">
        <v>216</v>
      </c>
      <c r="C1141" s="30" t="s">
        <v>978</v>
      </c>
      <c r="D1141" s="16">
        <v>24662</v>
      </c>
    </row>
    <row r="1142" spans="1:4" x14ac:dyDescent="0.3">
      <c r="A1142" s="1" t="str">
        <f>Pop[[#This Row],[State]]&amp;" "&amp;Pop[[#This Row],[County]]</f>
        <v>KY Russell</v>
      </c>
      <c r="B1142" t="s">
        <v>216</v>
      </c>
      <c r="C1142" s="30" t="s">
        <v>343</v>
      </c>
      <c r="D1142" s="16">
        <v>17991</v>
      </c>
    </row>
    <row r="1143" spans="1:4" x14ac:dyDescent="0.3">
      <c r="A1143" s="1" t="str">
        <f>Pop[[#This Row],[State]]&amp;" "&amp;Pop[[#This Row],[County]]</f>
        <v>KY Scott</v>
      </c>
      <c r="B1143" t="s">
        <v>216</v>
      </c>
      <c r="C1143" s="30" t="s">
        <v>392</v>
      </c>
      <c r="D1143" s="16">
        <v>57155</v>
      </c>
    </row>
    <row r="1144" spans="1:4" x14ac:dyDescent="0.3">
      <c r="A1144" s="1" t="str">
        <f>Pop[[#This Row],[State]]&amp;" "&amp;Pop[[#This Row],[County]]</f>
        <v>KY Shelby</v>
      </c>
      <c r="B1144" t="s">
        <v>216</v>
      </c>
      <c r="C1144" s="30" t="s">
        <v>59</v>
      </c>
      <c r="D1144" s="16">
        <v>48065</v>
      </c>
    </row>
    <row r="1145" spans="1:4" x14ac:dyDescent="0.3">
      <c r="A1145" s="1" t="str">
        <f>Pop[[#This Row],[State]]&amp;" "&amp;Pop[[#This Row],[County]]</f>
        <v>KY Simpson</v>
      </c>
      <c r="B1145" t="s">
        <v>216</v>
      </c>
      <c r="C1145" s="30" t="s">
        <v>979</v>
      </c>
      <c r="D1145" s="16">
        <v>19594</v>
      </c>
    </row>
    <row r="1146" spans="1:4" x14ac:dyDescent="0.3">
      <c r="A1146" s="1" t="str">
        <f>Pop[[#This Row],[State]]&amp;" "&amp;Pop[[#This Row],[County]]</f>
        <v>KY Spencer</v>
      </c>
      <c r="B1146" t="s">
        <v>216</v>
      </c>
      <c r="C1146" s="30" t="s">
        <v>60</v>
      </c>
      <c r="D1146" s="16">
        <v>19490</v>
      </c>
    </row>
    <row r="1147" spans="1:4" x14ac:dyDescent="0.3">
      <c r="A1147" s="1" t="str">
        <f>Pop[[#This Row],[State]]&amp;" "&amp;Pop[[#This Row],[County]]</f>
        <v>KY Taylor</v>
      </c>
      <c r="B1147" t="s">
        <v>216</v>
      </c>
      <c r="C1147" s="30" t="s">
        <v>588</v>
      </c>
      <c r="D1147" s="16">
        <v>26023</v>
      </c>
    </row>
    <row r="1148" spans="1:4" x14ac:dyDescent="0.3">
      <c r="A1148" s="1" t="str">
        <f>Pop[[#This Row],[State]]&amp;" "&amp;Pop[[#This Row],[County]]</f>
        <v>KY Todd</v>
      </c>
      <c r="B1148" t="s">
        <v>216</v>
      </c>
      <c r="C1148" s="30" t="s">
        <v>980</v>
      </c>
      <c r="D1148" s="16">
        <v>12243</v>
      </c>
    </row>
    <row r="1149" spans="1:4" x14ac:dyDescent="0.3">
      <c r="A1149" s="1" t="str">
        <f>Pop[[#This Row],[State]]&amp;" "&amp;Pop[[#This Row],[County]]</f>
        <v>KY Trigg</v>
      </c>
      <c r="B1149" t="s">
        <v>216</v>
      </c>
      <c r="C1149" s="30" t="s">
        <v>981</v>
      </c>
      <c r="D1149" s="16">
        <v>14061</v>
      </c>
    </row>
    <row r="1150" spans="1:4" x14ac:dyDescent="0.3">
      <c r="A1150" s="1" t="str">
        <f>Pop[[#This Row],[State]]&amp;" "&amp;Pop[[#This Row],[County]]</f>
        <v>KY Trimble</v>
      </c>
      <c r="B1150" t="s">
        <v>216</v>
      </c>
      <c r="C1150" s="30" t="s">
        <v>982</v>
      </c>
      <c r="D1150" s="16">
        <v>8474</v>
      </c>
    </row>
    <row r="1151" spans="1:4" x14ac:dyDescent="0.3">
      <c r="A1151" s="1" t="str">
        <f>Pop[[#This Row],[State]]&amp;" "&amp;Pop[[#This Row],[County]]</f>
        <v>KY Union</v>
      </c>
      <c r="B1151" t="s">
        <v>216</v>
      </c>
      <c r="C1151" s="30" t="s">
        <v>399</v>
      </c>
      <c r="D1151" s="16">
        <v>13668</v>
      </c>
    </row>
    <row r="1152" spans="1:4" x14ac:dyDescent="0.3">
      <c r="A1152" s="1" t="str">
        <f>Pop[[#This Row],[State]]&amp;" "&amp;Pop[[#This Row],[County]]</f>
        <v>KY Warren</v>
      </c>
      <c r="B1152" t="s">
        <v>216</v>
      </c>
      <c r="C1152" s="30" t="s">
        <v>690</v>
      </c>
      <c r="D1152" s="16">
        <v>134554</v>
      </c>
    </row>
    <row r="1153" spans="1:4" x14ac:dyDescent="0.3">
      <c r="A1153" s="1" t="str">
        <f>Pop[[#This Row],[State]]&amp;" "&amp;Pop[[#This Row],[County]]</f>
        <v>KY Washington</v>
      </c>
      <c r="B1153" t="s">
        <v>216</v>
      </c>
      <c r="C1153" s="30" t="s">
        <v>65</v>
      </c>
      <c r="D1153" s="16">
        <v>12027</v>
      </c>
    </row>
    <row r="1154" spans="1:4" x14ac:dyDescent="0.3">
      <c r="A1154" s="1" t="str">
        <f>Pop[[#This Row],[State]]&amp;" "&amp;Pop[[#This Row],[County]]</f>
        <v>KY Wayne</v>
      </c>
      <c r="B1154" t="s">
        <v>216</v>
      </c>
      <c r="C1154" s="30" t="s">
        <v>691</v>
      </c>
      <c r="D1154" s="16">
        <v>19555</v>
      </c>
    </row>
    <row r="1155" spans="1:4" x14ac:dyDescent="0.3">
      <c r="A1155" s="1" t="str">
        <f>Pop[[#This Row],[State]]&amp;" "&amp;Pop[[#This Row],[County]]</f>
        <v>KY Webster</v>
      </c>
      <c r="B1155" t="s">
        <v>216</v>
      </c>
      <c r="C1155" s="30" t="s">
        <v>692</v>
      </c>
      <c r="D1155" s="16">
        <v>13017</v>
      </c>
    </row>
    <row r="1156" spans="1:4" x14ac:dyDescent="0.3">
      <c r="A1156" s="1" t="str">
        <f>Pop[[#This Row],[State]]&amp;" "&amp;Pop[[#This Row],[County]]</f>
        <v>KY Whitley</v>
      </c>
      <c r="B1156" t="s">
        <v>216</v>
      </c>
      <c r="C1156" s="30" t="s">
        <v>861</v>
      </c>
      <c r="D1156" s="16">
        <v>36712</v>
      </c>
    </row>
    <row r="1157" spans="1:4" x14ac:dyDescent="0.3">
      <c r="A1157" s="1" t="str">
        <f>Pop[[#This Row],[State]]&amp;" "&amp;Pop[[#This Row],[County]]</f>
        <v>KY Wolfe</v>
      </c>
      <c r="B1157" t="s">
        <v>216</v>
      </c>
      <c r="C1157" s="30" t="s">
        <v>983</v>
      </c>
      <c r="D1157" s="16">
        <v>6562</v>
      </c>
    </row>
    <row r="1158" spans="1:4" x14ac:dyDescent="0.3">
      <c r="A1158" s="1" t="str">
        <f>Pop[[#This Row],[State]]&amp;" "&amp;Pop[[#This Row],[County]]</f>
        <v>KY Woodford</v>
      </c>
      <c r="B1158" t="s">
        <v>216</v>
      </c>
      <c r="C1158" s="30" t="s">
        <v>831</v>
      </c>
      <c r="D1158" s="16">
        <v>26871</v>
      </c>
    </row>
    <row r="1159" spans="1:4" x14ac:dyDescent="0.3">
      <c r="A1159" s="1" t="str">
        <f>Pop[[#This Row],[State]]&amp;" "&amp;Pop[[#This Row],[County]]</f>
        <v>KY State Agencies</v>
      </c>
      <c r="B1159" t="s">
        <v>216</v>
      </c>
      <c r="C1159" s="30" t="s">
        <v>243</v>
      </c>
      <c r="D1159" s="16" t="s">
        <v>244</v>
      </c>
    </row>
    <row r="1160" spans="1:4" x14ac:dyDescent="0.3">
      <c r="A1160" s="1" t="str">
        <f>Pop[[#This Row],[State]]&amp;" "&amp;Pop[[#This Row],[County]]</f>
        <v>KY Grand Total</v>
      </c>
      <c r="B1160" t="s">
        <v>216</v>
      </c>
      <c r="C1160" s="30" t="s">
        <v>67</v>
      </c>
      <c r="D1160" s="16">
        <v>4505836</v>
      </c>
    </row>
    <row r="1161" spans="1:4" x14ac:dyDescent="0.3">
      <c r="A1161" s="1" t="str">
        <f>Pop[[#This Row],[State]]&amp;" "&amp;Pop[[#This Row],[County]]</f>
        <v>LA Acadia</v>
      </c>
      <c r="B1161" t="s">
        <v>250</v>
      </c>
      <c r="C1161" s="30" t="s">
        <v>984</v>
      </c>
      <c r="D1161" s="16">
        <v>61773</v>
      </c>
    </row>
    <row r="1162" spans="1:4" x14ac:dyDescent="0.3">
      <c r="A1162" s="1" t="str">
        <f>Pop[[#This Row],[State]]&amp;" "&amp;Pop[[#This Row],[County]]</f>
        <v>LA Allen</v>
      </c>
      <c r="B1162" t="s">
        <v>250</v>
      </c>
      <c r="C1162" s="30" t="s">
        <v>832</v>
      </c>
      <c r="D1162" s="16">
        <v>25764</v>
      </c>
    </row>
    <row r="1163" spans="1:4" x14ac:dyDescent="0.3">
      <c r="A1163" s="1" t="str">
        <f>Pop[[#This Row],[State]]&amp;" "&amp;Pop[[#This Row],[County]]</f>
        <v>LA Ascension</v>
      </c>
      <c r="B1163" t="s">
        <v>250</v>
      </c>
      <c r="C1163" s="30" t="s">
        <v>985</v>
      </c>
      <c r="D1163" s="16">
        <v>107215</v>
      </c>
    </row>
    <row r="1164" spans="1:4" x14ac:dyDescent="0.3">
      <c r="A1164" s="1" t="str">
        <f>Pop[[#This Row],[State]]&amp;" "&amp;Pop[[#This Row],[County]]</f>
        <v>LA Assumption</v>
      </c>
      <c r="B1164" t="s">
        <v>250</v>
      </c>
      <c r="C1164" s="30" t="s">
        <v>986</v>
      </c>
      <c r="D1164" s="16">
        <v>23421</v>
      </c>
    </row>
    <row r="1165" spans="1:4" x14ac:dyDescent="0.3">
      <c r="A1165" s="1" t="str">
        <f>Pop[[#This Row],[State]]&amp;" "&amp;Pop[[#This Row],[County]]</f>
        <v>LA Avoyelles</v>
      </c>
      <c r="B1165" t="s">
        <v>250</v>
      </c>
      <c r="C1165" s="30" t="s">
        <v>987</v>
      </c>
      <c r="D1165" s="16">
        <v>42073</v>
      </c>
    </row>
    <row r="1166" spans="1:4" x14ac:dyDescent="0.3">
      <c r="A1166" s="1" t="str">
        <f>Pop[[#This Row],[State]]&amp;" "&amp;Pop[[#This Row],[County]]</f>
        <v>LA Beauregard</v>
      </c>
      <c r="B1166" t="s">
        <v>250</v>
      </c>
      <c r="C1166" s="30" t="s">
        <v>988</v>
      </c>
      <c r="D1166" s="16">
        <v>35654</v>
      </c>
    </row>
    <row r="1167" spans="1:4" x14ac:dyDescent="0.3">
      <c r="A1167" s="1" t="str">
        <f>Pop[[#This Row],[State]]&amp;" "&amp;Pop[[#This Row],[County]]</f>
        <v>LA Bienville</v>
      </c>
      <c r="B1167" t="s">
        <v>250</v>
      </c>
      <c r="C1167" s="30" t="s">
        <v>989</v>
      </c>
      <c r="D1167" s="16">
        <v>14353</v>
      </c>
    </row>
    <row r="1168" spans="1:4" x14ac:dyDescent="0.3">
      <c r="A1168" s="1" t="str">
        <f>Pop[[#This Row],[State]]&amp;" "&amp;Pop[[#This Row],[County]]</f>
        <v>LA Bossier</v>
      </c>
      <c r="B1168" t="s">
        <v>250</v>
      </c>
      <c r="C1168" s="30" t="s">
        <v>990</v>
      </c>
      <c r="D1168" s="16">
        <v>116979</v>
      </c>
    </row>
    <row r="1169" spans="1:4" x14ac:dyDescent="0.3">
      <c r="A1169" s="1" t="str">
        <f>Pop[[#This Row],[State]]&amp;" "&amp;Pop[[#This Row],[County]]</f>
        <v>LA Caddo</v>
      </c>
      <c r="B1169" t="s">
        <v>250</v>
      </c>
      <c r="C1169" s="30" t="s">
        <v>991</v>
      </c>
      <c r="D1169" s="16">
        <v>254969</v>
      </c>
    </row>
    <row r="1170" spans="1:4" x14ac:dyDescent="0.3">
      <c r="A1170" s="1" t="str">
        <f>Pop[[#This Row],[State]]&amp;" "&amp;Pop[[#This Row],[County]]</f>
        <v>LA Calcasieu</v>
      </c>
      <c r="B1170" t="s">
        <v>250</v>
      </c>
      <c r="C1170" s="30" t="s">
        <v>992</v>
      </c>
      <c r="D1170" s="16">
        <v>192768</v>
      </c>
    </row>
    <row r="1171" spans="1:4" x14ac:dyDescent="0.3">
      <c r="A1171" s="1" t="str">
        <f>Pop[[#This Row],[State]]&amp;" "&amp;Pop[[#This Row],[County]]</f>
        <v>LA Caldwell</v>
      </c>
      <c r="B1171" t="s">
        <v>250</v>
      </c>
      <c r="C1171" s="30" t="s">
        <v>939</v>
      </c>
      <c r="D1171" s="16">
        <v>10132</v>
      </c>
    </row>
    <row r="1172" spans="1:4" x14ac:dyDescent="0.3">
      <c r="A1172" s="1" t="str">
        <f>Pop[[#This Row],[State]]&amp;" "&amp;Pop[[#This Row],[County]]</f>
        <v>LA Cameron</v>
      </c>
      <c r="B1172" t="s">
        <v>250</v>
      </c>
      <c r="C1172" s="30" t="s">
        <v>993</v>
      </c>
      <c r="D1172" s="16">
        <v>6839</v>
      </c>
    </row>
    <row r="1173" spans="1:4" x14ac:dyDescent="0.3">
      <c r="A1173" s="1" t="str">
        <f>Pop[[#This Row],[State]]&amp;" "&amp;Pop[[#This Row],[County]]</f>
        <v>LA Catahoula</v>
      </c>
      <c r="B1173" t="s">
        <v>250</v>
      </c>
      <c r="C1173" s="30" t="s">
        <v>994</v>
      </c>
      <c r="D1173" s="16">
        <v>10407</v>
      </c>
    </row>
    <row r="1174" spans="1:4" x14ac:dyDescent="0.3">
      <c r="A1174" s="1" t="str">
        <f>Pop[[#This Row],[State]]&amp;" "&amp;Pop[[#This Row],[County]]</f>
        <v>LA Claiborne</v>
      </c>
      <c r="B1174" t="s">
        <v>250</v>
      </c>
      <c r="C1174" s="30" t="s">
        <v>995</v>
      </c>
      <c r="D1174" s="16">
        <v>17195</v>
      </c>
    </row>
    <row r="1175" spans="1:4" x14ac:dyDescent="0.3">
      <c r="A1175" s="1" t="str">
        <f>Pop[[#This Row],[State]]&amp;" "&amp;Pop[[#This Row],[County]]</f>
        <v>LA Concordia</v>
      </c>
      <c r="B1175" t="s">
        <v>250</v>
      </c>
      <c r="C1175" s="30" t="s">
        <v>996</v>
      </c>
      <c r="D1175" s="16">
        <v>20822</v>
      </c>
    </row>
    <row r="1176" spans="1:4" x14ac:dyDescent="0.3">
      <c r="A1176" s="1" t="str">
        <f>Pop[[#This Row],[State]]&amp;" "&amp;Pop[[#This Row],[County]]</f>
        <v>LA De Soto</v>
      </c>
      <c r="B1176" t="s">
        <v>250</v>
      </c>
      <c r="C1176" s="30" t="s">
        <v>997</v>
      </c>
      <c r="D1176" s="16">
        <v>26656</v>
      </c>
    </row>
    <row r="1177" spans="1:4" x14ac:dyDescent="0.3">
      <c r="A1177" s="1" t="str">
        <f>Pop[[#This Row],[State]]&amp;" "&amp;Pop[[#This Row],[County]]</f>
        <v>LA East Baton Rouge</v>
      </c>
      <c r="B1177" t="s">
        <v>250</v>
      </c>
      <c r="C1177" s="30" t="s">
        <v>998</v>
      </c>
      <c r="D1177" s="16">
        <v>440171</v>
      </c>
    </row>
    <row r="1178" spans="1:4" x14ac:dyDescent="0.3">
      <c r="A1178" s="1" t="str">
        <f>Pop[[#This Row],[State]]&amp;" "&amp;Pop[[#This Row],[County]]</f>
        <v>LA East Carroll</v>
      </c>
      <c r="B1178" t="s">
        <v>250</v>
      </c>
      <c r="C1178" s="30" t="s">
        <v>999</v>
      </c>
      <c r="D1178" s="16">
        <v>7759</v>
      </c>
    </row>
    <row r="1179" spans="1:4" x14ac:dyDescent="0.3">
      <c r="A1179" s="1" t="str">
        <f>Pop[[#This Row],[State]]&amp;" "&amp;Pop[[#This Row],[County]]</f>
        <v>LA East Feliciana</v>
      </c>
      <c r="B1179" t="s">
        <v>250</v>
      </c>
      <c r="C1179" s="30" t="s">
        <v>1000</v>
      </c>
      <c r="D1179" s="16">
        <v>20267</v>
      </c>
    </row>
    <row r="1180" spans="1:4" x14ac:dyDescent="0.3">
      <c r="A1180" s="1" t="str">
        <f>Pop[[#This Row],[State]]&amp;" "&amp;Pop[[#This Row],[County]]</f>
        <v>LA Evangeline</v>
      </c>
      <c r="B1180" t="s">
        <v>250</v>
      </c>
      <c r="C1180" s="30" t="s">
        <v>1001</v>
      </c>
      <c r="D1180" s="16">
        <v>33984</v>
      </c>
    </row>
    <row r="1181" spans="1:4" x14ac:dyDescent="0.3">
      <c r="A1181" s="1" t="str">
        <f>Pop[[#This Row],[State]]&amp;" "&amp;Pop[[#This Row],[County]]</f>
        <v>LA Franklin</v>
      </c>
      <c r="B1181" t="s">
        <v>250</v>
      </c>
      <c r="C1181" s="30" t="s">
        <v>43</v>
      </c>
      <c r="D1181" s="16">
        <v>20767</v>
      </c>
    </row>
    <row r="1182" spans="1:4" x14ac:dyDescent="0.3">
      <c r="A1182" s="1" t="str">
        <f>Pop[[#This Row],[State]]&amp;" "&amp;Pop[[#This Row],[County]]</f>
        <v>LA Grant</v>
      </c>
      <c r="B1182" t="s">
        <v>250</v>
      </c>
      <c r="C1182" s="30" t="s">
        <v>370</v>
      </c>
      <c r="D1182" s="16">
        <v>22309</v>
      </c>
    </row>
    <row r="1183" spans="1:4" x14ac:dyDescent="0.3">
      <c r="A1183" s="1" t="str">
        <f>Pop[[#This Row],[State]]&amp;" "&amp;Pop[[#This Row],[County]]</f>
        <v>LA Iberia</v>
      </c>
      <c r="B1183" t="s">
        <v>250</v>
      </c>
      <c r="C1183" s="30" t="s">
        <v>1002</v>
      </c>
      <c r="D1183" s="16">
        <v>73240</v>
      </c>
    </row>
    <row r="1184" spans="1:4" x14ac:dyDescent="0.3">
      <c r="A1184" s="1" t="str">
        <f>Pop[[#This Row],[State]]&amp;" "&amp;Pop[[#This Row],[County]]</f>
        <v>LA Iberville</v>
      </c>
      <c r="B1184" t="s">
        <v>250</v>
      </c>
      <c r="C1184" s="30" t="s">
        <v>1003</v>
      </c>
      <c r="D1184" s="16">
        <v>33387</v>
      </c>
    </row>
    <row r="1185" spans="1:4" x14ac:dyDescent="0.3">
      <c r="A1185" s="1" t="str">
        <f>Pop[[#This Row],[State]]&amp;" "&amp;Pop[[#This Row],[County]]</f>
        <v>LA Jackson</v>
      </c>
      <c r="B1185" t="s">
        <v>250</v>
      </c>
      <c r="C1185" s="30" t="s">
        <v>46</v>
      </c>
      <c r="D1185" s="16">
        <v>16274</v>
      </c>
    </row>
    <row r="1186" spans="1:4" x14ac:dyDescent="0.3">
      <c r="A1186" s="1" t="str">
        <f>Pop[[#This Row],[State]]&amp;" "&amp;Pop[[#This Row],[County]]</f>
        <v>LA Jefferson</v>
      </c>
      <c r="B1186" t="s">
        <v>250</v>
      </c>
      <c r="C1186" s="30" t="s">
        <v>47</v>
      </c>
      <c r="D1186" s="16">
        <v>432552</v>
      </c>
    </row>
    <row r="1187" spans="1:4" x14ac:dyDescent="0.3">
      <c r="A1187" s="1" t="str">
        <f>Pop[[#This Row],[State]]&amp;" "&amp;Pop[[#This Row],[County]]</f>
        <v>LA Jefferson Davis</v>
      </c>
      <c r="B1187" t="s">
        <v>250</v>
      </c>
      <c r="C1187" s="30" t="s">
        <v>1004</v>
      </c>
      <c r="D1187" s="16">
        <v>31594</v>
      </c>
    </row>
    <row r="1188" spans="1:4" x14ac:dyDescent="0.3">
      <c r="A1188" s="1" t="str">
        <f>Pop[[#This Row],[State]]&amp;" "&amp;Pop[[#This Row],[County]]</f>
        <v>LA La Salle</v>
      </c>
      <c r="B1188" t="s">
        <v>250</v>
      </c>
      <c r="C1188" s="30" t="s">
        <v>1005</v>
      </c>
      <c r="D1188" s="16">
        <v>14890</v>
      </c>
    </row>
    <row r="1189" spans="1:4" x14ac:dyDescent="0.3">
      <c r="A1189" s="1" t="str">
        <f>Pop[[#This Row],[State]]&amp;" "&amp;Pop[[#This Row],[County]]</f>
        <v>LA Lafayette</v>
      </c>
      <c r="B1189" t="s">
        <v>250</v>
      </c>
      <c r="C1189" s="30" t="s">
        <v>377</v>
      </c>
      <c r="D1189" s="16">
        <v>221578</v>
      </c>
    </row>
    <row r="1190" spans="1:4" x14ac:dyDescent="0.3">
      <c r="A1190" s="1" t="str">
        <f>Pop[[#This Row],[State]]&amp;" "&amp;Pop[[#This Row],[County]]</f>
        <v>LA Lafourche</v>
      </c>
      <c r="B1190" t="s">
        <v>250</v>
      </c>
      <c r="C1190" s="30" t="s">
        <v>1006</v>
      </c>
      <c r="D1190" s="16">
        <v>96318</v>
      </c>
    </row>
    <row r="1191" spans="1:4" x14ac:dyDescent="0.3">
      <c r="A1191" s="1" t="str">
        <f>Pop[[#This Row],[State]]&amp;" "&amp;Pop[[#This Row],[County]]</f>
        <v>LA Lincoln</v>
      </c>
      <c r="B1191" t="s">
        <v>250</v>
      </c>
      <c r="C1191" s="30" t="s">
        <v>378</v>
      </c>
      <c r="D1191" s="16">
        <v>46735</v>
      </c>
    </row>
    <row r="1192" spans="1:4" x14ac:dyDescent="0.3">
      <c r="A1192" s="1" t="str">
        <f>Pop[[#This Row],[State]]&amp;" "&amp;Pop[[#This Row],[County]]</f>
        <v>LA Livingston</v>
      </c>
      <c r="B1192" t="s">
        <v>250</v>
      </c>
      <c r="C1192" s="30" t="s">
        <v>806</v>
      </c>
      <c r="D1192" s="16">
        <v>128026</v>
      </c>
    </row>
    <row r="1193" spans="1:4" x14ac:dyDescent="0.3">
      <c r="A1193" s="1" t="str">
        <f>Pop[[#This Row],[State]]&amp;" "&amp;Pop[[#This Row],[County]]</f>
        <v>LA Madison</v>
      </c>
      <c r="B1193" t="s">
        <v>250</v>
      </c>
      <c r="C1193" s="30" t="s">
        <v>49</v>
      </c>
      <c r="D1193" s="16">
        <v>12093</v>
      </c>
    </row>
    <row r="1194" spans="1:4" x14ac:dyDescent="0.3">
      <c r="A1194" s="1" t="str">
        <f>Pop[[#This Row],[State]]&amp;" "&amp;Pop[[#This Row],[County]]</f>
        <v>LA Morehouse</v>
      </c>
      <c r="B1194" t="s">
        <v>250</v>
      </c>
      <c r="C1194" s="30" t="s">
        <v>1007</v>
      </c>
      <c r="D1194" s="16">
        <v>27979</v>
      </c>
    </row>
    <row r="1195" spans="1:4" x14ac:dyDescent="0.3">
      <c r="A1195" s="1" t="str">
        <f>Pop[[#This Row],[State]]&amp;" "&amp;Pop[[#This Row],[County]]</f>
        <v>LA Natchitoches</v>
      </c>
      <c r="B1195" t="s">
        <v>250</v>
      </c>
      <c r="C1195" s="30" t="s">
        <v>1008</v>
      </c>
      <c r="D1195" s="16">
        <v>39566</v>
      </c>
    </row>
    <row r="1196" spans="1:4" x14ac:dyDescent="0.3">
      <c r="A1196" s="1" t="str">
        <f>Pop[[#This Row],[State]]&amp;" "&amp;Pop[[#This Row],[County]]</f>
        <v>LA Orleans</v>
      </c>
      <c r="B1196" t="s">
        <v>250</v>
      </c>
      <c r="C1196" s="30" t="s">
        <v>1009</v>
      </c>
      <c r="D1196" s="16">
        <v>343829</v>
      </c>
    </row>
    <row r="1197" spans="1:4" x14ac:dyDescent="0.3">
      <c r="A1197" s="1" t="str">
        <f>Pop[[#This Row],[State]]&amp;" "&amp;Pop[[#This Row],[County]]</f>
        <v>LA Ouachita</v>
      </c>
      <c r="B1197" t="s">
        <v>250</v>
      </c>
      <c r="C1197" s="30" t="s">
        <v>384</v>
      </c>
      <c r="D1197" s="16">
        <v>153720</v>
      </c>
    </row>
    <row r="1198" spans="1:4" x14ac:dyDescent="0.3">
      <c r="A1198" s="1" t="str">
        <f>Pop[[#This Row],[State]]&amp;" "&amp;Pop[[#This Row],[County]]</f>
        <v>LA Plaquemines</v>
      </c>
      <c r="B1198" t="s">
        <v>250</v>
      </c>
      <c r="C1198" s="30" t="s">
        <v>1010</v>
      </c>
      <c r="D1198" s="16">
        <v>23042</v>
      </c>
    </row>
    <row r="1199" spans="1:4" x14ac:dyDescent="0.3">
      <c r="A1199" s="1" t="str">
        <f>Pop[[#This Row],[State]]&amp;" "&amp;Pop[[#This Row],[County]]</f>
        <v>LA Pointe Coupee</v>
      </c>
      <c r="B1199" t="s">
        <v>250</v>
      </c>
      <c r="C1199" s="30" t="s">
        <v>1011</v>
      </c>
      <c r="D1199" s="16">
        <v>22802</v>
      </c>
    </row>
    <row r="1200" spans="1:4" x14ac:dyDescent="0.3">
      <c r="A1200" s="1" t="str">
        <f>Pop[[#This Row],[State]]&amp;" "&amp;Pop[[#This Row],[County]]</f>
        <v>LA Rapides</v>
      </c>
      <c r="B1200" t="s">
        <v>250</v>
      </c>
      <c r="C1200" s="30" t="s">
        <v>1012</v>
      </c>
      <c r="D1200" s="16">
        <v>131613</v>
      </c>
    </row>
    <row r="1201" spans="1:4" x14ac:dyDescent="0.3">
      <c r="A1201" s="1" t="str">
        <f>Pop[[#This Row],[State]]&amp;" "&amp;Pop[[#This Row],[County]]</f>
        <v>LA Red River</v>
      </c>
      <c r="B1201" t="s">
        <v>250</v>
      </c>
      <c r="C1201" s="30" t="s">
        <v>1013</v>
      </c>
      <c r="D1201" s="16">
        <v>9091</v>
      </c>
    </row>
    <row r="1202" spans="1:4" x14ac:dyDescent="0.3">
      <c r="A1202" s="1" t="str">
        <f>Pop[[#This Row],[State]]&amp;" "&amp;Pop[[#This Row],[County]]</f>
        <v>LA Richland</v>
      </c>
      <c r="B1202" t="s">
        <v>250</v>
      </c>
      <c r="C1202" s="30" t="s">
        <v>819</v>
      </c>
      <c r="D1202" s="16">
        <v>20725</v>
      </c>
    </row>
    <row r="1203" spans="1:4" x14ac:dyDescent="0.3">
      <c r="A1203" s="1" t="str">
        <f>Pop[[#This Row],[State]]&amp;" "&amp;Pop[[#This Row],[County]]</f>
        <v>LA Sabine</v>
      </c>
      <c r="B1203" t="s">
        <v>250</v>
      </c>
      <c r="C1203" s="30" t="s">
        <v>1014</v>
      </c>
      <c r="D1203" s="16">
        <v>24233</v>
      </c>
    </row>
    <row r="1204" spans="1:4" x14ac:dyDescent="0.3">
      <c r="A1204" s="1" t="str">
        <f>Pop[[#This Row],[State]]&amp;" "&amp;Pop[[#This Row],[County]]</f>
        <v>LA St. Bernard</v>
      </c>
      <c r="B1204" t="s">
        <v>250</v>
      </c>
      <c r="C1204" s="30" t="s">
        <v>1015</v>
      </c>
      <c r="D1204" s="16">
        <v>35897</v>
      </c>
    </row>
    <row r="1205" spans="1:4" x14ac:dyDescent="0.3">
      <c r="A1205" s="1" t="str">
        <f>Pop[[#This Row],[State]]&amp;" "&amp;Pop[[#This Row],[County]]</f>
        <v>LA St. Charles</v>
      </c>
      <c r="B1205" t="s">
        <v>250</v>
      </c>
      <c r="C1205" s="30" t="s">
        <v>1016</v>
      </c>
      <c r="D1205" s="16">
        <v>52780</v>
      </c>
    </row>
    <row r="1206" spans="1:4" x14ac:dyDescent="0.3">
      <c r="A1206" s="1" t="str">
        <f>Pop[[#This Row],[State]]&amp;" "&amp;Pop[[#This Row],[County]]</f>
        <v>LA St. Helena</v>
      </c>
      <c r="B1206" t="s">
        <v>250</v>
      </c>
      <c r="C1206" s="30" t="s">
        <v>1017</v>
      </c>
      <c r="D1206" s="16">
        <v>11203</v>
      </c>
    </row>
    <row r="1207" spans="1:4" x14ac:dyDescent="0.3">
      <c r="A1207" s="1" t="str">
        <f>Pop[[#This Row],[State]]&amp;" "&amp;Pop[[#This Row],[County]]</f>
        <v>LA St. James</v>
      </c>
      <c r="B1207" t="s">
        <v>250</v>
      </c>
      <c r="C1207" s="30" t="s">
        <v>1018</v>
      </c>
      <c r="D1207" s="16">
        <v>22102</v>
      </c>
    </row>
    <row r="1208" spans="1:4" x14ac:dyDescent="0.3">
      <c r="A1208" s="1" t="str">
        <f>Pop[[#This Row],[State]]&amp;" "&amp;Pop[[#This Row],[County]]</f>
        <v>LA St. John the Baptist</v>
      </c>
      <c r="B1208" t="s">
        <v>250</v>
      </c>
      <c r="C1208" s="30" t="s">
        <v>1019</v>
      </c>
      <c r="D1208" s="16">
        <v>45924</v>
      </c>
    </row>
    <row r="1209" spans="1:4" x14ac:dyDescent="0.3">
      <c r="A1209" s="1" t="str">
        <f>Pop[[#This Row],[State]]&amp;" "&amp;Pop[[#This Row],[County]]</f>
        <v>LA St. Landry</v>
      </c>
      <c r="B1209" t="s">
        <v>250</v>
      </c>
      <c r="C1209" s="30" t="s">
        <v>1020</v>
      </c>
      <c r="D1209" s="16">
        <v>83384</v>
      </c>
    </row>
    <row r="1210" spans="1:4" x14ac:dyDescent="0.3">
      <c r="A1210" s="1" t="str">
        <f>Pop[[#This Row],[State]]&amp;" "&amp;Pop[[#This Row],[County]]</f>
        <v>LA St. Martin</v>
      </c>
      <c r="B1210" t="s">
        <v>250</v>
      </c>
      <c r="C1210" s="30" t="s">
        <v>1021</v>
      </c>
      <c r="D1210" s="16">
        <v>52160</v>
      </c>
    </row>
    <row r="1211" spans="1:4" x14ac:dyDescent="0.3">
      <c r="A1211" s="1" t="str">
        <f>Pop[[#This Row],[State]]&amp;" "&amp;Pop[[#This Row],[County]]</f>
        <v>LA St. Mary</v>
      </c>
      <c r="B1211" t="s">
        <v>250</v>
      </c>
      <c r="C1211" s="30" t="s">
        <v>1022</v>
      </c>
      <c r="D1211" s="16">
        <v>54650</v>
      </c>
    </row>
    <row r="1212" spans="1:4" x14ac:dyDescent="0.3">
      <c r="A1212" s="1" t="str">
        <f>Pop[[#This Row],[State]]&amp;" "&amp;Pop[[#This Row],[County]]</f>
        <v>LA St. Tammany</v>
      </c>
      <c r="B1212" t="s">
        <v>250</v>
      </c>
      <c r="C1212" s="30" t="s">
        <v>1023</v>
      </c>
      <c r="D1212" s="16">
        <v>233740</v>
      </c>
    </row>
    <row r="1213" spans="1:4" x14ac:dyDescent="0.3">
      <c r="A1213" s="1" t="str">
        <f>Pop[[#This Row],[State]]&amp;" "&amp;Pop[[#This Row],[County]]</f>
        <v>LA Tangipahoa</v>
      </c>
      <c r="B1213" t="s">
        <v>250</v>
      </c>
      <c r="C1213" s="30" t="s">
        <v>1024</v>
      </c>
      <c r="D1213" s="16">
        <v>121097</v>
      </c>
    </row>
    <row r="1214" spans="1:4" x14ac:dyDescent="0.3">
      <c r="A1214" s="1" t="str">
        <f>Pop[[#This Row],[State]]&amp;" "&amp;Pop[[#This Row],[County]]</f>
        <v>LA Tensas</v>
      </c>
      <c r="B1214" t="s">
        <v>250</v>
      </c>
      <c r="C1214" s="30" t="s">
        <v>1025</v>
      </c>
      <c r="D1214" s="16">
        <v>5252</v>
      </c>
    </row>
    <row r="1215" spans="1:4" x14ac:dyDescent="0.3">
      <c r="A1215" s="1" t="str">
        <f>Pop[[#This Row],[State]]&amp;" "&amp;Pop[[#This Row],[County]]</f>
        <v>LA Terrebonne</v>
      </c>
      <c r="B1215" t="s">
        <v>250</v>
      </c>
      <c r="C1215" s="30" t="s">
        <v>1026</v>
      </c>
      <c r="D1215" s="16">
        <v>111860</v>
      </c>
    </row>
    <row r="1216" spans="1:4" x14ac:dyDescent="0.3">
      <c r="A1216" s="1" t="str">
        <f>Pop[[#This Row],[State]]&amp;" "&amp;Pop[[#This Row],[County]]</f>
        <v>LA Union</v>
      </c>
      <c r="B1216" t="s">
        <v>250</v>
      </c>
      <c r="C1216" s="30" t="s">
        <v>399</v>
      </c>
      <c r="D1216" s="16">
        <v>22721</v>
      </c>
    </row>
    <row r="1217" spans="1:4" x14ac:dyDescent="0.3">
      <c r="A1217" s="1" t="str">
        <f>Pop[[#This Row],[State]]&amp;" "&amp;Pop[[#This Row],[County]]</f>
        <v>LA Vermilion</v>
      </c>
      <c r="B1217" t="s">
        <v>250</v>
      </c>
      <c r="C1217" s="30" t="s">
        <v>826</v>
      </c>
      <c r="D1217" s="16">
        <v>57999</v>
      </c>
    </row>
    <row r="1218" spans="1:4" x14ac:dyDescent="0.3">
      <c r="A1218" s="1" t="str">
        <f>Pop[[#This Row],[State]]&amp;" "&amp;Pop[[#This Row],[County]]</f>
        <v>LA Vernon</v>
      </c>
      <c r="B1218" t="s">
        <v>250</v>
      </c>
      <c r="C1218" s="30" t="s">
        <v>1027</v>
      </c>
      <c r="D1218" s="16">
        <v>52334</v>
      </c>
    </row>
    <row r="1219" spans="1:4" x14ac:dyDescent="0.3">
      <c r="A1219" s="1" t="str">
        <f>Pop[[#This Row],[State]]&amp;" "&amp;Pop[[#This Row],[County]]</f>
        <v>LA Washington</v>
      </c>
      <c r="B1219" t="s">
        <v>250</v>
      </c>
      <c r="C1219" s="30" t="s">
        <v>65</v>
      </c>
      <c r="D1219" s="16">
        <v>47168</v>
      </c>
    </row>
    <row r="1220" spans="1:4" x14ac:dyDescent="0.3">
      <c r="A1220" s="1" t="str">
        <f>Pop[[#This Row],[State]]&amp;" "&amp;Pop[[#This Row],[County]]</f>
        <v>LA Webster</v>
      </c>
      <c r="B1220" t="s">
        <v>250</v>
      </c>
      <c r="C1220" s="30" t="s">
        <v>692</v>
      </c>
      <c r="D1220" s="16">
        <v>41207</v>
      </c>
    </row>
    <row r="1221" spans="1:4" x14ac:dyDescent="0.3">
      <c r="A1221" s="1" t="str">
        <f>Pop[[#This Row],[State]]&amp;" "&amp;Pop[[#This Row],[County]]</f>
        <v>LA West Baton Rouge</v>
      </c>
      <c r="B1221" t="s">
        <v>250</v>
      </c>
      <c r="C1221" s="30" t="s">
        <v>1028</v>
      </c>
      <c r="D1221" s="16">
        <v>23788</v>
      </c>
    </row>
    <row r="1222" spans="1:4" x14ac:dyDescent="0.3">
      <c r="A1222" s="1" t="str">
        <f>Pop[[#This Row],[State]]&amp;" "&amp;Pop[[#This Row],[County]]</f>
        <v>LA West Carroll</v>
      </c>
      <c r="B1222" t="s">
        <v>250</v>
      </c>
      <c r="C1222" s="30" t="s">
        <v>1029</v>
      </c>
      <c r="D1222" s="16">
        <v>11604</v>
      </c>
    </row>
    <row r="1223" spans="1:4" x14ac:dyDescent="0.3">
      <c r="A1223" s="1" t="str">
        <f>Pop[[#This Row],[State]]&amp;" "&amp;Pop[[#This Row],[County]]</f>
        <v>LA West Feliciana</v>
      </c>
      <c r="B1223" t="s">
        <v>250</v>
      </c>
      <c r="C1223" s="30" t="s">
        <v>1030</v>
      </c>
      <c r="D1223" s="16">
        <v>15625</v>
      </c>
    </row>
    <row r="1224" spans="1:4" x14ac:dyDescent="0.3">
      <c r="A1224" s="1" t="str">
        <f>Pop[[#This Row],[State]]&amp;" "&amp;Pop[[#This Row],[County]]</f>
        <v>LA Winn</v>
      </c>
      <c r="B1224" t="s">
        <v>250</v>
      </c>
      <c r="C1224" s="30" t="s">
        <v>1031</v>
      </c>
      <c r="D1224" s="16">
        <v>15313</v>
      </c>
    </row>
    <row r="1225" spans="1:4" x14ac:dyDescent="0.3">
      <c r="A1225" s="1" t="str">
        <f>Pop[[#This Row],[State]]&amp;" "&amp;Pop[[#This Row],[County]]</f>
        <v>LA State Agencies</v>
      </c>
      <c r="B1225" t="s">
        <v>250</v>
      </c>
      <c r="C1225" s="30" t="s">
        <v>243</v>
      </c>
      <c r="D1225" s="16" t="s">
        <v>244</v>
      </c>
    </row>
    <row r="1226" spans="1:4" x14ac:dyDescent="0.3">
      <c r="A1226" s="1" t="str">
        <f>Pop[[#This Row],[State]]&amp;" "&amp;Pop[[#This Row],[County]]</f>
        <v>LA Grand Total</v>
      </c>
      <c r="B1226" t="s">
        <v>250</v>
      </c>
      <c r="C1226" s="30" t="s">
        <v>67</v>
      </c>
      <c r="D1226" s="16">
        <v>4533372</v>
      </c>
    </row>
    <row r="1227" spans="1:4" x14ac:dyDescent="0.3">
      <c r="A1227" s="1" t="str">
        <f>Pop[[#This Row],[State]]&amp;" "&amp;Pop[[#This Row],[County]]</f>
        <v>MA Barnstable</v>
      </c>
      <c r="B1227" t="s">
        <v>153</v>
      </c>
      <c r="C1227" s="30" t="s">
        <v>1032</v>
      </c>
      <c r="D1227" s="16">
        <v>215888</v>
      </c>
    </row>
    <row r="1228" spans="1:4" x14ac:dyDescent="0.3">
      <c r="A1228" s="1" t="str">
        <f>Pop[[#This Row],[State]]&amp;" "&amp;Pop[[#This Row],[County]]</f>
        <v>MA Berkshire</v>
      </c>
      <c r="B1228" t="s">
        <v>153</v>
      </c>
      <c r="C1228" s="30" t="s">
        <v>1033</v>
      </c>
      <c r="D1228" s="16">
        <v>131219</v>
      </c>
    </row>
    <row r="1229" spans="1:4" x14ac:dyDescent="0.3">
      <c r="A1229" s="1" t="str">
        <f>Pop[[#This Row],[State]]&amp;" "&amp;Pop[[#This Row],[County]]</f>
        <v>MA Bristol</v>
      </c>
      <c r="B1229" t="s">
        <v>153</v>
      </c>
      <c r="C1229" s="30" t="s">
        <v>1034</v>
      </c>
      <c r="D1229" s="16">
        <v>548285</v>
      </c>
    </row>
    <row r="1230" spans="1:4" x14ac:dyDescent="0.3">
      <c r="A1230" s="1" t="str">
        <f>Pop[[#This Row],[State]]&amp;" "&amp;Pop[[#This Row],[County]]</f>
        <v>MA Dukes</v>
      </c>
      <c r="B1230" t="s">
        <v>153</v>
      </c>
      <c r="C1230" s="30" t="s">
        <v>1035</v>
      </c>
      <c r="D1230" s="16">
        <v>16535</v>
      </c>
    </row>
    <row r="1231" spans="1:4" x14ac:dyDescent="0.3">
      <c r="A1231" s="1" t="str">
        <f>Pop[[#This Row],[State]]&amp;" "&amp;Pop[[#This Row],[County]]</f>
        <v>MA Essex</v>
      </c>
      <c r="B1231" t="s">
        <v>153</v>
      </c>
      <c r="C1231" s="30" t="s">
        <v>1036</v>
      </c>
      <c r="D1231" s="16">
        <v>743159</v>
      </c>
    </row>
    <row r="1232" spans="1:4" x14ac:dyDescent="0.3">
      <c r="A1232" s="1" t="str">
        <f>Pop[[#This Row],[State]]&amp;" "&amp;Pop[[#This Row],[County]]</f>
        <v>MA Franklin</v>
      </c>
      <c r="B1232" t="s">
        <v>153</v>
      </c>
      <c r="C1232" s="30" t="s">
        <v>43</v>
      </c>
      <c r="D1232" s="16">
        <v>71372</v>
      </c>
    </row>
    <row r="1233" spans="1:4" x14ac:dyDescent="0.3">
      <c r="A1233" s="1" t="str">
        <f>Pop[[#This Row],[State]]&amp;" "&amp;Pop[[#This Row],[County]]</f>
        <v>MA Hampden</v>
      </c>
      <c r="B1233" t="s">
        <v>153</v>
      </c>
      <c r="C1233" s="30" t="s">
        <v>1037</v>
      </c>
      <c r="D1233" s="16">
        <v>463490</v>
      </c>
    </row>
    <row r="1234" spans="1:4" x14ac:dyDescent="0.3">
      <c r="A1234" s="1" t="str">
        <f>Pop[[#This Row],[State]]&amp;" "&amp;Pop[[#This Row],[County]]</f>
        <v>MA Hampshire</v>
      </c>
      <c r="B1234" t="s">
        <v>153</v>
      </c>
      <c r="C1234" s="30" t="s">
        <v>1038</v>
      </c>
      <c r="D1234" s="16">
        <v>158080</v>
      </c>
    </row>
    <row r="1235" spans="1:4" x14ac:dyDescent="0.3">
      <c r="A1235" s="1" t="str">
        <f>Pop[[#This Row],[State]]&amp;" "&amp;Pop[[#This Row],[County]]</f>
        <v>MA Middlesex</v>
      </c>
      <c r="B1235" t="s">
        <v>153</v>
      </c>
      <c r="C1235" s="30" t="s">
        <v>536</v>
      </c>
      <c r="D1235" s="16">
        <v>1503085</v>
      </c>
    </row>
    <row r="1236" spans="1:4" x14ac:dyDescent="0.3">
      <c r="A1236" s="1" t="str">
        <f>Pop[[#This Row],[State]]&amp;" "&amp;Pop[[#This Row],[County]]</f>
        <v>MA Nantucket</v>
      </c>
      <c r="B1236" t="s">
        <v>153</v>
      </c>
      <c r="C1236" s="30" t="s">
        <v>1039</v>
      </c>
      <c r="D1236" s="16">
        <v>10172</v>
      </c>
    </row>
    <row r="1237" spans="1:4" x14ac:dyDescent="0.3">
      <c r="A1237" s="1" t="str">
        <f>Pop[[#This Row],[State]]&amp;" "&amp;Pop[[#This Row],[County]]</f>
        <v>MA Norfolk</v>
      </c>
      <c r="B1237" t="s">
        <v>153</v>
      </c>
      <c r="C1237" s="30" t="s">
        <v>1040</v>
      </c>
      <c r="D1237" s="54">
        <v>670850</v>
      </c>
    </row>
    <row r="1238" spans="1:4" x14ac:dyDescent="0.3">
      <c r="A1238" s="1" t="str">
        <f>Pop[[#This Row],[State]]&amp;" "&amp;Pop[[#This Row],[County]]</f>
        <v>MA Plymouth</v>
      </c>
      <c r="B1238" t="s">
        <v>153</v>
      </c>
      <c r="C1238" s="30" t="s">
        <v>738</v>
      </c>
      <c r="D1238" s="16">
        <v>494919</v>
      </c>
    </row>
    <row r="1239" spans="1:4" x14ac:dyDescent="0.3">
      <c r="A1239" s="1" t="str">
        <f>Pop[[#This Row],[State]]&amp;" "&amp;Pop[[#This Row],[County]]</f>
        <v>MA Suffolk</v>
      </c>
      <c r="B1239" t="s">
        <v>153</v>
      </c>
      <c r="C1239" s="30" t="s">
        <v>1041</v>
      </c>
      <c r="D1239" s="54">
        <v>722023</v>
      </c>
    </row>
    <row r="1240" spans="1:4" x14ac:dyDescent="0.3">
      <c r="A1240" s="1" t="str">
        <f>Pop[[#This Row],[State]]&amp;" "&amp;Pop[[#This Row],[County]]</f>
        <v>MA Worcester</v>
      </c>
      <c r="B1240" t="s">
        <v>153</v>
      </c>
      <c r="C1240" s="30" t="s">
        <v>1042</v>
      </c>
      <c r="D1240" s="16">
        <v>798552</v>
      </c>
    </row>
    <row r="1241" spans="1:4" x14ac:dyDescent="0.3">
      <c r="A1241" s="1" t="str">
        <f>Pop[[#This Row],[State]]&amp;" "&amp;Pop[[#This Row],[County]]</f>
        <v>MA State Agencies</v>
      </c>
      <c r="B1241" t="s">
        <v>153</v>
      </c>
      <c r="C1241" s="30" t="s">
        <v>243</v>
      </c>
      <c r="D1241" s="16" t="s">
        <v>244</v>
      </c>
    </row>
    <row r="1242" spans="1:4" x14ac:dyDescent="0.3">
      <c r="A1242" s="1" t="str">
        <f>Pop[[#This Row],[State]]&amp;" "&amp;Pop[[#This Row],[County]]</f>
        <v>MA Grand Total</v>
      </c>
      <c r="B1242" t="s">
        <v>153</v>
      </c>
      <c r="C1242" s="30" t="s">
        <v>67</v>
      </c>
      <c r="D1242" s="16">
        <v>6547629</v>
      </c>
    </row>
    <row r="1243" spans="1:4" x14ac:dyDescent="0.3">
      <c r="A1243" s="1" t="str">
        <f>Pop[[#This Row],[State]]&amp;" "&amp;Pop[[#This Row],[County]]</f>
        <v>MD Allegany</v>
      </c>
      <c r="B1243" t="s">
        <v>193</v>
      </c>
      <c r="C1243" s="30" t="s">
        <v>1043</v>
      </c>
      <c r="D1243" s="16">
        <v>75087</v>
      </c>
    </row>
    <row r="1244" spans="1:4" x14ac:dyDescent="0.3">
      <c r="A1244" s="1" t="str">
        <f>Pop[[#This Row],[State]]&amp;" "&amp;Pop[[#This Row],[County]]</f>
        <v>MD Anne Arundel</v>
      </c>
      <c r="B1244" t="s">
        <v>193</v>
      </c>
      <c r="C1244" s="30" t="s">
        <v>1044</v>
      </c>
      <c r="D1244" s="16">
        <v>537656</v>
      </c>
    </row>
    <row r="1245" spans="1:4" x14ac:dyDescent="0.3">
      <c r="A1245" s="1" t="str">
        <f>Pop[[#This Row],[State]]&amp;" "&amp;Pop[[#This Row],[County]]</f>
        <v>MD Baltimore</v>
      </c>
      <c r="B1245" t="s">
        <v>193</v>
      </c>
      <c r="C1245" s="30" t="s">
        <v>1045</v>
      </c>
      <c r="D1245" s="54">
        <v>805029</v>
      </c>
    </row>
    <row r="1246" spans="1:4" x14ac:dyDescent="0.3">
      <c r="A1246" s="1" t="str">
        <f>Pop[[#This Row],[State]]&amp;" "&amp;Pop[[#This Row],[County]]</f>
        <v>MD Calvert</v>
      </c>
      <c r="B1246" t="s">
        <v>193</v>
      </c>
      <c r="C1246" s="30" t="s">
        <v>1046</v>
      </c>
      <c r="D1246" s="16">
        <v>88737</v>
      </c>
    </row>
    <row r="1247" spans="1:4" x14ac:dyDescent="0.3">
      <c r="A1247" s="1" t="str">
        <f>Pop[[#This Row],[State]]&amp;" "&amp;Pop[[#This Row],[County]]</f>
        <v>MD Caroline</v>
      </c>
      <c r="B1247" t="s">
        <v>193</v>
      </c>
      <c r="C1247" s="30" t="s">
        <v>1047</v>
      </c>
      <c r="D1247" s="16">
        <v>33066</v>
      </c>
    </row>
    <row r="1248" spans="1:4" x14ac:dyDescent="0.3">
      <c r="A1248" s="1" t="str">
        <f>Pop[[#This Row],[State]]&amp;" "&amp;Pop[[#This Row],[County]]</f>
        <v>MD Carroll</v>
      </c>
      <c r="B1248" t="s">
        <v>193</v>
      </c>
      <c r="C1248" s="30" t="s">
        <v>357</v>
      </c>
      <c r="D1248" s="16">
        <v>167134</v>
      </c>
    </row>
    <row r="1249" spans="1:4" x14ac:dyDescent="0.3">
      <c r="A1249" s="1" t="str">
        <f>Pop[[#This Row],[State]]&amp;" "&amp;Pop[[#This Row],[County]]</f>
        <v>MD Cecil</v>
      </c>
      <c r="B1249" t="s">
        <v>193</v>
      </c>
      <c r="C1249" s="30" t="s">
        <v>1048</v>
      </c>
      <c r="D1249" s="16">
        <v>101108</v>
      </c>
    </row>
    <row r="1250" spans="1:4" x14ac:dyDescent="0.3">
      <c r="A1250" s="1" t="str">
        <f>Pop[[#This Row],[State]]&amp;" "&amp;Pop[[#This Row],[County]]</f>
        <v>MD Charles</v>
      </c>
      <c r="B1250" t="s">
        <v>193</v>
      </c>
      <c r="C1250" s="30" t="s">
        <v>1049</v>
      </c>
      <c r="D1250" s="16">
        <v>146551</v>
      </c>
    </row>
    <row r="1251" spans="1:4" x14ac:dyDescent="0.3">
      <c r="A1251" s="1" t="str">
        <f>Pop[[#This Row],[State]]&amp;" "&amp;Pop[[#This Row],[County]]</f>
        <v>MD Dorchester</v>
      </c>
      <c r="B1251" t="s">
        <v>193</v>
      </c>
      <c r="C1251" s="30" t="s">
        <v>1050</v>
      </c>
      <c r="D1251" s="16">
        <v>32618</v>
      </c>
    </row>
    <row r="1252" spans="1:4" x14ac:dyDescent="0.3">
      <c r="A1252" s="1" t="str">
        <f>Pop[[#This Row],[State]]&amp;" "&amp;Pop[[#This Row],[County]]</f>
        <v>MD Frederick</v>
      </c>
      <c r="B1252" t="s">
        <v>193</v>
      </c>
      <c r="C1252" s="30" t="s">
        <v>1051</v>
      </c>
      <c r="D1252" s="16">
        <v>233385</v>
      </c>
    </row>
    <row r="1253" spans="1:4" x14ac:dyDescent="0.3">
      <c r="A1253" s="1" t="str">
        <f>Pop[[#This Row],[State]]&amp;" "&amp;Pop[[#This Row],[County]]</f>
        <v>MD Garrett</v>
      </c>
      <c r="B1253" t="s">
        <v>193</v>
      </c>
      <c r="C1253" s="30" t="s">
        <v>1052</v>
      </c>
      <c r="D1253" s="16">
        <v>30097</v>
      </c>
    </row>
    <row r="1254" spans="1:4" x14ac:dyDescent="0.3">
      <c r="A1254" s="1" t="str">
        <f>Pop[[#This Row],[State]]&amp;" "&amp;Pop[[#This Row],[County]]</f>
        <v>MD Harford</v>
      </c>
      <c r="B1254" t="s">
        <v>193</v>
      </c>
      <c r="C1254" s="30" t="s">
        <v>1053</v>
      </c>
      <c r="D1254" s="16">
        <v>244826</v>
      </c>
    </row>
    <row r="1255" spans="1:4" x14ac:dyDescent="0.3">
      <c r="A1255" s="1" t="str">
        <f>Pop[[#This Row],[State]]&amp;" "&amp;Pop[[#This Row],[County]]</f>
        <v>MD Howard</v>
      </c>
      <c r="B1255" t="s">
        <v>193</v>
      </c>
      <c r="C1255" s="30" t="s">
        <v>373</v>
      </c>
      <c r="D1255" s="16">
        <v>287085</v>
      </c>
    </row>
    <row r="1256" spans="1:4" x14ac:dyDescent="0.3">
      <c r="A1256" s="1" t="str">
        <f>Pop[[#This Row],[State]]&amp;" "&amp;Pop[[#This Row],[County]]</f>
        <v>MD Kent</v>
      </c>
      <c r="B1256" t="s">
        <v>193</v>
      </c>
      <c r="C1256" s="30" t="s">
        <v>541</v>
      </c>
      <c r="D1256" s="16">
        <v>20197</v>
      </c>
    </row>
    <row r="1257" spans="1:4" x14ac:dyDescent="0.3">
      <c r="A1257" s="1" t="str">
        <f>Pop[[#This Row],[State]]&amp;" "&amp;Pop[[#This Row],[County]]</f>
        <v>MD Montgomery</v>
      </c>
      <c r="B1257" t="s">
        <v>193</v>
      </c>
      <c r="C1257" s="30" t="s">
        <v>53</v>
      </c>
      <c r="D1257" s="16">
        <v>971777</v>
      </c>
    </row>
    <row r="1258" spans="1:4" x14ac:dyDescent="0.3">
      <c r="A1258" s="1" t="str">
        <f>Pop[[#This Row],[State]]&amp;" "&amp;Pop[[#This Row],[County]]</f>
        <v>MD Prince George's</v>
      </c>
      <c r="B1258" t="s">
        <v>193</v>
      </c>
      <c r="C1258" s="30" t="s">
        <v>1054</v>
      </c>
      <c r="D1258" s="16">
        <v>863420</v>
      </c>
    </row>
    <row r="1259" spans="1:4" x14ac:dyDescent="0.3">
      <c r="A1259" s="1" t="str">
        <f>Pop[[#This Row],[State]]&amp;" "&amp;Pop[[#This Row],[County]]</f>
        <v>MD Queen Anne's</v>
      </c>
      <c r="B1259" t="s">
        <v>193</v>
      </c>
      <c r="C1259" s="30" t="s">
        <v>1055</v>
      </c>
      <c r="D1259" s="16">
        <v>47798</v>
      </c>
    </row>
    <row r="1260" spans="1:4" x14ac:dyDescent="0.3">
      <c r="A1260" s="1" t="str">
        <f>Pop[[#This Row],[State]]&amp;" "&amp;Pop[[#This Row],[County]]</f>
        <v>MD Somerset</v>
      </c>
      <c r="B1260" t="s">
        <v>193</v>
      </c>
      <c r="C1260" s="30" t="s">
        <v>1056</v>
      </c>
      <c r="D1260" s="16">
        <v>26470</v>
      </c>
    </row>
    <row r="1261" spans="1:4" x14ac:dyDescent="0.3">
      <c r="A1261" s="1" t="str">
        <f>Pop[[#This Row],[State]]&amp;" "&amp;Pop[[#This Row],[County]]</f>
        <v>MD St. Mary's</v>
      </c>
      <c r="B1261" t="s">
        <v>193</v>
      </c>
      <c r="C1261" s="30" t="s">
        <v>1057</v>
      </c>
      <c r="D1261" s="16">
        <v>105151</v>
      </c>
    </row>
    <row r="1262" spans="1:4" x14ac:dyDescent="0.3">
      <c r="A1262" s="1" t="str">
        <f>Pop[[#This Row],[State]]&amp;" "&amp;Pop[[#This Row],[County]]</f>
        <v>MD Talbot</v>
      </c>
      <c r="B1262" t="s">
        <v>193</v>
      </c>
      <c r="C1262" s="30" t="s">
        <v>675</v>
      </c>
      <c r="D1262" s="16">
        <v>37782</v>
      </c>
    </row>
    <row r="1263" spans="1:4" x14ac:dyDescent="0.3">
      <c r="A1263" s="1" t="str">
        <f>Pop[[#This Row],[State]]&amp;" "&amp;Pop[[#This Row],[County]]</f>
        <v>MD Washington</v>
      </c>
      <c r="B1263" t="s">
        <v>193</v>
      </c>
      <c r="C1263" s="30" t="s">
        <v>65</v>
      </c>
      <c r="D1263" s="16">
        <v>147430</v>
      </c>
    </row>
    <row r="1264" spans="1:4" x14ac:dyDescent="0.3">
      <c r="A1264" s="1" t="str">
        <f>Pop[[#This Row],[State]]&amp;" "&amp;Pop[[#This Row],[County]]</f>
        <v>MD Wicomico</v>
      </c>
      <c r="B1264" t="s">
        <v>193</v>
      </c>
      <c r="C1264" s="30" t="s">
        <v>1058</v>
      </c>
      <c r="D1264" s="16">
        <v>98733</v>
      </c>
    </row>
    <row r="1265" spans="1:4" x14ac:dyDescent="0.3">
      <c r="A1265" s="1" t="str">
        <f>Pop[[#This Row],[State]]&amp;" "&amp;Pop[[#This Row],[County]]</f>
        <v>MD Worcester</v>
      </c>
      <c r="B1265" t="s">
        <v>193</v>
      </c>
      <c r="C1265" s="30" t="s">
        <v>1042</v>
      </c>
      <c r="D1265" s="16">
        <v>51454</v>
      </c>
    </row>
    <row r="1266" spans="1:4" x14ac:dyDescent="0.3">
      <c r="A1266" s="1" t="str">
        <f>Pop[[#This Row],[State]]&amp;" "&amp;Pop[[#This Row],[County]]</f>
        <v>MD State Agencies</v>
      </c>
      <c r="B1266" t="s">
        <v>193</v>
      </c>
      <c r="C1266" s="30" t="s">
        <v>243</v>
      </c>
      <c r="D1266" s="16" t="s">
        <v>244</v>
      </c>
    </row>
    <row r="1267" spans="1:4" x14ac:dyDescent="0.3">
      <c r="A1267" s="1" t="str">
        <f>Pop[[#This Row],[State]]&amp;" "&amp;Pop[[#This Row],[County]]</f>
        <v>MD Grand Total</v>
      </c>
      <c r="B1267" t="s">
        <v>193</v>
      </c>
      <c r="C1267" s="30" t="s">
        <v>67</v>
      </c>
      <c r="D1267" s="16">
        <v>5773552</v>
      </c>
    </row>
    <row r="1268" spans="1:4" x14ac:dyDescent="0.3">
      <c r="A1268" s="1" t="str">
        <f>Pop[[#This Row],[State]]&amp;" "&amp;Pop[[#This Row],[County]]</f>
        <v>ME Androscoggin</v>
      </c>
      <c r="B1268" t="s">
        <v>157</v>
      </c>
      <c r="C1268" s="30" t="s">
        <v>1059</v>
      </c>
      <c r="D1268" s="16">
        <v>107702</v>
      </c>
    </row>
    <row r="1269" spans="1:4" x14ac:dyDescent="0.3">
      <c r="A1269" s="1" t="str">
        <f>Pop[[#This Row],[State]]&amp;" "&amp;Pop[[#This Row],[County]]</f>
        <v>ME Aroostook</v>
      </c>
      <c r="B1269" t="s">
        <v>157</v>
      </c>
      <c r="C1269" s="30" t="s">
        <v>1060</v>
      </c>
      <c r="D1269" s="16">
        <v>71870</v>
      </c>
    </row>
    <row r="1270" spans="1:4" x14ac:dyDescent="0.3">
      <c r="A1270" s="1" t="str">
        <f>Pop[[#This Row],[State]]&amp;" "&amp;Pop[[#This Row],[County]]</f>
        <v>ME Cumberland</v>
      </c>
      <c r="B1270" t="s">
        <v>157</v>
      </c>
      <c r="C1270" s="30" t="s">
        <v>790</v>
      </c>
      <c r="D1270" s="16">
        <v>281674</v>
      </c>
    </row>
    <row r="1271" spans="1:4" x14ac:dyDescent="0.3">
      <c r="A1271" s="1" t="str">
        <f>Pop[[#This Row],[State]]&amp;" "&amp;Pop[[#This Row],[County]]</f>
        <v>ME Franklin</v>
      </c>
      <c r="B1271" t="s">
        <v>157</v>
      </c>
      <c r="C1271" s="30" t="s">
        <v>43</v>
      </c>
      <c r="D1271" s="16">
        <v>30768</v>
      </c>
    </row>
    <row r="1272" spans="1:4" x14ac:dyDescent="0.3">
      <c r="A1272" s="1" t="str">
        <f>Pop[[#This Row],[State]]&amp;" "&amp;Pop[[#This Row],[County]]</f>
        <v>ME Hancock</v>
      </c>
      <c r="B1272" t="s">
        <v>157</v>
      </c>
      <c r="C1272" s="30" t="s">
        <v>641</v>
      </c>
      <c r="D1272" s="16">
        <v>54418</v>
      </c>
    </row>
    <row r="1273" spans="1:4" x14ac:dyDescent="0.3">
      <c r="A1273" s="1" t="str">
        <f>Pop[[#This Row],[State]]&amp;" "&amp;Pop[[#This Row],[County]]</f>
        <v>ME Kennebec</v>
      </c>
      <c r="B1273" t="s">
        <v>157</v>
      </c>
      <c r="C1273" s="30" t="s">
        <v>1061</v>
      </c>
      <c r="D1273" s="16">
        <v>122151</v>
      </c>
    </row>
    <row r="1274" spans="1:4" x14ac:dyDescent="0.3">
      <c r="A1274" s="1" t="str">
        <f>Pop[[#This Row],[State]]&amp;" "&amp;Pop[[#This Row],[County]]</f>
        <v>ME Knox</v>
      </c>
      <c r="B1274" t="s">
        <v>157</v>
      </c>
      <c r="C1274" s="30" t="s">
        <v>804</v>
      </c>
      <c r="D1274" s="16">
        <v>39736</v>
      </c>
    </row>
    <row r="1275" spans="1:4" x14ac:dyDescent="0.3">
      <c r="A1275" s="1" t="str">
        <f>Pop[[#This Row],[State]]&amp;" "&amp;Pop[[#This Row],[County]]</f>
        <v>ME Lincoln</v>
      </c>
      <c r="B1275" t="s">
        <v>157</v>
      </c>
      <c r="C1275" s="30" t="s">
        <v>378</v>
      </c>
      <c r="D1275" s="16">
        <v>34457</v>
      </c>
    </row>
    <row r="1276" spans="1:4" x14ac:dyDescent="0.3">
      <c r="A1276" s="1" t="str">
        <f>Pop[[#This Row],[State]]&amp;" "&amp;Pop[[#This Row],[County]]</f>
        <v>ME Oxford</v>
      </c>
      <c r="B1276" t="s">
        <v>157</v>
      </c>
      <c r="C1276" s="30" t="s">
        <v>1062</v>
      </c>
      <c r="D1276" s="16">
        <v>57833</v>
      </c>
    </row>
    <row r="1277" spans="1:4" x14ac:dyDescent="0.3">
      <c r="A1277" s="1" t="str">
        <f>Pop[[#This Row],[State]]&amp;" "&amp;Pop[[#This Row],[County]]</f>
        <v>ME Penobscot</v>
      </c>
      <c r="B1277" t="s">
        <v>157</v>
      </c>
      <c r="C1277" s="30" t="s">
        <v>1063</v>
      </c>
      <c r="D1277" s="16">
        <v>153923</v>
      </c>
    </row>
    <row r="1278" spans="1:4" x14ac:dyDescent="0.3">
      <c r="A1278" s="1" t="str">
        <f>Pop[[#This Row],[State]]&amp;" "&amp;Pop[[#This Row],[County]]</f>
        <v>ME Piscataquis</v>
      </c>
      <c r="B1278" t="s">
        <v>157</v>
      </c>
      <c r="C1278" s="30" t="s">
        <v>1064</v>
      </c>
      <c r="D1278" s="16">
        <v>17535</v>
      </c>
    </row>
    <row r="1279" spans="1:4" x14ac:dyDescent="0.3">
      <c r="A1279" s="1" t="str">
        <f>Pop[[#This Row],[State]]&amp;" "&amp;Pop[[#This Row],[County]]</f>
        <v>ME Sagadahoc</v>
      </c>
      <c r="B1279" t="s">
        <v>157</v>
      </c>
      <c r="C1279" s="30" t="s">
        <v>1065</v>
      </c>
      <c r="D1279" s="16">
        <v>35293</v>
      </c>
    </row>
    <row r="1280" spans="1:4" x14ac:dyDescent="0.3">
      <c r="A1280" s="1" t="str">
        <f>Pop[[#This Row],[State]]&amp;" "&amp;Pop[[#This Row],[County]]</f>
        <v>ME Somerset</v>
      </c>
      <c r="B1280" t="s">
        <v>157</v>
      </c>
      <c r="C1280" s="30" t="s">
        <v>1056</v>
      </c>
      <c r="D1280" s="16">
        <v>52228</v>
      </c>
    </row>
    <row r="1281" spans="1:4" x14ac:dyDescent="0.3">
      <c r="A1281" s="1" t="str">
        <f>Pop[[#This Row],[State]]&amp;" "&amp;Pop[[#This Row],[County]]</f>
        <v>ME Waldo</v>
      </c>
      <c r="B1281" t="s">
        <v>157</v>
      </c>
      <c r="C1281" s="30" t="s">
        <v>1066</v>
      </c>
      <c r="D1281" s="16">
        <v>38786</v>
      </c>
    </row>
    <row r="1282" spans="1:4" x14ac:dyDescent="0.3">
      <c r="A1282" s="1" t="str">
        <f>Pop[[#This Row],[State]]&amp;" "&amp;Pop[[#This Row],[County]]</f>
        <v>ME Washington</v>
      </c>
      <c r="B1282" t="s">
        <v>157</v>
      </c>
      <c r="C1282" s="30" t="s">
        <v>65</v>
      </c>
      <c r="D1282" s="16">
        <v>32856</v>
      </c>
    </row>
    <row r="1283" spans="1:4" x14ac:dyDescent="0.3">
      <c r="A1283" s="1" t="str">
        <f>Pop[[#This Row],[State]]&amp;" "&amp;Pop[[#This Row],[County]]</f>
        <v>ME York</v>
      </c>
      <c r="B1283" t="s">
        <v>157</v>
      </c>
      <c r="C1283" s="30" t="s">
        <v>1067</v>
      </c>
      <c r="D1283" s="16">
        <v>197131</v>
      </c>
    </row>
    <row r="1284" spans="1:4" x14ac:dyDescent="0.3">
      <c r="A1284" s="1" t="str">
        <f>Pop[[#This Row],[State]]&amp;" "&amp;Pop[[#This Row],[County]]</f>
        <v>ME State Agencies</v>
      </c>
      <c r="B1284" t="s">
        <v>157</v>
      </c>
      <c r="C1284" s="30" t="s">
        <v>243</v>
      </c>
      <c r="D1284" s="16" t="s">
        <v>244</v>
      </c>
    </row>
    <row r="1285" spans="1:4" x14ac:dyDescent="0.3">
      <c r="A1285" s="1" t="str">
        <f>Pop[[#This Row],[State]]&amp;" "&amp;Pop[[#This Row],[County]]</f>
        <v>ME Grand Total</v>
      </c>
      <c r="B1285" t="s">
        <v>157</v>
      </c>
      <c r="C1285" s="30" t="s">
        <v>67</v>
      </c>
      <c r="D1285" s="16">
        <v>1328361</v>
      </c>
    </row>
    <row r="1286" spans="1:4" x14ac:dyDescent="0.3">
      <c r="A1286" s="1" t="str">
        <f>Pop[[#This Row],[State]]&amp;" "&amp;Pop[[#This Row],[County]]</f>
        <v>MI Alcona</v>
      </c>
      <c r="B1286" t="s">
        <v>235</v>
      </c>
      <c r="C1286" s="30" t="s">
        <v>1068</v>
      </c>
      <c r="D1286" s="16">
        <v>10167</v>
      </c>
    </row>
    <row r="1287" spans="1:4" x14ac:dyDescent="0.3">
      <c r="A1287" s="1" t="str">
        <f>Pop[[#This Row],[State]]&amp;" "&amp;Pop[[#This Row],[County]]</f>
        <v>MI Alger</v>
      </c>
      <c r="B1287" t="s">
        <v>235</v>
      </c>
      <c r="C1287" s="30" t="s">
        <v>1069</v>
      </c>
      <c r="D1287" s="16">
        <v>8842</v>
      </c>
    </row>
    <row r="1288" spans="1:4" x14ac:dyDescent="0.3">
      <c r="A1288" s="1" t="str">
        <f>Pop[[#This Row],[State]]&amp;" "&amp;Pop[[#This Row],[County]]</f>
        <v>MI Allegan</v>
      </c>
      <c r="B1288" t="s">
        <v>235</v>
      </c>
      <c r="C1288" s="30" t="s">
        <v>1070</v>
      </c>
      <c r="D1288" s="16">
        <v>120502</v>
      </c>
    </row>
    <row r="1289" spans="1:4" x14ac:dyDescent="0.3">
      <c r="A1289" s="1" t="str">
        <f>Pop[[#This Row],[State]]&amp;" "&amp;Pop[[#This Row],[County]]</f>
        <v>MI Alpena</v>
      </c>
      <c r="B1289" t="s">
        <v>235</v>
      </c>
      <c r="C1289" s="30" t="s">
        <v>1071</v>
      </c>
      <c r="D1289" s="16">
        <v>28907</v>
      </c>
    </row>
    <row r="1290" spans="1:4" x14ac:dyDescent="0.3">
      <c r="A1290" s="1" t="str">
        <f>Pop[[#This Row],[State]]&amp;" "&amp;Pop[[#This Row],[County]]</f>
        <v>MI Antrim</v>
      </c>
      <c r="B1290" t="s">
        <v>235</v>
      </c>
      <c r="C1290" s="30" t="s">
        <v>1072</v>
      </c>
      <c r="D1290" s="16">
        <v>23431</v>
      </c>
    </row>
    <row r="1291" spans="1:4" x14ac:dyDescent="0.3">
      <c r="A1291" s="1" t="str">
        <f>Pop[[#This Row],[State]]&amp;" "&amp;Pop[[#This Row],[County]]</f>
        <v>MI Arenac</v>
      </c>
      <c r="B1291" t="s">
        <v>235</v>
      </c>
      <c r="C1291" s="30" t="s">
        <v>1073</v>
      </c>
      <c r="D1291" s="16">
        <v>15002</v>
      </c>
    </row>
    <row r="1292" spans="1:4" x14ac:dyDescent="0.3">
      <c r="A1292" s="1" t="str">
        <f>Pop[[#This Row],[State]]&amp;" "&amp;Pop[[#This Row],[County]]</f>
        <v>MI Baraga</v>
      </c>
      <c r="B1292" t="s">
        <v>235</v>
      </c>
      <c r="C1292" s="30" t="s">
        <v>1074</v>
      </c>
      <c r="D1292" s="16">
        <v>8158</v>
      </c>
    </row>
    <row r="1293" spans="1:4" x14ac:dyDescent="0.3">
      <c r="A1293" s="1" t="str">
        <f>Pop[[#This Row],[State]]&amp;" "&amp;Pop[[#This Row],[County]]</f>
        <v>MI Barry</v>
      </c>
      <c r="B1293" t="s">
        <v>235</v>
      </c>
      <c r="C1293" s="30" t="s">
        <v>1075</v>
      </c>
      <c r="D1293" s="16">
        <v>62423</v>
      </c>
    </row>
    <row r="1294" spans="1:4" x14ac:dyDescent="0.3">
      <c r="A1294" s="1" t="str">
        <f>Pop[[#This Row],[State]]&amp;" "&amp;Pop[[#This Row],[County]]</f>
        <v>MI Bay</v>
      </c>
      <c r="B1294" t="s">
        <v>235</v>
      </c>
      <c r="C1294" s="30" t="s">
        <v>546</v>
      </c>
      <c r="D1294" s="16">
        <v>103856</v>
      </c>
    </row>
    <row r="1295" spans="1:4" x14ac:dyDescent="0.3">
      <c r="A1295" s="1" t="str">
        <f>Pop[[#This Row],[State]]&amp;" "&amp;Pop[[#This Row],[County]]</f>
        <v>MI Benzie</v>
      </c>
      <c r="B1295" t="s">
        <v>235</v>
      </c>
      <c r="C1295" s="30" t="s">
        <v>1076</v>
      </c>
      <c r="D1295" s="16">
        <v>17970</v>
      </c>
    </row>
    <row r="1296" spans="1:4" x14ac:dyDescent="0.3">
      <c r="A1296" s="1" t="str">
        <f>Pop[[#This Row],[State]]&amp;" "&amp;Pop[[#This Row],[County]]</f>
        <v>MI Berrien</v>
      </c>
      <c r="B1296" t="s">
        <v>235</v>
      </c>
      <c r="C1296" s="30" t="s">
        <v>599</v>
      </c>
      <c r="D1296" s="16">
        <v>154316</v>
      </c>
    </row>
    <row r="1297" spans="1:4" x14ac:dyDescent="0.3">
      <c r="A1297" s="1" t="str">
        <f>Pop[[#This Row],[State]]&amp;" "&amp;Pop[[#This Row],[County]]</f>
        <v>MI Branch</v>
      </c>
      <c r="B1297" t="s">
        <v>235</v>
      </c>
      <c r="C1297" s="30" t="s">
        <v>1077</v>
      </c>
      <c r="D1297" s="16">
        <v>44862</v>
      </c>
    </row>
    <row r="1298" spans="1:4" x14ac:dyDescent="0.3">
      <c r="A1298" s="1" t="str">
        <f>Pop[[#This Row],[State]]&amp;" "&amp;Pop[[#This Row],[County]]</f>
        <v>MI Calhoun</v>
      </c>
      <c r="B1298" t="s">
        <v>235</v>
      </c>
      <c r="C1298" s="30" t="s">
        <v>270</v>
      </c>
      <c r="D1298" s="16">
        <v>134310</v>
      </c>
    </row>
    <row r="1299" spans="1:4" x14ac:dyDescent="0.3">
      <c r="A1299" s="1" t="str">
        <f>Pop[[#This Row],[State]]&amp;" "&amp;Pop[[#This Row],[County]]</f>
        <v>MI Cass</v>
      </c>
      <c r="B1299" t="s">
        <v>235</v>
      </c>
      <c r="C1299" s="30" t="s">
        <v>711</v>
      </c>
      <c r="D1299" s="16">
        <v>51589</v>
      </c>
    </row>
    <row r="1300" spans="1:4" x14ac:dyDescent="0.3">
      <c r="A1300" s="1" t="str">
        <f>Pop[[#This Row],[State]]&amp;" "&amp;Pop[[#This Row],[County]]</f>
        <v>MI Charlevoix</v>
      </c>
      <c r="B1300" t="s">
        <v>235</v>
      </c>
      <c r="C1300" s="30" t="s">
        <v>1078</v>
      </c>
      <c r="D1300" s="16">
        <v>26054</v>
      </c>
    </row>
    <row r="1301" spans="1:4" x14ac:dyDescent="0.3">
      <c r="A1301" s="1" t="str">
        <f>Pop[[#This Row],[State]]&amp;" "&amp;Pop[[#This Row],[County]]</f>
        <v>MI Cheboygan</v>
      </c>
      <c r="B1301" t="s">
        <v>235</v>
      </c>
      <c r="C1301" s="30" t="s">
        <v>1079</v>
      </c>
      <c r="D1301" s="16">
        <v>25579</v>
      </c>
    </row>
    <row r="1302" spans="1:4" x14ac:dyDescent="0.3">
      <c r="A1302" s="1" t="str">
        <f>Pop[[#This Row],[State]]&amp;" "&amp;Pop[[#This Row],[County]]</f>
        <v>MI Chippewa</v>
      </c>
      <c r="B1302" t="s">
        <v>235</v>
      </c>
      <c r="C1302" s="30" t="s">
        <v>1080</v>
      </c>
      <c r="D1302" s="16">
        <v>36785</v>
      </c>
    </row>
    <row r="1303" spans="1:4" x14ac:dyDescent="0.3">
      <c r="A1303" s="1" t="str">
        <f>Pop[[#This Row],[State]]&amp;" "&amp;Pop[[#This Row],[County]]</f>
        <v>MI Clare</v>
      </c>
      <c r="B1303" t="s">
        <v>235</v>
      </c>
      <c r="C1303" s="30" t="s">
        <v>1081</v>
      </c>
      <c r="D1303" s="16">
        <v>30856</v>
      </c>
    </row>
    <row r="1304" spans="1:4" x14ac:dyDescent="0.3">
      <c r="A1304" s="1" t="str">
        <f>Pop[[#This Row],[State]]&amp;" "&amp;Pop[[#This Row],[County]]</f>
        <v>MI Clinton</v>
      </c>
      <c r="B1304" t="s">
        <v>235</v>
      </c>
      <c r="C1304" s="30" t="s">
        <v>715</v>
      </c>
      <c r="D1304" s="16">
        <v>79128</v>
      </c>
    </row>
    <row r="1305" spans="1:4" x14ac:dyDescent="0.3">
      <c r="A1305" s="1" t="str">
        <f>Pop[[#This Row],[State]]&amp;" "&amp;Pop[[#This Row],[County]]</f>
        <v>MI Crawford</v>
      </c>
      <c r="B1305" t="s">
        <v>235</v>
      </c>
      <c r="C1305" s="30" t="s">
        <v>40</v>
      </c>
      <c r="D1305" s="16">
        <v>12988</v>
      </c>
    </row>
    <row r="1306" spans="1:4" x14ac:dyDescent="0.3">
      <c r="A1306" s="1" t="str">
        <f>Pop[[#This Row],[State]]&amp;" "&amp;Pop[[#This Row],[County]]</f>
        <v>MI Delta</v>
      </c>
      <c r="B1306" t="s">
        <v>235</v>
      </c>
      <c r="C1306" s="30" t="s">
        <v>493</v>
      </c>
      <c r="D1306" s="16">
        <v>36903</v>
      </c>
    </row>
    <row r="1307" spans="1:4" x14ac:dyDescent="0.3">
      <c r="A1307" s="1" t="str">
        <f>Pop[[#This Row],[State]]&amp;" "&amp;Pop[[#This Row],[County]]</f>
        <v>MI Dickinson</v>
      </c>
      <c r="B1307" t="s">
        <v>235</v>
      </c>
      <c r="C1307" s="30" t="s">
        <v>718</v>
      </c>
      <c r="D1307" s="16">
        <v>25947</v>
      </c>
    </row>
    <row r="1308" spans="1:4" x14ac:dyDescent="0.3">
      <c r="A1308" s="1" t="str">
        <f>Pop[[#This Row],[State]]&amp;" "&amp;Pop[[#This Row],[County]]</f>
        <v>MI Eaton</v>
      </c>
      <c r="B1308" t="s">
        <v>235</v>
      </c>
      <c r="C1308" s="30" t="s">
        <v>1082</v>
      </c>
      <c r="D1308" s="16">
        <v>109175</v>
      </c>
    </row>
    <row r="1309" spans="1:4" x14ac:dyDescent="0.3">
      <c r="A1309" s="1" t="str">
        <f>Pop[[#This Row],[State]]&amp;" "&amp;Pop[[#This Row],[County]]</f>
        <v>MI Emmet</v>
      </c>
      <c r="B1309" t="s">
        <v>235</v>
      </c>
      <c r="C1309" s="30" t="s">
        <v>720</v>
      </c>
      <c r="D1309" s="16">
        <v>34112</v>
      </c>
    </row>
    <row r="1310" spans="1:4" x14ac:dyDescent="0.3">
      <c r="A1310" s="1" t="str">
        <f>Pop[[#This Row],[State]]&amp;" "&amp;Pop[[#This Row],[County]]</f>
        <v>MI Genesee</v>
      </c>
      <c r="B1310" t="s">
        <v>235</v>
      </c>
      <c r="C1310" s="30" t="s">
        <v>1083</v>
      </c>
      <c r="D1310" s="16">
        <v>406211</v>
      </c>
    </row>
    <row r="1311" spans="1:4" x14ac:dyDescent="0.3">
      <c r="A1311" s="1" t="str">
        <f>Pop[[#This Row],[State]]&amp;" "&amp;Pop[[#This Row],[County]]</f>
        <v>MI Gladwin</v>
      </c>
      <c r="B1311" t="s">
        <v>235</v>
      </c>
      <c r="C1311" s="30" t="s">
        <v>1084</v>
      </c>
      <c r="D1311" s="16">
        <v>25386</v>
      </c>
    </row>
    <row r="1312" spans="1:4" x14ac:dyDescent="0.3">
      <c r="A1312" s="1" t="str">
        <f>Pop[[#This Row],[State]]&amp;" "&amp;Pop[[#This Row],[County]]</f>
        <v>MI Gogebic</v>
      </c>
      <c r="B1312" t="s">
        <v>235</v>
      </c>
      <c r="C1312" s="30" t="s">
        <v>1085</v>
      </c>
      <c r="D1312" s="16">
        <v>14380</v>
      </c>
    </row>
    <row r="1313" spans="1:4" x14ac:dyDescent="0.3">
      <c r="A1313" s="1" t="str">
        <f>Pop[[#This Row],[State]]&amp;" "&amp;Pop[[#This Row],[County]]</f>
        <v>MI Grand Traverse</v>
      </c>
      <c r="B1313" t="s">
        <v>235</v>
      </c>
      <c r="C1313" s="30" t="s">
        <v>1086</v>
      </c>
      <c r="D1313" s="16">
        <v>95238</v>
      </c>
    </row>
    <row r="1314" spans="1:4" x14ac:dyDescent="0.3">
      <c r="A1314" s="1" t="str">
        <f>Pop[[#This Row],[State]]&amp;" "&amp;Pop[[#This Row],[County]]</f>
        <v>MI Gratiot</v>
      </c>
      <c r="B1314" t="s">
        <v>235</v>
      </c>
      <c r="C1314" s="30" t="s">
        <v>1087</v>
      </c>
      <c r="D1314" s="16">
        <v>41761</v>
      </c>
    </row>
    <row r="1315" spans="1:4" x14ac:dyDescent="0.3">
      <c r="A1315" s="1" t="str">
        <f>Pop[[#This Row],[State]]&amp;" "&amp;Pop[[#This Row],[County]]</f>
        <v>MI Hillsdale</v>
      </c>
      <c r="B1315" t="s">
        <v>235</v>
      </c>
      <c r="C1315" s="30" t="s">
        <v>1088</v>
      </c>
      <c r="D1315" s="16">
        <v>45746</v>
      </c>
    </row>
    <row r="1316" spans="1:4" x14ac:dyDescent="0.3">
      <c r="A1316" s="1" t="str">
        <f>Pop[[#This Row],[State]]&amp;" "&amp;Pop[[#This Row],[County]]</f>
        <v>MI Houghton</v>
      </c>
      <c r="B1316" t="s">
        <v>235</v>
      </c>
      <c r="C1316" s="30" t="s">
        <v>1089</v>
      </c>
      <c r="D1316" s="16">
        <v>37361</v>
      </c>
    </row>
    <row r="1317" spans="1:4" x14ac:dyDescent="0.3">
      <c r="A1317" s="1" t="str">
        <f>Pop[[#This Row],[State]]&amp;" "&amp;Pop[[#This Row],[County]]</f>
        <v>MI Huron</v>
      </c>
      <c r="B1317" t="s">
        <v>235</v>
      </c>
      <c r="C1317" s="30" t="s">
        <v>1090</v>
      </c>
      <c r="D1317" s="16">
        <v>31407</v>
      </c>
    </row>
    <row r="1318" spans="1:4" x14ac:dyDescent="0.3">
      <c r="A1318" s="1" t="str">
        <f>Pop[[#This Row],[State]]&amp;" "&amp;Pop[[#This Row],[County]]</f>
        <v>MI Ingham</v>
      </c>
      <c r="B1318" t="s">
        <v>235</v>
      </c>
      <c r="C1318" s="30" t="s">
        <v>1091</v>
      </c>
      <c r="D1318" s="16">
        <v>284900</v>
      </c>
    </row>
    <row r="1319" spans="1:4" x14ac:dyDescent="0.3">
      <c r="A1319" s="1" t="str">
        <f>Pop[[#This Row],[State]]&amp;" "&amp;Pop[[#This Row],[County]]</f>
        <v>MI Ionia</v>
      </c>
      <c r="B1319" t="s">
        <v>235</v>
      </c>
      <c r="C1319" s="30" t="s">
        <v>1092</v>
      </c>
      <c r="D1319" s="16">
        <v>66804</v>
      </c>
    </row>
    <row r="1320" spans="1:4" x14ac:dyDescent="0.3">
      <c r="A1320" s="1" t="str">
        <f>Pop[[#This Row],[State]]&amp;" "&amp;Pop[[#This Row],[County]]</f>
        <v>MI Iosco</v>
      </c>
      <c r="B1320" t="s">
        <v>235</v>
      </c>
      <c r="C1320" s="30" t="s">
        <v>1093</v>
      </c>
      <c r="D1320" s="16">
        <v>25237</v>
      </c>
    </row>
    <row r="1321" spans="1:4" x14ac:dyDescent="0.3">
      <c r="A1321" s="1" t="str">
        <f>Pop[[#This Row],[State]]&amp;" "&amp;Pop[[#This Row],[County]]</f>
        <v>MI Iron</v>
      </c>
      <c r="B1321" t="s">
        <v>235</v>
      </c>
      <c r="C1321" s="30" t="s">
        <v>1094</v>
      </c>
      <c r="D1321" s="16">
        <v>11631</v>
      </c>
    </row>
    <row r="1322" spans="1:4" x14ac:dyDescent="0.3">
      <c r="A1322" s="1" t="str">
        <f>Pop[[#This Row],[State]]&amp;" "&amp;Pop[[#This Row],[County]]</f>
        <v>MI Isabella</v>
      </c>
      <c r="B1322" t="s">
        <v>235</v>
      </c>
      <c r="C1322" s="30" t="s">
        <v>1095</v>
      </c>
      <c r="D1322" s="16">
        <v>64394</v>
      </c>
    </row>
    <row r="1323" spans="1:4" x14ac:dyDescent="0.3">
      <c r="A1323" s="1" t="str">
        <f>Pop[[#This Row],[State]]&amp;" "&amp;Pop[[#This Row],[County]]</f>
        <v>MI Jackson</v>
      </c>
      <c r="B1323" t="s">
        <v>235</v>
      </c>
      <c r="C1323" s="30" t="s">
        <v>46</v>
      </c>
      <c r="D1323" s="16">
        <v>160366</v>
      </c>
    </row>
    <row r="1324" spans="1:4" x14ac:dyDescent="0.3">
      <c r="A1324" s="1" t="str">
        <f>Pop[[#This Row],[State]]&amp;" "&amp;Pop[[#This Row],[County]]</f>
        <v>MI Kalamazoo</v>
      </c>
      <c r="B1324" t="s">
        <v>235</v>
      </c>
      <c r="C1324" s="30" t="s">
        <v>1096</v>
      </c>
      <c r="D1324" s="16">
        <v>261670</v>
      </c>
    </row>
    <row r="1325" spans="1:4" x14ac:dyDescent="0.3">
      <c r="A1325" s="1" t="str">
        <f>Pop[[#This Row],[State]]&amp;" "&amp;Pop[[#This Row],[County]]</f>
        <v>MI Kalkaska</v>
      </c>
      <c r="B1325" t="s">
        <v>235</v>
      </c>
      <c r="C1325" s="30" t="s">
        <v>1097</v>
      </c>
      <c r="D1325" s="16">
        <v>17939</v>
      </c>
    </row>
    <row r="1326" spans="1:4" x14ac:dyDescent="0.3">
      <c r="A1326" s="1" t="str">
        <f>Pop[[#This Row],[State]]&amp;" "&amp;Pop[[#This Row],[County]]</f>
        <v>MI Kent</v>
      </c>
      <c r="B1326" t="s">
        <v>235</v>
      </c>
      <c r="C1326" s="30" t="s">
        <v>541</v>
      </c>
      <c r="D1326" s="16">
        <v>657974</v>
      </c>
    </row>
    <row r="1327" spans="1:4" x14ac:dyDescent="0.3">
      <c r="A1327" s="1" t="str">
        <f>Pop[[#This Row],[State]]&amp;" "&amp;Pop[[#This Row],[County]]</f>
        <v>MI Keweenaw</v>
      </c>
      <c r="B1327" t="s">
        <v>235</v>
      </c>
      <c r="C1327" s="30" t="s">
        <v>1098</v>
      </c>
      <c r="D1327" s="16">
        <v>2046</v>
      </c>
    </row>
    <row r="1328" spans="1:4" x14ac:dyDescent="0.3">
      <c r="A1328" s="1" t="str">
        <f>Pop[[#This Row],[State]]&amp;" "&amp;Pop[[#This Row],[County]]</f>
        <v>MI Lake</v>
      </c>
      <c r="B1328" t="s">
        <v>235</v>
      </c>
      <c r="C1328" s="30" t="s">
        <v>439</v>
      </c>
      <c r="D1328" s="16">
        <v>12096</v>
      </c>
    </row>
    <row r="1329" spans="1:4" x14ac:dyDescent="0.3">
      <c r="A1329" s="1" t="str">
        <f>Pop[[#This Row],[State]]&amp;" "&amp;Pop[[#This Row],[County]]</f>
        <v>MI Lapeer</v>
      </c>
      <c r="B1329" t="s">
        <v>235</v>
      </c>
      <c r="C1329" s="30" t="s">
        <v>1099</v>
      </c>
      <c r="D1329" s="16">
        <v>88619</v>
      </c>
    </row>
    <row r="1330" spans="1:4" x14ac:dyDescent="0.3">
      <c r="A1330" s="1" t="str">
        <f>Pop[[#This Row],[State]]&amp;" "&amp;Pop[[#This Row],[County]]</f>
        <v>MI Leelanau</v>
      </c>
      <c r="B1330" t="s">
        <v>235</v>
      </c>
      <c r="C1330" s="30" t="s">
        <v>1100</v>
      </c>
      <c r="D1330" s="16">
        <v>22301</v>
      </c>
    </row>
    <row r="1331" spans="1:4" x14ac:dyDescent="0.3">
      <c r="A1331" s="1" t="str">
        <f>Pop[[#This Row],[State]]&amp;" "&amp;Pop[[#This Row],[County]]</f>
        <v>MI Lenawee</v>
      </c>
      <c r="B1331" t="s">
        <v>235</v>
      </c>
      <c r="C1331" s="30" t="s">
        <v>1101</v>
      </c>
      <c r="D1331" s="16">
        <v>99423</v>
      </c>
    </row>
    <row r="1332" spans="1:4" x14ac:dyDescent="0.3">
      <c r="A1332" s="1" t="str">
        <f>Pop[[#This Row],[State]]&amp;" "&amp;Pop[[#This Row],[County]]</f>
        <v>MI Livingston</v>
      </c>
      <c r="B1332" t="s">
        <v>235</v>
      </c>
      <c r="C1332" s="30" t="s">
        <v>806</v>
      </c>
      <c r="D1332" s="16">
        <v>193866</v>
      </c>
    </row>
    <row r="1333" spans="1:4" x14ac:dyDescent="0.3">
      <c r="A1333" s="1" t="str">
        <f>Pop[[#This Row],[State]]&amp;" "&amp;Pop[[#This Row],[County]]</f>
        <v>MI Luce</v>
      </c>
      <c r="B1333" t="s">
        <v>235</v>
      </c>
      <c r="C1333" s="30" t="s">
        <v>1102</v>
      </c>
      <c r="D1333" s="16">
        <v>5339</v>
      </c>
    </row>
    <row r="1334" spans="1:4" x14ac:dyDescent="0.3">
      <c r="A1334" s="1" t="str">
        <f>Pop[[#This Row],[State]]&amp;" "&amp;Pop[[#This Row],[County]]</f>
        <v>MI Mackinac</v>
      </c>
      <c r="B1334" t="s">
        <v>235</v>
      </c>
      <c r="C1334" s="30" t="s">
        <v>1103</v>
      </c>
      <c r="D1334" s="16">
        <v>10834</v>
      </c>
    </row>
    <row r="1335" spans="1:4" x14ac:dyDescent="0.3">
      <c r="A1335" s="1" t="str">
        <f>Pop[[#This Row],[State]]&amp;" "&amp;Pop[[#This Row],[County]]</f>
        <v>MI Macomb</v>
      </c>
      <c r="B1335" t="s">
        <v>235</v>
      </c>
      <c r="C1335" s="30" t="s">
        <v>1104</v>
      </c>
      <c r="D1335" s="16">
        <v>881217</v>
      </c>
    </row>
    <row r="1336" spans="1:4" x14ac:dyDescent="0.3">
      <c r="A1336" s="1" t="str">
        <f>Pop[[#This Row],[State]]&amp;" "&amp;Pop[[#This Row],[County]]</f>
        <v>MI Manistee</v>
      </c>
      <c r="B1336" t="s">
        <v>235</v>
      </c>
      <c r="C1336" s="30" t="s">
        <v>1105</v>
      </c>
      <c r="D1336" s="16">
        <v>25032</v>
      </c>
    </row>
    <row r="1337" spans="1:4" x14ac:dyDescent="0.3">
      <c r="A1337" s="1" t="str">
        <f>Pop[[#This Row],[State]]&amp;" "&amp;Pop[[#This Row],[County]]</f>
        <v>MI Marquette</v>
      </c>
      <c r="B1337" t="s">
        <v>235</v>
      </c>
      <c r="C1337" s="30" t="s">
        <v>1106</v>
      </c>
      <c r="D1337" s="16">
        <v>66017</v>
      </c>
    </row>
    <row r="1338" spans="1:4" x14ac:dyDescent="0.3">
      <c r="A1338" s="1" t="str">
        <f>Pop[[#This Row],[State]]&amp;" "&amp;Pop[[#This Row],[County]]</f>
        <v>MI Mason</v>
      </c>
      <c r="B1338" t="s">
        <v>235</v>
      </c>
      <c r="C1338" s="30" t="s">
        <v>808</v>
      </c>
      <c r="D1338" s="16">
        <v>29052</v>
      </c>
    </row>
    <row r="1339" spans="1:4" x14ac:dyDescent="0.3">
      <c r="A1339" s="1" t="str">
        <f>Pop[[#This Row],[State]]&amp;" "&amp;Pop[[#This Row],[County]]</f>
        <v>MI Mecosta</v>
      </c>
      <c r="B1339" t="s">
        <v>235</v>
      </c>
      <c r="C1339" s="30" t="s">
        <v>1107</v>
      </c>
      <c r="D1339" s="16">
        <v>39714</v>
      </c>
    </row>
    <row r="1340" spans="1:4" x14ac:dyDescent="0.3">
      <c r="A1340" s="1" t="str">
        <f>Pop[[#This Row],[State]]&amp;" "&amp;Pop[[#This Row],[County]]</f>
        <v>MI Menominee</v>
      </c>
      <c r="B1340" t="s">
        <v>235</v>
      </c>
      <c r="C1340" s="30" t="s">
        <v>1108</v>
      </c>
      <c r="D1340" s="16">
        <v>23502</v>
      </c>
    </row>
    <row r="1341" spans="1:4" x14ac:dyDescent="0.3">
      <c r="A1341" s="1" t="str">
        <f>Pop[[#This Row],[State]]&amp;" "&amp;Pop[[#This Row],[County]]</f>
        <v>MI Midland</v>
      </c>
      <c r="B1341" t="s">
        <v>235</v>
      </c>
      <c r="C1341" s="30" t="s">
        <v>1109</v>
      </c>
      <c r="D1341" s="16">
        <v>83494</v>
      </c>
    </row>
    <row r="1342" spans="1:4" x14ac:dyDescent="0.3">
      <c r="A1342" s="1" t="str">
        <f>Pop[[#This Row],[State]]&amp;" "&amp;Pop[[#This Row],[County]]</f>
        <v>MI Missaukee</v>
      </c>
      <c r="B1342" t="s">
        <v>235</v>
      </c>
      <c r="C1342" s="30" t="s">
        <v>1110</v>
      </c>
      <c r="D1342" s="16">
        <v>15052</v>
      </c>
    </row>
    <row r="1343" spans="1:4" x14ac:dyDescent="0.3">
      <c r="A1343" s="1" t="str">
        <f>Pop[[#This Row],[State]]&amp;" "&amp;Pop[[#This Row],[County]]</f>
        <v>MI Monroe</v>
      </c>
      <c r="B1343" t="s">
        <v>235</v>
      </c>
      <c r="C1343" s="30" t="s">
        <v>339</v>
      </c>
      <c r="D1343" s="16">
        <v>154809</v>
      </c>
    </row>
    <row r="1344" spans="1:4" x14ac:dyDescent="0.3">
      <c r="A1344" s="1" t="str">
        <f>Pop[[#This Row],[State]]&amp;" "&amp;Pop[[#This Row],[County]]</f>
        <v>MI Montcalm</v>
      </c>
      <c r="B1344" t="s">
        <v>235</v>
      </c>
      <c r="C1344" s="30" t="s">
        <v>1111</v>
      </c>
      <c r="D1344" s="16">
        <v>66614</v>
      </c>
    </row>
    <row r="1345" spans="1:4" x14ac:dyDescent="0.3">
      <c r="A1345" s="1" t="str">
        <f>Pop[[#This Row],[State]]&amp;" "&amp;Pop[[#This Row],[County]]</f>
        <v>MI Montmorency</v>
      </c>
      <c r="B1345" t="s">
        <v>235</v>
      </c>
      <c r="C1345" s="30" t="s">
        <v>1112</v>
      </c>
      <c r="D1345" s="16">
        <v>9153</v>
      </c>
    </row>
    <row r="1346" spans="1:4" x14ac:dyDescent="0.3">
      <c r="A1346" s="1" t="str">
        <f>Pop[[#This Row],[State]]&amp;" "&amp;Pop[[#This Row],[County]]</f>
        <v>MI Muskegon</v>
      </c>
      <c r="B1346" t="s">
        <v>235</v>
      </c>
      <c r="C1346" s="30" t="s">
        <v>1113</v>
      </c>
      <c r="D1346" s="16">
        <v>175824</v>
      </c>
    </row>
    <row r="1347" spans="1:4" x14ac:dyDescent="0.3">
      <c r="A1347" s="1" t="str">
        <f>Pop[[#This Row],[State]]&amp;" "&amp;Pop[[#This Row],[County]]</f>
        <v>MI Newaygo</v>
      </c>
      <c r="B1347" t="s">
        <v>235</v>
      </c>
      <c r="C1347" s="30" t="s">
        <v>1114</v>
      </c>
      <c r="D1347" s="16">
        <v>49978</v>
      </c>
    </row>
    <row r="1348" spans="1:4" x14ac:dyDescent="0.3">
      <c r="A1348" s="1" t="str">
        <f>Pop[[#This Row],[State]]&amp;" "&amp;Pop[[#This Row],[County]]</f>
        <v>MI Oakland</v>
      </c>
      <c r="B1348" t="s">
        <v>235</v>
      </c>
      <c r="C1348" s="30" t="s">
        <v>1115</v>
      </c>
      <c r="D1348" s="16">
        <v>1274395</v>
      </c>
    </row>
    <row r="1349" spans="1:4" x14ac:dyDescent="0.3">
      <c r="A1349" s="1" t="str">
        <f>Pop[[#This Row],[State]]&amp;" "&amp;Pop[[#This Row],[County]]</f>
        <v>MI Oceana</v>
      </c>
      <c r="B1349" t="s">
        <v>235</v>
      </c>
      <c r="C1349" s="30" t="s">
        <v>1116</v>
      </c>
      <c r="D1349" s="16">
        <v>26659</v>
      </c>
    </row>
    <row r="1350" spans="1:4" x14ac:dyDescent="0.3">
      <c r="A1350" s="1" t="str">
        <f>Pop[[#This Row],[State]]&amp;" "&amp;Pop[[#This Row],[County]]</f>
        <v>MI Ogemaw</v>
      </c>
      <c r="B1350" t="s">
        <v>235</v>
      </c>
      <c r="C1350" s="30" t="s">
        <v>1117</v>
      </c>
      <c r="D1350" s="16">
        <v>20770</v>
      </c>
    </row>
    <row r="1351" spans="1:4" x14ac:dyDescent="0.3">
      <c r="A1351" s="1" t="str">
        <f>Pop[[#This Row],[State]]&amp;" "&amp;Pop[[#This Row],[County]]</f>
        <v>MI Ontonagon</v>
      </c>
      <c r="B1351" t="s">
        <v>235</v>
      </c>
      <c r="C1351" s="30" t="s">
        <v>1118</v>
      </c>
      <c r="D1351" s="16">
        <v>5816</v>
      </c>
    </row>
    <row r="1352" spans="1:4" x14ac:dyDescent="0.3">
      <c r="A1352" s="1" t="str">
        <f>Pop[[#This Row],[State]]&amp;" "&amp;Pop[[#This Row],[County]]</f>
        <v>MI Osceola</v>
      </c>
      <c r="B1352" t="s">
        <v>235</v>
      </c>
      <c r="C1352" s="30" t="s">
        <v>577</v>
      </c>
      <c r="D1352" s="16">
        <v>22891</v>
      </c>
    </row>
    <row r="1353" spans="1:4" x14ac:dyDescent="0.3">
      <c r="A1353" s="1" t="str">
        <f>Pop[[#This Row],[State]]&amp;" "&amp;Pop[[#This Row],[County]]</f>
        <v>MI Oscoda</v>
      </c>
      <c r="B1353" t="s">
        <v>235</v>
      </c>
      <c r="C1353" s="30" t="s">
        <v>1119</v>
      </c>
      <c r="D1353" s="16">
        <v>8219</v>
      </c>
    </row>
    <row r="1354" spans="1:4" x14ac:dyDescent="0.3">
      <c r="A1354" s="1" t="str">
        <f>Pop[[#This Row],[State]]&amp;" "&amp;Pop[[#This Row],[County]]</f>
        <v>MI Otsego</v>
      </c>
      <c r="B1354" t="s">
        <v>235</v>
      </c>
      <c r="C1354" s="30" t="s">
        <v>1120</v>
      </c>
      <c r="D1354" s="16">
        <v>25091</v>
      </c>
    </row>
    <row r="1355" spans="1:4" x14ac:dyDescent="0.3">
      <c r="A1355" s="1" t="str">
        <f>Pop[[#This Row],[State]]&amp;" "&amp;Pop[[#This Row],[County]]</f>
        <v>MI Ottawa</v>
      </c>
      <c r="B1355" t="s">
        <v>235</v>
      </c>
      <c r="C1355" s="30" t="s">
        <v>903</v>
      </c>
      <c r="D1355" s="16">
        <v>296200</v>
      </c>
    </row>
    <row r="1356" spans="1:4" x14ac:dyDescent="0.3">
      <c r="A1356" s="1" t="str">
        <f>Pop[[#This Row],[State]]&amp;" "&amp;Pop[[#This Row],[County]]</f>
        <v>MI Presque Isle</v>
      </c>
      <c r="B1356" t="s">
        <v>235</v>
      </c>
      <c r="C1356" s="30" t="s">
        <v>1121</v>
      </c>
      <c r="D1356" s="16">
        <v>12982</v>
      </c>
    </row>
    <row r="1357" spans="1:4" x14ac:dyDescent="0.3">
      <c r="A1357" s="1" t="str">
        <f>Pop[[#This Row],[State]]&amp;" "&amp;Pop[[#This Row],[County]]</f>
        <v>MI Roscommon</v>
      </c>
      <c r="B1357" t="s">
        <v>235</v>
      </c>
      <c r="C1357" s="30" t="s">
        <v>1122</v>
      </c>
      <c r="D1357" s="16">
        <v>23459</v>
      </c>
    </row>
    <row r="1358" spans="1:4" x14ac:dyDescent="0.3">
      <c r="A1358" s="1" t="str">
        <f>Pop[[#This Row],[State]]&amp;" "&amp;Pop[[#This Row],[County]]</f>
        <v>MI Saginaw</v>
      </c>
      <c r="B1358" t="s">
        <v>235</v>
      </c>
      <c r="C1358" s="30" t="s">
        <v>1123</v>
      </c>
      <c r="D1358" s="16">
        <v>190124</v>
      </c>
    </row>
    <row r="1359" spans="1:4" x14ac:dyDescent="0.3">
      <c r="A1359" s="1" t="str">
        <f>Pop[[#This Row],[State]]&amp;" "&amp;Pop[[#This Row],[County]]</f>
        <v>MI Sanilac</v>
      </c>
      <c r="B1359" t="s">
        <v>235</v>
      </c>
      <c r="C1359" s="30" t="s">
        <v>1124</v>
      </c>
      <c r="D1359" s="16">
        <v>40611</v>
      </c>
    </row>
    <row r="1360" spans="1:4" x14ac:dyDescent="0.3">
      <c r="A1360" s="1" t="str">
        <f>Pop[[#This Row],[State]]&amp;" "&amp;Pop[[#This Row],[County]]</f>
        <v>MI Schoolcraft</v>
      </c>
      <c r="B1360" t="s">
        <v>235</v>
      </c>
      <c r="C1360" s="30" t="s">
        <v>1125</v>
      </c>
      <c r="D1360" s="16">
        <v>8047</v>
      </c>
    </row>
    <row r="1361" spans="1:4" x14ac:dyDescent="0.3">
      <c r="A1361" s="1" t="str">
        <f>Pop[[#This Row],[State]]&amp;" "&amp;Pop[[#This Row],[County]]</f>
        <v>MI Shiawassee</v>
      </c>
      <c r="B1361" t="s">
        <v>235</v>
      </c>
      <c r="C1361" s="30" t="s">
        <v>1126</v>
      </c>
      <c r="D1361" s="16">
        <v>68094</v>
      </c>
    </row>
    <row r="1362" spans="1:4" x14ac:dyDescent="0.3">
      <c r="A1362" s="1" t="str">
        <f>Pop[[#This Row],[State]]&amp;" "&amp;Pop[[#This Row],[County]]</f>
        <v>MI St. Clair</v>
      </c>
      <c r="B1362" t="s">
        <v>235</v>
      </c>
      <c r="C1362" s="30" t="s">
        <v>344</v>
      </c>
      <c r="D1362" s="16">
        <v>160383</v>
      </c>
    </row>
    <row r="1363" spans="1:4" x14ac:dyDescent="0.3">
      <c r="A1363" s="1" t="str">
        <f>Pop[[#This Row],[State]]&amp;" "&amp;Pop[[#This Row],[County]]</f>
        <v>MI St. Joseph</v>
      </c>
      <c r="B1363" t="s">
        <v>235</v>
      </c>
      <c r="C1363" s="30" t="s">
        <v>853</v>
      </c>
      <c r="D1363" s="16">
        <v>60939</v>
      </c>
    </row>
    <row r="1364" spans="1:4" x14ac:dyDescent="0.3">
      <c r="A1364" s="1" t="str">
        <f>Pop[[#This Row],[State]]&amp;" "&amp;Pop[[#This Row],[County]]</f>
        <v>MI Tuscola</v>
      </c>
      <c r="B1364" t="s">
        <v>235</v>
      </c>
      <c r="C1364" s="30" t="s">
        <v>1127</v>
      </c>
      <c r="D1364" s="16">
        <v>53323</v>
      </c>
    </row>
    <row r="1365" spans="1:4" x14ac:dyDescent="0.3">
      <c r="A1365" s="1" t="str">
        <f>Pop[[#This Row],[State]]&amp;" "&amp;Pop[[#This Row],[County]]</f>
        <v>MI Van Buren</v>
      </c>
      <c r="B1365" t="s">
        <v>235</v>
      </c>
      <c r="C1365" s="30" t="s">
        <v>400</v>
      </c>
      <c r="D1365" s="16">
        <v>75587</v>
      </c>
    </row>
    <row r="1366" spans="1:4" x14ac:dyDescent="0.3">
      <c r="A1366" s="1" t="str">
        <f>Pop[[#This Row],[State]]&amp;" "&amp;Pop[[#This Row],[County]]</f>
        <v>MI Washtenaw</v>
      </c>
      <c r="B1366" t="s">
        <v>235</v>
      </c>
      <c r="C1366" s="30" t="s">
        <v>1128</v>
      </c>
      <c r="D1366" s="16">
        <v>372258</v>
      </c>
    </row>
    <row r="1367" spans="1:4" x14ac:dyDescent="0.3">
      <c r="A1367" s="1" t="str">
        <f>Pop[[#This Row],[State]]&amp;" "&amp;Pop[[#This Row],[County]]</f>
        <v>MI Wayne</v>
      </c>
      <c r="B1367" t="s">
        <v>235</v>
      </c>
      <c r="C1367" s="30" t="s">
        <v>691</v>
      </c>
      <c r="D1367" s="54">
        <v>1793561</v>
      </c>
    </row>
    <row r="1368" spans="1:4" x14ac:dyDescent="0.3">
      <c r="A1368" s="1" t="str">
        <f>Pop[[#This Row],[State]]&amp;" "&amp;Pop[[#This Row],[County]]</f>
        <v>MI Wexford</v>
      </c>
      <c r="B1368" t="s">
        <v>235</v>
      </c>
      <c r="C1368" s="30" t="s">
        <v>1129</v>
      </c>
      <c r="D1368" s="16">
        <v>33673</v>
      </c>
    </row>
    <row r="1369" spans="1:4" x14ac:dyDescent="0.3">
      <c r="A1369" s="1" t="str">
        <f>Pop[[#This Row],[State]]&amp;" "&amp;Pop[[#This Row],[County]]</f>
        <v>MI State Agencies</v>
      </c>
      <c r="B1369" t="s">
        <v>235</v>
      </c>
      <c r="C1369" s="30" t="s">
        <v>243</v>
      </c>
      <c r="D1369" s="16" t="s">
        <v>244</v>
      </c>
    </row>
    <row r="1370" spans="1:4" x14ac:dyDescent="0.3">
      <c r="A1370" s="1" t="str">
        <f>Pop[[#This Row],[State]]&amp;" "&amp;Pop[[#This Row],[County]]</f>
        <v>MI Grand Total</v>
      </c>
      <c r="B1370" t="s">
        <v>235</v>
      </c>
      <c r="C1370" s="30" t="s">
        <v>67</v>
      </c>
      <c r="D1370" s="16">
        <v>10077331</v>
      </c>
    </row>
    <row r="1371" spans="1:4" x14ac:dyDescent="0.3">
      <c r="A1371" s="1" t="str">
        <f>Pop[[#This Row],[State]]&amp;" "&amp;Pop[[#This Row],[County]]</f>
        <v>MN Aitkin</v>
      </c>
      <c r="B1371" t="s">
        <v>238</v>
      </c>
      <c r="C1371" s="30" t="s">
        <v>1130</v>
      </c>
      <c r="D1371" s="16">
        <v>15697</v>
      </c>
    </row>
    <row r="1372" spans="1:4" x14ac:dyDescent="0.3">
      <c r="A1372" s="1" t="str">
        <f>Pop[[#This Row],[State]]&amp;" "&amp;Pop[[#This Row],[County]]</f>
        <v>MN Anoka</v>
      </c>
      <c r="B1372" t="s">
        <v>238</v>
      </c>
      <c r="C1372" s="30" t="s">
        <v>1131</v>
      </c>
      <c r="D1372" s="16">
        <v>363887</v>
      </c>
    </row>
    <row r="1373" spans="1:4" x14ac:dyDescent="0.3">
      <c r="A1373" s="1" t="str">
        <f>Pop[[#This Row],[State]]&amp;" "&amp;Pop[[#This Row],[County]]</f>
        <v>MN Becker</v>
      </c>
      <c r="B1373" t="s">
        <v>238</v>
      </c>
      <c r="C1373" s="30" t="s">
        <v>1132</v>
      </c>
      <c r="D1373" s="16">
        <v>35183</v>
      </c>
    </row>
    <row r="1374" spans="1:4" x14ac:dyDescent="0.3">
      <c r="A1374" s="1" t="str">
        <f>Pop[[#This Row],[State]]&amp;" "&amp;Pop[[#This Row],[County]]</f>
        <v>MN Beltrami</v>
      </c>
      <c r="B1374" t="s">
        <v>238</v>
      </c>
      <c r="C1374" s="30" t="s">
        <v>1133</v>
      </c>
      <c r="D1374" s="16">
        <v>46228</v>
      </c>
    </row>
    <row r="1375" spans="1:4" x14ac:dyDescent="0.3">
      <c r="A1375" s="1" t="str">
        <f>Pop[[#This Row],[State]]&amp;" "&amp;Pop[[#This Row],[County]]</f>
        <v>MN Benton</v>
      </c>
      <c r="B1375" t="s">
        <v>238</v>
      </c>
      <c r="C1375" s="30" t="s">
        <v>354</v>
      </c>
      <c r="D1375" s="16">
        <v>41379</v>
      </c>
    </row>
    <row r="1376" spans="1:4" x14ac:dyDescent="0.3">
      <c r="A1376" s="1" t="str">
        <f>Pop[[#This Row],[State]]&amp;" "&amp;Pop[[#This Row],[County]]</f>
        <v>MN Big Stone</v>
      </c>
      <c r="B1376" t="s">
        <v>238</v>
      </c>
      <c r="C1376" s="30" t="s">
        <v>1134</v>
      </c>
      <c r="D1376" s="16">
        <v>5166</v>
      </c>
    </row>
    <row r="1377" spans="1:4" x14ac:dyDescent="0.3">
      <c r="A1377" s="1" t="str">
        <f>Pop[[#This Row],[State]]&amp;" "&amp;Pop[[#This Row],[County]]</f>
        <v>MN Blue Earth</v>
      </c>
      <c r="B1377" t="s">
        <v>238</v>
      </c>
      <c r="C1377" s="30" t="s">
        <v>1135</v>
      </c>
      <c r="D1377" s="16">
        <v>69112</v>
      </c>
    </row>
    <row r="1378" spans="1:4" x14ac:dyDescent="0.3">
      <c r="A1378" s="1" t="str">
        <f>Pop[[#This Row],[State]]&amp;" "&amp;Pop[[#This Row],[County]]</f>
        <v>MN Brown</v>
      </c>
      <c r="B1378" t="s">
        <v>238</v>
      </c>
      <c r="C1378" s="30" t="s">
        <v>37</v>
      </c>
      <c r="D1378" s="16">
        <v>25912</v>
      </c>
    </row>
    <row r="1379" spans="1:4" x14ac:dyDescent="0.3">
      <c r="A1379" s="1" t="str">
        <f>Pop[[#This Row],[State]]&amp;" "&amp;Pop[[#This Row],[County]]</f>
        <v>MN Carlton</v>
      </c>
      <c r="B1379" t="s">
        <v>238</v>
      </c>
      <c r="C1379" s="30" t="s">
        <v>1136</v>
      </c>
      <c r="D1379" s="16">
        <v>36207</v>
      </c>
    </row>
    <row r="1380" spans="1:4" x14ac:dyDescent="0.3">
      <c r="A1380" s="1" t="str">
        <f>Pop[[#This Row],[State]]&amp;" "&amp;Pop[[#This Row],[County]]</f>
        <v>MN Carver</v>
      </c>
      <c r="B1380" t="s">
        <v>238</v>
      </c>
      <c r="C1380" s="30" t="s">
        <v>1137</v>
      </c>
      <c r="D1380" s="16">
        <v>106922</v>
      </c>
    </row>
    <row r="1381" spans="1:4" x14ac:dyDescent="0.3">
      <c r="A1381" s="1" t="str">
        <f>Pop[[#This Row],[State]]&amp;" "&amp;Pop[[#This Row],[County]]</f>
        <v>MN Cass</v>
      </c>
      <c r="B1381" t="s">
        <v>238</v>
      </c>
      <c r="C1381" s="30" t="s">
        <v>711</v>
      </c>
      <c r="D1381" s="16">
        <v>30066</v>
      </c>
    </row>
    <row r="1382" spans="1:4" x14ac:dyDescent="0.3">
      <c r="A1382" s="1" t="str">
        <f>Pop[[#This Row],[State]]&amp;" "&amp;Pop[[#This Row],[County]]</f>
        <v>MN Chippewa</v>
      </c>
      <c r="B1382" t="s">
        <v>238</v>
      </c>
      <c r="C1382" s="30" t="s">
        <v>1080</v>
      </c>
      <c r="D1382" s="16">
        <v>12598</v>
      </c>
    </row>
    <row r="1383" spans="1:4" x14ac:dyDescent="0.3">
      <c r="A1383" s="1" t="str">
        <f>Pop[[#This Row],[State]]&amp;" "&amp;Pop[[#This Row],[County]]</f>
        <v>MN Chisago</v>
      </c>
      <c r="B1383" t="s">
        <v>238</v>
      </c>
      <c r="C1383" s="30" t="s">
        <v>1138</v>
      </c>
      <c r="D1383" s="16">
        <v>56621</v>
      </c>
    </row>
    <row r="1384" spans="1:4" x14ac:dyDescent="0.3">
      <c r="A1384" s="1" t="str">
        <f>Pop[[#This Row],[State]]&amp;" "&amp;Pop[[#This Row],[County]]</f>
        <v>MN Clay</v>
      </c>
      <c r="B1384" t="s">
        <v>238</v>
      </c>
      <c r="C1384" s="30" t="s">
        <v>39</v>
      </c>
      <c r="D1384" s="16">
        <v>65318</v>
      </c>
    </row>
    <row r="1385" spans="1:4" x14ac:dyDescent="0.3">
      <c r="A1385" s="1" t="str">
        <f>Pop[[#This Row],[State]]&amp;" "&amp;Pop[[#This Row],[County]]</f>
        <v>MN Clearwater</v>
      </c>
      <c r="B1385" t="s">
        <v>238</v>
      </c>
      <c r="C1385" s="30" t="s">
        <v>766</v>
      </c>
      <c r="D1385" s="16">
        <v>8524</v>
      </c>
    </row>
    <row r="1386" spans="1:4" x14ac:dyDescent="0.3">
      <c r="A1386" s="1" t="str">
        <f>Pop[[#This Row],[State]]&amp;" "&amp;Pop[[#This Row],[County]]</f>
        <v>MN Cook</v>
      </c>
      <c r="B1386" t="s">
        <v>238</v>
      </c>
      <c r="C1386" s="30" t="s">
        <v>618</v>
      </c>
      <c r="D1386" s="16">
        <v>5600</v>
      </c>
    </row>
    <row r="1387" spans="1:4" x14ac:dyDescent="0.3">
      <c r="A1387" s="1" t="str">
        <f>Pop[[#This Row],[State]]&amp;" "&amp;Pop[[#This Row],[County]]</f>
        <v>MN Cottonwood</v>
      </c>
      <c r="B1387" t="s">
        <v>238</v>
      </c>
      <c r="C1387" s="30" t="s">
        <v>1139</v>
      </c>
      <c r="D1387" s="16">
        <v>11517</v>
      </c>
    </row>
    <row r="1388" spans="1:4" x14ac:dyDescent="0.3">
      <c r="A1388" s="1" t="str">
        <f>Pop[[#This Row],[State]]&amp;" "&amp;Pop[[#This Row],[County]]</f>
        <v>MN Crow Wing</v>
      </c>
      <c r="B1388" t="s">
        <v>238</v>
      </c>
      <c r="C1388" s="30" t="s">
        <v>1140</v>
      </c>
      <c r="D1388" s="16">
        <v>66123</v>
      </c>
    </row>
    <row r="1389" spans="1:4" x14ac:dyDescent="0.3">
      <c r="A1389" s="1" t="str">
        <f>Pop[[#This Row],[State]]&amp;" "&amp;Pop[[#This Row],[County]]</f>
        <v>MN Dakota</v>
      </c>
      <c r="B1389" t="s">
        <v>238</v>
      </c>
      <c r="C1389" s="30" t="s">
        <v>1141</v>
      </c>
      <c r="D1389" s="16">
        <v>439882</v>
      </c>
    </row>
    <row r="1390" spans="1:4" x14ac:dyDescent="0.3">
      <c r="A1390" s="1" t="str">
        <f>Pop[[#This Row],[State]]&amp;" "&amp;Pop[[#This Row],[County]]</f>
        <v>MN Dodge</v>
      </c>
      <c r="B1390" t="s">
        <v>238</v>
      </c>
      <c r="C1390" s="30" t="s">
        <v>623</v>
      </c>
      <c r="D1390" s="16">
        <v>20867</v>
      </c>
    </row>
    <row r="1391" spans="1:4" x14ac:dyDescent="0.3">
      <c r="A1391" s="1" t="str">
        <f>Pop[[#This Row],[State]]&amp;" "&amp;Pop[[#This Row],[County]]</f>
        <v>MN Douglas</v>
      </c>
      <c r="B1391" t="s">
        <v>238</v>
      </c>
      <c r="C1391" s="30" t="s">
        <v>496</v>
      </c>
      <c r="D1391" s="16">
        <v>39006</v>
      </c>
    </row>
    <row r="1392" spans="1:4" x14ac:dyDescent="0.3">
      <c r="A1392" s="1" t="str">
        <f>Pop[[#This Row],[State]]&amp;" "&amp;Pop[[#This Row],[County]]</f>
        <v>MN Faribault</v>
      </c>
      <c r="B1392" t="s">
        <v>238</v>
      </c>
      <c r="C1392" s="30" t="s">
        <v>1142</v>
      </c>
      <c r="D1392" s="16">
        <v>13921</v>
      </c>
    </row>
    <row r="1393" spans="1:4" x14ac:dyDescent="0.3">
      <c r="A1393" s="1" t="str">
        <f>Pop[[#This Row],[State]]&amp;" "&amp;Pop[[#This Row],[County]]</f>
        <v>MN Fillmore</v>
      </c>
      <c r="B1393" t="s">
        <v>238</v>
      </c>
      <c r="C1393" s="30" t="s">
        <v>1143</v>
      </c>
      <c r="D1393" s="16">
        <v>21228</v>
      </c>
    </row>
    <row r="1394" spans="1:4" x14ac:dyDescent="0.3">
      <c r="A1394" s="1" t="str">
        <f>Pop[[#This Row],[State]]&amp;" "&amp;Pop[[#This Row],[County]]</f>
        <v>MN Freeborn</v>
      </c>
      <c r="B1394" t="s">
        <v>238</v>
      </c>
      <c r="C1394" s="30" t="s">
        <v>1144</v>
      </c>
      <c r="D1394" s="16">
        <v>30895</v>
      </c>
    </row>
    <row r="1395" spans="1:4" x14ac:dyDescent="0.3">
      <c r="A1395" s="1" t="str">
        <f>Pop[[#This Row],[State]]&amp;" "&amp;Pop[[#This Row],[County]]</f>
        <v>MN Goodhue</v>
      </c>
      <c r="B1395" t="s">
        <v>238</v>
      </c>
      <c r="C1395" s="30" t="s">
        <v>1145</v>
      </c>
      <c r="D1395" s="16">
        <v>47582</v>
      </c>
    </row>
    <row r="1396" spans="1:4" x14ac:dyDescent="0.3">
      <c r="A1396" s="1" t="str">
        <f>Pop[[#This Row],[State]]&amp;" "&amp;Pop[[#This Row],[County]]</f>
        <v>MN Grant</v>
      </c>
      <c r="B1396" t="s">
        <v>238</v>
      </c>
      <c r="C1396" s="30" t="s">
        <v>370</v>
      </c>
      <c r="D1396" s="16">
        <v>6074</v>
      </c>
    </row>
    <row r="1397" spans="1:4" x14ac:dyDescent="0.3">
      <c r="A1397" s="1" t="str">
        <f>Pop[[#This Row],[State]]&amp;" "&amp;Pop[[#This Row],[County]]</f>
        <v>MN Hennepin</v>
      </c>
      <c r="B1397" t="s">
        <v>238</v>
      </c>
      <c r="C1397" s="30" t="s">
        <v>1146</v>
      </c>
      <c r="D1397" s="16">
        <v>1281565</v>
      </c>
    </row>
    <row r="1398" spans="1:4" x14ac:dyDescent="0.3">
      <c r="A1398" s="1" t="str">
        <f>Pop[[#This Row],[State]]&amp;" "&amp;Pop[[#This Row],[County]]</f>
        <v>MN Houston</v>
      </c>
      <c r="B1398" t="s">
        <v>238</v>
      </c>
      <c r="C1398" s="30" t="s">
        <v>330</v>
      </c>
      <c r="D1398" s="16">
        <v>18843</v>
      </c>
    </row>
    <row r="1399" spans="1:4" x14ac:dyDescent="0.3">
      <c r="A1399" s="1" t="str">
        <f>Pop[[#This Row],[State]]&amp;" "&amp;Pop[[#This Row],[County]]</f>
        <v>MN Hubbard</v>
      </c>
      <c r="B1399" t="s">
        <v>238</v>
      </c>
      <c r="C1399" s="30" t="s">
        <v>1147</v>
      </c>
      <c r="D1399" s="16">
        <v>21344</v>
      </c>
    </row>
    <row r="1400" spans="1:4" x14ac:dyDescent="0.3">
      <c r="A1400" s="1" t="str">
        <f>Pop[[#This Row],[State]]&amp;" "&amp;Pop[[#This Row],[County]]</f>
        <v>MN Isanti</v>
      </c>
      <c r="B1400" t="s">
        <v>238</v>
      </c>
      <c r="C1400" s="30" t="s">
        <v>1148</v>
      </c>
      <c r="D1400" s="16">
        <v>41135</v>
      </c>
    </row>
    <row r="1401" spans="1:4" x14ac:dyDescent="0.3">
      <c r="A1401" s="1" t="str">
        <f>Pop[[#This Row],[State]]&amp;" "&amp;Pop[[#This Row],[County]]</f>
        <v>MN Itasca</v>
      </c>
      <c r="B1401" t="s">
        <v>238</v>
      </c>
      <c r="C1401" s="30" t="s">
        <v>1149</v>
      </c>
      <c r="D1401" s="16">
        <v>45014</v>
      </c>
    </row>
    <row r="1402" spans="1:4" x14ac:dyDescent="0.3">
      <c r="A1402" s="1" t="str">
        <f>Pop[[#This Row],[State]]&amp;" "&amp;Pop[[#This Row],[County]]</f>
        <v>MN Jackson</v>
      </c>
      <c r="B1402" t="s">
        <v>238</v>
      </c>
      <c r="C1402" s="30" t="s">
        <v>46</v>
      </c>
      <c r="D1402" s="16">
        <v>9989</v>
      </c>
    </row>
    <row r="1403" spans="1:4" x14ac:dyDescent="0.3">
      <c r="A1403" s="1" t="str">
        <f>Pop[[#This Row],[State]]&amp;" "&amp;Pop[[#This Row],[County]]</f>
        <v>MN Kanabec</v>
      </c>
      <c r="B1403" t="s">
        <v>238</v>
      </c>
      <c r="C1403" s="30" t="s">
        <v>1150</v>
      </c>
      <c r="D1403" s="16">
        <v>16032</v>
      </c>
    </row>
    <row r="1404" spans="1:4" x14ac:dyDescent="0.3">
      <c r="A1404" s="1" t="str">
        <f>Pop[[#This Row],[State]]&amp;" "&amp;Pop[[#This Row],[County]]</f>
        <v>MN Kandiyohi</v>
      </c>
      <c r="B1404" t="s">
        <v>238</v>
      </c>
      <c r="C1404" s="30" t="s">
        <v>1151</v>
      </c>
      <c r="D1404" s="16">
        <v>43732</v>
      </c>
    </row>
    <row r="1405" spans="1:4" x14ac:dyDescent="0.3">
      <c r="A1405" s="1" t="str">
        <f>Pop[[#This Row],[State]]&amp;" "&amp;Pop[[#This Row],[County]]</f>
        <v>MN Kittson</v>
      </c>
      <c r="B1405" t="s">
        <v>238</v>
      </c>
      <c r="C1405" s="30" t="s">
        <v>1152</v>
      </c>
      <c r="D1405" s="16">
        <v>4207</v>
      </c>
    </row>
    <row r="1406" spans="1:4" x14ac:dyDescent="0.3">
      <c r="A1406" s="1" t="str">
        <f>Pop[[#This Row],[State]]&amp;" "&amp;Pop[[#This Row],[County]]</f>
        <v>MN Koochiching</v>
      </c>
      <c r="B1406" t="s">
        <v>238</v>
      </c>
      <c r="C1406" s="30" t="s">
        <v>1153</v>
      </c>
      <c r="D1406" s="16">
        <v>12062</v>
      </c>
    </row>
    <row r="1407" spans="1:4" x14ac:dyDescent="0.3">
      <c r="A1407" s="1" t="str">
        <f>Pop[[#This Row],[State]]&amp;" "&amp;Pop[[#This Row],[County]]</f>
        <v>MN Lac qui Parle</v>
      </c>
      <c r="B1407" t="s">
        <v>238</v>
      </c>
      <c r="C1407" s="30" t="s">
        <v>1154</v>
      </c>
      <c r="D1407" s="16">
        <v>6719</v>
      </c>
    </row>
    <row r="1408" spans="1:4" x14ac:dyDescent="0.3">
      <c r="A1408" s="1" t="str">
        <f>Pop[[#This Row],[State]]&amp;" "&amp;Pop[[#This Row],[County]]</f>
        <v>MN Lake</v>
      </c>
      <c r="B1408" t="s">
        <v>238</v>
      </c>
      <c r="C1408" s="30" t="s">
        <v>439</v>
      </c>
      <c r="D1408" s="16">
        <v>10905</v>
      </c>
    </row>
    <row r="1409" spans="1:4" x14ac:dyDescent="0.3">
      <c r="A1409" s="1" t="str">
        <f>Pop[[#This Row],[State]]&amp;" "&amp;Pop[[#This Row],[County]]</f>
        <v>MN Lake of the Woods</v>
      </c>
      <c r="B1409" t="s">
        <v>238</v>
      </c>
      <c r="C1409" s="30" t="s">
        <v>1155</v>
      </c>
      <c r="D1409" s="16">
        <v>3763</v>
      </c>
    </row>
    <row r="1410" spans="1:4" x14ac:dyDescent="0.3">
      <c r="A1410" s="1" t="str">
        <f>Pop[[#This Row],[State]]&amp;" "&amp;Pop[[#This Row],[County]]</f>
        <v>MN Le Sueur</v>
      </c>
      <c r="B1410" t="s">
        <v>238</v>
      </c>
      <c r="C1410" s="30" t="s">
        <v>1156</v>
      </c>
      <c r="D1410" s="16">
        <v>28674</v>
      </c>
    </row>
    <row r="1411" spans="1:4" x14ac:dyDescent="0.3">
      <c r="A1411" s="1" t="str">
        <f>Pop[[#This Row],[State]]&amp;" "&amp;Pop[[#This Row],[County]]</f>
        <v>MN Lincoln</v>
      </c>
      <c r="B1411" t="s">
        <v>238</v>
      </c>
      <c r="C1411" s="30" t="s">
        <v>378</v>
      </c>
      <c r="D1411" s="16">
        <v>5640</v>
      </c>
    </row>
    <row r="1412" spans="1:4" x14ac:dyDescent="0.3">
      <c r="A1412" s="1" t="str">
        <f>Pop[[#This Row],[State]]&amp;" "&amp;Pop[[#This Row],[County]]</f>
        <v>MN Lyon</v>
      </c>
      <c r="B1412" t="s">
        <v>238</v>
      </c>
      <c r="C1412" s="30" t="s">
        <v>730</v>
      </c>
      <c r="D1412" s="16">
        <v>25269</v>
      </c>
    </row>
    <row r="1413" spans="1:4" x14ac:dyDescent="0.3">
      <c r="A1413" s="1" t="str">
        <f>Pop[[#This Row],[State]]&amp;" "&amp;Pop[[#This Row],[County]]</f>
        <v>MN Mahnomen</v>
      </c>
      <c r="B1413" t="s">
        <v>238</v>
      </c>
      <c r="C1413" s="30" t="s">
        <v>1157</v>
      </c>
      <c r="D1413" s="16">
        <v>5411</v>
      </c>
    </row>
    <row r="1414" spans="1:4" x14ac:dyDescent="0.3">
      <c r="A1414" s="1" t="str">
        <f>Pop[[#This Row],[State]]&amp;" "&amp;Pop[[#This Row],[County]]</f>
        <v>MN Marshall</v>
      </c>
      <c r="B1414" t="s">
        <v>238</v>
      </c>
      <c r="C1414" s="30" t="s">
        <v>51</v>
      </c>
      <c r="D1414" s="16">
        <v>9040</v>
      </c>
    </row>
    <row r="1415" spans="1:4" x14ac:dyDescent="0.3">
      <c r="A1415" s="1" t="str">
        <f>Pop[[#This Row],[State]]&amp;" "&amp;Pop[[#This Row],[County]]</f>
        <v>MN Martin</v>
      </c>
      <c r="B1415" t="s">
        <v>238</v>
      </c>
      <c r="C1415" s="30" t="s">
        <v>52</v>
      </c>
      <c r="D1415" s="16">
        <v>20025</v>
      </c>
    </row>
    <row r="1416" spans="1:4" x14ac:dyDescent="0.3">
      <c r="A1416" s="1" t="str">
        <f>Pop[[#This Row],[State]]&amp;" "&amp;Pop[[#This Row],[County]]</f>
        <v>MN McLeod</v>
      </c>
      <c r="B1416" t="s">
        <v>238</v>
      </c>
      <c r="C1416" s="30" t="s">
        <v>1158</v>
      </c>
      <c r="D1416" s="16">
        <v>36771</v>
      </c>
    </row>
    <row r="1417" spans="1:4" x14ac:dyDescent="0.3">
      <c r="A1417" s="1" t="str">
        <f>Pop[[#This Row],[State]]&amp;" "&amp;Pop[[#This Row],[County]]</f>
        <v>MN Meeker</v>
      </c>
      <c r="B1417" t="s">
        <v>238</v>
      </c>
      <c r="C1417" s="30" t="s">
        <v>1159</v>
      </c>
      <c r="D1417" s="16">
        <v>23400</v>
      </c>
    </row>
    <row r="1418" spans="1:4" x14ac:dyDescent="0.3">
      <c r="A1418" s="1" t="str">
        <f>Pop[[#This Row],[State]]&amp;" "&amp;Pop[[#This Row],[County]]</f>
        <v>MN Mille Lacs</v>
      </c>
      <c r="B1418" t="s">
        <v>238</v>
      </c>
      <c r="C1418" s="30" t="s">
        <v>1160</v>
      </c>
      <c r="D1418" s="16">
        <v>26459</v>
      </c>
    </row>
    <row r="1419" spans="1:4" x14ac:dyDescent="0.3">
      <c r="A1419" s="1" t="str">
        <f>Pop[[#This Row],[State]]&amp;" "&amp;Pop[[#This Row],[County]]</f>
        <v>MN Morrison</v>
      </c>
      <c r="B1419" t="s">
        <v>238</v>
      </c>
      <c r="C1419" s="30" t="s">
        <v>1161</v>
      </c>
      <c r="D1419" s="16">
        <v>34010</v>
      </c>
    </row>
    <row r="1420" spans="1:4" x14ac:dyDescent="0.3">
      <c r="A1420" s="1" t="str">
        <f>Pop[[#This Row],[State]]&amp;" "&amp;Pop[[#This Row],[County]]</f>
        <v>MN Mower</v>
      </c>
      <c r="B1420" t="s">
        <v>238</v>
      </c>
      <c r="C1420" s="30" t="s">
        <v>1162</v>
      </c>
      <c r="D1420" s="16">
        <v>40029</v>
      </c>
    </row>
    <row r="1421" spans="1:4" x14ac:dyDescent="0.3">
      <c r="A1421" s="1" t="str">
        <f>Pop[[#This Row],[State]]&amp;" "&amp;Pop[[#This Row],[County]]</f>
        <v>MN Murray</v>
      </c>
      <c r="B1421" t="s">
        <v>238</v>
      </c>
      <c r="C1421" s="30" t="s">
        <v>659</v>
      </c>
      <c r="D1421" s="16">
        <v>8179</v>
      </c>
    </row>
    <row r="1422" spans="1:4" x14ac:dyDescent="0.3">
      <c r="A1422" s="1" t="str">
        <f>Pop[[#This Row],[State]]&amp;" "&amp;Pop[[#This Row],[County]]</f>
        <v>MN Nicollet</v>
      </c>
      <c r="B1422" t="s">
        <v>238</v>
      </c>
      <c r="C1422" s="30" t="s">
        <v>1163</v>
      </c>
      <c r="D1422" s="16">
        <v>34454</v>
      </c>
    </row>
    <row r="1423" spans="1:4" x14ac:dyDescent="0.3">
      <c r="A1423" s="1" t="str">
        <f>Pop[[#This Row],[State]]&amp;" "&amp;Pop[[#This Row],[County]]</f>
        <v>MN Nobles</v>
      </c>
      <c r="B1423" t="s">
        <v>238</v>
      </c>
      <c r="C1423" s="30" t="s">
        <v>1164</v>
      </c>
      <c r="D1423" s="16">
        <v>22290</v>
      </c>
    </row>
    <row r="1424" spans="1:4" x14ac:dyDescent="0.3">
      <c r="A1424" s="1" t="str">
        <f>Pop[[#This Row],[State]]&amp;" "&amp;Pop[[#This Row],[County]]</f>
        <v>MN Norman</v>
      </c>
      <c r="B1424" t="s">
        <v>238</v>
      </c>
      <c r="C1424" s="30" t="s">
        <v>1165</v>
      </c>
      <c r="D1424" s="16">
        <v>6441</v>
      </c>
    </row>
    <row r="1425" spans="1:4" x14ac:dyDescent="0.3">
      <c r="A1425" s="1" t="str">
        <f>Pop[[#This Row],[State]]&amp;" "&amp;Pop[[#This Row],[County]]</f>
        <v>MN Olmsted</v>
      </c>
      <c r="B1425" t="s">
        <v>238</v>
      </c>
      <c r="C1425" s="30" t="s">
        <v>1166</v>
      </c>
      <c r="D1425" s="16">
        <v>162847</v>
      </c>
    </row>
    <row r="1426" spans="1:4" x14ac:dyDescent="0.3">
      <c r="A1426" s="1" t="str">
        <f>Pop[[#This Row],[State]]&amp;" "&amp;Pop[[#This Row],[County]]</f>
        <v>MN Otter Tail</v>
      </c>
      <c r="B1426" t="s">
        <v>238</v>
      </c>
      <c r="C1426" s="30" t="s">
        <v>1167</v>
      </c>
      <c r="D1426" s="16">
        <v>60081</v>
      </c>
    </row>
    <row r="1427" spans="1:4" x14ac:dyDescent="0.3">
      <c r="A1427" s="1" t="str">
        <f>Pop[[#This Row],[State]]&amp;" "&amp;Pop[[#This Row],[County]]</f>
        <v>MN Pennington</v>
      </c>
      <c r="B1427" t="s">
        <v>238</v>
      </c>
      <c r="C1427" s="30" t="s">
        <v>1168</v>
      </c>
      <c r="D1427" s="16">
        <v>13992</v>
      </c>
    </row>
    <row r="1428" spans="1:4" x14ac:dyDescent="0.3">
      <c r="A1428" s="1" t="str">
        <f>Pop[[#This Row],[State]]&amp;" "&amp;Pop[[#This Row],[County]]</f>
        <v>MN Pine</v>
      </c>
      <c r="B1428" t="s">
        <v>238</v>
      </c>
      <c r="C1428" s="30" t="s">
        <v>1169</v>
      </c>
      <c r="D1428" s="16">
        <v>28876</v>
      </c>
    </row>
    <row r="1429" spans="1:4" x14ac:dyDescent="0.3">
      <c r="A1429" s="1" t="str">
        <f>Pop[[#This Row],[State]]&amp;" "&amp;Pop[[#This Row],[County]]</f>
        <v>MN Pipestone</v>
      </c>
      <c r="B1429" t="s">
        <v>238</v>
      </c>
      <c r="C1429" s="30" t="s">
        <v>1170</v>
      </c>
      <c r="D1429" s="16">
        <v>9424</v>
      </c>
    </row>
    <row r="1430" spans="1:4" x14ac:dyDescent="0.3">
      <c r="A1430" s="1" t="str">
        <f>Pop[[#This Row],[State]]&amp;" "&amp;Pop[[#This Row],[County]]</f>
        <v>MN Polk</v>
      </c>
      <c r="B1430" t="s">
        <v>238</v>
      </c>
      <c r="C1430" s="30" t="s">
        <v>387</v>
      </c>
      <c r="D1430" s="16">
        <v>31192</v>
      </c>
    </row>
    <row r="1431" spans="1:4" x14ac:dyDescent="0.3">
      <c r="A1431" s="1" t="str">
        <f>Pop[[#This Row],[State]]&amp;" "&amp;Pop[[#This Row],[County]]</f>
        <v>MN Pope</v>
      </c>
      <c r="B1431" t="s">
        <v>238</v>
      </c>
      <c r="C1431" s="30" t="s">
        <v>388</v>
      </c>
      <c r="D1431" s="16">
        <v>11308</v>
      </c>
    </row>
    <row r="1432" spans="1:4" x14ac:dyDescent="0.3">
      <c r="A1432" s="1" t="s">
        <v>1171</v>
      </c>
      <c r="B1432" t="s">
        <v>238</v>
      </c>
      <c r="C1432" s="30" t="s">
        <v>1172</v>
      </c>
      <c r="D1432" s="16">
        <v>181</v>
      </c>
    </row>
    <row r="1433" spans="1:4" x14ac:dyDescent="0.3">
      <c r="A1433" s="1" t="str">
        <f>Pop[[#This Row],[State]]&amp;" "&amp;Pop[[#This Row],[County]]</f>
        <v>MN Ramsey</v>
      </c>
      <c r="B1433" t="s">
        <v>238</v>
      </c>
      <c r="C1433" s="30" t="s">
        <v>1173</v>
      </c>
      <c r="D1433" s="16">
        <v>552352</v>
      </c>
    </row>
    <row r="1434" spans="1:4" x14ac:dyDescent="0.3">
      <c r="A1434" s="1" t="str">
        <f>Pop[[#This Row],[State]]&amp;" "&amp;Pop[[#This Row],[County]]</f>
        <v>MN Red Lake</v>
      </c>
      <c r="B1434" t="s">
        <v>238</v>
      </c>
      <c r="C1434" s="30" t="s">
        <v>1174</v>
      </c>
      <c r="D1434" s="16">
        <v>3935</v>
      </c>
    </row>
    <row r="1435" spans="1:4" x14ac:dyDescent="0.3">
      <c r="A1435" s="1" t="str">
        <f>Pop[[#This Row],[State]]&amp;" "&amp;Pop[[#This Row],[County]]</f>
        <v>MN Redwood</v>
      </c>
      <c r="B1435" t="s">
        <v>238</v>
      </c>
      <c r="C1435" s="30" t="s">
        <v>1175</v>
      </c>
      <c r="D1435" s="16">
        <v>15425</v>
      </c>
    </row>
    <row r="1436" spans="1:4" x14ac:dyDescent="0.3">
      <c r="A1436" s="1" t="str">
        <f>Pop[[#This Row],[State]]&amp;" "&amp;Pop[[#This Row],[County]]</f>
        <v>MN Renville</v>
      </c>
      <c r="B1436" t="s">
        <v>238</v>
      </c>
      <c r="C1436" s="30" t="s">
        <v>1176</v>
      </c>
      <c r="D1436" s="16">
        <v>14723</v>
      </c>
    </row>
    <row r="1437" spans="1:4" x14ac:dyDescent="0.3">
      <c r="A1437" s="1" t="str">
        <f>Pop[[#This Row],[State]]&amp;" "&amp;Pop[[#This Row],[County]]</f>
        <v>MN Rice</v>
      </c>
      <c r="B1437" t="s">
        <v>238</v>
      </c>
      <c r="C1437" s="30" t="s">
        <v>910</v>
      </c>
      <c r="D1437" s="16">
        <v>67097</v>
      </c>
    </row>
    <row r="1438" spans="1:4" x14ac:dyDescent="0.3">
      <c r="A1438" s="1" t="str">
        <f>Pop[[#This Row],[State]]&amp;" "&amp;Pop[[#This Row],[County]]</f>
        <v>MN Rock</v>
      </c>
      <c r="B1438" t="s">
        <v>238</v>
      </c>
      <c r="C1438" s="30" t="s">
        <v>1177</v>
      </c>
      <c r="D1438" s="16">
        <v>9704</v>
      </c>
    </row>
    <row r="1439" spans="1:4" x14ac:dyDescent="0.3">
      <c r="A1439" s="1" t="str">
        <f>Pop[[#This Row],[State]]&amp;" "&amp;Pop[[#This Row],[County]]</f>
        <v>MN Roseau</v>
      </c>
      <c r="B1439" t="s">
        <v>238</v>
      </c>
      <c r="C1439" s="30" t="s">
        <v>1178</v>
      </c>
      <c r="D1439" s="16">
        <v>15331</v>
      </c>
    </row>
    <row r="1440" spans="1:4" x14ac:dyDescent="0.3">
      <c r="A1440" s="1" t="str">
        <f>Pop[[#This Row],[State]]&amp;" "&amp;Pop[[#This Row],[County]]</f>
        <v>MN Scott</v>
      </c>
      <c r="B1440" t="s">
        <v>238</v>
      </c>
      <c r="C1440" s="30" t="s">
        <v>392</v>
      </c>
      <c r="D1440" s="16">
        <v>150928</v>
      </c>
    </row>
    <row r="1441" spans="1:4" x14ac:dyDescent="0.3">
      <c r="A1441" s="1" t="str">
        <f>Pop[[#This Row],[State]]&amp;" "&amp;Pop[[#This Row],[County]]</f>
        <v>MN Sherburne</v>
      </c>
      <c r="B1441" t="s">
        <v>238</v>
      </c>
      <c r="C1441" s="30" t="s">
        <v>1179</v>
      </c>
      <c r="D1441" s="16">
        <v>97183</v>
      </c>
    </row>
    <row r="1442" spans="1:4" x14ac:dyDescent="0.3">
      <c r="A1442" s="1" t="str">
        <f>Pop[[#This Row],[State]]&amp;" "&amp;Pop[[#This Row],[County]]</f>
        <v>MN Sibley</v>
      </c>
      <c r="B1442" t="s">
        <v>238</v>
      </c>
      <c r="C1442" s="30" t="s">
        <v>1180</v>
      </c>
      <c r="D1442" s="16">
        <v>14836</v>
      </c>
    </row>
    <row r="1443" spans="1:4" x14ac:dyDescent="0.3">
      <c r="A1443" s="1" t="str">
        <f>Pop[[#This Row],[State]]&amp;" "&amp;Pop[[#This Row],[County]]</f>
        <v>MN St. Louis</v>
      </c>
      <c r="B1443" t="s">
        <v>238</v>
      </c>
      <c r="C1443" s="30" t="s">
        <v>1181</v>
      </c>
      <c r="D1443" s="16">
        <v>200231</v>
      </c>
    </row>
    <row r="1444" spans="1:4" x14ac:dyDescent="0.3">
      <c r="A1444" s="1" t="str">
        <f>Pop[[#This Row],[State]]&amp;" "&amp;Pop[[#This Row],[County]]</f>
        <v>MN Stearns</v>
      </c>
      <c r="B1444" t="s">
        <v>238</v>
      </c>
      <c r="C1444" s="30" t="s">
        <v>1182</v>
      </c>
      <c r="D1444" s="16">
        <v>158292</v>
      </c>
    </row>
    <row r="1445" spans="1:4" x14ac:dyDescent="0.3">
      <c r="A1445" s="1" t="str">
        <f>Pop[[#This Row],[State]]&amp;" "&amp;Pop[[#This Row],[County]]</f>
        <v>MN Steele</v>
      </c>
      <c r="B1445" t="s">
        <v>238</v>
      </c>
      <c r="C1445" s="30" t="s">
        <v>1183</v>
      </c>
      <c r="D1445" s="16">
        <v>37406</v>
      </c>
    </row>
    <row r="1446" spans="1:4" x14ac:dyDescent="0.3">
      <c r="A1446" s="1" t="str">
        <f>Pop[[#This Row],[State]]&amp;" "&amp;Pop[[#This Row],[County]]</f>
        <v>MN Stevens</v>
      </c>
      <c r="B1446" t="s">
        <v>238</v>
      </c>
      <c r="C1446" s="30" t="s">
        <v>920</v>
      </c>
      <c r="D1446" s="16">
        <v>9671</v>
      </c>
    </row>
    <row r="1447" spans="1:4" x14ac:dyDescent="0.3">
      <c r="A1447" s="1" t="str">
        <f>Pop[[#This Row],[State]]&amp;" "&amp;Pop[[#This Row],[County]]</f>
        <v>MN Swift</v>
      </c>
      <c r="B1447" t="s">
        <v>238</v>
      </c>
      <c r="C1447" s="30" t="s">
        <v>1184</v>
      </c>
      <c r="D1447" s="16">
        <v>9838</v>
      </c>
    </row>
    <row r="1448" spans="1:4" x14ac:dyDescent="0.3">
      <c r="A1448" s="1" t="str">
        <f>Pop[[#This Row],[State]]&amp;" "&amp;Pop[[#This Row],[County]]</f>
        <v>MN Todd</v>
      </c>
      <c r="B1448" t="s">
        <v>238</v>
      </c>
      <c r="C1448" s="30" t="s">
        <v>980</v>
      </c>
      <c r="D1448" s="16">
        <v>25262</v>
      </c>
    </row>
    <row r="1449" spans="1:4" x14ac:dyDescent="0.3">
      <c r="A1449" s="1" t="str">
        <f>Pop[[#This Row],[State]]&amp;" "&amp;Pop[[#This Row],[County]]</f>
        <v>MN Traverse</v>
      </c>
      <c r="B1449" t="s">
        <v>238</v>
      </c>
      <c r="C1449" s="30" t="s">
        <v>1185</v>
      </c>
      <c r="D1449" s="16">
        <v>3360</v>
      </c>
    </row>
    <row r="1450" spans="1:4" x14ac:dyDescent="0.3">
      <c r="A1450" s="1" t="str">
        <f>Pop[[#This Row],[State]]&amp;" "&amp;Pop[[#This Row],[County]]</f>
        <v>MN Tribal Nations</v>
      </c>
      <c r="B1450" t="s">
        <v>238</v>
      </c>
      <c r="C1450" s="30" t="s">
        <v>1186</v>
      </c>
      <c r="D1450" s="16">
        <v>0</v>
      </c>
    </row>
    <row r="1451" spans="1:4" x14ac:dyDescent="0.3">
      <c r="A1451" s="1" t="str">
        <f>Pop[[#This Row],[State]]&amp;" "&amp;Pop[[#This Row],[County]]</f>
        <v>MN Wabasha</v>
      </c>
      <c r="B1451" t="s">
        <v>238</v>
      </c>
      <c r="C1451" s="30" t="s">
        <v>1187</v>
      </c>
      <c r="D1451" s="16">
        <v>21387</v>
      </c>
    </row>
    <row r="1452" spans="1:4" x14ac:dyDescent="0.3">
      <c r="A1452" s="1" t="str">
        <f>Pop[[#This Row],[State]]&amp;" "&amp;Pop[[#This Row],[County]]</f>
        <v>MN Wadena</v>
      </c>
      <c r="B1452" t="s">
        <v>238</v>
      </c>
      <c r="C1452" s="30" t="s">
        <v>1188</v>
      </c>
      <c r="D1452" s="16">
        <v>14065</v>
      </c>
    </row>
    <row r="1453" spans="1:4" x14ac:dyDescent="0.3">
      <c r="A1453" s="1" t="str">
        <f>Pop[[#This Row],[State]]&amp;" "&amp;Pop[[#This Row],[County]]</f>
        <v>MN Waseca</v>
      </c>
      <c r="B1453" t="s">
        <v>238</v>
      </c>
      <c r="C1453" s="30" t="s">
        <v>1189</v>
      </c>
      <c r="D1453" s="16">
        <v>18968</v>
      </c>
    </row>
    <row r="1454" spans="1:4" x14ac:dyDescent="0.3">
      <c r="A1454" s="1" t="str">
        <f>Pop[[#This Row],[State]]&amp;" "&amp;Pop[[#This Row],[County]]</f>
        <v>MN Washington</v>
      </c>
      <c r="B1454" t="s">
        <v>238</v>
      </c>
      <c r="C1454" s="30" t="s">
        <v>65</v>
      </c>
      <c r="D1454" s="16">
        <v>267568</v>
      </c>
    </row>
    <row r="1455" spans="1:4" x14ac:dyDescent="0.3">
      <c r="A1455" s="1" t="str">
        <f>Pop[[#This Row],[State]]&amp;" "&amp;Pop[[#This Row],[County]]</f>
        <v>MN Watonwan</v>
      </c>
      <c r="B1455" t="s">
        <v>238</v>
      </c>
      <c r="C1455" s="30" t="s">
        <v>1190</v>
      </c>
      <c r="D1455" s="16">
        <v>11253</v>
      </c>
    </row>
    <row r="1456" spans="1:4" x14ac:dyDescent="0.3">
      <c r="A1456" s="1" t="str">
        <f>Pop[[#This Row],[State]]&amp;" "&amp;Pop[[#This Row],[County]]</f>
        <v>MN Wilkin</v>
      </c>
      <c r="B1456" t="s">
        <v>238</v>
      </c>
      <c r="C1456" s="30" t="s">
        <v>1191</v>
      </c>
      <c r="D1456" s="16">
        <v>6506</v>
      </c>
    </row>
    <row r="1457" spans="1:4" x14ac:dyDescent="0.3">
      <c r="A1457" s="1" t="str">
        <f>Pop[[#This Row],[State]]&amp;" "&amp;Pop[[#This Row],[County]]</f>
        <v>MN Winona</v>
      </c>
      <c r="B1457" t="s">
        <v>238</v>
      </c>
      <c r="C1457" s="30" t="s">
        <v>1192</v>
      </c>
      <c r="D1457" s="16">
        <v>49671</v>
      </c>
    </row>
    <row r="1458" spans="1:4" x14ac:dyDescent="0.3">
      <c r="A1458" s="1" t="str">
        <f>Pop[[#This Row],[State]]&amp;" "&amp;Pop[[#This Row],[County]]</f>
        <v>MN Wright</v>
      </c>
      <c r="B1458" t="s">
        <v>238</v>
      </c>
      <c r="C1458" s="30" t="s">
        <v>751</v>
      </c>
      <c r="D1458" s="16">
        <v>141337</v>
      </c>
    </row>
    <row r="1459" spans="1:4" x14ac:dyDescent="0.3">
      <c r="A1459" s="1" t="str">
        <f>Pop[[#This Row],[State]]&amp;" "&amp;Pop[[#This Row],[County]]</f>
        <v>MN Yellow Medicine</v>
      </c>
      <c r="B1459" t="s">
        <v>238</v>
      </c>
      <c r="C1459" s="30" t="s">
        <v>1193</v>
      </c>
      <c r="D1459" s="16">
        <v>9528</v>
      </c>
    </row>
    <row r="1460" spans="1:4" x14ac:dyDescent="0.3">
      <c r="A1460" s="1" t="str">
        <f>Pop[[#This Row],[State]]&amp;" "&amp;Pop[[#This Row],[County]]</f>
        <v>MN State Agencies</v>
      </c>
      <c r="B1460" t="s">
        <v>238</v>
      </c>
      <c r="C1460" s="30" t="s">
        <v>243</v>
      </c>
      <c r="D1460" s="16" t="s">
        <v>244</v>
      </c>
    </row>
    <row r="1461" spans="1:4" x14ac:dyDescent="0.3">
      <c r="A1461" s="1" t="str">
        <f>Pop[[#This Row],[State]]&amp;" "&amp;Pop[[#This Row],[County]]</f>
        <v>MN Grand Total</v>
      </c>
      <c r="B1461" t="s">
        <v>238</v>
      </c>
      <c r="C1461" s="30" t="s">
        <v>67</v>
      </c>
      <c r="D1461" s="16">
        <v>5706494</v>
      </c>
    </row>
    <row r="1462" spans="1:4" x14ac:dyDescent="0.3">
      <c r="A1462" s="1" t="str">
        <f>Pop[[#This Row],[State]]&amp;" "&amp;Pop[[#This Row],[County]]</f>
        <v>MO Adair</v>
      </c>
      <c r="B1462" t="s">
        <v>268</v>
      </c>
      <c r="C1462" s="30" t="s">
        <v>703</v>
      </c>
      <c r="D1462" s="16">
        <v>25607</v>
      </c>
    </row>
    <row r="1463" spans="1:4" x14ac:dyDescent="0.3">
      <c r="A1463" s="1" t="str">
        <f>Pop[[#This Row],[State]]&amp;" "&amp;Pop[[#This Row],[County]]</f>
        <v>MO Andrew</v>
      </c>
      <c r="B1463" t="s">
        <v>268</v>
      </c>
      <c r="C1463" s="30" t="s">
        <v>1194</v>
      </c>
      <c r="D1463" s="16">
        <v>17291</v>
      </c>
    </row>
    <row r="1464" spans="1:4" x14ac:dyDescent="0.3">
      <c r="A1464" s="1" t="str">
        <f>Pop[[#This Row],[State]]&amp;" "&amp;Pop[[#This Row],[County]]</f>
        <v>MO Atchison</v>
      </c>
      <c r="B1464" t="s">
        <v>268</v>
      </c>
      <c r="C1464" s="30" t="s">
        <v>863</v>
      </c>
      <c r="D1464" s="16">
        <v>5685</v>
      </c>
    </row>
    <row r="1465" spans="1:4" x14ac:dyDescent="0.3">
      <c r="A1465" s="1" t="str">
        <f>Pop[[#This Row],[State]]&amp;" "&amp;Pop[[#This Row],[County]]</f>
        <v>MO Audrain</v>
      </c>
      <c r="B1465" t="s">
        <v>268</v>
      </c>
      <c r="C1465" s="30" t="s">
        <v>1195</v>
      </c>
      <c r="D1465" s="16">
        <v>25529</v>
      </c>
    </row>
    <row r="1466" spans="1:4" x14ac:dyDescent="0.3">
      <c r="A1466" s="1" t="str">
        <f>Pop[[#This Row],[State]]&amp;" "&amp;Pop[[#This Row],[County]]</f>
        <v>MO Barry</v>
      </c>
      <c r="B1466" t="s">
        <v>268</v>
      </c>
      <c r="C1466" s="30" t="s">
        <v>1075</v>
      </c>
      <c r="D1466" s="16">
        <v>35597</v>
      </c>
    </row>
    <row r="1467" spans="1:4" x14ac:dyDescent="0.3">
      <c r="A1467" s="1" t="str">
        <f>Pop[[#This Row],[State]]&amp;" "&amp;Pop[[#This Row],[County]]</f>
        <v>MO Barton</v>
      </c>
      <c r="B1467" t="s">
        <v>268</v>
      </c>
      <c r="C1467" s="30" t="s">
        <v>865</v>
      </c>
      <c r="D1467" s="16">
        <v>12402</v>
      </c>
    </row>
    <row r="1468" spans="1:4" x14ac:dyDescent="0.3">
      <c r="A1468" s="1" t="str">
        <f>Pop[[#This Row],[State]]&amp;" "&amp;Pop[[#This Row],[County]]</f>
        <v>MO Bates</v>
      </c>
      <c r="B1468" t="s">
        <v>268</v>
      </c>
      <c r="C1468" s="30" t="s">
        <v>1196</v>
      </c>
      <c r="D1468" s="16">
        <v>17049</v>
      </c>
    </row>
    <row r="1469" spans="1:4" x14ac:dyDescent="0.3">
      <c r="A1469" s="1" t="str">
        <f>Pop[[#This Row],[State]]&amp;" "&amp;Pop[[#This Row],[County]]</f>
        <v>MO Benton</v>
      </c>
      <c r="B1469" t="s">
        <v>268</v>
      </c>
      <c r="C1469" s="30" t="s">
        <v>354</v>
      </c>
      <c r="D1469" s="16">
        <v>19056</v>
      </c>
    </row>
    <row r="1470" spans="1:4" x14ac:dyDescent="0.3">
      <c r="A1470" s="1" t="str">
        <f>Pop[[#This Row],[State]]&amp;" "&amp;Pop[[#This Row],[County]]</f>
        <v>MO Bollinger</v>
      </c>
      <c r="B1470" t="s">
        <v>268</v>
      </c>
      <c r="C1470" s="30" t="s">
        <v>1197</v>
      </c>
      <c r="D1470" s="16">
        <v>12363</v>
      </c>
    </row>
    <row r="1471" spans="1:4" x14ac:dyDescent="0.3">
      <c r="A1471" s="1" t="str">
        <f>Pop[[#This Row],[State]]&amp;" "&amp;Pop[[#This Row],[County]]</f>
        <v>MO Boone</v>
      </c>
      <c r="B1471" t="s">
        <v>268</v>
      </c>
      <c r="C1471" s="30" t="s">
        <v>355</v>
      </c>
      <c r="D1471" s="16">
        <v>162642</v>
      </c>
    </row>
    <row r="1472" spans="1:4" x14ac:dyDescent="0.3">
      <c r="A1472" s="1" t="str">
        <f>Pop[[#This Row],[State]]&amp;" "&amp;Pop[[#This Row],[County]]</f>
        <v>MO Buchanan</v>
      </c>
      <c r="B1472" t="s">
        <v>268</v>
      </c>
      <c r="C1472" s="30" t="s">
        <v>709</v>
      </c>
      <c r="D1472" s="16">
        <v>89201</v>
      </c>
    </row>
    <row r="1473" spans="1:4" x14ac:dyDescent="0.3">
      <c r="A1473" s="1" t="str">
        <f>Pop[[#This Row],[State]]&amp;" "&amp;Pop[[#This Row],[County]]</f>
        <v>MO Butler</v>
      </c>
      <c r="B1473" t="s">
        <v>268</v>
      </c>
      <c r="C1473" s="30" t="s">
        <v>267</v>
      </c>
      <c r="D1473" s="16">
        <v>42794</v>
      </c>
    </row>
    <row r="1474" spans="1:4" x14ac:dyDescent="0.3">
      <c r="A1474" s="1" t="str">
        <f>Pop[[#This Row],[State]]&amp;" "&amp;Pop[[#This Row],[County]]</f>
        <v>MO Caldwell</v>
      </c>
      <c r="B1474" t="s">
        <v>268</v>
      </c>
      <c r="C1474" s="30" t="s">
        <v>939</v>
      </c>
      <c r="D1474" s="16">
        <v>9424</v>
      </c>
    </row>
    <row r="1475" spans="1:4" x14ac:dyDescent="0.3">
      <c r="A1475" s="1" t="str">
        <f>Pop[[#This Row],[State]]&amp;" "&amp;Pop[[#This Row],[County]]</f>
        <v>MO Callaway</v>
      </c>
      <c r="B1475" t="s">
        <v>268</v>
      </c>
      <c r="C1475" s="30" t="s">
        <v>1198</v>
      </c>
      <c r="D1475" s="16">
        <v>44332</v>
      </c>
    </row>
    <row r="1476" spans="1:4" x14ac:dyDescent="0.3">
      <c r="A1476" s="1" t="str">
        <f>Pop[[#This Row],[State]]&amp;" "&amp;Pop[[#This Row],[County]]</f>
        <v>MO Camden</v>
      </c>
      <c r="B1476" t="s">
        <v>268</v>
      </c>
      <c r="C1476" s="30" t="s">
        <v>607</v>
      </c>
      <c r="D1476" s="16">
        <v>44002</v>
      </c>
    </row>
    <row r="1477" spans="1:4" x14ac:dyDescent="0.3">
      <c r="A1477" s="1" t="str">
        <f>Pop[[#This Row],[State]]&amp;" "&amp;Pop[[#This Row],[County]]</f>
        <v>MO Cape Girardeau</v>
      </c>
      <c r="B1477" t="s">
        <v>268</v>
      </c>
      <c r="C1477" s="30" t="s">
        <v>1199</v>
      </c>
      <c r="D1477" s="16">
        <v>75674</v>
      </c>
    </row>
    <row r="1478" spans="1:4" x14ac:dyDescent="0.3">
      <c r="A1478" s="1" t="str">
        <f>Pop[[#This Row],[State]]&amp;" "&amp;Pop[[#This Row],[County]]</f>
        <v>MO Carroll</v>
      </c>
      <c r="B1478" t="s">
        <v>268</v>
      </c>
      <c r="C1478" s="30" t="s">
        <v>357</v>
      </c>
      <c r="D1478" s="16">
        <v>9295</v>
      </c>
    </row>
    <row r="1479" spans="1:4" x14ac:dyDescent="0.3">
      <c r="A1479" s="1" t="str">
        <f>Pop[[#This Row],[State]]&amp;" "&amp;Pop[[#This Row],[County]]</f>
        <v>MO Carter</v>
      </c>
      <c r="B1479" t="s">
        <v>268</v>
      </c>
      <c r="C1479" s="30" t="s">
        <v>943</v>
      </c>
      <c r="D1479" s="16">
        <v>6265</v>
      </c>
    </row>
    <row r="1480" spans="1:4" x14ac:dyDescent="0.3">
      <c r="A1480" s="1" t="str">
        <f>Pop[[#This Row],[State]]&amp;" "&amp;Pop[[#This Row],[County]]</f>
        <v>MO Cass</v>
      </c>
      <c r="B1480" t="s">
        <v>268</v>
      </c>
      <c r="C1480" s="30" t="s">
        <v>711</v>
      </c>
      <c r="D1480" s="16">
        <v>99478</v>
      </c>
    </row>
    <row r="1481" spans="1:4" x14ac:dyDescent="0.3">
      <c r="A1481" s="1" t="str">
        <f>Pop[[#This Row],[State]]&amp;" "&amp;Pop[[#This Row],[County]]</f>
        <v>MO Cedar</v>
      </c>
      <c r="B1481" t="s">
        <v>268</v>
      </c>
      <c r="C1481" s="30" t="s">
        <v>712</v>
      </c>
      <c r="D1481" s="16">
        <v>13982</v>
      </c>
    </row>
    <row r="1482" spans="1:4" x14ac:dyDescent="0.3">
      <c r="A1482" s="1" t="str">
        <f>Pop[[#This Row],[State]]&amp;" "&amp;Pop[[#This Row],[County]]</f>
        <v>MO Chariton</v>
      </c>
      <c r="B1482" t="s">
        <v>268</v>
      </c>
      <c r="C1482" s="30" t="s">
        <v>1200</v>
      </c>
      <c r="D1482" s="16">
        <v>7831</v>
      </c>
    </row>
    <row r="1483" spans="1:4" x14ac:dyDescent="0.3">
      <c r="A1483" s="1" t="str">
        <f>Pop[[#This Row],[State]]&amp;" "&amp;Pop[[#This Row],[County]]</f>
        <v>MO Christian</v>
      </c>
      <c r="B1483" t="s">
        <v>268</v>
      </c>
      <c r="C1483" s="30" t="s">
        <v>788</v>
      </c>
      <c r="D1483" s="16">
        <v>77422</v>
      </c>
    </row>
    <row r="1484" spans="1:4" x14ac:dyDescent="0.3">
      <c r="A1484" s="1" t="str">
        <f>Pop[[#This Row],[State]]&amp;" "&amp;Pop[[#This Row],[County]]</f>
        <v>MO Clark</v>
      </c>
      <c r="B1484" t="s">
        <v>268</v>
      </c>
      <c r="C1484" s="30" t="s">
        <v>38</v>
      </c>
      <c r="D1484" s="16">
        <v>7139</v>
      </c>
    </row>
    <row r="1485" spans="1:4" x14ac:dyDescent="0.3">
      <c r="A1485" s="1" t="str">
        <f>Pop[[#This Row],[State]]&amp;" "&amp;Pop[[#This Row],[County]]</f>
        <v>MO Clay</v>
      </c>
      <c r="B1485" t="s">
        <v>268</v>
      </c>
      <c r="C1485" s="30" t="s">
        <v>39</v>
      </c>
      <c r="D1485" s="16">
        <v>221939</v>
      </c>
    </row>
    <row r="1486" spans="1:4" x14ac:dyDescent="0.3">
      <c r="A1486" s="1" t="str">
        <f>Pop[[#This Row],[State]]&amp;" "&amp;Pop[[#This Row],[County]]</f>
        <v>MO Clinton</v>
      </c>
      <c r="B1486" t="s">
        <v>268</v>
      </c>
      <c r="C1486" s="30" t="s">
        <v>715</v>
      </c>
      <c r="D1486" s="16">
        <v>20743</v>
      </c>
    </row>
    <row r="1487" spans="1:4" x14ac:dyDescent="0.3">
      <c r="A1487" s="1" t="str">
        <f>Pop[[#This Row],[State]]&amp;" "&amp;Pop[[#This Row],[County]]</f>
        <v>MO Cole</v>
      </c>
      <c r="B1487" t="s">
        <v>268</v>
      </c>
      <c r="C1487" s="30" t="s">
        <v>1201</v>
      </c>
      <c r="D1487" s="16">
        <v>75990</v>
      </c>
    </row>
    <row r="1488" spans="1:4" x14ac:dyDescent="0.3">
      <c r="A1488" s="1" t="str">
        <f>Pop[[#This Row],[State]]&amp;" "&amp;Pop[[#This Row],[County]]</f>
        <v>MO Cooper</v>
      </c>
      <c r="B1488" t="s">
        <v>268</v>
      </c>
      <c r="C1488" s="30" t="s">
        <v>1202</v>
      </c>
      <c r="D1488" s="16">
        <v>17601</v>
      </c>
    </row>
    <row r="1489" spans="1:4" x14ac:dyDescent="0.3">
      <c r="A1489" s="1" t="str">
        <f>Pop[[#This Row],[State]]&amp;" "&amp;Pop[[#This Row],[County]]</f>
        <v>MO Crawford</v>
      </c>
      <c r="B1489" t="s">
        <v>268</v>
      </c>
      <c r="C1489" s="30" t="s">
        <v>40</v>
      </c>
      <c r="D1489" s="16">
        <v>24696</v>
      </c>
    </row>
    <row r="1490" spans="1:4" x14ac:dyDescent="0.3">
      <c r="A1490" s="1" t="str">
        <f>Pop[[#This Row],[State]]&amp;" "&amp;Pop[[#This Row],[County]]</f>
        <v>MO Dade</v>
      </c>
      <c r="B1490" t="s">
        <v>268</v>
      </c>
      <c r="C1490" s="30" t="s">
        <v>621</v>
      </c>
      <c r="D1490" s="16">
        <v>7883</v>
      </c>
    </row>
    <row r="1491" spans="1:4" x14ac:dyDescent="0.3">
      <c r="A1491" s="1" t="str">
        <f>Pop[[#This Row],[State]]&amp;" "&amp;Pop[[#This Row],[County]]</f>
        <v>MO Dallas</v>
      </c>
      <c r="B1491" t="s">
        <v>268</v>
      </c>
      <c r="C1491" s="30" t="s">
        <v>316</v>
      </c>
      <c r="D1491" s="16">
        <v>16777</v>
      </c>
    </row>
    <row r="1492" spans="1:4" x14ac:dyDescent="0.3">
      <c r="A1492" s="1" t="str">
        <f>Pop[[#This Row],[State]]&amp;" "&amp;Pop[[#This Row],[County]]</f>
        <v>MO Daviess</v>
      </c>
      <c r="B1492" t="s">
        <v>268</v>
      </c>
      <c r="C1492" s="30" t="s">
        <v>834</v>
      </c>
      <c r="D1492" s="16">
        <v>8433</v>
      </c>
    </row>
    <row r="1493" spans="1:4" x14ac:dyDescent="0.3">
      <c r="A1493" s="1" t="str">
        <f>Pop[[#This Row],[State]]&amp;" "&amp;Pop[[#This Row],[County]]</f>
        <v>MO DeKalb</v>
      </c>
      <c r="B1493" t="s">
        <v>268</v>
      </c>
      <c r="C1493" s="30" t="s">
        <v>319</v>
      </c>
      <c r="D1493" s="16">
        <v>12892</v>
      </c>
    </row>
    <row r="1494" spans="1:4" x14ac:dyDescent="0.3">
      <c r="A1494" s="1" t="str">
        <f>Pop[[#This Row],[State]]&amp;" "&amp;Pop[[#This Row],[County]]</f>
        <v>MO Dent</v>
      </c>
      <c r="B1494" t="s">
        <v>268</v>
      </c>
      <c r="C1494" s="30" t="s">
        <v>1203</v>
      </c>
      <c r="D1494" s="16">
        <v>15657</v>
      </c>
    </row>
    <row r="1495" spans="1:4" x14ac:dyDescent="0.3">
      <c r="A1495" s="1" t="str">
        <f>Pop[[#This Row],[State]]&amp;" "&amp;Pop[[#This Row],[County]]</f>
        <v>MO Douglas</v>
      </c>
      <c r="B1495" t="s">
        <v>268</v>
      </c>
      <c r="C1495" s="30" t="s">
        <v>496</v>
      </c>
      <c r="D1495" s="16">
        <v>13684</v>
      </c>
    </row>
    <row r="1496" spans="1:4" x14ac:dyDescent="0.3">
      <c r="A1496" s="1" t="str">
        <f>Pop[[#This Row],[State]]&amp;" "&amp;Pop[[#This Row],[County]]</f>
        <v>MO Dunklin</v>
      </c>
      <c r="B1496" t="s">
        <v>268</v>
      </c>
      <c r="C1496" s="30" t="s">
        <v>1204</v>
      </c>
      <c r="D1496" s="16">
        <v>31953</v>
      </c>
    </row>
    <row r="1497" spans="1:4" x14ac:dyDescent="0.3">
      <c r="A1497" s="1" t="str">
        <f>Pop[[#This Row],[State]]&amp;" "&amp;Pop[[#This Row],[County]]</f>
        <v>MO Franklin</v>
      </c>
      <c r="B1497" t="s">
        <v>268</v>
      </c>
      <c r="C1497" s="30" t="s">
        <v>43</v>
      </c>
      <c r="D1497" s="16">
        <v>101492</v>
      </c>
    </row>
    <row r="1498" spans="1:4" x14ac:dyDescent="0.3">
      <c r="A1498" s="1" t="str">
        <f>Pop[[#This Row],[State]]&amp;" "&amp;Pop[[#This Row],[County]]</f>
        <v>MO Gasconade</v>
      </c>
      <c r="B1498" t="s">
        <v>268</v>
      </c>
      <c r="C1498" s="30" t="s">
        <v>1205</v>
      </c>
      <c r="D1498" s="16">
        <v>15222</v>
      </c>
    </row>
    <row r="1499" spans="1:4" x14ac:dyDescent="0.3">
      <c r="A1499" s="1" t="str">
        <f>Pop[[#This Row],[State]]&amp;" "&amp;Pop[[#This Row],[County]]</f>
        <v>MO Gentry</v>
      </c>
      <c r="B1499" t="s">
        <v>268</v>
      </c>
      <c r="C1499" s="30" t="s">
        <v>1206</v>
      </c>
      <c r="D1499" s="16">
        <v>6738</v>
      </c>
    </row>
    <row r="1500" spans="1:4" x14ac:dyDescent="0.3">
      <c r="A1500" s="1" t="str">
        <f>Pop[[#This Row],[State]]&amp;" "&amp;Pop[[#This Row],[County]]</f>
        <v>MO Greene</v>
      </c>
      <c r="B1500" t="s">
        <v>268</v>
      </c>
      <c r="C1500" s="30" t="s">
        <v>44</v>
      </c>
      <c r="D1500" s="16">
        <v>275174</v>
      </c>
    </row>
    <row r="1501" spans="1:4" x14ac:dyDescent="0.3">
      <c r="A1501" s="1" t="str">
        <f>Pop[[#This Row],[State]]&amp;" "&amp;Pop[[#This Row],[County]]</f>
        <v>MO Grundy</v>
      </c>
      <c r="B1501" t="s">
        <v>268</v>
      </c>
      <c r="C1501" s="30" t="s">
        <v>721</v>
      </c>
      <c r="D1501" s="16">
        <v>10261</v>
      </c>
    </row>
    <row r="1502" spans="1:4" x14ac:dyDescent="0.3">
      <c r="A1502" s="1" t="str">
        <f>Pop[[#This Row],[State]]&amp;" "&amp;Pop[[#This Row],[County]]</f>
        <v>MO Harrison</v>
      </c>
      <c r="B1502" t="s">
        <v>268</v>
      </c>
      <c r="C1502" s="30" t="s">
        <v>45</v>
      </c>
      <c r="D1502" s="16">
        <v>8957</v>
      </c>
    </row>
    <row r="1503" spans="1:4" x14ac:dyDescent="0.3">
      <c r="A1503" s="1" t="str">
        <f>Pop[[#This Row],[State]]&amp;" "&amp;Pop[[#This Row],[County]]</f>
        <v>MO Henry</v>
      </c>
      <c r="B1503" t="s">
        <v>268</v>
      </c>
      <c r="C1503" s="30" t="s">
        <v>329</v>
      </c>
      <c r="D1503" s="16">
        <v>22272</v>
      </c>
    </row>
    <row r="1504" spans="1:4" x14ac:dyDescent="0.3">
      <c r="A1504" s="1" t="str">
        <f>Pop[[#This Row],[State]]&amp;" "&amp;Pop[[#This Row],[County]]</f>
        <v>MO Hickory</v>
      </c>
      <c r="B1504" t="s">
        <v>268</v>
      </c>
      <c r="C1504" s="30" t="s">
        <v>1207</v>
      </c>
      <c r="D1504" s="16">
        <v>9627</v>
      </c>
    </row>
    <row r="1505" spans="1:4" x14ac:dyDescent="0.3">
      <c r="A1505" s="1" t="str">
        <f>Pop[[#This Row],[State]]&amp;" "&amp;Pop[[#This Row],[County]]</f>
        <v>MO Holt</v>
      </c>
      <c r="B1505" t="s">
        <v>268</v>
      </c>
      <c r="C1505" s="30" t="s">
        <v>1208</v>
      </c>
      <c r="D1505" s="16">
        <v>4912</v>
      </c>
    </row>
    <row r="1506" spans="1:4" x14ac:dyDescent="0.3">
      <c r="A1506" s="1" t="str">
        <f>Pop[[#This Row],[State]]&amp;" "&amp;Pop[[#This Row],[County]]</f>
        <v>MO Howard</v>
      </c>
      <c r="B1506" t="s">
        <v>268</v>
      </c>
      <c r="C1506" s="30" t="s">
        <v>373</v>
      </c>
      <c r="D1506" s="16">
        <v>10144</v>
      </c>
    </row>
    <row r="1507" spans="1:4" x14ac:dyDescent="0.3">
      <c r="A1507" s="1" t="str">
        <f>Pop[[#This Row],[State]]&amp;" "&amp;Pop[[#This Row],[County]]</f>
        <v>MO Howell</v>
      </c>
      <c r="B1507" t="s">
        <v>268</v>
      </c>
      <c r="C1507" s="30" t="s">
        <v>1209</v>
      </c>
      <c r="D1507" s="16">
        <v>40400</v>
      </c>
    </row>
    <row r="1508" spans="1:4" x14ac:dyDescent="0.3">
      <c r="A1508" s="1" t="str">
        <f>Pop[[#This Row],[State]]&amp;" "&amp;Pop[[#This Row],[County]]</f>
        <v>MO Iron</v>
      </c>
      <c r="B1508" t="s">
        <v>268</v>
      </c>
      <c r="C1508" s="30" t="s">
        <v>1094</v>
      </c>
      <c r="D1508" s="16">
        <v>10630</v>
      </c>
    </row>
    <row r="1509" spans="1:4" x14ac:dyDescent="0.3">
      <c r="A1509" s="1" t="str">
        <f>Pop[[#This Row],[State]]&amp;" "&amp;Pop[[#This Row],[County]]</f>
        <v>MO Jackson</v>
      </c>
      <c r="B1509" t="s">
        <v>268</v>
      </c>
      <c r="C1509" s="30" t="s">
        <v>46</v>
      </c>
      <c r="D1509" s="16">
        <v>674158</v>
      </c>
    </row>
    <row r="1510" spans="1:4" x14ac:dyDescent="0.3">
      <c r="A1510" s="1" t="str">
        <f>Pop[[#This Row],[State]]&amp;" "&amp;Pop[[#This Row],[County]]</f>
        <v>MO Jasper</v>
      </c>
      <c r="B1510" t="s">
        <v>268</v>
      </c>
      <c r="C1510" s="30" t="s">
        <v>647</v>
      </c>
      <c r="D1510" s="16">
        <v>117404</v>
      </c>
    </row>
    <row r="1511" spans="1:4" x14ac:dyDescent="0.3">
      <c r="A1511" s="1" t="str">
        <f>Pop[[#This Row],[State]]&amp;" "&amp;Pop[[#This Row],[County]]</f>
        <v>MO Jefferson</v>
      </c>
      <c r="B1511" t="s">
        <v>268</v>
      </c>
      <c r="C1511" s="30" t="s">
        <v>47</v>
      </c>
      <c r="D1511" s="16">
        <v>218733</v>
      </c>
    </row>
    <row r="1512" spans="1:4" x14ac:dyDescent="0.3">
      <c r="A1512" s="1" t="str">
        <f>Pop[[#This Row],[State]]&amp;" "&amp;Pop[[#This Row],[County]]</f>
        <v>MO Johnson</v>
      </c>
      <c r="B1512" t="s">
        <v>268</v>
      </c>
      <c r="C1512" s="30" t="s">
        <v>376</v>
      </c>
      <c r="D1512" s="16">
        <v>52595</v>
      </c>
    </row>
    <row r="1513" spans="1:4" x14ac:dyDescent="0.3">
      <c r="A1513" s="1" t="str">
        <f>Pop[[#This Row],[State]]&amp;" "&amp;Pop[[#This Row],[County]]</f>
        <v>MO Knox</v>
      </c>
      <c r="B1513" t="s">
        <v>268</v>
      </c>
      <c r="C1513" s="30" t="s">
        <v>804</v>
      </c>
      <c r="D1513" s="16">
        <v>4131</v>
      </c>
    </row>
    <row r="1514" spans="1:4" x14ac:dyDescent="0.3">
      <c r="A1514" s="1" t="str">
        <f>Pop[[#This Row],[State]]&amp;" "&amp;Pop[[#This Row],[County]]</f>
        <v>MO Laclede</v>
      </c>
      <c r="B1514" t="s">
        <v>268</v>
      </c>
      <c r="C1514" s="30" t="s">
        <v>1210</v>
      </c>
      <c r="D1514" s="16">
        <v>35571</v>
      </c>
    </row>
    <row r="1515" spans="1:4" x14ac:dyDescent="0.3">
      <c r="A1515" s="1" t="str">
        <f>Pop[[#This Row],[State]]&amp;" "&amp;Pop[[#This Row],[County]]</f>
        <v>MO Lafayette</v>
      </c>
      <c r="B1515" t="s">
        <v>268</v>
      </c>
      <c r="C1515" s="30" t="s">
        <v>377</v>
      </c>
      <c r="D1515" s="16">
        <v>33381</v>
      </c>
    </row>
    <row r="1516" spans="1:4" x14ac:dyDescent="0.3">
      <c r="A1516" s="1" t="str">
        <f>Pop[[#This Row],[State]]&amp;" "&amp;Pop[[#This Row],[County]]</f>
        <v>MO Lawrence</v>
      </c>
      <c r="B1516" t="s">
        <v>268</v>
      </c>
      <c r="C1516" s="30" t="s">
        <v>48</v>
      </c>
      <c r="D1516" s="16">
        <v>38634</v>
      </c>
    </row>
    <row r="1517" spans="1:4" x14ac:dyDescent="0.3">
      <c r="A1517" s="1" t="str">
        <f>Pop[[#This Row],[State]]&amp;" "&amp;Pop[[#This Row],[County]]</f>
        <v>MO Lewis</v>
      </c>
      <c r="B1517" t="s">
        <v>268</v>
      </c>
      <c r="C1517" s="30" t="s">
        <v>773</v>
      </c>
      <c r="D1517" s="16">
        <v>10211</v>
      </c>
    </row>
    <row r="1518" spans="1:4" x14ac:dyDescent="0.3">
      <c r="A1518" s="1" t="str">
        <f>Pop[[#This Row],[State]]&amp;" "&amp;Pop[[#This Row],[County]]</f>
        <v>MO Lincoln</v>
      </c>
      <c r="B1518" t="s">
        <v>268</v>
      </c>
      <c r="C1518" s="30" t="s">
        <v>378</v>
      </c>
      <c r="D1518" s="16">
        <v>52566</v>
      </c>
    </row>
    <row r="1519" spans="1:4" x14ac:dyDescent="0.3">
      <c r="A1519" s="1" t="str">
        <f>Pop[[#This Row],[State]]&amp;" "&amp;Pop[[#This Row],[County]]</f>
        <v>MO Linn</v>
      </c>
      <c r="B1519" t="s">
        <v>268</v>
      </c>
      <c r="C1519" s="30" t="s">
        <v>727</v>
      </c>
      <c r="D1519" s="16">
        <v>12761</v>
      </c>
    </row>
    <row r="1520" spans="1:4" x14ac:dyDescent="0.3">
      <c r="A1520" s="1" t="str">
        <f>Pop[[#This Row],[State]]&amp;" "&amp;Pop[[#This Row],[County]]</f>
        <v>MO Livingston</v>
      </c>
      <c r="B1520" t="s">
        <v>268</v>
      </c>
      <c r="C1520" s="30" t="s">
        <v>806</v>
      </c>
      <c r="D1520" s="16">
        <v>15195</v>
      </c>
    </row>
    <row r="1521" spans="1:4" x14ac:dyDescent="0.3">
      <c r="A1521" s="1" t="str">
        <f>Pop[[#This Row],[State]]&amp;" "&amp;Pop[[#This Row],[County]]</f>
        <v>MO Macon</v>
      </c>
      <c r="B1521" t="s">
        <v>268</v>
      </c>
      <c r="C1521" s="30" t="s">
        <v>336</v>
      </c>
      <c r="D1521" s="16">
        <v>15566</v>
      </c>
    </row>
    <row r="1522" spans="1:4" x14ac:dyDescent="0.3">
      <c r="A1522" s="1" t="str">
        <f>Pop[[#This Row],[State]]&amp;" "&amp;Pop[[#This Row],[County]]</f>
        <v>MO Madison</v>
      </c>
      <c r="B1522" t="s">
        <v>268</v>
      </c>
      <c r="C1522" s="30" t="s">
        <v>49</v>
      </c>
      <c r="D1522" s="16">
        <v>12226</v>
      </c>
    </row>
    <row r="1523" spans="1:4" x14ac:dyDescent="0.3">
      <c r="A1523" s="1" t="str">
        <f>Pop[[#This Row],[State]]&amp;" "&amp;Pop[[#This Row],[County]]</f>
        <v>MO Maries</v>
      </c>
      <c r="B1523" t="s">
        <v>268</v>
      </c>
      <c r="C1523" s="30" t="s">
        <v>1211</v>
      </c>
      <c r="D1523" s="16">
        <v>9176</v>
      </c>
    </row>
    <row r="1524" spans="1:4" x14ac:dyDescent="0.3">
      <c r="A1524" s="1" t="str">
        <f>Pop[[#This Row],[State]]&amp;" "&amp;Pop[[#This Row],[County]]</f>
        <v>MO Marion</v>
      </c>
      <c r="B1524" t="s">
        <v>268</v>
      </c>
      <c r="C1524" s="30" t="s">
        <v>50</v>
      </c>
      <c r="D1524" s="16">
        <v>28781</v>
      </c>
    </row>
    <row r="1525" spans="1:4" x14ac:dyDescent="0.3">
      <c r="A1525" s="1" t="str">
        <f>Pop[[#This Row],[State]]&amp;" "&amp;Pop[[#This Row],[County]]</f>
        <v>MO McDonald</v>
      </c>
      <c r="B1525" t="s">
        <v>268</v>
      </c>
      <c r="C1525" s="30" t="s">
        <v>1212</v>
      </c>
      <c r="D1525" s="16">
        <v>23083</v>
      </c>
    </row>
    <row r="1526" spans="1:4" x14ac:dyDescent="0.3">
      <c r="A1526" s="1" t="str">
        <f>Pop[[#This Row],[State]]&amp;" "&amp;Pop[[#This Row],[County]]</f>
        <v>MO Mercer</v>
      </c>
      <c r="B1526" t="s">
        <v>268</v>
      </c>
      <c r="C1526" s="30" t="s">
        <v>814</v>
      </c>
      <c r="D1526" s="16">
        <v>3785</v>
      </c>
    </row>
    <row r="1527" spans="1:4" x14ac:dyDescent="0.3">
      <c r="A1527" s="1" t="str">
        <f>Pop[[#This Row],[State]]&amp;" "&amp;Pop[[#This Row],[County]]</f>
        <v>MO Miller</v>
      </c>
      <c r="B1527" t="s">
        <v>268</v>
      </c>
      <c r="C1527" s="30" t="s">
        <v>382</v>
      </c>
      <c r="D1527" s="16">
        <v>24748</v>
      </c>
    </row>
    <row r="1528" spans="1:4" x14ac:dyDescent="0.3">
      <c r="A1528" s="1" t="str">
        <f>Pop[[#This Row],[State]]&amp;" "&amp;Pop[[#This Row],[County]]</f>
        <v>MO Mississippi</v>
      </c>
      <c r="B1528" t="s">
        <v>268</v>
      </c>
      <c r="C1528" s="30" t="s">
        <v>220</v>
      </c>
      <c r="D1528" s="16">
        <v>14358</v>
      </c>
    </row>
    <row r="1529" spans="1:4" x14ac:dyDescent="0.3">
      <c r="A1529" s="1" t="str">
        <f>Pop[[#This Row],[State]]&amp;" "&amp;Pop[[#This Row],[County]]</f>
        <v>MO Moniteau</v>
      </c>
      <c r="B1529" t="s">
        <v>268</v>
      </c>
      <c r="C1529" s="30" t="s">
        <v>1213</v>
      </c>
      <c r="D1529" s="16">
        <v>15607</v>
      </c>
    </row>
    <row r="1530" spans="1:4" x14ac:dyDescent="0.3">
      <c r="A1530" s="1" t="str">
        <f>Pop[[#This Row],[State]]&amp;" "&amp;Pop[[#This Row],[County]]</f>
        <v>MO Monroe</v>
      </c>
      <c r="B1530" t="s">
        <v>268</v>
      </c>
      <c r="C1530" s="30" t="s">
        <v>339</v>
      </c>
      <c r="D1530" s="16">
        <v>8840</v>
      </c>
    </row>
    <row r="1531" spans="1:4" x14ac:dyDescent="0.3">
      <c r="A1531" s="1" t="str">
        <f>Pop[[#This Row],[State]]&amp;" "&amp;Pop[[#This Row],[County]]</f>
        <v>MO Montgomery</v>
      </c>
      <c r="B1531" t="s">
        <v>268</v>
      </c>
      <c r="C1531" s="30" t="s">
        <v>53</v>
      </c>
      <c r="D1531" s="16">
        <v>12236</v>
      </c>
    </row>
    <row r="1532" spans="1:4" x14ac:dyDescent="0.3">
      <c r="A1532" s="1" t="str">
        <f>Pop[[#This Row],[State]]&amp;" "&amp;Pop[[#This Row],[County]]</f>
        <v>MO Morgan</v>
      </c>
      <c r="B1532" t="s">
        <v>268</v>
      </c>
      <c r="C1532" s="30" t="s">
        <v>54</v>
      </c>
      <c r="D1532" s="16">
        <v>20565</v>
      </c>
    </row>
    <row r="1533" spans="1:4" x14ac:dyDescent="0.3">
      <c r="A1533" s="1" t="str">
        <f>Pop[[#This Row],[State]]&amp;" "&amp;Pop[[#This Row],[County]]</f>
        <v>MO New Madrid</v>
      </c>
      <c r="B1533" t="s">
        <v>268</v>
      </c>
      <c r="C1533" s="30" t="s">
        <v>1214</v>
      </c>
      <c r="D1533" s="16">
        <v>18956</v>
      </c>
    </row>
    <row r="1534" spans="1:4" x14ac:dyDescent="0.3">
      <c r="A1534" s="1" t="str">
        <f>Pop[[#This Row],[State]]&amp;" "&amp;Pop[[#This Row],[County]]</f>
        <v>MO Newton</v>
      </c>
      <c r="B1534" t="s">
        <v>268</v>
      </c>
      <c r="C1534" s="30" t="s">
        <v>383</v>
      </c>
      <c r="D1534" s="16">
        <v>58114</v>
      </c>
    </row>
    <row r="1535" spans="1:4" x14ac:dyDescent="0.3">
      <c r="A1535" s="1" t="str">
        <f>Pop[[#This Row],[State]]&amp;" "&amp;Pop[[#This Row],[County]]</f>
        <v>MO Nodaway</v>
      </c>
      <c r="B1535" t="s">
        <v>268</v>
      </c>
      <c r="C1535" s="30" t="s">
        <v>1215</v>
      </c>
      <c r="D1535" s="16">
        <v>23370</v>
      </c>
    </row>
    <row r="1536" spans="1:4" x14ac:dyDescent="0.3">
      <c r="A1536" s="1" t="str">
        <f>Pop[[#This Row],[State]]&amp;" "&amp;Pop[[#This Row],[County]]</f>
        <v>MO Oregon</v>
      </c>
      <c r="B1536" t="s">
        <v>268</v>
      </c>
      <c r="C1536" s="30" t="s">
        <v>321</v>
      </c>
      <c r="D1536" s="16">
        <v>10881</v>
      </c>
    </row>
    <row r="1537" spans="1:4" x14ac:dyDescent="0.3">
      <c r="A1537" s="1" t="str">
        <f>Pop[[#This Row],[State]]&amp;" "&amp;Pop[[#This Row],[County]]</f>
        <v>MO Osage</v>
      </c>
      <c r="B1537" t="s">
        <v>268</v>
      </c>
      <c r="C1537" s="30" t="s">
        <v>901</v>
      </c>
      <c r="D1537" s="16">
        <v>13878</v>
      </c>
    </row>
    <row r="1538" spans="1:4" x14ac:dyDescent="0.3">
      <c r="A1538" s="1" t="str">
        <f>Pop[[#This Row],[State]]&amp;" "&amp;Pop[[#This Row],[County]]</f>
        <v>MO Ozark</v>
      </c>
      <c r="B1538" t="s">
        <v>268</v>
      </c>
      <c r="C1538" s="30" t="s">
        <v>1216</v>
      </c>
      <c r="D1538" s="16">
        <v>9723</v>
      </c>
    </row>
    <row r="1539" spans="1:4" x14ac:dyDescent="0.3">
      <c r="A1539" s="1" t="str">
        <f>Pop[[#This Row],[State]]&amp;" "&amp;Pop[[#This Row],[County]]</f>
        <v>MO Pemiscot</v>
      </c>
      <c r="B1539" t="s">
        <v>268</v>
      </c>
      <c r="C1539" s="30" t="s">
        <v>1217</v>
      </c>
      <c r="D1539" s="16">
        <v>18296</v>
      </c>
    </row>
    <row r="1540" spans="1:4" x14ac:dyDescent="0.3">
      <c r="A1540" s="1" t="str">
        <f>Pop[[#This Row],[State]]&amp;" "&amp;Pop[[#This Row],[County]]</f>
        <v>MO Perry</v>
      </c>
      <c r="B1540" t="s">
        <v>268</v>
      </c>
      <c r="C1540" s="30" t="s">
        <v>58</v>
      </c>
      <c r="D1540" s="16">
        <v>18971</v>
      </c>
    </row>
    <row r="1541" spans="1:4" x14ac:dyDescent="0.3">
      <c r="A1541" s="1" t="str">
        <f>Pop[[#This Row],[State]]&amp;" "&amp;Pop[[#This Row],[County]]</f>
        <v>MO Pettis</v>
      </c>
      <c r="B1541" t="s">
        <v>268</v>
      </c>
      <c r="C1541" s="30" t="s">
        <v>1218</v>
      </c>
      <c r="D1541" s="16">
        <v>42201</v>
      </c>
    </row>
    <row r="1542" spans="1:4" x14ac:dyDescent="0.3">
      <c r="A1542" s="1" t="str">
        <f>Pop[[#This Row],[State]]&amp;" "&amp;Pop[[#This Row],[County]]</f>
        <v>MO Phelps</v>
      </c>
      <c r="B1542" t="s">
        <v>268</v>
      </c>
      <c r="C1542" s="30" t="s">
        <v>1219</v>
      </c>
      <c r="D1542" s="16">
        <v>45156</v>
      </c>
    </row>
    <row r="1543" spans="1:4" x14ac:dyDescent="0.3">
      <c r="A1543" s="1" t="str">
        <f>Pop[[#This Row],[State]]&amp;" "&amp;Pop[[#This Row],[County]]</f>
        <v>MO Pike</v>
      </c>
      <c r="B1543" t="s">
        <v>268</v>
      </c>
      <c r="C1543" s="30" t="s">
        <v>341</v>
      </c>
      <c r="D1543" s="16">
        <v>18516</v>
      </c>
    </row>
    <row r="1544" spans="1:4" x14ac:dyDescent="0.3">
      <c r="A1544" s="1" t="str">
        <f>Pop[[#This Row],[State]]&amp;" "&amp;Pop[[#This Row],[County]]</f>
        <v>MO Platte</v>
      </c>
      <c r="B1544" t="s">
        <v>268</v>
      </c>
      <c r="C1544" s="30" t="s">
        <v>1220</v>
      </c>
      <c r="D1544" s="16">
        <v>89322</v>
      </c>
    </row>
    <row r="1545" spans="1:4" x14ac:dyDescent="0.3">
      <c r="A1545" s="1" t="str">
        <f>Pop[[#This Row],[State]]&amp;" "&amp;Pop[[#This Row],[County]]</f>
        <v>MO Polk</v>
      </c>
      <c r="B1545" t="s">
        <v>268</v>
      </c>
      <c r="C1545" s="30" t="s">
        <v>387</v>
      </c>
      <c r="D1545" s="16">
        <v>31137</v>
      </c>
    </row>
    <row r="1546" spans="1:4" x14ac:dyDescent="0.3">
      <c r="A1546" s="1" t="str">
        <f>Pop[[#This Row],[State]]&amp;" "&amp;Pop[[#This Row],[County]]</f>
        <v>MO Pulaski</v>
      </c>
      <c r="B1546" t="s">
        <v>268</v>
      </c>
      <c r="C1546" s="30" t="s">
        <v>390</v>
      </c>
      <c r="D1546" s="16">
        <v>52274</v>
      </c>
    </row>
    <row r="1547" spans="1:4" x14ac:dyDescent="0.3">
      <c r="A1547" s="1" t="str">
        <f>Pop[[#This Row],[State]]&amp;" "&amp;Pop[[#This Row],[County]]</f>
        <v>MO Putnam</v>
      </c>
      <c r="B1547" t="s">
        <v>268</v>
      </c>
      <c r="C1547" s="30" t="s">
        <v>581</v>
      </c>
      <c r="D1547" s="16">
        <v>4979</v>
      </c>
    </row>
    <row r="1548" spans="1:4" x14ac:dyDescent="0.3">
      <c r="A1548" s="1" t="str">
        <f>Pop[[#This Row],[State]]&amp;" "&amp;Pop[[#This Row],[County]]</f>
        <v>MO Ralls</v>
      </c>
      <c r="B1548" t="s">
        <v>268</v>
      </c>
      <c r="C1548" s="30" t="s">
        <v>1221</v>
      </c>
      <c r="D1548" s="16">
        <v>10167</v>
      </c>
    </row>
    <row r="1549" spans="1:4" x14ac:dyDescent="0.3">
      <c r="A1549" s="1" t="str">
        <f>Pop[[#This Row],[State]]&amp;" "&amp;Pop[[#This Row],[County]]</f>
        <v>MO Randolph</v>
      </c>
      <c r="B1549" t="s">
        <v>268</v>
      </c>
      <c r="C1549" s="30" t="s">
        <v>342</v>
      </c>
      <c r="D1549" s="16">
        <v>25414</v>
      </c>
    </row>
    <row r="1550" spans="1:4" x14ac:dyDescent="0.3">
      <c r="A1550" s="1" t="str">
        <f>Pop[[#This Row],[State]]&amp;" "&amp;Pop[[#This Row],[County]]</f>
        <v>MO Ray</v>
      </c>
      <c r="B1550" t="s">
        <v>268</v>
      </c>
      <c r="C1550" s="30" t="s">
        <v>1222</v>
      </c>
      <c r="D1550" s="16">
        <v>23494</v>
      </c>
    </row>
    <row r="1551" spans="1:4" x14ac:dyDescent="0.3">
      <c r="A1551" s="1" t="str">
        <f>Pop[[#This Row],[State]]&amp;" "&amp;Pop[[#This Row],[County]]</f>
        <v>MO Reynolds</v>
      </c>
      <c r="B1551" t="s">
        <v>268</v>
      </c>
      <c r="C1551" s="30" t="s">
        <v>1223</v>
      </c>
      <c r="D1551" s="16">
        <v>6696</v>
      </c>
    </row>
    <row r="1552" spans="1:4" x14ac:dyDescent="0.3">
      <c r="A1552" s="1" t="str">
        <f>Pop[[#This Row],[State]]&amp;" "&amp;Pop[[#This Row],[County]]</f>
        <v>MO Ripley</v>
      </c>
      <c r="B1552" t="s">
        <v>268</v>
      </c>
      <c r="C1552" s="30" t="s">
        <v>851</v>
      </c>
      <c r="D1552" s="16">
        <v>14100</v>
      </c>
    </row>
    <row r="1553" spans="1:4" x14ac:dyDescent="0.3">
      <c r="A1553" s="1" t="str">
        <f>Pop[[#This Row],[State]]&amp;" "&amp;Pop[[#This Row],[County]]</f>
        <v>MO Saline</v>
      </c>
      <c r="B1553" t="s">
        <v>268</v>
      </c>
      <c r="C1553" s="30" t="s">
        <v>391</v>
      </c>
      <c r="D1553" s="16">
        <v>23370</v>
      </c>
    </row>
    <row r="1554" spans="1:4" x14ac:dyDescent="0.3">
      <c r="A1554" s="1" t="str">
        <f>Pop[[#This Row],[State]]&amp;" "&amp;Pop[[#This Row],[County]]</f>
        <v>MO Schuyler</v>
      </c>
      <c r="B1554" t="s">
        <v>268</v>
      </c>
      <c r="C1554" s="30" t="s">
        <v>822</v>
      </c>
      <c r="D1554" s="16">
        <v>4431</v>
      </c>
    </row>
    <row r="1555" spans="1:4" x14ac:dyDescent="0.3">
      <c r="A1555" s="1" t="str">
        <f>Pop[[#This Row],[State]]&amp;" "&amp;Pop[[#This Row],[County]]</f>
        <v>MO Scotland</v>
      </c>
      <c r="B1555" t="s">
        <v>268</v>
      </c>
      <c r="C1555" s="30" t="s">
        <v>1224</v>
      </c>
      <c r="D1555" s="16">
        <v>4843</v>
      </c>
    </row>
    <row r="1556" spans="1:4" x14ac:dyDescent="0.3">
      <c r="A1556" s="1" t="str">
        <f>Pop[[#This Row],[State]]&amp;" "&amp;Pop[[#This Row],[County]]</f>
        <v>MO Scott</v>
      </c>
      <c r="B1556" t="s">
        <v>268</v>
      </c>
      <c r="C1556" s="30" t="s">
        <v>392</v>
      </c>
      <c r="D1556" s="16">
        <v>39191</v>
      </c>
    </row>
    <row r="1557" spans="1:4" x14ac:dyDescent="0.3">
      <c r="A1557" s="1" t="str">
        <f>Pop[[#This Row],[State]]&amp;" "&amp;Pop[[#This Row],[County]]</f>
        <v>MO Shannon</v>
      </c>
      <c r="B1557" t="s">
        <v>268</v>
      </c>
      <c r="C1557" s="30" t="s">
        <v>1225</v>
      </c>
      <c r="D1557" s="16">
        <v>8441</v>
      </c>
    </row>
    <row r="1558" spans="1:4" x14ac:dyDescent="0.3">
      <c r="A1558" s="1" t="str">
        <f>Pop[[#This Row],[State]]&amp;" "&amp;Pop[[#This Row],[County]]</f>
        <v>MO Shelby</v>
      </c>
      <c r="B1558" t="s">
        <v>268</v>
      </c>
      <c r="C1558" s="30" t="s">
        <v>59</v>
      </c>
      <c r="D1558" s="16">
        <v>6373</v>
      </c>
    </row>
    <row r="1559" spans="1:4" x14ac:dyDescent="0.3">
      <c r="A1559" s="1" t="str">
        <f>Pop[[#This Row],[State]]&amp;" "&amp;Pop[[#This Row],[County]]</f>
        <v>MO St. Charles</v>
      </c>
      <c r="B1559" t="s">
        <v>268</v>
      </c>
      <c r="C1559" s="30" t="s">
        <v>1016</v>
      </c>
      <c r="D1559" s="16">
        <v>360485</v>
      </c>
    </row>
    <row r="1560" spans="1:4" x14ac:dyDescent="0.3">
      <c r="A1560" s="1" t="str">
        <f>Pop[[#This Row],[State]]&amp;" "&amp;Pop[[#This Row],[County]]</f>
        <v>MO St. Clair</v>
      </c>
      <c r="B1560" t="s">
        <v>268</v>
      </c>
      <c r="C1560" s="30" t="s">
        <v>344</v>
      </c>
      <c r="D1560" s="16">
        <v>9805</v>
      </c>
    </row>
    <row r="1561" spans="1:4" x14ac:dyDescent="0.3">
      <c r="A1561" s="1" t="str">
        <f>Pop[[#This Row],[State]]&amp;" "&amp;Pop[[#This Row],[County]]</f>
        <v>MO St. Francois</v>
      </c>
      <c r="B1561" t="s">
        <v>268</v>
      </c>
      <c r="C1561" s="30" t="s">
        <v>1226</v>
      </c>
      <c r="D1561" s="16">
        <v>65359</v>
      </c>
    </row>
    <row r="1562" spans="1:4" x14ac:dyDescent="0.3">
      <c r="A1562" s="1" t="str">
        <f>Pop[[#This Row],[State]]&amp;" "&amp;Pop[[#This Row],[County]]</f>
        <v>MO St. Louis</v>
      </c>
      <c r="B1562" t="s">
        <v>268</v>
      </c>
      <c r="C1562" s="30" t="s">
        <v>1181</v>
      </c>
      <c r="D1562" s="16">
        <v>998954</v>
      </c>
    </row>
    <row r="1563" spans="1:4" x14ac:dyDescent="0.3">
      <c r="A1563" s="1" t="str">
        <f>Pop[[#This Row],[State]]&amp;" "&amp;Pop[[#This Row],[County]]</f>
        <v>MO Ste. Genevieve</v>
      </c>
      <c r="B1563" t="s">
        <v>268</v>
      </c>
      <c r="C1563" s="30" t="s">
        <v>1227</v>
      </c>
      <c r="D1563" s="16">
        <v>18145</v>
      </c>
    </row>
    <row r="1564" spans="1:4" x14ac:dyDescent="0.3">
      <c r="A1564" s="1" t="str">
        <f>Pop[[#This Row],[State]]&amp;" "&amp;Pop[[#This Row],[County]]</f>
        <v>MO Stoddard</v>
      </c>
      <c r="B1564" t="s">
        <v>268</v>
      </c>
      <c r="C1564" s="30" t="s">
        <v>1228</v>
      </c>
      <c r="D1564" s="16">
        <v>29968</v>
      </c>
    </row>
    <row r="1565" spans="1:4" x14ac:dyDescent="0.3">
      <c r="A1565" s="1" t="str">
        <f>Pop[[#This Row],[State]]&amp;" "&amp;Pop[[#This Row],[County]]</f>
        <v>MO Stone</v>
      </c>
      <c r="B1565" t="s">
        <v>268</v>
      </c>
      <c r="C1565" s="30" t="s">
        <v>398</v>
      </c>
      <c r="D1565" s="16">
        <v>32202</v>
      </c>
    </row>
    <row r="1566" spans="1:4" x14ac:dyDescent="0.3">
      <c r="A1566" s="1" t="str">
        <f>Pop[[#This Row],[State]]&amp;" "&amp;Pop[[#This Row],[County]]</f>
        <v>MO Sullivan</v>
      </c>
      <c r="B1566" t="s">
        <v>268</v>
      </c>
      <c r="C1566" s="30" t="s">
        <v>856</v>
      </c>
      <c r="D1566" s="16">
        <v>6714</v>
      </c>
    </row>
    <row r="1567" spans="1:4" x14ac:dyDescent="0.3">
      <c r="A1567" s="1" t="str">
        <f>Pop[[#This Row],[State]]&amp;" "&amp;Pop[[#This Row],[County]]</f>
        <v>MO Taney</v>
      </c>
      <c r="B1567" t="s">
        <v>268</v>
      </c>
      <c r="C1567" s="30" t="s">
        <v>1229</v>
      </c>
      <c r="D1567" s="16">
        <v>51675</v>
      </c>
    </row>
    <row r="1568" spans="1:4" x14ac:dyDescent="0.3">
      <c r="A1568" s="1" t="str">
        <f>Pop[[#This Row],[State]]&amp;" "&amp;Pop[[#This Row],[County]]</f>
        <v>MO Texas</v>
      </c>
      <c r="B1568" t="s">
        <v>268</v>
      </c>
      <c r="C1568" s="30" t="s">
        <v>260</v>
      </c>
      <c r="D1568" s="16">
        <v>26008</v>
      </c>
    </row>
    <row r="1569" spans="1:4" x14ac:dyDescent="0.3">
      <c r="A1569" s="1" t="str">
        <f>Pop[[#This Row],[State]]&amp;" "&amp;Pop[[#This Row],[County]]</f>
        <v>MO Vernon</v>
      </c>
      <c r="B1569" t="s">
        <v>268</v>
      </c>
      <c r="C1569" s="30" t="s">
        <v>1027</v>
      </c>
      <c r="D1569" s="16">
        <v>21159</v>
      </c>
    </row>
    <row r="1570" spans="1:4" x14ac:dyDescent="0.3">
      <c r="A1570" s="1" t="str">
        <f>Pop[[#This Row],[State]]&amp;" "&amp;Pop[[#This Row],[County]]</f>
        <v>MO Warren</v>
      </c>
      <c r="B1570" t="s">
        <v>268</v>
      </c>
      <c r="C1570" s="30" t="s">
        <v>690</v>
      </c>
      <c r="D1570" s="16">
        <v>32513</v>
      </c>
    </row>
    <row r="1571" spans="1:4" x14ac:dyDescent="0.3">
      <c r="A1571" s="1" t="str">
        <f>Pop[[#This Row],[State]]&amp;" "&amp;Pop[[#This Row],[County]]</f>
        <v>MO Washington</v>
      </c>
      <c r="B1571" t="s">
        <v>268</v>
      </c>
      <c r="C1571" s="30" t="s">
        <v>65</v>
      </c>
      <c r="D1571" s="16">
        <v>25195</v>
      </c>
    </row>
    <row r="1572" spans="1:4" x14ac:dyDescent="0.3">
      <c r="A1572" s="1" t="str">
        <f>Pop[[#This Row],[State]]&amp;" "&amp;Pop[[#This Row],[County]]</f>
        <v>MO Wayne</v>
      </c>
      <c r="B1572" t="s">
        <v>268</v>
      </c>
      <c r="C1572" s="30" t="s">
        <v>691</v>
      </c>
      <c r="D1572" s="16">
        <v>13521</v>
      </c>
    </row>
    <row r="1573" spans="1:4" x14ac:dyDescent="0.3">
      <c r="A1573" s="1" t="str">
        <f>Pop[[#This Row],[State]]&amp;" "&amp;Pop[[#This Row],[County]]</f>
        <v>MO Webster</v>
      </c>
      <c r="B1573" t="s">
        <v>268</v>
      </c>
      <c r="C1573" s="30" t="s">
        <v>692</v>
      </c>
      <c r="D1573" s="16">
        <v>36202</v>
      </c>
    </row>
    <row r="1574" spans="1:4" x14ac:dyDescent="0.3">
      <c r="A1574" s="1" t="str">
        <f>Pop[[#This Row],[State]]&amp;" "&amp;Pop[[#This Row],[County]]</f>
        <v>MO Worth</v>
      </c>
      <c r="B1574" t="s">
        <v>268</v>
      </c>
      <c r="C1574" s="30" t="s">
        <v>697</v>
      </c>
      <c r="D1574" s="16">
        <v>2171</v>
      </c>
    </row>
    <row r="1575" spans="1:4" x14ac:dyDescent="0.3">
      <c r="A1575" s="1" t="str">
        <f>Pop[[#This Row],[State]]&amp;" "&amp;Pop[[#This Row],[County]]</f>
        <v>MO Wright</v>
      </c>
      <c r="B1575" t="s">
        <v>268</v>
      </c>
      <c r="C1575" s="30" t="s">
        <v>751</v>
      </c>
      <c r="D1575" s="16">
        <v>18815</v>
      </c>
    </row>
    <row r="1576" spans="1:4" x14ac:dyDescent="0.3">
      <c r="A1576" s="1" t="str">
        <f>Pop[[#This Row],[State]]&amp;" "&amp;Pop[[#This Row],[County]]</f>
        <v>MO State Agencies</v>
      </c>
      <c r="B1576" t="s">
        <v>268</v>
      </c>
      <c r="C1576" s="30" t="s">
        <v>243</v>
      </c>
      <c r="D1576" s="16" t="s">
        <v>244</v>
      </c>
    </row>
    <row r="1577" spans="1:4" x14ac:dyDescent="0.3">
      <c r="A1577" s="1" t="str">
        <f>Pop[[#This Row],[State]]&amp;" "&amp;Pop[[#This Row],[County]]</f>
        <v>MO Grand Total</v>
      </c>
      <c r="B1577" t="s">
        <v>268</v>
      </c>
      <c r="C1577" s="30" t="s">
        <v>67</v>
      </c>
      <c r="D1577" s="16">
        <v>5988927</v>
      </c>
    </row>
    <row r="1578" spans="1:4" x14ac:dyDescent="0.3">
      <c r="A1578" s="1" t="str">
        <f>Pop[[#This Row],[State]]&amp;" "&amp;Pop[[#This Row],[County]]</f>
        <v>MP Northern Islands</v>
      </c>
      <c r="B1578" t="s">
        <v>306</v>
      </c>
      <c r="C1578" t="s">
        <v>1230</v>
      </c>
      <c r="D1578">
        <v>0</v>
      </c>
    </row>
    <row r="1579" spans="1:4" x14ac:dyDescent="0.3">
      <c r="A1579" s="1" t="str">
        <f>Pop[[#This Row],[State]]&amp;" "&amp;Pop[[#This Row],[County]]</f>
        <v>MP Rota</v>
      </c>
      <c r="B1579" t="s">
        <v>306</v>
      </c>
      <c r="C1579" t="s">
        <v>1231</v>
      </c>
      <c r="D1579">
        <v>2527</v>
      </c>
    </row>
    <row r="1580" spans="1:4" x14ac:dyDescent="0.3">
      <c r="A1580" s="1" t="str">
        <f>Pop[[#This Row],[State]]&amp;" "&amp;Pop[[#This Row],[County]]</f>
        <v>MP Saipan</v>
      </c>
      <c r="B1580" t="s">
        <v>306</v>
      </c>
      <c r="C1580" t="s">
        <v>1232</v>
      </c>
      <c r="D1580">
        <v>48220</v>
      </c>
    </row>
    <row r="1581" spans="1:4" x14ac:dyDescent="0.3">
      <c r="A1581" s="1" t="str">
        <f>Pop[[#This Row],[State]]&amp;" "&amp;Pop[[#This Row],[County]]</f>
        <v>MP Tinian</v>
      </c>
      <c r="B1581" t="s">
        <v>306</v>
      </c>
      <c r="C1581" t="s">
        <v>1233</v>
      </c>
      <c r="D1581">
        <v>3136</v>
      </c>
    </row>
    <row r="1582" spans="1:4" x14ac:dyDescent="0.3">
      <c r="A1582" s="1" t="str">
        <f>Pop[[#This Row],[State]]&amp;" "&amp;Pop[[#This Row],[County]]</f>
        <v>MP State Agencies</v>
      </c>
      <c r="B1582" t="s">
        <v>306</v>
      </c>
      <c r="C1582" s="30" t="s">
        <v>243</v>
      </c>
      <c r="D1582" s="16" t="s">
        <v>244</v>
      </c>
    </row>
    <row r="1583" spans="1:4" x14ac:dyDescent="0.3">
      <c r="A1583" s="1" t="str">
        <f>Pop[[#This Row],[State]]&amp;" "&amp;Pop[[#This Row],[County]]</f>
        <v>MP Grand Total</v>
      </c>
      <c r="B1583" t="s">
        <v>306</v>
      </c>
      <c r="C1583" s="30" t="s">
        <v>67</v>
      </c>
      <c r="D1583" s="16">
        <v>53883</v>
      </c>
    </row>
    <row r="1584" spans="1:4" x14ac:dyDescent="0.3">
      <c r="A1584" s="1" t="str">
        <f>Pop[[#This Row],[State]]&amp;" "&amp;Pop[[#This Row],[County]]</f>
        <v>MS Adams</v>
      </c>
      <c r="B1584" t="s">
        <v>219</v>
      </c>
      <c r="C1584" s="30" t="s">
        <v>478</v>
      </c>
      <c r="D1584" s="16">
        <v>29538</v>
      </c>
    </row>
    <row r="1585" spans="1:4" x14ac:dyDescent="0.3">
      <c r="A1585" s="1" t="str">
        <f>Pop[[#This Row],[State]]&amp;" "&amp;Pop[[#This Row],[County]]</f>
        <v>MS Alcorn</v>
      </c>
      <c r="B1585" t="s">
        <v>219</v>
      </c>
      <c r="C1585" s="30" t="s">
        <v>1234</v>
      </c>
      <c r="D1585" s="16">
        <v>34740</v>
      </c>
    </row>
    <row r="1586" spans="1:4" x14ac:dyDescent="0.3">
      <c r="A1586" s="1" t="str">
        <f>Pop[[#This Row],[State]]&amp;" "&amp;Pop[[#This Row],[County]]</f>
        <v>MS Amite</v>
      </c>
      <c r="B1586" t="s">
        <v>219</v>
      </c>
      <c r="C1586" s="30" t="s">
        <v>1235</v>
      </c>
      <c r="D1586" s="16">
        <v>12720</v>
      </c>
    </row>
    <row r="1587" spans="1:4" x14ac:dyDescent="0.3">
      <c r="A1587" s="1" t="str">
        <f>Pop[[#This Row],[State]]&amp;" "&amp;Pop[[#This Row],[County]]</f>
        <v>MS Attala</v>
      </c>
      <c r="B1587" t="s">
        <v>219</v>
      </c>
      <c r="C1587" s="30" t="s">
        <v>1236</v>
      </c>
      <c r="D1587" s="16">
        <v>17889</v>
      </c>
    </row>
    <row r="1588" spans="1:4" x14ac:dyDescent="0.3">
      <c r="A1588" s="1" t="str">
        <f>Pop[[#This Row],[State]]&amp;" "&amp;Pop[[#This Row],[County]]</f>
        <v>MS Benton</v>
      </c>
      <c r="B1588" t="s">
        <v>219</v>
      </c>
      <c r="C1588" s="30" t="s">
        <v>354</v>
      </c>
      <c r="D1588" s="16">
        <v>7646</v>
      </c>
    </row>
    <row r="1589" spans="1:4" x14ac:dyDescent="0.3">
      <c r="A1589" s="1" t="str">
        <f>Pop[[#This Row],[State]]&amp;" "&amp;Pop[[#This Row],[County]]</f>
        <v>MS Bolivar</v>
      </c>
      <c r="B1589" t="s">
        <v>219</v>
      </c>
      <c r="C1589" s="30" t="s">
        <v>1237</v>
      </c>
      <c r="D1589" s="16">
        <v>30985</v>
      </c>
    </row>
    <row r="1590" spans="1:4" x14ac:dyDescent="0.3">
      <c r="A1590" s="1" t="str">
        <f>Pop[[#This Row],[State]]&amp;" "&amp;Pop[[#This Row],[County]]</f>
        <v>MS Calhoun</v>
      </c>
      <c r="B1590" t="s">
        <v>219</v>
      </c>
      <c r="C1590" s="30" t="s">
        <v>270</v>
      </c>
      <c r="D1590" s="16">
        <v>13266</v>
      </c>
    </row>
    <row r="1591" spans="1:4" x14ac:dyDescent="0.3">
      <c r="A1591" s="1" t="str">
        <f>Pop[[#This Row],[State]]&amp;" "&amp;Pop[[#This Row],[County]]</f>
        <v>MS Carroll</v>
      </c>
      <c r="B1591" t="s">
        <v>219</v>
      </c>
      <c r="C1591" s="30" t="s">
        <v>357</v>
      </c>
      <c r="D1591" s="16">
        <v>9998</v>
      </c>
    </row>
    <row r="1592" spans="1:4" x14ac:dyDescent="0.3">
      <c r="A1592" s="1" t="str">
        <f>Pop[[#This Row],[State]]&amp;" "&amp;Pop[[#This Row],[County]]</f>
        <v>MS Chickasaw</v>
      </c>
      <c r="B1592" t="s">
        <v>219</v>
      </c>
      <c r="C1592" s="30" t="s">
        <v>714</v>
      </c>
      <c r="D1592" s="16">
        <v>17106</v>
      </c>
    </row>
    <row r="1593" spans="1:4" x14ac:dyDescent="0.3">
      <c r="A1593" s="1" t="str">
        <f>Pop[[#This Row],[State]]&amp;" "&amp;Pop[[#This Row],[County]]</f>
        <v>MS Choctaw</v>
      </c>
      <c r="B1593" t="s">
        <v>219</v>
      </c>
      <c r="C1593" s="30" t="s">
        <v>282</v>
      </c>
      <c r="D1593" s="16">
        <v>8246</v>
      </c>
    </row>
    <row r="1594" spans="1:4" x14ac:dyDescent="0.3">
      <c r="A1594" s="1" t="str">
        <f>Pop[[#This Row],[State]]&amp;" "&amp;Pop[[#This Row],[County]]</f>
        <v>MS Claiborne</v>
      </c>
      <c r="B1594" t="s">
        <v>219</v>
      </c>
      <c r="C1594" s="30" t="s">
        <v>995</v>
      </c>
      <c r="D1594" s="16">
        <v>9135</v>
      </c>
    </row>
    <row r="1595" spans="1:4" x14ac:dyDescent="0.3">
      <c r="A1595" s="1" t="str">
        <f>Pop[[#This Row],[State]]&amp;" "&amp;Pop[[#This Row],[County]]</f>
        <v>MS Clarke</v>
      </c>
      <c r="B1595" t="s">
        <v>219</v>
      </c>
      <c r="C1595" s="30" t="s">
        <v>285</v>
      </c>
      <c r="D1595" s="16">
        <v>15615</v>
      </c>
    </row>
    <row r="1596" spans="1:4" x14ac:dyDescent="0.3">
      <c r="A1596" s="1" t="str">
        <f>Pop[[#This Row],[State]]&amp;" "&amp;Pop[[#This Row],[County]]</f>
        <v>MS Clay</v>
      </c>
      <c r="B1596" t="s">
        <v>219</v>
      </c>
      <c r="C1596" s="30" t="s">
        <v>39</v>
      </c>
      <c r="D1596" s="16">
        <v>18636</v>
      </c>
    </row>
    <row r="1597" spans="1:4" x14ac:dyDescent="0.3">
      <c r="A1597" s="1" t="str">
        <f>Pop[[#This Row],[State]]&amp;" "&amp;Pop[[#This Row],[County]]</f>
        <v>MS Coahoma</v>
      </c>
      <c r="B1597" t="s">
        <v>219</v>
      </c>
      <c r="C1597" s="30" t="s">
        <v>1238</v>
      </c>
      <c r="D1597" s="16">
        <v>21390</v>
      </c>
    </row>
    <row r="1598" spans="1:4" x14ac:dyDescent="0.3">
      <c r="A1598" s="1" t="str">
        <f>Pop[[#This Row],[State]]&amp;" "&amp;Pop[[#This Row],[County]]</f>
        <v>MS Copiah</v>
      </c>
      <c r="B1598" t="s">
        <v>219</v>
      </c>
      <c r="C1598" s="30" t="s">
        <v>1239</v>
      </c>
      <c r="D1598" s="16">
        <v>28368</v>
      </c>
    </row>
    <row r="1599" spans="1:4" x14ac:dyDescent="0.3">
      <c r="A1599" s="1" t="str">
        <f>Pop[[#This Row],[State]]&amp;" "&amp;Pop[[#This Row],[County]]</f>
        <v>MS Covington</v>
      </c>
      <c r="B1599" t="s">
        <v>219</v>
      </c>
      <c r="C1599" s="30" t="s">
        <v>305</v>
      </c>
      <c r="D1599" s="16">
        <v>18340</v>
      </c>
    </row>
    <row r="1600" spans="1:4" x14ac:dyDescent="0.3">
      <c r="A1600" s="1" t="str">
        <f>Pop[[#This Row],[State]]&amp;" "&amp;Pop[[#This Row],[County]]</f>
        <v>MS DeSoto</v>
      </c>
      <c r="B1600" t="s">
        <v>219</v>
      </c>
      <c r="C1600" s="30" t="s">
        <v>553</v>
      </c>
      <c r="D1600" s="16">
        <v>185314</v>
      </c>
    </row>
    <row r="1601" spans="1:4" x14ac:dyDescent="0.3">
      <c r="A1601" s="1" t="str">
        <f>Pop[[#This Row],[State]]&amp;" "&amp;Pop[[#This Row],[County]]</f>
        <v>MS Forrest</v>
      </c>
      <c r="B1601" t="s">
        <v>219</v>
      </c>
      <c r="C1601" s="30" t="s">
        <v>1240</v>
      </c>
      <c r="D1601" s="16">
        <v>78158</v>
      </c>
    </row>
    <row r="1602" spans="1:4" x14ac:dyDescent="0.3">
      <c r="A1602" s="1" t="str">
        <f>Pop[[#This Row],[State]]&amp;" "&amp;Pop[[#This Row],[County]]</f>
        <v>MS Franklin</v>
      </c>
      <c r="B1602" t="s">
        <v>219</v>
      </c>
      <c r="C1602" s="30" t="s">
        <v>43</v>
      </c>
      <c r="D1602" s="16">
        <v>7675</v>
      </c>
    </row>
    <row r="1603" spans="1:4" x14ac:dyDescent="0.3">
      <c r="A1603" s="1" t="str">
        <f>Pop[[#This Row],[State]]&amp;" "&amp;Pop[[#This Row],[County]]</f>
        <v>MS George</v>
      </c>
      <c r="B1603" t="s">
        <v>219</v>
      </c>
      <c r="C1603" s="30" t="s">
        <v>1241</v>
      </c>
      <c r="D1603" s="16">
        <v>24350</v>
      </c>
    </row>
    <row r="1604" spans="1:4" x14ac:dyDescent="0.3">
      <c r="A1604" s="1" t="str">
        <f>Pop[[#This Row],[State]]&amp;" "&amp;Pop[[#This Row],[County]]</f>
        <v>MS Greene</v>
      </c>
      <c r="B1604" t="s">
        <v>219</v>
      </c>
      <c r="C1604" s="30" t="s">
        <v>44</v>
      </c>
      <c r="D1604" s="16">
        <v>13530</v>
      </c>
    </row>
    <row r="1605" spans="1:4" x14ac:dyDescent="0.3">
      <c r="A1605" s="1" t="str">
        <f>Pop[[#This Row],[State]]&amp;" "&amp;Pop[[#This Row],[County]]</f>
        <v>MS Grenada</v>
      </c>
      <c r="B1605" t="s">
        <v>219</v>
      </c>
      <c r="C1605" s="30" t="s">
        <v>1242</v>
      </c>
      <c r="D1605" s="16">
        <v>21629</v>
      </c>
    </row>
    <row r="1606" spans="1:4" x14ac:dyDescent="0.3">
      <c r="A1606" s="1" t="str">
        <f>Pop[[#This Row],[State]]&amp;" "&amp;Pop[[#This Row],[County]]</f>
        <v>MS Hancock</v>
      </c>
      <c r="B1606" t="s">
        <v>219</v>
      </c>
      <c r="C1606" s="30" t="s">
        <v>641</v>
      </c>
      <c r="D1606" s="16">
        <v>46053</v>
      </c>
    </row>
    <row r="1607" spans="1:4" x14ac:dyDescent="0.3">
      <c r="A1607" s="1" t="str">
        <f>Pop[[#This Row],[State]]&amp;" "&amp;Pop[[#This Row],[County]]</f>
        <v>MS Harrison</v>
      </c>
      <c r="B1607" t="s">
        <v>219</v>
      </c>
      <c r="C1607" s="30" t="s">
        <v>45</v>
      </c>
      <c r="D1607" s="16">
        <v>208621</v>
      </c>
    </row>
    <row r="1608" spans="1:4" x14ac:dyDescent="0.3">
      <c r="A1608" s="1" t="str">
        <f>Pop[[#This Row],[State]]&amp;" "&amp;Pop[[#This Row],[County]]</f>
        <v>MS Hinds</v>
      </c>
      <c r="B1608" t="s">
        <v>219</v>
      </c>
      <c r="C1608" s="30" t="s">
        <v>1243</v>
      </c>
      <c r="D1608" s="16">
        <v>227742</v>
      </c>
    </row>
    <row r="1609" spans="1:4" x14ac:dyDescent="0.3">
      <c r="A1609" s="1" t="str">
        <f>Pop[[#This Row],[State]]&amp;" "&amp;Pop[[#This Row],[County]]</f>
        <v>MS Holmes</v>
      </c>
      <c r="B1609" t="s">
        <v>219</v>
      </c>
      <c r="C1609" s="30" t="s">
        <v>567</v>
      </c>
      <c r="D1609" s="16">
        <v>17000</v>
      </c>
    </row>
    <row r="1610" spans="1:4" x14ac:dyDescent="0.3">
      <c r="A1610" s="1" t="str">
        <f>Pop[[#This Row],[State]]&amp;" "&amp;Pop[[#This Row],[County]]</f>
        <v>MS Humphreys</v>
      </c>
      <c r="B1610" t="s">
        <v>219</v>
      </c>
      <c r="C1610" s="30" t="s">
        <v>1244</v>
      </c>
      <c r="D1610" s="16">
        <v>7785</v>
      </c>
    </row>
    <row r="1611" spans="1:4" x14ac:dyDescent="0.3">
      <c r="A1611" s="1" t="str">
        <f>Pop[[#This Row],[State]]&amp;" "&amp;Pop[[#This Row],[County]]</f>
        <v>MS Issaquena</v>
      </c>
      <c r="B1611" t="s">
        <v>219</v>
      </c>
      <c r="C1611" s="30" t="s">
        <v>1245</v>
      </c>
      <c r="D1611" s="16">
        <v>1338</v>
      </c>
    </row>
    <row r="1612" spans="1:4" x14ac:dyDescent="0.3">
      <c r="A1612" s="1" t="str">
        <f>Pop[[#This Row],[State]]&amp;" "&amp;Pop[[#This Row],[County]]</f>
        <v>MS Itawamba</v>
      </c>
      <c r="B1612" t="s">
        <v>219</v>
      </c>
      <c r="C1612" s="30" t="s">
        <v>1246</v>
      </c>
      <c r="D1612" s="16">
        <v>23863</v>
      </c>
    </row>
    <row r="1613" spans="1:4" x14ac:dyDescent="0.3">
      <c r="A1613" s="1" t="str">
        <f>Pop[[#This Row],[State]]&amp;" "&amp;Pop[[#This Row],[County]]</f>
        <v>MS Jackson</v>
      </c>
      <c r="B1613" t="s">
        <v>219</v>
      </c>
      <c r="C1613" s="30" t="s">
        <v>46</v>
      </c>
      <c r="D1613" s="16">
        <v>143252</v>
      </c>
    </row>
    <row r="1614" spans="1:4" x14ac:dyDescent="0.3">
      <c r="A1614" s="1" t="str">
        <f>Pop[[#This Row],[State]]&amp;" "&amp;Pop[[#This Row],[County]]</f>
        <v>MS Jasper</v>
      </c>
      <c r="B1614" t="s">
        <v>219</v>
      </c>
      <c r="C1614" s="30" t="s">
        <v>647</v>
      </c>
      <c r="D1614" s="16">
        <v>16367</v>
      </c>
    </row>
    <row r="1615" spans="1:4" x14ac:dyDescent="0.3">
      <c r="A1615" s="1" t="str">
        <f>Pop[[#This Row],[State]]&amp;" "&amp;Pop[[#This Row],[County]]</f>
        <v>MS Jefferson</v>
      </c>
      <c r="B1615" t="s">
        <v>219</v>
      </c>
      <c r="C1615" s="30" t="s">
        <v>47</v>
      </c>
      <c r="D1615" s="16">
        <v>7260</v>
      </c>
    </row>
    <row r="1616" spans="1:4" x14ac:dyDescent="0.3">
      <c r="A1616" s="1" t="str">
        <f>Pop[[#This Row],[State]]&amp;" "&amp;Pop[[#This Row],[County]]</f>
        <v>MS Jefferson Davis</v>
      </c>
      <c r="B1616" t="s">
        <v>219</v>
      </c>
      <c r="C1616" s="30" t="s">
        <v>1004</v>
      </c>
      <c r="D1616" s="16">
        <v>11321</v>
      </c>
    </row>
    <row r="1617" spans="1:4" x14ac:dyDescent="0.3">
      <c r="A1617" s="1" t="str">
        <f>Pop[[#This Row],[State]]&amp;" "&amp;Pop[[#This Row],[County]]</f>
        <v>MS Jones</v>
      </c>
      <c r="B1617" t="s">
        <v>219</v>
      </c>
      <c r="C1617" s="30" t="s">
        <v>650</v>
      </c>
      <c r="D1617" s="16">
        <v>67246</v>
      </c>
    </row>
    <row r="1618" spans="1:4" x14ac:dyDescent="0.3">
      <c r="A1618" s="1" t="str">
        <f>Pop[[#This Row],[State]]&amp;" "&amp;Pop[[#This Row],[County]]</f>
        <v>MS Kemper</v>
      </c>
      <c r="B1618" t="s">
        <v>219</v>
      </c>
      <c r="C1618" s="30" t="s">
        <v>1247</v>
      </c>
      <c r="D1618" s="16">
        <v>8988</v>
      </c>
    </row>
    <row r="1619" spans="1:4" x14ac:dyDescent="0.3">
      <c r="A1619" s="1" t="str">
        <f>Pop[[#This Row],[State]]&amp;" "&amp;Pop[[#This Row],[County]]</f>
        <v>MS Lafayette</v>
      </c>
      <c r="B1619" t="s">
        <v>219</v>
      </c>
      <c r="C1619" s="30" t="s">
        <v>377</v>
      </c>
      <c r="D1619" s="16">
        <v>55813</v>
      </c>
    </row>
    <row r="1620" spans="1:4" x14ac:dyDescent="0.3">
      <c r="A1620" s="1" t="str">
        <f>Pop[[#This Row],[State]]&amp;" "&amp;Pop[[#This Row],[County]]</f>
        <v>MS Lamar</v>
      </c>
      <c r="B1620" t="s">
        <v>219</v>
      </c>
      <c r="C1620" s="30" t="s">
        <v>331</v>
      </c>
      <c r="D1620" s="16">
        <v>64222</v>
      </c>
    </row>
    <row r="1621" spans="1:4" x14ac:dyDescent="0.3">
      <c r="A1621" s="1" t="str">
        <f>Pop[[#This Row],[State]]&amp;" "&amp;Pop[[#This Row],[County]]</f>
        <v>MS Lauderdale</v>
      </c>
      <c r="B1621" t="s">
        <v>219</v>
      </c>
      <c r="C1621" s="30" t="s">
        <v>332</v>
      </c>
      <c r="D1621" s="16">
        <v>72984</v>
      </c>
    </row>
    <row r="1622" spans="1:4" x14ac:dyDescent="0.3">
      <c r="A1622" s="1" t="str">
        <f>Pop[[#This Row],[State]]&amp;" "&amp;Pop[[#This Row],[County]]</f>
        <v>MS Lawrence</v>
      </c>
      <c r="B1622" t="s">
        <v>219</v>
      </c>
      <c r="C1622" s="30" t="s">
        <v>48</v>
      </c>
      <c r="D1622" s="16">
        <v>12016</v>
      </c>
    </row>
    <row r="1623" spans="1:4" x14ac:dyDescent="0.3">
      <c r="A1623" s="1" t="str">
        <f>Pop[[#This Row],[State]]&amp;" "&amp;Pop[[#This Row],[County]]</f>
        <v>MS Leake</v>
      </c>
      <c r="B1623" t="s">
        <v>219</v>
      </c>
      <c r="C1623" s="30" t="s">
        <v>1248</v>
      </c>
      <c r="D1623" s="16">
        <v>21275</v>
      </c>
    </row>
    <row r="1624" spans="1:4" x14ac:dyDescent="0.3">
      <c r="A1624" s="1" t="str">
        <f>Pop[[#This Row],[State]]&amp;" "&amp;Pop[[#This Row],[County]]</f>
        <v>MS Lee</v>
      </c>
      <c r="B1624" t="s">
        <v>219</v>
      </c>
      <c r="C1624" s="30" t="s">
        <v>333</v>
      </c>
      <c r="D1624" s="16">
        <v>83343</v>
      </c>
    </row>
    <row r="1625" spans="1:4" x14ac:dyDescent="0.3">
      <c r="A1625" s="1" t="str">
        <f>Pop[[#This Row],[State]]&amp;" "&amp;Pop[[#This Row],[County]]</f>
        <v>MS Leflore</v>
      </c>
      <c r="B1625" t="s">
        <v>219</v>
      </c>
      <c r="C1625" s="30" t="s">
        <v>1249</v>
      </c>
      <c r="D1625" s="16">
        <v>28339</v>
      </c>
    </row>
    <row r="1626" spans="1:4" x14ac:dyDescent="0.3">
      <c r="A1626" s="1" t="str">
        <f>Pop[[#This Row],[State]]&amp;" "&amp;Pop[[#This Row],[County]]</f>
        <v>MS Lincoln</v>
      </c>
      <c r="B1626" t="s">
        <v>219</v>
      </c>
      <c r="C1626" s="30" t="s">
        <v>378</v>
      </c>
      <c r="D1626" s="16">
        <v>34907</v>
      </c>
    </row>
    <row r="1627" spans="1:4" x14ac:dyDescent="0.3">
      <c r="A1627" s="1" t="str">
        <f>Pop[[#This Row],[State]]&amp;" "&amp;Pop[[#This Row],[County]]</f>
        <v>MS Lowndes</v>
      </c>
      <c r="B1627" t="s">
        <v>219</v>
      </c>
      <c r="C1627" s="30" t="s">
        <v>335</v>
      </c>
      <c r="D1627" s="16">
        <v>58879</v>
      </c>
    </row>
    <row r="1628" spans="1:4" x14ac:dyDescent="0.3">
      <c r="A1628" s="1" t="str">
        <f>Pop[[#This Row],[State]]&amp;" "&amp;Pop[[#This Row],[County]]</f>
        <v>MS Madison</v>
      </c>
      <c r="B1628" t="s">
        <v>219</v>
      </c>
      <c r="C1628" s="30" t="s">
        <v>49</v>
      </c>
      <c r="D1628" s="16">
        <v>109145</v>
      </c>
    </row>
    <row r="1629" spans="1:4" x14ac:dyDescent="0.3">
      <c r="A1629" s="1" t="str">
        <f>Pop[[#This Row],[State]]&amp;" "&amp;Pop[[#This Row],[County]]</f>
        <v>MS Marion</v>
      </c>
      <c r="B1629" t="s">
        <v>219</v>
      </c>
      <c r="C1629" s="30" t="s">
        <v>50</v>
      </c>
      <c r="D1629" s="16">
        <v>24441</v>
      </c>
    </row>
    <row r="1630" spans="1:4" x14ac:dyDescent="0.3">
      <c r="A1630" s="1" t="str">
        <f>Pop[[#This Row],[State]]&amp;" "&amp;Pop[[#This Row],[County]]</f>
        <v>MS Marshall</v>
      </c>
      <c r="B1630" t="s">
        <v>219</v>
      </c>
      <c r="C1630" s="30" t="s">
        <v>51</v>
      </c>
      <c r="D1630" s="16">
        <v>33752</v>
      </c>
    </row>
    <row r="1631" spans="1:4" x14ac:dyDescent="0.3">
      <c r="A1631" s="1" t="str">
        <f>Pop[[#This Row],[State]]&amp;" "&amp;Pop[[#This Row],[County]]</f>
        <v>MS Monroe</v>
      </c>
      <c r="B1631" t="s">
        <v>219</v>
      </c>
      <c r="C1631" s="30" t="s">
        <v>339</v>
      </c>
      <c r="D1631" s="16">
        <v>34180</v>
      </c>
    </row>
    <row r="1632" spans="1:4" x14ac:dyDescent="0.3">
      <c r="A1632" s="1" t="str">
        <f>Pop[[#This Row],[State]]&amp;" "&amp;Pop[[#This Row],[County]]</f>
        <v>MS Montgomery</v>
      </c>
      <c r="B1632" t="s">
        <v>219</v>
      </c>
      <c r="C1632" s="30" t="s">
        <v>53</v>
      </c>
      <c r="D1632" s="16">
        <v>9822</v>
      </c>
    </row>
    <row r="1633" spans="1:4" x14ac:dyDescent="0.3">
      <c r="A1633" s="1" t="str">
        <f>Pop[[#This Row],[State]]&amp;" "&amp;Pop[[#This Row],[County]]</f>
        <v>MS Neshoba</v>
      </c>
      <c r="B1633" t="s">
        <v>219</v>
      </c>
      <c r="C1633" s="30" t="s">
        <v>1250</v>
      </c>
      <c r="D1633" s="16">
        <v>29087</v>
      </c>
    </row>
    <row r="1634" spans="1:4" x14ac:dyDescent="0.3">
      <c r="A1634" s="1" t="str">
        <f>Pop[[#This Row],[State]]&amp;" "&amp;Pop[[#This Row],[County]]</f>
        <v>MS Newton</v>
      </c>
      <c r="B1634" t="s">
        <v>219</v>
      </c>
      <c r="C1634" s="30" t="s">
        <v>383</v>
      </c>
      <c r="D1634" s="16">
        <v>21291</v>
      </c>
    </row>
    <row r="1635" spans="1:4" x14ac:dyDescent="0.3">
      <c r="A1635" s="1" t="str">
        <f>Pop[[#This Row],[State]]&amp;" "&amp;Pop[[#This Row],[County]]</f>
        <v>MS Noxubee</v>
      </c>
      <c r="B1635" t="s">
        <v>219</v>
      </c>
      <c r="C1635" s="30" t="s">
        <v>1251</v>
      </c>
      <c r="D1635" s="16">
        <v>10285</v>
      </c>
    </row>
    <row r="1636" spans="1:4" x14ac:dyDescent="0.3">
      <c r="A1636" s="1" t="str">
        <f>Pop[[#This Row],[State]]&amp;" "&amp;Pop[[#This Row],[County]]</f>
        <v>MS Oktibbeha</v>
      </c>
      <c r="B1636" t="s">
        <v>219</v>
      </c>
      <c r="C1636" s="30" t="s">
        <v>1252</v>
      </c>
      <c r="D1636" s="16">
        <v>51788</v>
      </c>
    </row>
    <row r="1637" spans="1:4" x14ac:dyDescent="0.3">
      <c r="A1637" s="1" t="str">
        <f>Pop[[#This Row],[State]]&amp;" "&amp;Pop[[#This Row],[County]]</f>
        <v>MS Panola</v>
      </c>
      <c r="B1637" t="s">
        <v>219</v>
      </c>
      <c r="C1637" s="30" t="s">
        <v>1253</v>
      </c>
      <c r="D1637" s="16">
        <v>33208</v>
      </c>
    </row>
    <row r="1638" spans="1:4" x14ac:dyDescent="0.3">
      <c r="A1638" s="1" t="str">
        <f>Pop[[#This Row],[State]]&amp;" "&amp;Pop[[#This Row],[County]]</f>
        <v>MS Pearl River</v>
      </c>
      <c r="B1638" t="s">
        <v>219</v>
      </c>
      <c r="C1638" s="30" t="s">
        <v>1254</v>
      </c>
      <c r="D1638" s="16">
        <v>56145</v>
      </c>
    </row>
    <row r="1639" spans="1:4" x14ac:dyDescent="0.3">
      <c r="A1639" s="1" t="str">
        <f>Pop[[#This Row],[State]]&amp;" "&amp;Pop[[#This Row],[County]]</f>
        <v>MS Perry</v>
      </c>
      <c r="B1639" t="s">
        <v>219</v>
      </c>
      <c r="C1639" s="30" t="s">
        <v>58</v>
      </c>
      <c r="D1639" s="16">
        <v>11511</v>
      </c>
    </row>
    <row r="1640" spans="1:4" x14ac:dyDescent="0.3">
      <c r="A1640" s="1" t="str">
        <f>Pop[[#This Row],[State]]&amp;" "&amp;Pop[[#This Row],[County]]</f>
        <v>MS Pike</v>
      </c>
      <c r="B1640" t="s">
        <v>219</v>
      </c>
      <c r="C1640" s="30" t="s">
        <v>341</v>
      </c>
      <c r="D1640" s="16">
        <v>40324</v>
      </c>
    </row>
    <row r="1641" spans="1:4" x14ac:dyDescent="0.3">
      <c r="A1641" s="1" t="str">
        <f>Pop[[#This Row],[State]]&amp;" "&amp;Pop[[#This Row],[County]]</f>
        <v>MS Pontotoc</v>
      </c>
      <c r="B1641" t="s">
        <v>219</v>
      </c>
      <c r="C1641" s="30" t="s">
        <v>1255</v>
      </c>
      <c r="D1641" s="16">
        <v>31184</v>
      </c>
    </row>
    <row r="1642" spans="1:4" x14ac:dyDescent="0.3">
      <c r="A1642" s="1" t="str">
        <f>Pop[[#This Row],[State]]&amp;" "&amp;Pop[[#This Row],[County]]</f>
        <v>MS Prentiss</v>
      </c>
      <c r="B1642" t="s">
        <v>219</v>
      </c>
      <c r="C1642" s="30" t="s">
        <v>1256</v>
      </c>
      <c r="D1642" s="16">
        <v>25008</v>
      </c>
    </row>
    <row r="1643" spans="1:4" x14ac:dyDescent="0.3">
      <c r="A1643" s="1" t="str">
        <f>Pop[[#This Row],[State]]&amp;" "&amp;Pop[[#This Row],[County]]</f>
        <v>MS Quitman</v>
      </c>
      <c r="B1643" t="s">
        <v>219</v>
      </c>
      <c r="C1643" s="30" t="s">
        <v>666</v>
      </c>
      <c r="D1643" s="16">
        <v>6176</v>
      </c>
    </row>
    <row r="1644" spans="1:4" x14ac:dyDescent="0.3">
      <c r="A1644" s="1" t="str">
        <f>Pop[[#This Row],[State]]&amp;" "&amp;Pop[[#This Row],[County]]</f>
        <v>MS Rankin</v>
      </c>
      <c r="B1644" t="s">
        <v>219</v>
      </c>
      <c r="C1644" s="30" t="s">
        <v>1257</v>
      </c>
      <c r="D1644" s="16">
        <v>157031</v>
      </c>
    </row>
    <row r="1645" spans="1:4" x14ac:dyDescent="0.3">
      <c r="A1645" s="1" t="str">
        <f>Pop[[#This Row],[State]]&amp;" "&amp;Pop[[#This Row],[County]]</f>
        <v>MS Scott</v>
      </c>
      <c r="B1645" t="s">
        <v>219</v>
      </c>
      <c r="C1645" s="30" t="s">
        <v>392</v>
      </c>
      <c r="D1645" s="16">
        <v>27990</v>
      </c>
    </row>
    <row r="1646" spans="1:4" x14ac:dyDescent="0.3">
      <c r="A1646" s="1" t="str">
        <f>Pop[[#This Row],[State]]&amp;" "&amp;Pop[[#This Row],[County]]</f>
        <v>MS Sharkey</v>
      </c>
      <c r="B1646" t="s">
        <v>219</v>
      </c>
      <c r="C1646" s="30" t="s">
        <v>1258</v>
      </c>
      <c r="D1646" s="16">
        <v>3800</v>
      </c>
    </row>
    <row r="1647" spans="1:4" x14ac:dyDescent="0.3">
      <c r="A1647" s="1" t="str">
        <f>Pop[[#This Row],[State]]&amp;" "&amp;Pop[[#This Row],[County]]</f>
        <v>MS Simpson</v>
      </c>
      <c r="B1647" t="s">
        <v>219</v>
      </c>
      <c r="C1647" s="30" t="s">
        <v>979</v>
      </c>
      <c r="D1647" s="16">
        <v>25949</v>
      </c>
    </row>
    <row r="1648" spans="1:4" x14ac:dyDescent="0.3">
      <c r="A1648" s="1" t="str">
        <f>Pop[[#This Row],[State]]&amp;" "&amp;Pop[[#This Row],[County]]</f>
        <v>MS Smith</v>
      </c>
      <c r="B1648" t="s">
        <v>219</v>
      </c>
      <c r="C1648" s="30" t="s">
        <v>917</v>
      </c>
      <c r="D1648" s="16">
        <v>14209</v>
      </c>
    </row>
    <row r="1649" spans="1:4" x14ac:dyDescent="0.3">
      <c r="A1649" s="1" t="str">
        <f>Pop[[#This Row],[State]]&amp;" "&amp;Pop[[#This Row],[County]]</f>
        <v>MS Stone</v>
      </c>
      <c r="B1649" t="s">
        <v>219</v>
      </c>
      <c r="C1649" s="30" t="s">
        <v>398</v>
      </c>
      <c r="D1649" s="16">
        <v>18333</v>
      </c>
    </row>
    <row r="1650" spans="1:4" x14ac:dyDescent="0.3">
      <c r="A1650" s="1" t="str">
        <f>Pop[[#This Row],[State]]&amp;" "&amp;Pop[[#This Row],[County]]</f>
        <v>MS Sunflower</v>
      </c>
      <c r="B1650" t="s">
        <v>219</v>
      </c>
      <c r="C1650" s="30" t="s">
        <v>1259</v>
      </c>
      <c r="D1650" s="16">
        <v>25971</v>
      </c>
    </row>
    <row r="1651" spans="1:4" x14ac:dyDescent="0.3">
      <c r="A1651" s="1" t="str">
        <f>Pop[[#This Row],[State]]&amp;" "&amp;Pop[[#This Row],[County]]</f>
        <v>MS Tallahatchie</v>
      </c>
      <c r="B1651" t="s">
        <v>219</v>
      </c>
      <c r="C1651" s="30" t="s">
        <v>1260</v>
      </c>
      <c r="D1651" s="16">
        <v>12715</v>
      </c>
    </row>
    <row r="1652" spans="1:4" x14ac:dyDescent="0.3">
      <c r="A1652" s="1" t="str">
        <f>Pop[[#This Row],[State]]&amp;" "&amp;Pop[[#This Row],[County]]</f>
        <v>MS Tate</v>
      </c>
      <c r="B1652" t="s">
        <v>219</v>
      </c>
      <c r="C1652" s="30" t="s">
        <v>1261</v>
      </c>
      <c r="D1652" s="16">
        <v>28064</v>
      </c>
    </row>
    <row r="1653" spans="1:4" x14ac:dyDescent="0.3">
      <c r="A1653" s="1" t="str">
        <f>Pop[[#This Row],[State]]&amp;" "&amp;Pop[[#This Row],[County]]</f>
        <v>MS Tippah</v>
      </c>
      <c r="B1653" t="s">
        <v>219</v>
      </c>
      <c r="C1653" s="30" t="s">
        <v>1262</v>
      </c>
      <c r="D1653" s="16">
        <v>21815</v>
      </c>
    </row>
    <row r="1654" spans="1:4" x14ac:dyDescent="0.3">
      <c r="A1654" s="1" t="str">
        <f>Pop[[#This Row],[State]]&amp;" "&amp;Pop[[#This Row],[County]]</f>
        <v>MS Tishomingo</v>
      </c>
      <c r="B1654" t="s">
        <v>219</v>
      </c>
      <c r="C1654" s="30" t="s">
        <v>1263</v>
      </c>
      <c r="D1654" s="16">
        <v>18850</v>
      </c>
    </row>
    <row r="1655" spans="1:4" x14ac:dyDescent="0.3">
      <c r="A1655" s="1" t="str">
        <f>Pop[[#This Row],[State]]&amp;" "&amp;Pop[[#This Row],[County]]</f>
        <v>MS Tunica</v>
      </c>
      <c r="B1655" t="s">
        <v>219</v>
      </c>
      <c r="C1655" s="30" t="s">
        <v>1264</v>
      </c>
      <c r="D1655" s="16">
        <v>9782</v>
      </c>
    </row>
    <row r="1656" spans="1:4" x14ac:dyDescent="0.3">
      <c r="A1656" s="1" t="str">
        <f>Pop[[#This Row],[State]]&amp;" "&amp;Pop[[#This Row],[County]]</f>
        <v>MS Union</v>
      </c>
      <c r="B1656" t="s">
        <v>219</v>
      </c>
      <c r="C1656" s="30" t="s">
        <v>399</v>
      </c>
      <c r="D1656" s="16">
        <v>27777</v>
      </c>
    </row>
    <row r="1657" spans="1:4" x14ac:dyDescent="0.3">
      <c r="A1657" s="1" t="str">
        <f>Pop[[#This Row],[State]]&amp;" "&amp;Pop[[#This Row],[County]]</f>
        <v>MS Walthall</v>
      </c>
      <c r="B1657" t="s">
        <v>219</v>
      </c>
      <c r="C1657" s="30" t="s">
        <v>1265</v>
      </c>
      <c r="D1657" s="16">
        <v>13884</v>
      </c>
    </row>
    <row r="1658" spans="1:4" x14ac:dyDescent="0.3">
      <c r="A1658" s="1" t="str">
        <f>Pop[[#This Row],[State]]&amp;" "&amp;Pop[[#This Row],[County]]</f>
        <v>MS Warren</v>
      </c>
      <c r="B1658" t="s">
        <v>219</v>
      </c>
      <c r="C1658" s="30" t="s">
        <v>690</v>
      </c>
      <c r="D1658" s="16">
        <v>44722</v>
      </c>
    </row>
    <row r="1659" spans="1:4" x14ac:dyDescent="0.3">
      <c r="A1659" s="1" t="str">
        <f>Pop[[#This Row],[State]]&amp;" "&amp;Pop[[#This Row],[County]]</f>
        <v>MS Washington</v>
      </c>
      <c r="B1659" t="s">
        <v>219</v>
      </c>
      <c r="C1659" s="30" t="s">
        <v>65</v>
      </c>
      <c r="D1659" s="16">
        <v>44922</v>
      </c>
    </row>
    <row r="1660" spans="1:4" x14ac:dyDescent="0.3">
      <c r="A1660" s="1" t="str">
        <f>Pop[[#This Row],[State]]&amp;" "&amp;Pop[[#This Row],[County]]</f>
        <v>MS Wayne</v>
      </c>
      <c r="B1660" t="s">
        <v>219</v>
      </c>
      <c r="C1660" s="30" t="s">
        <v>691</v>
      </c>
      <c r="D1660" s="16">
        <v>19779</v>
      </c>
    </row>
    <row r="1661" spans="1:4" x14ac:dyDescent="0.3">
      <c r="A1661" s="1" t="str">
        <f>Pop[[#This Row],[State]]&amp;" "&amp;Pop[[#This Row],[County]]</f>
        <v>MS Webster</v>
      </c>
      <c r="B1661" t="s">
        <v>219</v>
      </c>
      <c r="C1661" s="30" t="s">
        <v>692</v>
      </c>
      <c r="D1661" s="16">
        <v>9926</v>
      </c>
    </row>
    <row r="1662" spans="1:4" x14ac:dyDescent="0.3">
      <c r="A1662" s="1" t="str">
        <f>Pop[[#This Row],[State]]&amp;" "&amp;Pop[[#This Row],[County]]</f>
        <v>MS Wilkinson</v>
      </c>
      <c r="B1662" t="s">
        <v>219</v>
      </c>
      <c r="C1662" s="30" t="s">
        <v>696</v>
      </c>
      <c r="D1662" s="16">
        <v>8587</v>
      </c>
    </row>
    <row r="1663" spans="1:4" x14ac:dyDescent="0.3">
      <c r="A1663" s="1" t="str">
        <f>Pop[[#This Row],[State]]&amp;" "&amp;Pop[[#This Row],[County]]</f>
        <v>MS Winston</v>
      </c>
      <c r="B1663" t="s">
        <v>219</v>
      </c>
      <c r="C1663" s="30" t="s">
        <v>351</v>
      </c>
      <c r="D1663" s="16">
        <v>17714</v>
      </c>
    </row>
    <row r="1664" spans="1:4" x14ac:dyDescent="0.3">
      <c r="A1664" s="1" t="str">
        <f>Pop[[#This Row],[State]]&amp;" "&amp;Pop[[#This Row],[County]]</f>
        <v>MS Yalobusha</v>
      </c>
      <c r="B1664" t="s">
        <v>219</v>
      </c>
      <c r="C1664" s="30" t="s">
        <v>1266</v>
      </c>
      <c r="D1664" s="16">
        <v>12481</v>
      </c>
    </row>
    <row r="1665" spans="1:4" x14ac:dyDescent="0.3">
      <c r="A1665" s="1" t="str">
        <f>Pop[[#This Row],[State]]&amp;" "&amp;Pop[[#This Row],[County]]</f>
        <v>MS Yazoo</v>
      </c>
      <c r="B1665" t="s">
        <v>219</v>
      </c>
      <c r="C1665" s="30" t="s">
        <v>1267</v>
      </c>
      <c r="D1665" s="16">
        <v>26743</v>
      </c>
    </row>
    <row r="1666" spans="1:4" x14ac:dyDescent="0.3">
      <c r="A1666" s="1" t="str">
        <f>Pop[[#This Row],[State]]&amp;" "&amp;Pop[[#This Row],[County]]</f>
        <v>MS State Agencies</v>
      </c>
      <c r="B1666" t="s">
        <v>219</v>
      </c>
      <c r="C1666" s="30" t="s">
        <v>243</v>
      </c>
      <c r="D1666" s="16" t="s">
        <v>244</v>
      </c>
    </row>
    <row r="1667" spans="1:4" x14ac:dyDescent="0.3">
      <c r="A1667" s="1" t="str">
        <f>Pop[[#This Row],[State]]&amp;" "&amp;Pop[[#This Row],[County]]</f>
        <v>MS Grand Total</v>
      </c>
      <c r="B1667" t="s">
        <v>219</v>
      </c>
      <c r="C1667" s="30" t="s">
        <v>67</v>
      </c>
      <c r="D1667" s="16">
        <v>2961279</v>
      </c>
    </row>
    <row r="1668" spans="1:4" x14ac:dyDescent="0.3">
      <c r="A1668" s="1" t="str">
        <f>Pop[[#This Row],[State]]&amp;" "&amp;Pop[[#This Row],[County]]</f>
        <v>MT Beaverhead</v>
      </c>
      <c r="B1668" t="s">
        <v>277</v>
      </c>
      <c r="C1668" s="30" t="s">
        <v>1268</v>
      </c>
      <c r="D1668" s="16">
        <v>9246</v>
      </c>
    </row>
    <row r="1669" spans="1:4" x14ac:dyDescent="0.3">
      <c r="A1669" s="1" t="str">
        <f>Pop[[#This Row],[State]]&amp;" "&amp;Pop[[#This Row],[County]]</f>
        <v>MT Big Horn</v>
      </c>
      <c r="B1669" t="s">
        <v>277</v>
      </c>
      <c r="C1669" s="30" t="s">
        <v>1269</v>
      </c>
      <c r="D1669" s="16">
        <v>12865</v>
      </c>
    </row>
    <row r="1670" spans="1:4" x14ac:dyDescent="0.3">
      <c r="A1670" s="1" t="str">
        <f>Pop[[#This Row],[State]]&amp;" "&amp;Pop[[#This Row],[County]]</f>
        <v>MT Blaine</v>
      </c>
      <c r="B1670" t="s">
        <v>277</v>
      </c>
      <c r="C1670" s="30" t="s">
        <v>757</v>
      </c>
      <c r="D1670" s="16">
        <v>6491</v>
      </c>
    </row>
    <row r="1671" spans="1:4" x14ac:dyDescent="0.3">
      <c r="A1671" s="1" t="str">
        <f>Pop[[#This Row],[State]]&amp;" "&amp;Pop[[#This Row],[County]]</f>
        <v>MT Broadwater</v>
      </c>
      <c r="B1671" t="s">
        <v>277</v>
      </c>
      <c r="C1671" s="30" t="s">
        <v>1270</v>
      </c>
      <c r="D1671" s="16">
        <v>5612</v>
      </c>
    </row>
    <row r="1672" spans="1:4" x14ac:dyDescent="0.3">
      <c r="A1672" s="1" t="str">
        <f>Pop[[#This Row],[State]]&amp;" "&amp;Pop[[#This Row],[County]]</f>
        <v>MT Carbon</v>
      </c>
      <c r="B1672" t="s">
        <v>277</v>
      </c>
      <c r="C1672" s="30" t="s">
        <v>1271</v>
      </c>
      <c r="D1672" s="16">
        <v>10078</v>
      </c>
    </row>
    <row r="1673" spans="1:4" x14ac:dyDescent="0.3">
      <c r="A1673" s="1" t="str">
        <f>Pop[[#This Row],[State]]&amp;" "&amp;Pop[[#This Row],[County]]</f>
        <v>MT Carter</v>
      </c>
      <c r="B1673" t="s">
        <v>277</v>
      </c>
      <c r="C1673" s="30" t="s">
        <v>943</v>
      </c>
      <c r="D1673" s="16">
        <v>1160</v>
      </c>
    </row>
    <row r="1674" spans="1:4" x14ac:dyDescent="0.3">
      <c r="A1674" s="1" t="str">
        <f>Pop[[#This Row],[State]]&amp;" "&amp;Pop[[#This Row],[County]]</f>
        <v>MT Cascade</v>
      </c>
      <c r="B1674" t="s">
        <v>277</v>
      </c>
      <c r="C1674" s="30" t="s">
        <v>1272</v>
      </c>
      <c r="D1674" s="16">
        <v>81327</v>
      </c>
    </row>
    <row r="1675" spans="1:4" x14ac:dyDescent="0.3">
      <c r="A1675" s="1" t="str">
        <f>Pop[[#This Row],[State]]&amp;" "&amp;Pop[[#This Row],[County]]</f>
        <v>MT Chouteau</v>
      </c>
      <c r="B1675" t="s">
        <v>277</v>
      </c>
      <c r="C1675" s="30" t="s">
        <v>1273</v>
      </c>
      <c r="D1675" s="16">
        <v>5813</v>
      </c>
    </row>
    <row r="1676" spans="1:4" x14ac:dyDescent="0.3">
      <c r="A1676" s="1" t="str">
        <f>Pop[[#This Row],[State]]&amp;" "&amp;Pop[[#This Row],[County]]</f>
        <v>MT Custer</v>
      </c>
      <c r="B1676" t="s">
        <v>277</v>
      </c>
      <c r="C1676" s="30" t="s">
        <v>492</v>
      </c>
      <c r="D1676" s="16">
        <v>11699</v>
      </c>
    </row>
    <row r="1677" spans="1:4" x14ac:dyDescent="0.3">
      <c r="A1677" s="1" t="str">
        <f>Pop[[#This Row],[State]]&amp;" "&amp;Pop[[#This Row],[County]]</f>
        <v>MT Daniels</v>
      </c>
      <c r="B1677" t="s">
        <v>277</v>
      </c>
      <c r="C1677" s="30" t="s">
        <v>1274</v>
      </c>
      <c r="D1677" s="16">
        <v>1751</v>
      </c>
    </row>
    <row r="1678" spans="1:4" x14ac:dyDescent="0.3">
      <c r="A1678" s="1" t="str">
        <f>Pop[[#This Row],[State]]&amp;" "&amp;Pop[[#This Row],[County]]</f>
        <v>MT Dawson</v>
      </c>
      <c r="B1678" t="s">
        <v>277</v>
      </c>
      <c r="C1678" s="30" t="s">
        <v>622</v>
      </c>
      <c r="D1678" s="16">
        <v>8966</v>
      </c>
    </row>
    <row r="1679" spans="1:4" x14ac:dyDescent="0.3">
      <c r="A1679" s="1" t="str">
        <f>Pop[[#This Row],[State]]&amp;" "&amp;Pop[[#This Row],[County]]</f>
        <v>MT Deer Lodge</v>
      </c>
      <c r="B1679" t="s">
        <v>277</v>
      </c>
      <c r="C1679" s="30" t="s">
        <v>1275</v>
      </c>
      <c r="D1679" s="16">
        <v>9298</v>
      </c>
    </row>
    <row r="1680" spans="1:4" x14ac:dyDescent="0.3">
      <c r="A1680" s="1" t="str">
        <f>Pop[[#This Row],[State]]&amp;" "&amp;Pop[[#This Row],[County]]</f>
        <v>MT Fallon</v>
      </c>
      <c r="B1680" t="s">
        <v>277</v>
      </c>
      <c r="C1680" s="30" t="s">
        <v>1276</v>
      </c>
      <c r="D1680" s="16">
        <v>2890</v>
      </c>
    </row>
    <row r="1681" spans="1:4" x14ac:dyDescent="0.3">
      <c r="A1681" s="1" t="str">
        <f>Pop[[#This Row],[State]]&amp;" "&amp;Pop[[#This Row],[County]]</f>
        <v>MT Fergus</v>
      </c>
      <c r="B1681" t="s">
        <v>277</v>
      </c>
      <c r="C1681" s="30" t="s">
        <v>1277</v>
      </c>
      <c r="D1681" s="16">
        <v>11586</v>
      </c>
    </row>
    <row r="1682" spans="1:4" x14ac:dyDescent="0.3">
      <c r="A1682" s="1" t="str">
        <f>Pop[[#This Row],[State]]&amp;" "&amp;Pop[[#This Row],[County]]</f>
        <v>MT Flathead</v>
      </c>
      <c r="B1682" t="s">
        <v>277</v>
      </c>
      <c r="C1682" s="30" t="s">
        <v>1278</v>
      </c>
      <c r="D1682" s="16">
        <v>90928</v>
      </c>
    </row>
    <row r="1683" spans="1:4" x14ac:dyDescent="0.3">
      <c r="A1683" s="1" t="str">
        <f>Pop[[#This Row],[State]]&amp;" "&amp;Pop[[#This Row],[County]]</f>
        <v>MT Gallatin</v>
      </c>
      <c r="B1683" t="s">
        <v>277</v>
      </c>
      <c r="C1683" s="30" t="s">
        <v>796</v>
      </c>
      <c r="D1683" s="16">
        <v>89513</v>
      </c>
    </row>
    <row r="1684" spans="1:4" x14ac:dyDescent="0.3">
      <c r="A1684" s="1" t="str">
        <f>Pop[[#This Row],[State]]&amp;" "&amp;Pop[[#This Row],[County]]</f>
        <v>MT Garfield</v>
      </c>
      <c r="B1684" t="s">
        <v>277</v>
      </c>
      <c r="C1684" s="30" t="s">
        <v>501</v>
      </c>
      <c r="D1684" s="16">
        <v>1206</v>
      </c>
    </row>
    <row r="1685" spans="1:4" x14ac:dyDescent="0.3">
      <c r="A1685" s="1" t="str">
        <f>Pop[[#This Row],[State]]&amp;" "&amp;Pop[[#This Row],[County]]</f>
        <v>MT Glacier</v>
      </c>
      <c r="B1685" t="s">
        <v>277</v>
      </c>
      <c r="C1685" s="30" t="s">
        <v>1279</v>
      </c>
      <c r="D1685" s="16">
        <v>13399</v>
      </c>
    </row>
    <row r="1686" spans="1:4" x14ac:dyDescent="0.3">
      <c r="A1686" s="1" t="str">
        <f>Pop[[#This Row],[State]]&amp;" "&amp;Pop[[#This Row],[County]]</f>
        <v>MT Golden Valley</v>
      </c>
      <c r="B1686" t="s">
        <v>277</v>
      </c>
      <c r="C1686" s="30" t="s">
        <v>1280</v>
      </c>
      <c r="D1686" s="16">
        <v>884</v>
      </c>
    </row>
    <row r="1687" spans="1:4" x14ac:dyDescent="0.3">
      <c r="A1687" s="1" t="str">
        <f>Pop[[#This Row],[State]]&amp;" "&amp;Pop[[#This Row],[County]]</f>
        <v>MT Granite</v>
      </c>
      <c r="B1687" t="s">
        <v>277</v>
      </c>
      <c r="C1687" s="30" t="s">
        <v>1281</v>
      </c>
      <c r="D1687" s="16">
        <v>3079</v>
      </c>
    </row>
    <row r="1688" spans="1:4" x14ac:dyDescent="0.3">
      <c r="A1688" s="1" t="str">
        <f>Pop[[#This Row],[State]]&amp;" "&amp;Pop[[#This Row],[County]]</f>
        <v>MT Hill</v>
      </c>
      <c r="B1688" t="s">
        <v>277</v>
      </c>
      <c r="C1688" s="30" t="s">
        <v>1282</v>
      </c>
      <c r="D1688" s="16">
        <v>16096</v>
      </c>
    </row>
    <row r="1689" spans="1:4" x14ac:dyDescent="0.3">
      <c r="A1689" s="1" t="str">
        <f>Pop[[#This Row],[State]]&amp;" "&amp;Pop[[#This Row],[County]]</f>
        <v>MT Jefferson</v>
      </c>
      <c r="B1689" t="s">
        <v>277</v>
      </c>
      <c r="C1689" s="30" t="s">
        <v>47</v>
      </c>
      <c r="D1689" s="16">
        <v>11406</v>
      </c>
    </row>
    <row r="1690" spans="1:4" x14ac:dyDescent="0.3">
      <c r="A1690" s="1" t="str">
        <f>Pop[[#This Row],[State]]&amp;" "&amp;Pop[[#This Row],[County]]</f>
        <v>MT Judith Basin</v>
      </c>
      <c r="B1690" t="s">
        <v>277</v>
      </c>
      <c r="C1690" s="30" t="s">
        <v>1283</v>
      </c>
      <c r="D1690" s="16">
        <v>2072</v>
      </c>
    </row>
    <row r="1691" spans="1:4" x14ac:dyDescent="0.3">
      <c r="A1691" s="1" t="str">
        <f>Pop[[#This Row],[State]]&amp;" "&amp;Pop[[#This Row],[County]]</f>
        <v>MT Lake</v>
      </c>
      <c r="B1691" t="s">
        <v>277</v>
      </c>
      <c r="C1691" s="30" t="s">
        <v>439</v>
      </c>
      <c r="D1691" s="16">
        <v>28746</v>
      </c>
    </row>
    <row r="1692" spans="1:4" x14ac:dyDescent="0.3">
      <c r="A1692" s="1" t="str">
        <f>Pop[[#This Row],[State]]&amp;" "&amp;Pop[[#This Row],[County]]</f>
        <v>MT Lewis and Clark</v>
      </c>
      <c r="B1692" t="s">
        <v>277</v>
      </c>
      <c r="C1692" s="30" t="s">
        <v>1284</v>
      </c>
      <c r="D1692" s="16">
        <v>63395</v>
      </c>
    </row>
    <row r="1693" spans="1:4" x14ac:dyDescent="0.3">
      <c r="A1693" s="1" t="str">
        <f>Pop[[#This Row],[State]]&amp;" "&amp;Pop[[#This Row],[County]]</f>
        <v>MT Liberty</v>
      </c>
      <c r="B1693" t="s">
        <v>277</v>
      </c>
      <c r="C1693" s="30" t="s">
        <v>571</v>
      </c>
      <c r="D1693" s="16">
        <v>2339</v>
      </c>
    </row>
    <row r="1694" spans="1:4" x14ac:dyDescent="0.3">
      <c r="A1694" s="1" t="str">
        <f>Pop[[#This Row],[State]]&amp;" "&amp;Pop[[#This Row],[County]]</f>
        <v>MT Lincoln</v>
      </c>
      <c r="B1694" t="s">
        <v>277</v>
      </c>
      <c r="C1694" s="30" t="s">
        <v>378</v>
      </c>
      <c r="D1694" s="16">
        <v>19687</v>
      </c>
    </row>
    <row r="1695" spans="1:4" x14ac:dyDescent="0.3">
      <c r="A1695" s="1" t="str">
        <f>Pop[[#This Row],[State]]&amp;" "&amp;Pop[[#This Row],[County]]</f>
        <v>MT Madison</v>
      </c>
      <c r="B1695" t="s">
        <v>277</v>
      </c>
      <c r="C1695" s="30" t="s">
        <v>49</v>
      </c>
      <c r="D1695" s="16">
        <v>7691</v>
      </c>
    </row>
    <row r="1696" spans="1:4" x14ac:dyDescent="0.3">
      <c r="A1696" s="1" t="str">
        <f>Pop[[#This Row],[State]]&amp;" "&amp;Pop[[#This Row],[County]]</f>
        <v>MT McCone</v>
      </c>
      <c r="B1696" t="s">
        <v>277</v>
      </c>
      <c r="C1696" s="30" t="s">
        <v>1285</v>
      </c>
      <c r="D1696" s="16">
        <v>1734</v>
      </c>
    </row>
    <row r="1697" spans="1:4" x14ac:dyDescent="0.3">
      <c r="A1697" s="1" t="str">
        <f>Pop[[#This Row],[State]]&amp;" "&amp;Pop[[#This Row],[County]]</f>
        <v>MT Meagher</v>
      </c>
      <c r="B1697" t="s">
        <v>277</v>
      </c>
      <c r="C1697" s="30" t="s">
        <v>1286</v>
      </c>
      <c r="D1697" s="16">
        <v>1891</v>
      </c>
    </row>
    <row r="1698" spans="1:4" x14ac:dyDescent="0.3">
      <c r="A1698" s="1" t="str">
        <f>Pop[[#This Row],[State]]&amp;" "&amp;Pop[[#This Row],[County]]</f>
        <v>MT Mineral</v>
      </c>
      <c r="B1698" t="s">
        <v>277</v>
      </c>
      <c r="C1698" s="30" t="s">
        <v>513</v>
      </c>
      <c r="D1698" s="16">
        <v>4223</v>
      </c>
    </row>
    <row r="1699" spans="1:4" x14ac:dyDescent="0.3">
      <c r="A1699" s="1" t="str">
        <f>Pop[[#This Row],[State]]&amp;" "&amp;Pop[[#This Row],[County]]</f>
        <v>MT Missoula</v>
      </c>
      <c r="B1699" t="s">
        <v>277</v>
      </c>
      <c r="C1699" s="30" t="s">
        <v>1287</v>
      </c>
      <c r="D1699" s="16">
        <v>109299</v>
      </c>
    </row>
    <row r="1700" spans="1:4" x14ac:dyDescent="0.3">
      <c r="A1700" s="1" t="str">
        <f>Pop[[#This Row],[State]]&amp;" "&amp;Pop[[#This Row],[County]]</f>
        <v>MT Musselshell</v>
      </c>
      <c r="B1700" t="s">
        <v>277</v>
      </c>
      <c r="C1700" s="30" t="s">
        <v>1288</v>
      </c>
      <c r="D1700" s="16">
        <v>4538</v>
      </c>
    </row>
    <row r="1701" spans="1:4" x14ac:dyDescent="0.3">
      <c r="A1701" s="1" t="str">
        <f>Pop[[#This Row],[State]]&amp;" "&amp;Pop[[#This Row],[County]]</f>
        <v>MT Park</v>
      </c>
      <c r="B1701" t="s">
        <v>277</v>
      </c>
      <c r="C1701" s="30" t="s">
        <v>519</v>
      </c>
      <c r="D1701" s="16">
        <v>15636</v>
      </c>
    </row>
    <row r="1702" spans="1:4" x14ac:dyDescent="0.3">
      <c r="A1702" s="1" t="str">
        <f>Pop[[#This Row],[State]]&amp;" "&amp;Pop[[#This Row],[County]]</f>
        <v>MT Petroleum</v>
      </c>
      <c r="B1702" t="s">
        <v>277</v>
      </c>
      <c r="C1702" s="30" t="s">
        <v>1289</v>
      </c>
      <c r="D1702" s="16">
        <v>494</v>
      </c>
    </row>
    <row r="1703" spans="1:4" x14ac:dyDescent="0.3">
      <c r="A1703" s="1" t="str">
        <f>Pop[[#This Row],[State]]&amp;" "&amp;Pop[[#This Row],[County]]</f>
        <v>MT Phillips</v>
      </c>
      <c r="B1703" t="s">
        <v>277</v>
      </c>
      <c r="C1703" s="30" t="s">
        <v>385</v>
      </c>
      <c r="D1703" s="16">
        <v>4253</v>
      </c>
    </row>
    <row r="1704" spans="1:4" x14ac:dyDescent="0.3">
      <c r="A1704" s="1" t="str">
        <f>Pop[[#This Row],[State]]&amp;" "&amp;Pop[[#This Row],[County]]</f>
        <v>MT Pondera</v>
      </c>
      <c r="B1704" t="s">
        <v>277</v>
      </c>
      <c r="C1704" s="30" t="s">
        <v>1290</v>
      </c>
      <c r="D1704" s="16">
        <v>6153</v>
      </c>
    </row>
    <row r="1705" spans="1:4" x14ac:dyDescent="0.3">
      <c r="A1705" s="1" t="str">
        <f>Pop[[#This Row],[State]]&amp;" "&amp;Pop[[#This Row],[County]]</f>
        <v>MT Powder River</v>
      </c>
      <c r="B1705" t="s">
        <v>277</v>
      </c>
      <c r="C1705" s="30" t="s">
        <v>1291</v>
      </c>
      <c r="D1705" s="16">
        <v>1743</v>
      </c>
    </row>
    <row r="1706" spans="1:4" x14ac:dyDescent="0.3">
      <c r="A1706" s="1" t="str">
        <f>Pop[[#This Row],[State]]&amp;" "&amp;Pop[[#This Row],[County]]</f>
        <v>MT Powell</v>
      </c>
      <c r="B1706" t="s">
        <v>277</v>
      </c>
      <c r="C1706" s="30" t="s">
        <v>975</v>
      </c>
      <c r="D1706" s="16">
        <v>7027</v>
      </c>
    </row>
    <row r="1707" spans="1:4" x14ac:dyDescent="0.3">
      <c r="A1707" s="1" t="str">
        <f>Pop[[#This Row],[State]]&amp;" "&amp;Pop[[#This Row],[County]]</f>
        <v>MT Prairie</v>
      </c>
      <c r="B1707" t="s">
        <v>277</v>
      </c>
      <c r="C1707" s="30" t="s">
        <v>389</v>
      </c>
      <c r="D1707" s="16">
        <v>1179</v>
      </c>
    </row>
    <row r="1708" spans="1:4" x14ac:dyDescent="0.3">
      <c r="A1708" s="1" t="str">
        <f>Pop[[#This Row],[State]]&amp;" "&amp;Pop[[#This Row],[County]]</f>
        <v>MT Ravalli</v>
      </c>
      <c r="B1708" t="s">
        <v>277</v>
      </c>
      <c r="C1708" s="30" t="s">
        <v>1292</v>
      </c>
      <c r="D1708" s="16">
        <v>40212</v>
      </c>
    </row>
    <row r="1709" spans="1:4" x14ac:dyDescent="0.3">
      <c r="A1709" s="1" t="str">
        <f>Pop[[#This Row],[State]]&amp;" "&amp;Pop[[#This Row],[County]]</f>
        <v>MT Richland</v>
      </c>
      <c r="B1709" t="s">
        <v>277</v>
      </c>
      <c r="C1709" s="30" t="s">
        <v>819</v>
      </c>
      <c r="D1709" s="16">
        <v>9746</v>
      </c>
    </row>
    <row r="1710" spans="1:4" x14ac:dyDescent="0.3">
      <c r="A1710" s="1" t="str">
        <f>Pop[[#This Row],[State]]&amp;" "&amp;Pop[[#This Row],[County]]</f>
        <v>MT Roosevelt</v>
      </c>
      <c r="B1710" t="s">
        <v>277</v>
      </c>
      <c r="C1710" s="30" t="s">
        <v>1293</v>
      </c>
      <c r="D1710" s="16">
        <v>10425</v>
      </c>
    </row>
    <row r="1711" spans="1:4" x14ac:dyDescent="0.3">
      <c r="A1711" s="1" t="str">
        <f>Pop[[#This Row],[State]]&amp;" "&amp;Pop[[#This Row],[County]]</f>
        <v>MT Rosebud</v>
      </c>
      <c r="B1711" t="s">
        <v>277</v>
      </c>
      <c r="C1711" s="30" t="s">
        <v>1294</v>
      </c>
      <c r="D1711" s="16">
        <v>9233</v>
      </c>
    </row>
    <row r="1712" spans="1:4" x14ac:dyDescent="0.3">
      <c r="A1712" s="1" t="str">
        <f>Pop[[#This Row],[State]]&amp;" "&amp;Pop[[#This Row],[County]]</f>
        <v>MT Sanders</v>
      </c>
      <c r="B1712" t="s">
        <v>277</v>
      </c>
      <c r="C1712" s="30" t="s">
        <v>1295</v>
      </c>
      <c r="D1712" s="16">
        <v>11413</v>
      </c>
    </row>
    <row r="1713" spans="1:4" x14ac:dyDescent="0.3">
      <c r="A1713" s="1" t="str">
        <f>Pop[[#This Row],[State]]&amp;" "&amp;Pop[[#This Row],[County]]</f>
        <v>MT Sheridan</v>
      </c>
      <c r="B1713" t="s">
        <v>277</v>
      </c>
      <c r="C1713" s="30" t="s">
        <v>915</v>
      </c>
      <c r="D1713" s="16">
        <v>3384</v>
      </c>
    </row>
    <row r="1714" spans="1:4" x14ac:dyDescent="0.3">
      <c r="A1714" s="1" t="str">
        <f>Pop[[#This Row],[State]]&amp;" "&amp;Pop[[#This Row],[County]]</f>
        <v>MT Silver Bow</v>
      </c>
      <c r="B1714" t="s">
        <v>277</v>
      </c>
      <c r="C1714" s="30" t="s">
        <v>1296</v>
      </c>
      <c r="D1714" s="16">
        <v>34200</v>
      </c>
    </row>
    <row r="1715" spans="1:4" x14ac:dyDescent="0.3">
      <c r="A1715" s="1" t="str">
        <f>Pop[[#This Row],[State]]&amp;" "&amp;Pop[[#This Row],[County]]</f>
        <v>MT Stillwater</v>
      </c>
      <c r="B1715" t="s">
        <v>277</v>
      </c>
      <c r="C1715" s="30" t="s">
        <v>1297</v>
      </c>
      <c r="D1715" s="16">
        <v>9117</v>
      </c>
    </row>
    <row r="1716" spans="1:4" x14ac:dyDescent="0.3">
      <c r="A1716" s="1" t="str">
        <f>Pop[[#This Row],[State]]&amp;" "&amp;Pop[[#This Row],[County]]</f>
        <v>MT Sweet Grass</v>
      </c>
      <c r="B1716" t="s">
        <v>277</v>
      </c>
      <c r="C1716" s="30" t="s">
        <v>1298</v>
      </c>
      <c r="D1716" s="16">
        <v>3651</v>
      </c>
    </row>
    <row r="1717" spans="1:4" x14ac:dyDescent="0.3">
      <c r="A1717" s="1" t="str">
        <f>Pop[[#This Row],[State]]&amp;" "&amp;Pop[[#This Row],[County]]</f>
        <v>MT Teton</v>
      </c>
      <c r="B1717" t="s">
        <v>277</v>
      </c>
      <c r="C1717" s="30" t="s">
        <v>781</v>
      </c>
      <c r="D1717" s="16">
        <v>6073</v>
      </c>
    </row>
    <row r="1718" spans="1:4" x14ac:dyDescent="0.3">
      <c r="A1718" s="1" t="str">
        <f>Pop[[#This Row],[State]]&amp;" "&amp;Pop[[#This Row],[County]]</f>
        <v>MT Toole</v>
      </c>
      <c r="B1718" t="s">
        <v>277</v>
      </c>
      <c r="C1718" s="30" t="s">
        <v>1299</v>
      </c>
      <c r="D1718" s="16">
        <v>5324</v>
      </c>
    </row>
    <row r="1719" spans="1:4" x14ac:dyDescent="0.3">
      <c r="A1719" s="1" t="str">
        <f>Pop[[#This Row],[State]]&amp;" "&amp;Pop[[#This Row],[County]]</f>
        <v>MT Treasure</v>
      </c>
      <c r="B1719" t="s">
        <v>277</v>
      </c>
      <c r="C1719" s="30" t="s">
        <v>1300</v>
      </c>
      <c r="D1719" s="16">
        <v>718</v>
      </c>
    </row>
    <row r="1720" spans="1:4" x14ac:dyDescent="0.3">
      <c r="A1720" s="1" t="str">
        <f>Pop[[#This Row],[State]]&amp;" "&amp;Pop[[#This Row],[County]]</f>
        <v>MT Valley</v>
      </c>
      <c r="B1720" t="s">
        <v>277</v>
      </c>
      <c r="C1720" s="30" t="s">
        <v>783</v>
      </c>
      <c r="D1720" s="16">
        <v>7369</v>
      </c>
    </row>
    <row r="1721" spans="1:4" x14ac:dyDescent="0.3">
      <c r="A1721" s="1" t="str">
        <f>Pop[[#This Row],[State]]&amp;" "&amp;Pop[[#This Row],[County]]</f>
        <v>MT Wheatland</v>
      </c>
      <c r="B1721" t="s">
        <v>277</v>
      </c>
      <c r="C1721" s="30" t="s">
        <v>1301</v>
      </c>
      <c r="D1721" s="16">
        <v>2168</v>
      </c>
    </row>
    <row r="1722" spans="1:4" x14ac:dyDescent="0.3">
      <c r="A1722" s="1" t="str">
        <f>Pop[[#This Row],[State]]&amp;" "&amp;Pop[[#This Row],[County]]</f>
        <v>MT Wibaux</v>
      </c>
      <c r="B1722" t="s">
        <v>277</v>
      </c>
      <c r="C1722" s="30" t="s">
        <v>1302</v>
      </c>
      <c r="D1722" s="16">
        <v>1017</v>
      </c>
    </row>
    <row r="1723" spans="1:4" x14ac:dyDescent="0.3">
      <c r="A1723" s="1" t="str">
        <f>Pop[[#This Row],[State]]&amp;" "&amp;Pop[[#This Row],[County]]</f>
        <v>MT Yellowstone</v>
      </c>
      <c r="B1723" t="s">
        <v>277</v>
      </c>
      <c r="C1723" s="30" t="s">
        <v>1303</v>
      </c>
      <c r="D1723" s="16">
        <v>147972</v>
      </c>
    </row>
    <row r="1724" spans="1:4" x14ac:dyDescent="0.3">
      <c r="A1724" s="1" t="str">
        <f>Pop[[#This Row],[State]]&amp;" "&amp;Pop[[#This Row],[County]]</f>
        <v>MT State Agencies</v>
      </c>
      <c r="B1724" t="s">
        <v>277</v>
      </c>
      <c r="C1724" s="30" t="s">
        <v>243</v>
      </c>
      <c r="D1724" s="16" t="s">
        <v>244</v>
      </c>
    </row>
    <row r="1725" spans="1:4" x14ac:dyDescent="0.3">
      <c r="A1725" s="1" t="str">
        <f>Pop[[#This Row],[State]]&amp;" "&amp;Pop[[#This Row],[County]]</f>
        <v>MT Grand Total</v>
      </c>
      <c r="B1725" t="s">
        <v>277</v>
      </c>
      <c r="C1725" s="30" t="s">
        <v>67</v>
      </c>
      <c r="D1725" s="16">
        <v>989415</v>
      </c>
    </row>
    <row r="1726" spans="1:4" x14ac:dyDescent="0.3">
      <c r="A1726" s="1" t="str">
        <f>Pop[[#This Row],[State]]&amp;" "&amp;Pop[[#This Row],[County]]</f>
        <v>NC Alamance</v>
      </c>
      <c r="B1726" t="s">
        <v>222</v>
      </c>
      <c r="C1726" s="30" t="s">
        <v>1304</v>
      </c>
      <c r="D1726" s="16">
        <v>171415</v>
      </c>
    </row>
    <row r="1727" spans="1:4" x14ac:dyDescent="0.3">
      <c r="A1727" s="1" t="str">
        <f>Pop[[#This Row],[State]]&amp;" "&amp;Pop[[#This Row],[County]]</f>
        <v>NC Alexander</v>
      </c>
      <c r="B1727" t="s">
        <v>222</v>
      </c>
      <c r="C1727" s="30" t="s">
        <v>784</v>
      </c>
      <c r="D1727" s="16">
        <v>36444</v>
      </c>
    </row>
    <row r="1728" spans="1:4" x14ac:dyDescent="0.3">
      <c r="A1728" s="1" t="str">
        <f>Pop[[#This Row],[State]]&amp;" "&amp;Pop[[#This Row],[County]]</f>
        <v>NC Alleghany</v>
      </c>
      <c r="B1728" t="s">
        <v>222</v>
      </c>
      <c r="C1728" s="30" t="s">
        <v>1305</v>
      </c>
      <c r="D1728" s="16">
        <v>10888</v>
      </c>
    </row>
    <row r="1729" spans="1:4" x14ac:dyDescent="0.3">
      <c r="A1729" s="1" t="str">
        <f>Pop[[#This Row],[State]]&amp;" "&amp;Pop[[#This Row],[County]]</f>
        <v>NC Anson</v>
      </c>
      <c r="B1729" t="s">
        <v>222</v>
      </c>
      <c r="C1729" s="30" t="s">
        <v>1306</v>
      </c>
      <c r="D1729" s="16">
        <v>22055</v>
      </c>
    </row>
    <row r="1730" spans="1:4" x14ac:dyDescent="0.3">
      <c r="A1730" s="1" t="str">
        <f>Pop[[#This Row],[State]]&amp;" "&amp;Pop[[#This Row],[County]]</f>
        <v>NC Ashe</v>
      </c>
      <c r="B1730" t="s">
        <v>222</v>
      </c>
      <c r="C1730" s="30" t="s">
        <v>1307</v>
      </c>
      <c r="D1730" s="16">
        <v>26577</v>
      </c>
    </row>
    <row r="1731" spans="1:4" x14ac:dyDescent="0.3">
      <c r="A1731" s="1" t="str">
        <f>Pop[[#This Row],[State]]&amp;" "&amp;Pop[[#This Row],[County]]</f>
        <v>NC Avery</v>
      </c>
      <c r="B1731" t="s">
        <v>222</v>
      </c>
      <c r="C1731" s="30" t="s">
        <v>1308</v>
      </c>
      <c r="D1731" s="16">
        <v>17806</v>
      </c>
    </row>
    <row r="1732" spans="1:4" x14ac:dyDescent="0.3">
      <c r="A1732" s="1" t="str">
        <f>Pop[[#This Row],[State]]&amp;" "&amp;Pop[[#This Row],[County]]</f>
        <v>NC Beaufort</v>
      </c>
      <c r="B1732" t="s">
        <v>222</v>
      </c>
      <c r="C1732" s="30" t="s">
        <v>1309</v>
      </c>
      <c r="D1732" s="16">
        <v>44652</v>
      </c>
    </row>
    <row r="1733" spans="1:4" x14ac:dyDescent="0.3">
      <c r="A1733" s="1" t="str">
        <f>Pop[[#This Row],[State]]&amp;" "&amp;Pop[[#This Row],[County]]</f>
        <v>NC Bertie</v>
      </c>
      <c r="B1733" t="s">
        <v>222</v>
      </c>
      <c r="C1733" s="30" t="s">
        <v>1310</v>
      </c>
      <c r="D1733" s="16">
        <v>17934</v>
      </c>
    </row>
    <row r="1734" spans="1:4" x14ac:dyDescent="0.3">
      <c r="A1734" s="1" t="str">
        <f>Pop[[#This Row],[State]]&amp;" "&amp;Pop[[#This Row],[County]]</f>
        <v>NC Bladen</v>
      </c>
      <c r="B1734" t="s">
        <v>222</v>
      </c>
      <c r="C1734" s="30" t="s">
        <v>1311</v>
      </c>
      <c r="D1734" s="16">
        <v>29606</v>
      </c>
    </row>
    <row r="1735" spans="1:4" x14ac:dyDescent="0.3">
      <c r="A1735" s="1" t="str">
        <f>Pop[[#This Row],[State]]&amp;" "&amp;Pop[[#This Row],[County]]</f>
        <v>NC Brunswick</v>
      </c>
      <c r="B1735" t="s">
        <v>222</v>
      </c>
      <c r="C1735" s="30" t="s">
        <v>1312</v>
      </c>
      <c r="D1735" s="16">
        <v>136693</v>
      </c>
    </row>
    <row r="1736" spans="1:4" x14ac:dyDescent="0.3">
      <c r="A1736" s="1" t="str">
        <f>Pop[[#This Row],[State]]&amp;" "&amp;Pop[[#This Row],[County]]</f>
        <v>NC Buncombe</v>
      </c>
      <c r="B1736" t="s">
        <v>222</v>
      </c>
      <c r="C1736" s="30" t="s">
        <v>1313</v>
      </c>
      <c r="D1736" s="16">
        <v>269452</v>
      </c>
    </row>
    <row r="1737" spans="1:4" x14ac:dyDescent="0.3">
      <c r="A1737" s="1" t="str">
        <f>Pop[[#This Row],[State]]&amp;" "&amp;Pop[[#This Row],[County]]</f>
        <v>NC Burke</v>
      </c>
      <c r="B1737" t="s">
        <v>222</v>
      </c>
      <c r="C1737" s="30" t="s">
        <v>605</v>
      </c>
      <c r="D1737" s="16">
        <v>87570</v>
      </c>
    </row>
    <row r="1738" spans="1:4" x14ac:dyDescent="0.3">
      <c r="A1738" s="1" t="str">
        <f>Pop[[#This Row],[State]]&amp;" "&amp;Pop[[#This Row],[County]]</f>
        <v>NC Cabarrus</v>
      </c>
      <c r="B1738" t="s">
        <v>222</v>
      </c>
      <c r="C1738" s="30" t="s">
        <v>1314</v>
      </c>
      <c r="D1738" s="16">
        <v>225804</v>
      </c>
    </row>
    <row r="1739" spans="1:4" x14ac:dyDescent="0.3">
      <c r="A1739" s="1" t="str">
        <f>Pop[[#This Row],[State]]&amp;" "&amp;Pop[[#This Row],[County]]</f>
        <v>NC Caldwell</v>
      </c>
      <c r="B1739" t="s">
        <v>222</v>
      </c>
      <c r="C1739" s="30" t="s">
        <v>939</v>
      </c>
      <c r="D1739" s="16">
        <v>80652</v>
      </c>
    </row>
    <row r="1740" spans="1:4" x14ac:dyDescent="0.3">
      <c r="A1740" s="1" t="str">
        <f>Pop[[#This Row],[State]]&amp;" "&amp;Pop[[#This Row],[County]]</f>
        <v>NC Camden</v>
      </c>
      <c r="B1740" t="s">
        <v>222</v>
      </c>
      <c r="C1740" s="30" t="s">
        <v>607</v>
      </c>
      <c r="D1740" s="16">
        <v>10355</v>
      </c>
    </row>
    <row r="1741" spans="1:4" x14ac:dyDescent="0.3">
      <c r="A1741" s="1" t="str">
        <f>Pop[[#This Row],[State]]&amp;" "&amp;Pop[[#This Row],[County]]</f>
        <v>NC Carteret</v>
      </c>
      <c r="B1741" t="s">
        <v>222</v>
      </c>
      <c r="C1741" s="30" t="s">
        <v>1315</v>
      </c>
      <c r="D1741" s="16">
        <v>67686</v>
      </c>
    </row>
    <row r="1742" spans="1:4" x14ac:dyDescent="0.3">
      <c r="A1742" s="1" t="str">
        <f>Pop[[#This Row],[State]]&amp;" "&amp;Pop[[#This Row],[County]]</f>
        <v>NC Caswell</v>
      </c>
      <c r="B1742" t="s">
        <v>222</v>
      </c>
      <c r="C1742" s="30" t="s">
        <v>1316</v>
      </c>
      <c r="D1742" s="16">
        <v>22736</v>
      </c>
    </row>
    <row r="1743" spans="1:4" x14ac:dyDescent="0.3">
      <c r="A1743" s="1" t="str">
        <f>Pop[[#This Row],[State]]&amp;" "&amp;Pop[[#This Row],[County]]</f>
        <v>NC Catawba</v>
      </c>
      <c r="B1743" t="s">
        <v>222</v>
      </c>
      <c r="C1743" s="30" t="s">
        <v>1317</v>
      </c>
      <c r="D1743" s="16">
        <v>160610</v>
      </c>
    </row>
    <row r="1744" spans="1:4" x14ac:dyDescent="0.3">
      <c r="A1744" s="1" t="str">
        <f>Pop[[#This Row],[State]]&amp;" "&amp;Pop[[#This Row],[County]]</f>
        <v>NC Chatham</v>
      </c>
      <c r="B1744" t="s">
        <v>222</v>
      </c>
      <c r="C1744" s="30" t="s">
        <v>611</v>
      </c>
      <c r="D1744" s="16">
        <v>76285</v>
      </c>
    </row>
    <row r="1745" spans="1:4" x14ac:dyDescent="0.3">
      <c r="A1745" s="1" t="str">
        <f>Pop[[#This Row],[State]]&amp;" "&amp;Pop[[#This Row],[County]]</f>
        <v>NC Cherokee</v>
      </c>
      <c r="B1745" t="s">
        <v>222</v>
      </c>
      <c r="C1745" s="30" t="s">
        <v>276</v>
      </c>
      <c r="D1745" s="16">
        <v>28774</v>
      </c>
    </row>
    <row r="1746" spans="1:4" x14ac:dyDescent="0.3">
      <c r="A1746" s="1" t="str">
        <f>Pop[[#This Row],[State]]&amp;" "&amp;Pop[[#This Row],[County]]</f>
        <v>NC Chowan</v>
      </c>
      <c r="B1746" t="s">
        <v>222</v>
      </c>
      <c r="C1746" s="30" t="s">
        <v>1318</v>
      </c>
      <c r="D1746" s="16">
        <v>13708</v>
      </c>
    </row>
    <row r="1747" spans="1:4" x14ac:dyDescent="0.3">
      <c r="A1747" s="1" t="str">
        <f>Pop[[#This Row],[State]]&amp;" "&amp;Pop[[#This Row],[County]]</f>
        <v>NC Clay</v>
      </c>
      <c r="B1747" t="s">
        <v>222</v>
      </c>
      <c r="C1747" s="30" t="s">
        <v>39</v>
      </c>
      <c r="D1747" s="16">
        <v>11089</v>
      </c>
    </row>
    <row r="1748" spans="1:4" x14ac:dyDescent="0.3">
      <c r="A1748" s="1" t="str">
        <f>Pop[[#This Row],[State]]&amp;" "&amp;Pop[[#This Row],[County]]</f>
        <v>NC Cleveland</v>
      </c>
      <c r="B1748" t="s">
        <v>222</v>
      </c>
      <c r="C1748" s="30" t="s">
        <v>359</v>
      </c>
      <c r="D1748" s="16">
        <v>99519</v>
      </c>
    </row>
    <row r="1749" spans="1:4" x14ac:dyDescent="0.3">
      <c r="A1749" s="1" t="str">
        <f>Pop[[#This Row],[State]]&amp;" "&amp;Pop[[#This Row],[County]]</f>
        <v>NC Columbus</v>
      </c>
      <c r="B1749" t="s">
        <v>222</v>
      </c>
      <c r="C1749" s="30" t="s">
        <v>1319</v>
      </c>
      <c r="D1749" s="16">
        <v>50623</v>
      </c>
    </row>
    <row r="1750" spans="1:4" x14ac:dyDescent="0.3">
      <c r="A1750" s="1" t="str">
        <f>Pop[[#This Row],[State]]&amp;" "&amp;Pop[[#This Row],[County]]</f>
        <v>NC Craven</v>
      </c>
      <c r="B1750" t="s">
        <v>222</v>
      </c>
      <c r="C1750" s="30" t="s">
        <v>1320</v>
      </c>
      <c r="D1750" s="16">
        <v>100720</v>
      </c>
    </row>
    <row r="1751" spans="1:4" x14ac:dyDescent="0.3">
      <c r="A1751" s="1" t="str">
        <f>Pop[[#This Row],[State]]&amp;" "&amp;Pop[[#This Row],[County]]</f>
        <v>NC Cumberland</v>
      </c>
      <c r="B1751" t="s">
        <v>222</v>
      </c>
      <c r="C1751" s="30" t="s">
        <v>790</v>
      </c>
      <c r="D1751" s="16">
        <v>334728</v>
      </c>
    </row>
    <row r="1752" spans="1:4" x14ac:dyDescent="0.3">
      <c r="A1752" s="1" t="str">
        <f>Pop[[#This Row],[State]]&amp;" "&amp;Pop[[#This Row],[County]]</f>
        <v>NC Currituck</v>
      </c>
      <c r="B1752" t="s">
        <v>222</v>
      </c>
      <c r="C1752" s="30" t="s">
        <v>1321</v>
      </c>
      <c r="D1752" s="16">
        <v>28100</v>
      </c>
    </row>
    <row r="1753" spans="1:4" x14ac:dyDescent="0.3">
      <c r="A1753" s="1" t="str">
        <f>Pop[[#This Row],[State]]&amp;" "&amp;Pop[[#This Row],[County]]</f>
        <v>NC Dare</v>
      </c>
      <c r="B1753" t="s">
        <v>222</v>
      </c>
      <c r="C1753" s="30" t="s">
        <v>1322</v>
      </c>
      <c r="D1753" s="16">
        <v>36915</v>
      </c>
    </row>
    <row r="1754" spans="1:4" x14ac:dyDescent="0.3">
      <c r="A1754" s="1" t="str">
        <f>Pop[[#This Row],[State]]&amp;" "&amp;Pop[[#This Row],[County]]</f>
        <v>NC Davidson</v>
      </c>
      <c r="B1754" t="s">
        <v>222</v>
      </c>
      <c r="C1754" s="30" t="s">
        <v>1323</v>
      </c>
      <c r="D1754" s="16">
        <v>168930</v>
      </c>
    </row>
    <row r="1755" spans="1:4" x14ac:dyDescent="0.3">
      <c r="A1755" s="1" t="str">
        <f>Pop[[#This Row],[State]]&amp;" "&amp;Pop[[#This Row],[County]]</f>
        <v>NC Davie</v>
      </c>
      <c r="B1755" t="s">
        <v>222</v>
      </c>
      <c r="C1755" s="30" t="s">
        <v>1324</v>
      </c>
      <c r="D1755" s="16">
        <v>42712</v>
      </c>
    </row>
    <row r="1756" spans="1:4" x14ac:dyDescent="0.3">
      <c r="A1756" s="1" t="str">
        <f>Pop[[#This Row],[State]]&amp;" "&amp;Pop[[#This Row],[County]]</f>
        <v>NC Duplin</v>
      </c>
      <c r="B1756" t="s">
        <v>222</v>
      </c>
      <c r="C1756" s="30" t="s">
        <v>1325</v>
      </c>
      <c r="D1756" s="16">
        <v>48715</v>
      </c>
    </row>
    <row r="1757" spans="1:4" x14ac:dyDescent="0.3">
      <c r="A1757" s="1" t="str">
        <f>Pop[[#This Row],[State]]&amp;" "&amp;Pop[[#This Row],[County]]</f>
        <v>NC Durham</v>
      </c>
      <c r="B1757" t="s">
        <v>222</v>
      </c>
      <c r="C1757" s="30" t="s">
        <v>1326</v>
      </c>
      <c r="D1757" s="54">
        <v>324833</v>
      </c>
    </row>
    <row r="1758" spans="1:4" x14ac:dyDescent="0.3">
      <c r="A1758" s="1" t="str">
        <f>Pop[[#This Row],[State]]&amp;" "&amp;Pop[[#This Row],[County]]</f>
        <v>NC Edgecombe</v>
      </c>
      <c r="B1758" t="s">
        <v>222</v>
      </c>
      <c r="C1758" s="30" t="s">
        <v>1327</v>
      </c>
      <c r="D1758" s="16">
        <v>48900</v>
      </c>
    </row>
    <row r="1759" spans="1:4" x14ac:dyDescent="0.3">
      <c r="A1759" s="1" t="str">
        <f>Pop[[#This Row],[State]]&amp;" "&amp;Pop[[#This Row],[County]]</f>
        <v>NC Forsyth</v>
      </c>
      <c r="B1759" t="s">
        <v>222</v>
      </c>
      <c r="C1759" s="30" t="s">
        <v>632</v>
      </c>
      <c r="D1759" s="16">
        <v>382590</v>
      </c>
    </row>
    <row r="1760" spans="1:4" x14ac:dyDescent="0.3">
      <c r="A1760" s="1" t="str">
        <f>Pop[[#This Row],[State]]&amp;" "&amp;Pop[[#This Row],[County]]</f>
        <v>NC Franklin</v>
      </c>
      <c r="B1760" t="s">
        <v>222</v>
      </c>
      <c r="C1760" s="30" t="s">
        <v>43</v>
      </c>
      <c r="D1760" s="16">
        <v>68573</v>
      </c>
    </row>
    <row r="1761" spans="1:4" x14ac:dyDescent="0.3">
      <c r="A1761" s="1" t="str">
        <f>Pop[[#This Row],[State]]&amp;" "&amp;Pop[[#This Row],[County]]</f>
        <v>NC Gaston</v>
      </c>
      <c r="B1761" t="s">
        <v>222</v>
      </c>
      <c r="C1761" s="30" t="s">
        <v>1328</v>
      </c>
      <c r="D1761" s="16">
        <v>227943</v>
      </c>
    </row>
    <row r="1762" spans="1:4" x14ac:dyDescent="0.3">
      <c r="A1762" s="1" t="str">
        <f>Pop[[#This Row],[State]]&amp;" "&amp;Pop[[#This Row],[County]]</f>
        <v>NC Gates</v>
      </c>
      <c r="B1762" t="s">
        <v>222</v>
      </c>
      <c r="C1762" s="30" t="s">
        <v>1329</v>
      </c>
      <c r="D1762" s="16">
        <v>10478</v>
      </c>
    </row>
    <row r="1763" spans="1:4" x14ac:dyDescent="0.3">
      <c r="A1763" s="1" t="str">
        <f>Pop[[#This Row],[State]]&amp;" "&amp;Pop[[#This Row],[County]]</f>
        <v>NC Graham</v>
      </c>
      <c r="B1763" t="s">
        <v>222</v>
      </c>
      <c r="C1763" s="30" t="s">
        <v>412</v>
      </c>
      <c r="D1763" s="16">
        <v>8030</v>
      </c>
    </row>
    <row r="1764" spans="1:4" x14ac:dyDescent="0.3">
      <c r="A1764" s="1" t="str">
        <f>Pop[[#This Row],[State]]&amp;" "&amp;Pop[[#This Row],[County]]</f>
        <v>NC Granville</v>
      </c>
      <c r="B1764" t="s">
        <v>222</v>
      </c>
      <c r="C1764" s="30" t="s">
        <v>1330</v>
      </c>
      <c r="D1764" s="54">
        <v>60992</v>
      </c>
    </row>
    <row r="1765" spans="1:4" x14ac:dyDescent="0.3">
      <c r="A1765" s="1" t="str">
        <f>Pop[[#This Row],[State]]&amp;" "&amp;Pop[[#This Row],[County]]</f>
        <v>NC Greene</v>
      </c>
      <c r="B1765" t="s">
        <v>222</v>
      </c>
      <c r="C1765" s="30" t="s">
        <v>44</v>
      </c>
      <c r="D1765" s="16">
        <v>20451</v>
      </c>
    </row>
    <row r="1766" spans="1:4" x14ac:dyDescent="0.3">
      <c r="A1766" s="1" t="str">
        <f>Pop[[#This Row],[State]]&amp;" "&amp;Pop[[#This Row],[County]]</f>
        <v>NC Guilford</v>
      </c>
      <c r="B1766" t="s">
        <v>222</v>
      </c>
      <c r="C1766" s="30" t="s">
        <v>1331</v>
      </c>
      <c r="D1766" s="16">
        <v>541299</v>
      </c>
    </row>
    <row r="1767" spans="1:4" x14ac:dyDescent="0.3">
      <c r="A1767" s="1" t="str">
        <f>Pop[[#This Row],[State]]&amp;" "&amp;Pop[[#This Row],[County]]</f>
        <v>NC Halifax</v>
      </c>
      <c r="B1767" t="s">
        <v>222</v>
      </c>
      <c r="C1767" s="30" t="s">
        <v>1332</v>
      </c>
      <c r="D1767" s="16">
        <v>48622</v>
      </c>
    </row>
    <row r="1768" spans="1:4" x14ac:dyDescent="0.3">
      <c r="A1768" s="1" t="str">
        <f>Pop[[#This Row],[State]]&amp;" "&amp;Pop[[#This Row],[County]]</f>
        <v>NC Harnett</v>
      </c>
      <c r="B1768" t="s">
        <v>222</v>
      </c>
      <c r="C1768" s="30" t="s">
        <v>1333</v>
      </c>
      <c r="D1768" s="16">
        <v>133568</v>
      </c>
    </row>
    <row r="1769" spans="1:4" x14ac:dyDescent="0.3">
      <c r="A1769" s="1" t="str">
        <f>Pop[[#This Row],[State]]&amp;" "&amp;Pop[[#This Row],[County]]</f>
        <v>NC Haywood</v>
      </c>
      <c r="B1769" t="s">
        <v>222</v>
      </c>
      <c r="C1769" s="30" t="s">
        <v>1334</v>
      </c>
      <c r="D1769" s="16">
        <v>62089</v>
      </c>
    </row>
    <row r="1770" spans="1:4" x14ac:dyDescent="0.3">
      <c r="A1770" s="1" t="str">
        <f>Pop[[#This Row],[State]]&amp;" "&amp;Pop[[#This Row],[County]]</f>
        <v>NC Henderson</v>
      </c>
      <c r="B1770" t="s">
        <v>222</v>
      </c>
      <c r="C1770" s="30" t="s">
        <v>797</v>
      </c>
      <c r="D1770" s="16">
        <v>116281</v>
      </c>
    </row>
    <row r="1771" spans="1:4" x14ac:dyDescent="0.3">
      <c r="A1771" s="1" t="str">
        <f>Pop[[#This Row],[State]]&amp;" "&amp;Pop[[#This Row],[County]]</f>
        <v>NC Hertford</v>
      </c>
      <c r="B1771" t="s">
        <v>222</v>
      </c>
      <c r="C1771" s="30" t="s">
        <v>1335</v>
      </c>
      <c r="D1771" s="16">
        <v>21552</v>
      </c>
    </row>
    <row r="1772" spans="1:4" x14ac:dyDescent="0.3">
      <c r="A1772" s="1" t="str">
        <f>Pop[[#This Row],[State]]&amp;" "&amp;Pop[[#This Row],[County]]</f>
        <v>NC Hoke</v>
      </c>
      <c r="B1772" t="s">
        <v>222</v>
      </c>
      <c r="C1772" s="30" t="s">
        <v>1336</v>
      </c>
      <c r="D1772" s="16">
        <v>52082</v>
      </c>
    </row>
    <row r="1773" spans="1:4" x14ac:dyDescent="0.3">
      <c r="A1773" s="1" t="str">
        <f>Pop[[#This Row],[State]]&amp;" "&amp;Pop[[#This Row],[County]]</f>
        <v>NC Hyde</v>
      </c>
      <c r="B1773" t="s">
        <v>222</v>
      </c>
      <c r="C1773" s="30" t="s">
        <v>1337</v>
      </c>
      <c r="D1773" s="16">
        <v>4589</v>
      </c>
    </row>
    <row r="1774" spans="1:4" x14ac:dyDescent="0.3">
      <c r="A1774" s="1" t="str">
        <f>Pop[[#This Row],[State]]&amp;" "&amp;Pop[[#This Row],[County]]</f>
        <v>NC Iredell</v>
      </c>
      <c r="B1774" t="s">
        <v>222</v>
      </c>
      <c r="C1774" s="30" t="s">
        <v>1338</v>
      </c>
      <c r="D1774" s="16">
        <v>186693</v>
      </c>
    </row>
    <row r="1775" spans="1:4" x14ac:dyDescent="0.3">
      <c r="A1775" s="1" t="str">
        <f>Pop[[#This Row],[State]]&amp;" "&amp;Pop[[#This Row],[County]]</f>
        <v>NC Jackson</v>
      </c>
      <c r="B1775" t="s">
        <v>222</v>
      </c>
      <c r="C1775" s="30" t="s">
        <v>46</v>
      </c>
      <c r="D1775" s="16">
        <v>43109</v>
      </c>
    </row>
    <row r="1776" spans="1:4" x14ac:dyDescent="0.3">
      <c r="A1776" s="1" t="str">
        <f>Pop[[#This Row],[State]]&amp;" "&amp;Pop[[#This Row],[County]]</f>
        <v>NC Johnston</v>
      </c>
      <c r="B1776" t="s">
        <v>222</v>
      </c>
      <c r="C1776" s="30" t="s">
        <v>1339</v>
      </c>
      <c r="D1776" s="16">
        <v>215999</v>
      </c>
    </row>
    <row r="1777" spans="1:4" x14ac:dyDescent="0.3">
      <c r="A1777" s="1" t="str">
        <f>Pop[[#This Row],[State]]&amp;" "&amp;Pop[[#This Row],[County]]</f>
        <v>NC Jones</v>
      </c>
      <c r="B1777" t="s">
        <v>222</v>
      </c>
      <c r="C1777" s="30" t="s">
        <v>650</v>
      </c>
      <c r="D1777" s="16">
        <v>9172</v>
      </c>
    </row>
    <row r="1778" spans="1:4" x14ac:dyDescent="0.3">
      <c r="A1778" s="1" t="str">
        <f>Pop[[#This Row],[State]]&amp;" "&amp;Pop[[#This Row],[County]]</f>
        <v>NC Lee</v>
      </c>
      <c r="B1778" t="s">
        <v>222</v>
      </c>
      <c r="C1778" s="30" t="s">
        <v>333</v>
      </c>
      <c r="D1778" s="16">
        <v>63285</v>
      </c>
    </row>
    <row r="1779" spans="1:4" x14ac:dyDescent="0.3">
      <c r="A1779" s="1" t="str">
        <f>Pop[[#This Row],[State]]&amp;" "&amp;Pop[[#This Row],[County]]</f>
        <v>NC Lenoir</v>
      </c>
      <c r="B1779" t="s">
        <v>222</v>
      </c>
      <c r="C1779" s="30" t="s">
        <v>1340</v>
      </c>
      <c r="D1779" s="16">
        <v>55122</v>
      </c>
    </row>
    <row r="1780" spans="1:4" x14ac:dyDescent="0.3">
      <c r="A1780" s="1" t="str">
        <f>Pop[[#This Row],[State]]&amp;" "&amp;Pop[[#This Row],[County]]</f>
        <v>NC Lincoln</v>
      </c>
      <c r="B1780" t="s">
        <v>222</v>
      </c>
      <c r="C1780" s="30" t="s">
        <v>378</v>
      </c>
      <c r="D1780" s="16">
        <v>86810</v>
      </c>
    </row>
    <row r="1781" spans="1:4" x14ac:dyDescent="0.3">
      <c r="A1781" s="1" t="str">
        <f>Pop[[#This Row],[State]]&amp;" "&amp;Pop[[#This Row],[County]]</f>
        <v>NC Macon</v>
      </c>
      <c r="B1781" t="s">
        <v>222</v>
      </c>
      <c r="C1781" s="30" t="s">
        <v>336</v>
      </c>
      <c r="D1781" s="16">
        <v>37014</v>
      </c>
    </row>
    <row r="1782" spans="1:4" x14ac:dyDescent="0.3">
      <c r="A1782" s="1" t="str">
        <f>Pop[[#This Row],[State]]&amp;" "&amp;Pop[[#This Row],[County]]</f>
        <v>NC Madison</v>
      </c>
      <c r="B1782" t="s">
        <v>222</v>
      </c>
      <c r="C1782" s="30" t="s">
        <v>49</v>
      </c>
      <c r="D1782" s="16">
        <v>21193</v>
      </c>
    </row>
    <row r="1783" spans="1:4" x14ac:dyDescent="0.3">
      <c r="A1783" s="1" t="str">
        <f>Pop[[#This Row],[State]]&amp;" "&amp;Pop[[#This Row],[County]]</f>
        <v>NC Martin</v>
      </c>
      <c r="B1783" t="s">
        <v>222</v>
      </c>
      <c r="C1783" s="30" t="s">
        <v>52</v>
      </c>
      <c r="D1783" s="16">
        <v>22031</v>
      </c>
    </row>
    <row r="1784" spans="1:4" x14ac:dyDescent="0.3">
      <c r="A1784" s="1" t="str">
        <f>Pop[[#This Row],[State]]&amp;" "&amp;Pop[[#This Row],[County]]</f>
        <v>NC McDowell</v>
      </c>
      <c r="B1784" t="s">
        <v>222</v>
      </c>
      <c r="C1784" s="30" t="s">
        <v>1341</v>
      </c>
      <c r="D1784" s="16">
        <v>44578</v>
      </c>
    </row>
    <row r="1785" spans="1:4" x14ac:dyDescent="0.3">
      <c r="A1785" s="1" t="str">
        <f>Pop[[#This Row],[State]]&amp;" "&amp;Pop[[#This Row],[County]]</f>
        <v>NC Mecklenburg</v>
      </c>
      <c r="B1785" t="s">
        <v>222</v>
      </c>
      <c r="C1785" s="30" t="s">
        <v>1342</v>
      </c>
      <c r="D1785" s="16">
        <v>1115482</v>
      </c>
    </row>
    <row r="1786" spans="1:4" x14ac:dyDescent="0.3">
      <c r="A1786" s="1" t="str">
        <f>Pop[[#This Row],[State]]&amp;" "&amp;Pop[[#This Row],[County]]</f>
        <v>NC Mitchell</v>
      </c>
      <c r="B1786" t="s">
        <v>222</v>
      </c>
      <c r="C1786" s="30" t="s">
        <v>658</v>
      </c>
      <c r="D1786" s="16">
        <v>14903</v>
      </c>
    </row>
    <row r="1787" spans="1:4" x14ac:dyDescent="0.3">
      <c r="A1787" s="1" t="str">
        <f>Pop[[#This Row],[State]]&amp;" "&amp;Pop[[#This Row],[County]]</f>
        <v>NC Montgomery</v>
      </c>
      <c r="B1787" t="s">
        <v>222</v>
      </c>
      <c r="C1787" s="30" t="s">
        <v>53</v>
      </c>
      <c r="D1787" s="16">
        <v>25751</v>
      </c>
    </row>
    <row r="1788" spans="1:4" x14ac:dyDescent="0.3">
      <c r="A1788" s="1" t="str">
        <f>Pop[[#This Row],[State]]&amp;" "&amp;Pop[[#This Row],[County]]</f>
        <v>NC Moore</v>
      </c>
      <c r="B1788" t="s">
        <v>222</v>
      </c>
      <c r="C1788" s="30" t="s">
        <v>1343</v>
      </c>
      <c r="D1788" s="16">
        <v>99727</v>
      </c>
    </row>
    <row r="1789" spans="1:4" x14ac:dyDescent="0.3">
      <c r="A1789" s="1" t="str">
        <f>Pop[[#This Row],[State]]&amp;" "&amp;Pop[[#This Row],[County]]</f>
        <v>NC Nash</v>
      </c>
      <c r="B1789" t="s">
        <v>222</v>
      </c>
      <c r="C1789" s="30" t="s">
        <v>1344</v>
      </c>
      <c r="D1789" s="16">
        <v>94970</v>
      </c>
    </row>
    <row r="1790" spans="1:4" x14ac:dyDescent="0.3">
      <c r="A1790" s="1" t="str">
        <f>Pop[[#This Row],[State]]&amp;" "&amp;Pop[[#This Row],[County]]</f>
        <v>NC New Hanover</v>
      </c>
      <c r="B1790" t="s">
        <v>222</v>
      </c>
      <c r="C1790" s="30" t="s">
        <v>1345</v>
      </c>
      <c r="D1790" s="16">
        <v>225702</v>
      </c>
    </row>
    <row r="1791" spans="1:4" x14ac:dyDescent="0.3">
      <c r="A1791" s="1" t="str">
        <f>Pop[[#This Row],[State]]&amp;" "&amp;Pop[[#This Row],[County]]</f>
        <v>NC Northampton</v>
      </c>
      <c r="B1791" t="s">
        <v>222</v>
      </c>
      <c r="C1791" s="30" t="s">
        <v>1346</v>
      </c>
      <c r="D1791" s="16">
        <v>17471</v>
      </c>
    </row>
    <row r="1792" spans="1:4" x14ac:dyDescent="0.3">
      <c r="A1792" s="1" t="str">
        <f>Pop[[#This Row],[State]]&amp;" "&amp;Pop[[#This Row],[County]]</f>
        <v>NC Onslow</v>
      </c>
      <c r="B1792" t="s">
        <v>222</v>
      </c>
      <c r="C1792" s="30" t="s">
        <v>1347</v>
      </c>
      <c r="D1792" s="16">
        <v>204576</v>
      </c>
    </row>
    <row r="1793" spans="1:4" x14ac:dyDescent="0.3">
      <c r="A1793" s="1" t="str">
        <f>Pop[[#This Row],[State]]&amp;" "&amp;Pop[[#This Row],[County]]</f>
        <v>NC Orange</v>
      </c>
      <c r="B1793" t="s">
        <v>222</v>
      </c>
      <c r="C1793" s="30" t="s">
        <v>55</v>
      </c>
      <c r="D1793" s="16">
        <v>148696</v>
      </c>
    </row>
    <row r="1794" spans="1:4" x14ac:dyDescent="0.3">
      <c r="A1794" s="1" t="str">
        <f>Pop[[#This Row],[State]]&amp;" "&amp;Pop[[#This Row],[County]]</f>
        <v>NC Pamlico</v>
      </c>
      <c r="B1794" t="s">
        <v>222</v>
      </c>
      <c r="C1794" s="30" t="s">
        <v>1348</v>
      </c>
      <c r="D1794" s="16">
        <v>12276</v>
      </c>
    </row>
    <row r="1795" spans="1:4" x14ac:dyDescent="0.3">
      <c r="A1795" s="1" t="str">
        <f>Pop[[#This Row],[State]]&amp;" "&amp;Pop[[#This Row],[County]]</f>
        <v>NC Pasquotank</v>
      </c>
      <c r="B1795" t="s">
        <v>222</v>
      </c>
      <c r="C1795" s="30" t="s">
        <v>1349</v>
      </c>
      <c r="D1795" s="16">
        <v>40568</v>
      </c>
    </row>
    <row r="1796" spans="1:4" x14ac:dyDescent="0.3">
      <c r="A1796" s="1" t="str">
        <f>Pop[[#This Row],[State]]&amp;" "&amp;Pop[[#This Row],[County]]</f>
        <v>NC Pender</v>
      </c>
      <c r="B1796" t="s">
        <v>222</v>
      </c>
      <c r="C1796" s="30" t="s">
        <v>1350</v>
      </c>
      <c r="D1796" s="16">
        <v>60203</v>
      </c>
    </row>
    <row r="1797" spans="1:4" x14ac:dyDescent="0.3">
      <c r="A1797" s="1" t="str">
        <f>Pop[[#This Row],[State]]&amp;" "&amp;Pop[[#This Row],[County]]</f>
        <v>NC Perquimans</v>
      </c>
      <c r="B1797" t="s">
        <v>222</v>
      </c>
      <c r="C1797" s="30" t="s">
        <v>1351</v>
      </c>
      <c r="D1797" s="16">
        <v>13005</v>
      </c>
    </row>
    <row r="1798" spans="1:4" x14ac:dyDescent="0.3">
      <c r="A1798" s="1" t="str">
        <f>Pop[[#This Row],[State]]&amp;" "&amp;Pop[[#This Row],[County]]</f>
        <v>NC Person</v>
      </c>
      <c r="B1798" t="s">
        <v>222</v>
      </c>
      <c r="C1798" s="30" t="s">
        <v>1352</v>
      </c>
      <c r="D1798" s="16">
        <v>39097</v>
      </c>
    </row>
    <row r="1799" spans="1:4" x14ac:dyDescent="0.3">
      <c r="A1799" s="1" t="str">
        <f>Pop[[#This Row],[State]]&amp;" "&amp;Pop[[#This Row],[County]]</f>
        <v>NC Pitt</v>
      </c>
      <c r="B1799" t="s">
        <v>222</v>
      </c>
      <c r="C1799" s="30" t="s">
        <v>1353</v>
      </c>
      <c r="D1799" s="16">
        <v>170243</v>
      </c>
    </row>
    <row r="1800" spans="1:4" x14ac:dyDescent="0.3">
      <c r="A1800" s="1" t="str">
        <f>Pop[[#This Row],[State]]&amp;" "&amp;Pop[[#This Row],[County]]</f>
        <v>NC Polk</v>
      </c>
      <c r="B1800" t="s">
        <v>222</v>
      </c>
      <c r="C1800" s="30" t="s">
        <v>387</v>
      </c>
      <c r="D1800" s="16">
        <v>19328</v>
      </c>
    </row>
    <row r="1801" spans="1:4" x14ac:dyDescent="0.3">
      <c r="A1801" s="1" t="str">
        <f>Pop[[#This Row],[State]]&amp;" "&amp;Pop[[#This Row],[County]]</f>
        <v>NC Randolph</v>
      </c>
      <c r="B1801" t="s">
        <v>222</v>
      </c>
      <c r="C1801" s="30" t="s">
        <v>342</v>
      </c>
      <c r="D1801" s="16">
        <v>144171</v>
      </c>
    </row>
    <row r="1802" spans="1:4" x14ac:dyDescent="0.3">
      <c r="A1802" s="1" t="str">
        <f>Pop[[#This Row],[State]]&amp;" "&amp;Pop[[#This Row],[County]]</f>
        <v>NC Richmond</v>
      </c>
      <c r="B1802" t="s">
        <v>222</v>
      </c>
      <c r="C1802" s="30" t="s">
        <v>668</v>
      </c>
      <c r="D1802" s="16">
        <v>42946</v>
      </c>
    </row>
    <row r="1803" spans="1:4" x14ac:dyDescent="0.3">
      <c r="A1803" s="1" t="str">
        <f>Pop[[#This Row],[State]]&amp;" "&amp;Pop[[#This Row],[County]]</f>
        <v>NC Robeson</v>
      </c>
      <c r="B1803" t="s">
        <v>222</v>
      </c>
      <c r="C1803" s="30" t="s">
        <v>1354</v>
      </c>
      <c r="D1803" s="16">
        <v>116530</v>
      </c>
    </row>
    <row r="1804" spans="1:4" x14ac:dyDescent="0.3">
      <c r="A1804" s="1" t="str">
        <f>Pop[[#This Row],[State]]&amp;" "&amp;Pop[[#This Row],[County]]</f>
        <v>NC Rockingham</v>
      </c>
      <c r="B1804" t="s">
        <v>222</v>
      </c>
      <c r="C1804" s="30" t="s">
        <v>1355</v>
      </c>
      <c r="D1804" s="16">
        <v>91096</v>
      </c>
    </row>
    <row r="1805" spans="1:4" x14ac:dyDescent="0.3">
      <c r="A1805" s="1" t="str">
        <f>Pop[[#This Row],[State]]&amp;" "&amp;Pop[[#This Row],[County]]</f>
        <v>NC Rowan</v>
      </c>
      <c r="B1805" t="s">
        <v>222</v>
      </c>
      <c r="C1805" s="30" t="s">
        <v>978</v>
      </c>
      <c r="D1805" s="16">
        <v>146875</v>
      </c>
    </row>
    <row r="1806" spans="1:4" x14ac:dyDescent="0.3">
      <c r="A1806" s="1" t="str">
        <f>Pop[[#This Row],[State]]&amp;" "&amp;Pop[[#This Row],[County]]</f>
        <v>NC Rutherford</v>
      </c>
      <c r="B1806" t="s">
        <v>222</v>
      </c>
      <c r="C1806" s="30" t="s">
        <v>1356</v>
      </c>
      <c r="D1806" s="16">
        <v>64444</v>
      </c>
    </row>
    <row r="1807" spans="1:4" x14ac:dyDescent="0.3">
      <c r="A1807" s="1" t="str">
        <f>Pop[[#This Row],[State]]&amp;" "&amp;Pop[[#This Row],[County]]</f>
        <v>NC Sampson</v>
      </c>
      <c r="B1807" t="s">
        <v>222</v>
      </c>
      <c r="C1807" s="30" t="s">
        <v>1357</v>
      </c>
      <c r="D1807" s="16">
        <v>59036</v>
      </c>
    </row>
    <row r="1808" spans="1:4" x14ac:dyDescent="0.3">
      <c r="A1808" s="1" t="str">
        <f>Pop[[#This Row],[State]]&amp;" "&amp;Pop[[#This Row],[County]]</f>
        <v>NC Scotland</v>
      </c>
      <c r="B1808" t="s">
        <v>222</v>
      </c>
      <c r="C1808" s="30" t="s">
        <v>1224</v>
      </c>
      <c r="D1808" s="16">
        <v>34174</v>
      </c>
    </row>
    <row r="1809" spans="1:4" x14ac:dyDescent="0.3">
      <c r="A1809" s="1" t="str">
        <f>Pop[[#This Row],[State]]&amp;" "&amp;Pop[[#This Row],[County]]</f>
        <v>NC Stanly</v>
      </c>
      <c r="B1809" t="s">
        <v>222</v>
      </c>
      <c r="C1809" s="30" t="s">
        <v>1358</v>
      </c>
      <c r="D1809" s="16">
        <v>62504</v>
      </c>
    </row>
    <row r="1810" spans="1:4" x14ac:dyDescent="0.3">
      <c r="A1810" s="1" t="str">
        <f>Pop[[#This Row],[State]]&amp;" "&amp;Pop[[#This Row],[County]]</f>
        <v>NC Stokes</v>
      </c>
      <c r="B1810" t="s">
        <v>222</v>
      </c>
      <c r="C1810" s="30" t="s">
        <v>1359</v>
      </c>
      <c r="D1810" s="16">
        <v>44520</v>
      </c>
    </row>
    <row r="1811" spans="1:4" x14ac:dyDescent="0.3">
      <c r="A1811" s="1" t="str">
        <f>Pop[[#This Row],[State]]&amp;" "&amp;Pop[[#This Row],[County]]</f>
        <v>NC Surry</v>
      </c>
      <c r="B1811" t="s">
        <v>222</v>
      </c>
      <c r="C1811" s="30" t="s">
        <v>1360</v>
      </c>
      <c r="D1811" s="16">
        <v>71359</v>
      </c>
    </row>
    <row r="1812" spans="1:4" x14ac:dyDescent="0.3">
      <c r="A1812" s="1" t="str">
        <f>Pop[[#This Row],[State]]&amp;" "&amp;Pop[[#This Row],[County]]</f>
        <v>NC Swain</v>
      </c>
      <c r="B1812" t="s">
        <v>222</v>
      </c>
      <c r="C1812" s="30" t="s">
        <v>1361</v>
      </c>
      <c r="D1812" s="16">
        <v>14117</v>
      </c>
    </row>
    <row r="1813" spans="1:4" x14ac:dyDescent="0.3">
      <c r="A1813" s="1" t="str">
        <f>Pop[[#This Row],[State]]&amp;" "&amp;Pop[[#This Row],[County]]</f>
        <v>NC Transylvania</v>
      </c>
      <c r="B1813" t="s">
        <v>222</v>
      </c>
      <c r="C1813" s="30" t="s">
        <v>1362</v>
      </c>
      <c r="D1813" s="16">
        <v>32986</v>
      </c>
    </row>
    <row r="1814" spans="1:4" x14ac:dyDescent="0.3">
      <c r="A1814" s="1" t="str">
        <f>Pop[[#This Row],[State]]&amp;" "&amp;Pop[[#This Row],[County]]</f>
        <v>NC Tyrrell</v>
      </c>
      <c r="B1814" t="s">
        <v>222</v>
      </c>
      <c r="C1814" s="30" t="s">
        <v>1363</v>
      </c>
      <c r="D1814" s="16">
        <v>3245</v>
      </c>
    </row>
    <row r="1815" spans="1:4" x14ac:dyDescent="0.3">
      <c r="A1815" s="1" t="str">
        <f>Pop[[#This Row],[State]]&amp;" "&amp;Pop[[#This Row],[County]]</f>
        <v>NC Union</v>
      </c>
      <c r="B1815" t="s">
        <v>222</v>
      </c>
      <c r="C1815" s="30" t="s">
        <v>399</v>
      </c>
      <c r="D1815" s="16">
        <v>238267</v>
      </c>
    </row>
    <row r="1816" spans="1:4" x14ac:dyDescent="0.3">
      <c r="A1816" s="1" t="str">
        <f>Pop[[#This Row],[State]]&amp;" "&amp;Pop[[#This Row],[County]]</f>
        <v>NC Vance</v>
      </c>
      <c r="B1816" t="s">
        <v>222</v>
      </c>
      <c r="C1816" s="30" t="s">
        <v>1364</v>
      </c>
      <c r="D1816" s="16">
        <v>42578</v>
      </c>
    </row>
    <row r="1817" spans="1:4" x14ac:dyDescent="0.3">
      <c r="A1817" s="1" t="str">
        <f>Pop[[#This Row],[State]]&amp;" "&amp;Pop[[#This Row],[County]]</f>
        <v>NC Wake</v>
      </c>
      <c r="B1817" t="s">
        <v>222</v>
      </c>
      <c r="C1817" s="30" t="s">
        <v>1365</v>
      </c>
      <c r="D1817" s="16">
        <v>1129410</v>
      </c>
    </row>
    <row r="1818" spans="1:4" x14ac:dyDescent="0.3">
      <c r="A1818" s="1" t="str">
        <f>Pop[[#This Row],[State]]&amp;" "&amp;Pop[[#This Row],[County]]</f>
        <v>NC Warren</v>
      </c>
      <c r="B1818" t="s">
        <v>222</v>
      </c>
      <c r="C1818" s="30" t="s">
        <v>690</v>
      </c>
      <c r="D1818" s="16">
        <v>18642</v>
      </c>
    </row>
    <row r="1819" spans="1:4" x14ac:dyDescent="0.3">
      <c r="A1819" s="1" t="str">
        <f>Pop[[#This Row],[State]]&amp;" "&amp;Pop[[#This Row],[County]]</f>
        <v>NC Washington</v>
      </c>
      <c r="B1819" t="s">
        <v>222</v>
      </c>
      <c r="C1819" s="30" t="s">
        <v>65</v>
      </c>
      <c r="D1819" s="16">
        <v>11003</v>
      </c>
    </row>
    <row r="1820" spans="1:4" x14ac:dyDescent="0.3">
      <c r="A1820" s="1" t="str">
        <f>Pop[[#This Row],[State]]&amp;" "&amp;Pop[[#This Row],[County]]</f>
        <v>NC Watauga</v>
      </c>
      <c r="B1820" t="s">
        <v>222</v>
      </c>
      <c r="C1820" s="30" t="s">
        <v>1366</v>
      </c>
      <c r="D1820" s="16">
        <v>54086</v>
      </c>
    </row>
    <row r="1821" spans="1:4" x14ac:dyDescent="0.3">
      <c r="A1821" s="1" t="str">
        <f>Pop[[#This Row],[State]]&amp;" "&amp;Pop[[#This Row],[County]]</f>
        <v>NC Wayne</v>
      </c>
      <c r="B1821" t="s">
        <v>222</v>
      </c>
      <c r="C1821" s="30" t="s">
        <v>691</v>
      </c>
      <c r="D1821" s="16">
        <v>117333</v>
      </c>
    </row>
    <row r="1822" spans="1:4" x14ac:dyDescent="0.3">
      <c r="A1822" s="1" t="str">
        <f>Pop[[#This Row],[State]]&amp;" "&amp;Pop[[#This Row],[County]]</f>
        <v>NC Wilkes</v>
      </c>
      <c r="B1822" t="s">
        <v>222</v>
      </c>
      <c r="C1822" s="30" t="s">
        <v>695</v>
      </c>
      <c r="D1822" s="16">
        <v>65969</v>
      </c>
    </row>
    <row r="1823" spans="1:4" x14ac:dyDescent="0.3">
      <c r="A1823" s="1" t="str">
        <f>Pop[[#This Row],[State]]&amp;" "&amp;Pop[[#This Row],[County]]</f>
        <v>NC Wilson</v>
      </c>
      <c r="B1823" t="s">
        <v>222</v>
      </c>
      <c r="C1823" s="30" t="s">
        <v>926</v>
      </c>
      <c r="D1823" s="16">
        <v>78784</v>
      </c>
    </row>
    <row r="1824" spans="1:4" x14ac:dyDescent="0.3">
      <c r="A1824" s="1" t="str">
        <f>Pop[[#This Row],[State]]&amp;" "&amp;Pop[[#This Row],[County]]</f>
        <v>NC Yadkin</v>
      </c>
      <c r="B1824" t="s">
        <v>222</v>
      </c>
      <c r="C1824" s="30" t="s">
        <v>1367</v>
      </c>
      <c r="D1824" s="16">
        <v>37214</v>
      </c>
    </row>
    <row r="1825" spans="1:4" x14ac:dyDescent="0.3">
      <c r="A1825" s="1" t="str">
        <f>Pop[[#This Row],[State]]&amp;" "&amp;Pop[[#This Row],[County]]</f>
        <v>NC Yancey</v>
      </c>
      <c r="B1825" t="s">
        <v>222</v>
      </c>
      <c r="C1825" s="30" t="s">
        <v>1368</v>
      </c>
      <c r="D1825" s="16">
        <v>18470</v>
      </c>
    </row>
    <row r="1826" spans="1:4" x14ac:dyDescent="0.3">
      <c r="A1826" s="1" t="str">
        <f>Pop[[#This Row],[State]]&amp;" "&amp;Pop[[#This Row],[County]]</f>
        <v>NC State Agencies</v>
      </c>
      <c r="B1826" t="s">
        <v>222</v>
      </c>
      <c r="C1826" s="30" t="s">
        <v>243</v>
      </c>
      <c r="D1826" s="16" t="s">
        <v>244</v>
      </c>
    </row>
    <row r="1827" spans="1:4" x14ac:dyDescent="0.3">
      <c r="A1827" s="1" t="str">
        <f>Pop[[#This Row],[State]]&amp;" "&amp;Pop[[#This Row],[County]]</f>
        <v>NC Grand Total</v>
      </c>
      <c r="B1827" t="s">
        <v>222</v>
      </c>
      <c r="C1827" s="30" t="s">
        <v>67</v>
      </c>
      <c r="D1827" s="16">
        <v>10439388</v>
      </c>
    </row>
    <row r="1828" spans="1:4" x14ac:dyDescent="0.3">
      <c r="A1828" s="1" t="str">
        <f>Pop[[#This Row],[State]]&amp;" "&amp;Pop[[#This Row],[County]]</f>
        <v>ND Adams</v>
      </c>
      <c r="B1828" t="s">
        <v>280</v>
      </c>
      <c r="C1828" s="30" t="s">
        <v>478</v>
      </c>
      <c r="D1828" s="16">
        <v>2343</v>
      </c>
    </row>
    <row r="1829" spans="1:4" x14ac:dyDescent="0.3">
      <c r="A1829" s="1" t="str">
        <f>Pop[[#This Row],[State]]&amp;" "&amp;Pop[[#This Row],[County]]</f>
        <v>ND Barnes</v>
      </c>
      <c r="B1829" t="s">
        <v>280</v>
      </c>
      <c r="C1829" s="30" t="s">
        <v>1369</v>
      </c>
      <c r="D1829" s="16">
        <v>11066</v>
      </c>
    </row>
    <row r="1830" spans="1:4" x14ac:dyDescent="0.3">
      <c r="A1830" s="1" t="str">
        <f>Pop[[#This Row],[State]]&amp;" "&amp;Pop[[#This Row],[County]]</f>
        <v>ND Benson</v>
      </c>
      <c r="B1830" t="s">
        <v>280</v>
      </c>
      <c r="C1830" s="30" t="s">
        <v>1370</v>
      </c>
      <c r="D1830" s="16">
        <v>6660</v>
      </c>
    </row>
    <row r="1831" spans="1:4" x14ac:dyDescent="0.3">
      <c r="A1831" s="1" t="str">
        <f>Pop[[#This Row],[State]]&amp;" "&amp;Pop[[#This Row],[County]]</f>
        <v>ND Billings</v>
      </c>
      <c r="B1831" t="s">
        <v>280</v>
      </c>
      <c r="C1831" s="30" t="s">
        <v>1371</v>
      </c>
      <c r="D1831" s="16">
        <v>783</v>
      </c>
    </row>
    <row r="1832" spans="1:4" x14ac:dyDescent="0.3">
      <c r="A1832" s="1" t="str">
        <f>Pop[[#This Row],[State]]&amp;" "&amp;Pop[[#This Row],[County]]</f>
        <v>ND Bottineau</v>
      </c>
      <c r="B1832" t="s">
        <v>280</v>
      </c>
      <c r="C1832" s="30" t="s">
        <v>1372</v>
      </c>
      <c r="D1832" s="16">
        <v>6429</v>
      </c>
    </row>
    <row r="1833" spans="1:4" x14ac:dyDescent="0.3">
      <c r="A1833" s="1" t="str">
        <f>Pop[[#This Row],[State]]&amp;" "&amp;Pop[[#This Row],[County]]</f>
        <v>ND Bowman</v>
      </c>
      <c r="B1833" t="s">
        <v>280</v>
      </c>
      <c r="C1833" s="30" t="s">
        <v>1373</v>
      </c>
      <c r="D1833" s="16">
        <v>3151</v>
      </c>
    </row>
    <row r="1834" spans="1:4" x14ac:dyDescent="0.3">
      <c r="A1834" s="1" t="str">
        <f>Pop[[#This Row],[State]]&amp;" "&amp;Pop[[#This Row],[County]]</f>
        <v>ND Burke</v>
      </c>
      <c r="B1834" t="s">
        <v>280</v>
      </c>
      <c r="C1834" s="30" t="s">
        <v>605</v>
      </c>
      <c r="D1834" s="16">
        <v>1968</v>
      </c>
    </row>
    <row r="1835" spans="1:4" x14ac:dyDescent="0.3">
      <c r="A1835" s="1" t="str">
        <f>Pop[[#This Row],[State]]&amp;" "&amp;Pop[[#This Row],[County]]</f>
        <v>ND Burleigh</v>
      </c>
      <c r="B1835" t="s">
        <v>280</v>
      </c>
      <c r="C1835" s="30" t="s">
        <v>1374</v>
      </c>
      <c r="D1835" s="16">
        <v>81308</v>
      </c>
    </row>
    <row r="1836" spans="1:4" x14ac:dyDescent="0.3">
      <c r="A1836" s="1" t="str">
        <f>Pop[[#This Row],[State]]&amp;" "&amp;Pop[[#This Row],[County]]</f>
        <v>ND Cass</v>
      </c>
      <c r="B1836" t="s">
        <v>280</v>
      </c>
      <c r="C1836" s="30" t="s">
        <v>711</v>
      </c>
      <c r="D1836" s="16">
        <v>149778</v>
      </c>
    </row>
    <row r="1837" spans="1:4" x14ac:dyDescent="0.3">
      <c r="A1837" s="1" t="str">
        <f>Pop[[#This Row],[State]]&amp;" "&amp;Pop[[#This Row],[County]]</f>
        <v>ND Cavalier</v>
      </c>
      <c r="B1837" t="s">
        <v>280</v>
      </c>
      <c r="C1837" s="30" t="s">
        <v>1375</v>
      </c>
      <c r="D1837" s="16">
        <v>3993</v>
      </c>
    </row>
    <row r="1838" spans="1:4" x14ac:dyDescent="0.3">
      <c r="A1838" s="1" t="str">
        <f>Pop[[#This Row],[State]]&amp;" "&amp;Pop[[#This Row],[County]]</f>
        <v>ND Dickey</v>
      </c>
      <c r="B1838" t="s">
        <v>280</v>
      </c>
      <c r="C1838" s="30" t="s">
        <v>1376</v>
      </c>
      <c r="D1838" s="16">
        <v>5289</v>
      </c>
    </row>
    <row r="1839" spans="1:4" x14ac:dyDescent="0.3">
      <c r="A1839" s="1" t="str">
        <f>Pop[[#This Row],[State]]&amp;" "&amp;Pop[[#This Row],[County]]</f>
        <v>ND Divide</v>
      </c>
      <c r="B1839" t="s">
        <v>280</v>
      </c>
      <c r="C1839" s="30" t="s">
        <v>1377</v>
      </c>
      <c r="D1839" s="16">
        <v>2071</v>
      </c>
    </row>
    <row r="1840" spans="1:4" x14ac:dyDescent="0.3">
      <c r="A1840" s="1" t="str">
        <f>Pop[[#This Row],[State]]&amp;" "&amp;Pop[[#This Row],[County]]</f>
        <v>ND Dunn</v>
      </c>
      <c r="B1840" t="s">
        <v>280</v>
      </c>
      <c r="C1840" s="30" t="s">
        <v>1378</v>
      </c>
      <c r="D1840" s="16">
        <v>3536</v>
      </c>
    </row>
    <row r="1841" spans="1:4" x14ac:dyDescent="0.3">
      <c r="A1841" s="1" t="str">
        <f>Pop[[#This Row],[State]]&amp;" "&amp;Pop[[#This Row],[County]]</f>
        <v>ND Eddy</v>
      </c>
      <c r="B1841" t="s">
        <v>280</v>
      </c>
      <c r="C1841" s="30" t="s">
        <v>1379</v>
      </c>
      <c r="D1841" s="16">
        <v>2385</v>
      </c>
    </row>
    <row r="1842" spans="1:4" x14ac:dyDescent="0.3">
      <c r="A1842" s="1" t="str">
        <f>Pop[[#This Row],[State]]&amp;" "&amp;Pop[[#This Row],[County]]</f>
        <v>ND Emmons</v>
      </c>
      <c r="B1842" t="s">
        <v>280</v>
      </c>
      <c r="C1842" s="30" t="s">
        <v>1380</v>
      </c>
      <c r="D1842" s="16">
        <v>3550</v>
      </c>
    </row>
    <row r="1843" spans="1:4" x14ac:dyDescent="0.3">
      <c r="A1843" s="1" t="str">
        <f>Pop[[#This Row],[State]]&amp;" "&amp;Pop[[#This Row],[County]]</f>
        <v>ND Foster</v>
      </c>
      <c r="B1843" t="s">
        <v>280</v>
      </c>
      <c r="C1843" s="30" t="s">
        <v>1381</v>
      </c>
      <c r="D1843" s="16">
        <v>3343</v>
      </c>
    </row>
    <row r="1844" spans="1:4" x14ac:dyDescent="0.3">
      <c r="A1844" s="1" t="str">
        <f>Pop[[#This Row],[State]]&amp;" "&amp;Pop[[#This Row],[County]]</f>
        <v>ND Golden Valley</v>
      </c>
      <c r="B1844" t="s">
        <v>280</v>
      </c>
      <c r="C1844" s="30" t="s">
        <v>1280</v>
      </c>
      <c r="D1844" s="16">
        <v>1680</v>
      </c>
    </row>
    <row r="1845" spans="1:4" x14ac:dyDescent="0.3">
      <c r="A1845" s="1" t="str">
        <f>Pop[[#This Row],[State]]&amp;" "&amp;Pop[[#This Row],[County]]</f>
        <v>ND Grand Forks</v>
      </c>
      <c r="B1845" t="s">
        <v>280</v>
      </c>
      <c r="C1845" s="30" t="s">
        <v>1382</v>
      </c>
      <c r="D1845" s="16">
        <v>66861</v>
      </c>
    </row>
    <row r="1846" spans="1:4" x14ac:dyDescent="0.3">
      <c r="A1846" s="1" t="str">
        <f>Pop[[#This Row],[State]]&amp;" "&amp;Pop[[#This Row],[County]]</f>
        <v>ND Grant</v>
      </c>
      <c r="B1846" t="s">
        <v>280</v>
      </c>
      <c r="C1846" s="30" t="s">
        <v>370</v>
      </c>
      <c r="D1846" s="16">
        <v>2394</v>
      </c>
    </row>
    <row r="1847" spans="1:4" x14ac:dyDescent="0.3">
      <c r="A1847" s="1" t="str">
        <f>Pop[[#This Row],[State]]&amp;" "&amp;Pop[[#This Row],[County]]</f>
        <v>ND Griggs</v>
      </c>
      <c r="B1847" t="s">
        <v>280</v>
      </c>
      <c r="C1847" s="30" t="s">
        <v>1383</v>
      </c>
      <c r="D1847" s="16">
        <v>2420</v>
      </c>
    </row>
    <row r="1848" spans="1:4" x14ac:dyDescent="0.3">
      <c r="A1848" s="1" t="str">
        <f>Pop[[#This Row],[State]]&amp;" "&amp;Pop[[#This Row],[County]]</f>
        <v>ND Hettinger</v>
      </c>
      <c r="B1848" t="s">
        <v>280</v>
      </c>
      <c r="C1848" s="30" t="s">
        <v>1384</v>
      </c>
      <c r="D1848" s="16">
        <v>2477</v>
      </c>
    </row>
    <row r="1849" spans="1:4" x14ac:dyDescent="0.3">
      <c r="A1849" s="1" t="str">
        <f>Pop[[#This Row],[State]]&amp;" "&amp;Pop[[#This Row],[County]]</f>
        <v>ND Kidder</v>
      </c>
      <c r="B1849" t="s">
        <v>280</v>
      </c>
      <c r="C1849" s="30" t="s">
        <v>1385</v>
      </c>
      <c r="D1849" s="16">
        <v>2435</v>
      </c>
    </row>
    <row r="1850" spans="1:4" x14ac:dyDescent="0.3">
      <c r="A1850" s="1" t="str">
        <f>Pop[[#This Row],[State]]&amp;" "&amp;Pop[[#This Row],[County]]</f>
        <v>ND LaMoure</v>
      </c>
      <c r="B1850" t="s">
        <v>280</v>
      </c>
      <c r="C1850" s="30" t="s">
        <v>1386</v>
      </c>
      <c r="D1850" s="16">
        <v>4139</v>
      </c>
    </row>
    <row r="1851" spans="1:4" x14ac:dyDescent="0.3">
      <c r="A1851" s="1" t="str">
        <f>Pop[[#This Row],[State]]&amp;" "&amp;Pop[[#This Row],[County]]</f>
        <v>ND Logan</v>
      </c>
      <c r="B1851" t="s">
        <v>280</v>
      </c>
      <c r="C1851" s="30" t="s">
        <v>380</v>
      </c>
      <c r="D1851" s="16">
        <v>1990</v>
      </c>
    </row>
    <row r="1852" spans="1:4" x14ac:dyDescent="0.3">
      <c r="A1852" s="1" t="str">
        <f>Pop[[#This Row],[State]]&amp;" "&amp;Pop[[#This Row],[County]]</f>
        <v>ND McHenry</v>
      </c>
      <c r="B1852" t="s">
        <v>280</v>
      </c>
      <c r="C1852" s="30" t="s">
        <v>811</v>
      </c>
      <c r="D1852" s="16">
        <v>5395</v>
      </c>
    </row>
    <row r="1853" spans="1:4" x14ac:dyDescent="0.3">
      <c r="A1853" s="1" t="str">
        <f>Pop[[#This Row],[State]]&amp;" "&amp;Pop[[#This Row],[County]]</f>
        <v>ND McIntosh</v>
      </c>
      <c r="B1853" t="s">
        <v>280</v>
      </c>
      <c r="C1853" s="30" t="s">
        <v>656</v>
      </c>
      <c r="D1853" s="16">
        <v>2809</v>
      </c>
    </row>
    <row r="1854" spans="1:4" x14ac:dyDescent="0.3">
      <c r="A1854" s="1" t="str">
        <f>Pop[[#This Row],[State]]&amp;" "&amp;Pop[[#This Row],[County]]</f>
        <v>ND McKenzie</v>
      </c>
      <c r="B1854" t="s">
        <v>280</v>
      </c>
      <c r="C1854" s="30" t="s">
        <v>1387</v>
      </c>
      <c r="D1854" s="16">
        <v>6360</v>
      </c>
    </row>
    <row r="1855" spans="1:4" x14ac:dyDescent="0.3">
      <c r="A1855" s="1" t="str">
        <f>Pop[[#This Row],[State]]&amp;" "&amp;Pop[[#This Row],[County]]</f>
        <v>ND McLean</v>
      </c>
      <c r="B1855" t="s">
        <v>280</v>
      </c>
      <c r="C1855" s="30" t="s">
        <v>812</v>
      </c>
      <c r="D1855" s="16">
        <v>8962</v>
      </c>
    </row>
    <row r="1856" spans="1:4" x14ac:dyDescent="0.3">
      <c r="A1856" s="1" t="str">
        <f>Pop[[#This Row],[State]]&amp;" "&amp;Pop[[#This Row],[County]]</f>
        <v>ND Mercer</v>
      </c>
      <c r="B1856" t="s">
        <v>280</v>
      </c>
      <c r="C1856" s="30" t="s">
        <v>814</v>
      </c>
      <c r="D1856" s="16">
        <v>8424</v>
      </c>
    </row>
    <row r="1857" spans="1:4" x14ac:dyDescent="0.3">
      <c r="A1857" s="1" t="str">
        <f>Pop[[#This Row],[State]]&amp;" "&amp;Pop[[#This Row],[County]]</f>
        <v>ND Morton</v>
      </c>
      <c r="B1857" t="s">
        <v>280</v>
      </c>
      <c r="C1857" s="30" t="s">
        <v>896</v>
      </c>
      <c r="D1857" s="16">
        <v>27471</v>
      </c>
    </row>
    <row r="1858" spans="1:4" x14ac:dyDescent="0.3">
      <c r="A1858" s="1" t="str">
        <f>Pop[[#This Row],[State]]&amp;" "&amp;Pop[[#This Row],[County]]</f>
        <v>ND Mountrail</v>
      </c>
      <c r="B1858" t="s">
        <v>280</v>
      </c>
      <c r="C1858" s="30" t="s">
        <v>1388</v>
      </c>
      <c r="D1858" s="16">
        <v>7673</v>
      </c>
    </row>
    <row r="1859" spans="1:4" x14ac:dyDescent="0.3">
      <c r="A1859" s="1" t="str">
        <f>Pop[[#This Row],[State]]&amp;" "&amp;Pop[[#This Row],[County]]</f>
        <v>ND Nelson</v>
      </c>
      <c r="B1859" t="s">
        <v>280</v>
      </c>
      <c r="C1859" s="30" t="s">
        <v>970</v>
      </c>
      <c r="D1859" s="16">
        <v>3126</v>
      </c>
    </row>
    <row r="1860" spans="1:4" x14ac:dyDescent="0.3">
      <c r="A1860" s="1" t="str">
        <f>Pop[[#This Row],[State]]&amp;" "&amp;Pop[[#This Row],[County]]</f>
        <v>ND Oliver</v>
      </c>
      <c r="B1860" t="s">
        <v>280</v>
      </c>
      <c r="C1860" s="30" t="s">
        <v>1389</v>
      </c>
      <c r="D1860" s="16">
        <v>1846</v>
      </c>
    </row>
    <row r="1861" spans="1:4" x14ac:dyDescent="0.3">
      <c r="A1861" s="1" t="str">
        <f>Pop[[#This Row],[State]]&amp;" "&amp;Pop[[#This Row],[County]]</f>
        <v>ND Pembina</v>
      </c>
      <c r="B1861" t="s">
        <v>280</v>
      </c>
      <c r="C1861" s="30" t="s">
        <v>1390</v>
      </c>
      <c r="D1861" s="16">
        <v>7413</v>
      </c>
    </row>
    <row r="1862" spans="1:4" x14ac:dyDescent="0.3">
      <c r="A1862" s="1" t="str">
        <f>Pop[[#This Row],[State]]&amp;" "&amp;Pop[[#This Row],[County]]</f>
        <v>ND Pierce</v>
      </c>
      <c r="B1862" t="s">
        <v>280</v>
      </c>
      <c r="C1862" s="30" t="s">
        <v>665</v>
      </c>
      <c r="D1862" s="16">
        <v>4357</v>
      </c>
    </row>
    <row r="1863" spans="1:4" x14ac:dyDescent="0.3">
      <c r="A1863" s="1" t="str">
        <f>Pop[[#This Row],[State]]&amp;" "&amp;Pop[[#This Row],[County]]</f>
        <v>ND Ramsey</v>
      </c>
      <c r="B1863" t="s">
        <v>280</v>
      </c>
      <c r="C1863" s="30" t="s">
        <v>1173</v>
      </c>
      <c r="D1863" s="16">
        <v>11451</v>
      </c>
    </row>
    <row r="1864" spans="1:4" x14ac:dyDescent="0.3">
      <c r="A1864" s="1" t="str">
        <f>Pop[[#This Row],[State]]&amp;" "&amp;Pop[[#This Row],[County]]</f>
        <v>ND Ransom</v>
      </c>
      <c r="B1864" t="s">
        <v>280</v>
      </c>
      <c r="C1864" s="30" t="s">
        <v>1391</v>
      </c>
      <c r="D1864" s="16">
        <v>5457</v>
      </c>
    </row>
    <row r="1865" spans="1:4" x14ac:dyDescent="0.3">
      <c r="A1865" s="1" t="str">
        <f>Pop[[#This Row],[State]]&amp;" "&amp;Pop[[#This Row],[County]]</f>
        <v>ND Renville</v>
      </c>
      <c r="B1865" t="s">
        <v>280</v>
      </c>
      <c r="C1865" s="30" t="s">
        <v>1176</v>
      </c>
      <c r="D1865" s="16">
        <v>2470</v>
      </c>
    </row>
    <row r="1866" spans="1:4" x14ac:dyDescent="0.3">
      <c r="A1866" s="1" t="str">
        <f>Pop[[#This Row],[State]]&amp;" "&amp;Pop[[#This Row],[County]]</f>
        <v>ND Richland</v>
      </c>
      <c r="B1866" t="s">
        <v>280</v>
      </c>
      <c r="C1866" s="30" t="s">
        <v>819</v>
      </c>
      <c r="D1866" s="16">
        <v>16321</v>
      </c>
    </row>
    <row r="1867" spans="1:4" x14ac:dyDescent="0.3">
      <c r="A1867" s="1" t="str">
        <f>Pop[[#This Row],[State]]&amp;" "&amp;Pop[[#This Row],[County]]</f>
        <v>ND Rolette</v>
      </c>
      <c r="B1867" t="s">
        <v>280</v>
      </c>
      <c r="C1867" s="30" t="s">
        <v>1392</v>
      </c>
      <c r="D1867" s="16">
        <v>13937</v>
      </c>
    </row>
    <row r="1868" spans="1:4" x14ac:dyDescent="0.3">
      <c r="A1868" s="1" t="str">
        <f>Pop[[#This Row],[State]]&amp;" "&amp;Pop[[#This Row],[County]]</f>
        <v>ND Sargent</v>
      </c>
      <c r="B1868" t="s">
        <v>280</v>
      </c>
      <c r="C1868" s="30" t="s">
        <v>1393</v>
      </c>
      <c r="D1868" s="16">
        <v>3829</v>
      </c>
    </row>
    <row r="1869" spans="1:4" x14ac:dyDescent="0.3">
      <c r="A1869" s="1" t="str">
        <f>Pop[[#This Row],[State]]&amp;" "&amp;Pop[[#This Row],[County]]</f>
        <v>ND Sheridan</v>
      </c>
      <c r="B1869" t="s">
        <v>280</v>
      </c>
      <c r="C1869" s="30" t="s">
        <v>915</v>
      </c>
      <c r="D1869" s="16">
        <v>1321</v>
      </c>
    </row>
    <row r="1870" spans="1:4" x14ac:dyDescent="0.3">
      <c r="A1870" s="1" t="str">
        <f>Pop[[#This Row],[State]]&amp;" "&amp;Pop[[#This Row],[County]]</f>
        <v>ND Sioux</v>
      </c>
      <c r="B1870" t="s">
        <v>280</v>
      </c>
      <c r="C1870" s="30" t="s">
        <v>744</v>
      </c>
      <c r="D1870" s="16">
        <v>4153</v>
      </c>
    </row>
    <row r="1871" spans="1:4" x14ac:dyDescent="0.3">
      <c r="A1871" s="1" t="str">
        <f>Pop[[#This Row],[State]]&amp;" "&amp;Pop[[#This Row],[County]]</f>
        <v>ND Slope</v>
      </c>
      <c r="B1871" t="s">
        <v>280</v>
      </c>
      <c r="C1871" s="30" t="s">
        <v>1394</v>
      </c>
      <c r="D1871" s="16">
        <v>727</v>
      </c>
    </row>
    <row r="1872" spans="1:4" x14ac:dyDescent="0.3">
      <c r="A1872" s="1" t="str">
        <f>Pop[[#This Row],[State]]&amp;" "&amp;Pop[[#This Row],[County]]</f>
        <v>ND Stark</v>
      </c>
      <c r="B1872" t="s">
        <v>280</v>
      </c>
      <c r="C1872" s="30" t="s">
        <v>823</v>
      </c>
      <c r="D1872" s="16">
        <v>24199</v>
      </c>
    </row>
    <row r="1873" spans="1:4" x14ac:dyDescent="0.3">
      <c r="A1873" s="1" t="str">
        <f>Pop[[#This Row],[State]]&amp;" "&amp;Pop[[#This Row],[County]]</f>
        <v>ND Steele</v>
      </c>
      <c r="B1873" t="s">
        <v>280</v>
      </c>
      <c r="C1873" s="30" t="s">
        <v>1183</v>
      </c>
      <c r="D1873" s="16">
        <v>1975</v>
      </c>
    </row>
    <row r="1874" spans="1:4" x14ac:dyDescent="0.3">
      <c r="A1874" s="1" t="str">
        <f>Pop[[#This Row],[State]]&amp;" "&amp;Pop[[#This Row],[County]]</f>
        <v>ND Stutsman</v>
      </c>
      <c r="B1874" t="s">
        <v>280</v>
      </c>
      <c r="C1874" s="30" t="s">
        <v>1395</v>
      </c>
      <c r="D1874" s="16">
        <v>21100</v>
      </c>
    </row>
    <row r="1875" spans="1:4" x14ac:dyDescent="0.3">
      <c r="A1875" s="1" t="str">
        <f>Pop[[#This Row],[State]]&amp;" "&amp;Pop[[#This Row],[County]]</f>
        <v>ND Towner</v>
      </c>
      <c r="B1875" t="s">
        <v>280</v>
      </c>
      <c r="C1875" s="30" t="s">
        <v>1396</v>
      </c>
      <c r="D1875" s="16">
        <v>2246</v>
      </c>
    </row>
    <row r="1876" spans="1:4" x14ac:dyDescent="0.3">
      <c r="A1876" s="1" t="str">
        <f>Pop[[#This Row],[State]]&amp;" "&amp;Pop[[#This Row],[County]]</f>
        <v>ND Traill</v>
      </c>
      <c r="B1876" t="s">
        <v>280</v>
      </c>
      <c r="C1876" s="30" t="s">
        <v>1397</v>
      </c>
      <c r="D1876" s="16">
        <v>8121</v>
      </c>
    </row>
    <row r="1877" spans="1:4" x14ac:dyDescent="0.3">
      <c r="A1877" s="1" t="str">
        <f>Pop[[#This Row],[State]]&amp;" "&amp;Pop[[#This Row],[County]]</f>
        <v>ND Walsh</v>
      </c>
      <c r="B1877" t="s">
        <v>280</v>
      </c>
      <c r="C1877" s="30" t="s">
        <v>1398</v>
      </c>
      <c r="D1877" s="16">
        <v>11119</v>
      </c>
    </row>
    <row r="1878" spans="1:4" x14ac:dyDescent="0.3">
      <c r="A1878" s="1" t="str">
        <f>Pop[[#This Row],[State]]&amp;" "&amp;Pop[[#This Row],[County]]</f>
        <v>ND Ward</v>
      </c>
      <c r="B1878" t="s">
        <v>280</v>
      </c>
      <c r="C1878" s="30" t="s">
        <v>1399</v>
      </c>
      <c r="D1878" s="16">
        <v>61675</v>
      </c>
    </row>
    <row r="1879" spans="1:4" x14ac:dyDescent="0.3">
      <c r="A1879" s="1" t="str">
        <f>Pop[[#This Row],[State]]&amp;" "&amp;Pop[[#This Row],[County]]</f>
        <v>ND Wells</v>
      </c>
      <c r="B1879" t="s">
        <v>280</v>
      </c>
      <c r="C1879" s="30" t="s">
        <v>860</v>
      </c>
      <c r="D1879" s="16">
        <v>4207</v>
      </c>
    </row>
    <row r="1880" spans="1:4" x14ac:dyDescent="0.3">
      <c r="A1880" s="1" t="str">
        <f>Pop[[#This Row],[State]]&amp;" "&amp;Pop[[#This Row],[County]]</f>
        <v>ND Williams</v>
      </c>
      <c r="B1880" t="s">
        <v>280</v>
      </c>
      <c r="C1880" s="30" t="s">
        <v>1400</v>
      </c>
      <c r="D1880" s="16">
        <v>22398</v>
      </c>
    </row>
    <row r="1881" spans="1:4" x14ac:dyDescent="0.3">
      <c r="A1881" s="1" t="str">
        <f>Pop[[#This Row],[State]]&amp;" "&amp;Pop[[#This Row],[County]]</f>
        <v>ND State Agencies</v>
      </c>
      <c r="B1881" t="s">
        <v>280</v>
      </c>
      <c r="C1881" s="30" t="s">
        <v>243</v>
      </c>
      <c r="D1881" s="16" t="s">
        <v>244</v>
      </c>
    </row>
    <row r="1882" spans="1:4" x14ac:dyDescent="0.3">
      <c r="A1882" s="1" t="str">
        <f>Pop[[#This Row],[State]]&amp;" "&amp;Pop[[#This Row],[County]]</f>
        <v>ND Grand Total</v>
      </c>
      <c r="B1882" t="s">
        <v>280</v>
      </c>
      <c r="C1882" s="30" t="s">
        <v>67</v>
      </c>
      <c r="D1882" s="16">
        <v>672591</v>
      </c>
    </row>
    <row r="1883" spans="1:4" x14ac:dyDescent="0.3">
      <c r="A1883" s="1" t="str">
        <f>Pop[[#This Row],[State]]&amp;" "&amp;Pop[[#This Row],[County]]</f>
        <v>NE Adams</v>
      </c>
      <c r="B1883" t="s">
        <v>271</v>
      </c>
      <c r="C1883" s="30" t="s">
        <v>478</v>
      </c>
      <c r="D1883" s="16">
        <v>31364</v>
      </c>
    </row>
    <row r="1884" spans="1:4" x14ac:dyDescent="0.3">
      <c r="A1884" s="1" t="str">
        <f>Pop[[#This Row],[State]]&amp;" "&amp;Pop[[#This Row],[County]]</f>
        <v>NE Antelope</v>
      </c>
      <c r="B1884" t="s">
        <v>271</v>
      </c>
      <c r="C1884" s="30" t="s">
        <v>1401</v>
      </c>
      <c r="D1884" s="16">
        <v>6685</v>
      </c>
    </row>
    <row r="1885" spans="1:4" x14ac:dyDescent="0.3">
      <c r="A1885" s="1" t="str">
        <f>Pop[[#This Row],[State]]&amp;" "&amp;Pop[[#This Row],[County]]</f>
        <v>NE Arthur</v>
      </c>
      <c r="B1885" t="s">
        <v>271</v>
      </c>
      <c r="C1885" s="30" t="s">
        <v>1402</v>
      </c>
      <c r="D1885" s="16">
        <v>460</v>
      </c>
    </row>
    <row r="1886" spans="1:4" x14ac:dyDescent="0.3">
      <c r="A1886" s="1" t="str">
        <f>Pop[[#This Row],[State]]&amp;" "&amp;Pop[[#This Row],[County]]</f>
        <v>NE Banner</v>
      </c>
      <c r="B1886" t="s">
        <v>271</v>
      </c>
      <c r="C1886" s="30" t="s">
        <v>1403</v>
      </c>
      <c r="D1886" s="16">
        <v>690</v>
      </c>
    </row>
    <row r="1887" spans="1:4" x14ac:dyDescent="0.3">
      <c r="A1887" s="1" t="str">
        <f>Pop[[#This Row],[State]]&amp;" "&amp;Pop[[#This Row],[County]]</f>
        <v>NE Blaine</v>
      </c>
      <c r="B1887" t="s">
        <v>271</v>
      </c>
      <c r="C1887" s="30" t="s">
        <v>757</v>
      </c>
      <c r="D1887" s="16">
        <v>478</v>
      </c>
    </row>
    <row r="1888" spans="1:4" x14ac:dyDescent="0.3">
      <c r="A1888" s="1" t="str">
        <f>Pop[[#This Row],[State]]&amp;" "&amp;Pop[[#This Row],[County]]</f>
        <v>NE Boone</v>
      </c>
      <c r="B1888" t="s">
        <v>271</v>
      </c>
      <c r="C1888" s="30" t="s">
        <v>355</v>
      </c>
      <c r="D1888" s="16">
        <v>5505</v>
      </c>
    </row>
    <row r="1889" spans="1:4" x14ac:dyDescent="0.3">
      <c r="A1889" s="1" t="str">
        <f>Pop[[#This Row],[State]]&amp;" "&amp;Pop[[#This Row],[County]]</f>
        <v>NE Box Butte</v>
      </c>
      <c r="B1889" t="s">
        <v>271</v>
      </c>
      <c r="C1889" s="30" t="s">
        <v>1404</v>
      </c>
      <c r="D1889" s="16">
        <v>11308</v>
      </c>
    </row>
    <row r="1890" spans="1:4" x14ac:dyDescent="0.3">
      <c r="A1890" s="1" t="str">
        <f>Pop[[#This Row],[State]]&amp;" "&amp;Pop[[#This Row],[County]]</f>
        <v>NE Boyd</v>
      </c>
      <c r="B1890" t="s">
        <v>271</v>
      </c>
      <c r="C1890" s="30" t="s">
        <v>933</v>
      </c>
      <c r="D1890" s="16">
        <v>2099</v>
      </c>
    </row>
    <row r="1891" spans="1:4" x14ac:dyDescent="0.3">
      <c r="A1891" s="1" t="str">
        <f>Pop[[#This Row],[State]]&amp;" "&amp;Pop[[#This Row],[County]]</f>
        <v>NE Brown</v>
      </c>
      <c r="B1891" t="s">
        <v>271</v>
      </c>
      <c r="C1891" s="30" t="s">
        <v>37</v>
      </c>
      <c r="D1891" s="16">
        <v>3145</v>
      </c>
    </row>
    <row r="1892" spans="1:4" x14ac:dyDescent="0.3">
      <c r="A1892" s="1" t="str">
        <f>Pop[[#This Row],[State]]&amp;" "&amp;Pop[[#This Row],[County]]</f>
        <v>NE Buffalo</v>
      </c>
      <c r="B1892" t="s">
        <v>271</v>
      </c>
      <c r="C1892" s="30" t="s">
        <v>1405</v>
      </c>
      <c r="D1892" s="16">
        <v>46102</v>
      </c>
    </row>
    <row r="1893" spans="1:4" x14ac:dyDescent="0.3">
      <c r="A1893" s="1" t="str">
        <f>Pop[[#This Row],[State]]&amp;" "&amp;Pop[[#This Row],[County]]</f>
        <v>NE Burt</v>
      </c>
      <c r="B1893" t="s">
        <v>271</v>
      </c>
      <c r="C1893" s="30" t="s">
        <v>1406</v>
      </c>
      <c r="D1893" s="16">
        <v>6858</v>
      </c>
    </row>
    <row r="1894" spans="1:4" x14ac:dyDescent="0.3">
      <c r="A1894" s="1" t="str">
        <f>Pop[[#This Row],[State]]&amp;" "&amp;Pop[[#This Row],[County]]</f>
        <v>NE Butler</v>
      </c>
      <c r="B1894" t="s">
        <v>271</v>
      </c>
      <c r="C1894" s="30" t="s">
        <v>267</v>
      </c>
      <c r="D1894" s="16">
        <v>8395</v>
      </c>
    </row>
    <row r="1895" spans="1:4" x14ac:dyDescent="0.3">
      <c r="A1895" s="1" t="str">
        <f>Pop[[#This Row],[State]]&amp;" "&amp;Pop[[#This Row],[County]]</f>
        <v>NE Cass</v>
      </c>
      <c r="B1895" t="s">
        <v>271</v>
      </c>
      <c r="C1895" s="30" t="s">
        <v>711</v>
      </c>
      <c r="D1895" s="16">
        <v>25241</v>
      </c>
    </row>
    <row r="1896" spans="1:4" x14ac:dyDescent="0.3">
      <c r="A1896" s="1" t="str">
        <f>Pop[[#This Row],[State]]&amp;" "&amp;Pop[[#This Row],[County]]</f>
        <v>NE Cedar</v>
      </c>
      <c r="B1896" t="s">
        <v>271</v>
      </c>
      <c r="C1896" s="30" t="s">
        <v>712</v>
      </c>
      <c r="D1896" s="16">
        <v>8852</v>
      </c>
    </row>
    <row r="1897" spans="1:4" x14ac:dyDescent="0.3">
      <c r="A1897" s="1" t="str">
        <f>Pop[[#This Row],[State]]&amp;" "&amp;Pop[[#This Row],[County]]</f>
        <v>NE Chase</v>
      </c>
      <c r="B1897" t="s">
        <v>271</v>
      </c>
      <c r="C1897" s="30" t="s">
        <v>867</v>
      </c>
      <c r="D1897" s="16">
        <v>3966</v>
      </c>
    </row>
    <row r="1898" spans="1:4" x14ac:dyDescent="0.3">
      <c r="A1898" s="1" t="str">
        <f>Pop[[#This Row],[State]]&amp;" "&amp;Pop[[#This Row],[County]]</f>
        <v>NE Cherry</v>
      </c>
      <c r="B1898" t="s">
        <v>271</v>
      </c>
      <c r="C1898" s="30" t="s">
        <v>1407</v>
      </c>
      <c r="D1898" s="16">
        <v>5713</v>
      </c>
    </row>
    <row r="1899" spans="1:4" x14ac:dyDescent="0.3">
      <c r="A1899" s="1" t="str">
        <f>Pop[[#This Row],[State]]&amp;" "&amp;Pop[[#This Row],[County]]</f>
        <v>NE Cheyenne</v>
      </c>
      <c r="B1899" t="s">
        <v>271</v>
      </c>
      <c r="C1899" s="30" t="s">
        <v>487</v>
      </c>
      <c r="D1899" s="16">
        <v>9998</v>
      </c>
    </row>
    <row r="1900" spans="1:4" x14ac:dyDescent="0.3">
      <c r="A1900" s="1" t="str">
        <f>Pop[[#This Row],[State]]&amp;" "&amp;Pop[[#This Row],[County]]</f>
        <v>NE Clay</v>
      </c>
      <c r="B1900" t="s">
        <v>271</v>
      </c>
      <c r="C1900" s="30" t="s">
        <v>39</v>
      </c>
      <c r="D1900" s="16">
        <v>6542</v>
      </c>
    </row>
    <row r="1901" spans="1:4" x14ac:dyDescent="0.3">
      <c r="A1901" s="1" t="str">
        <f>Pop[[#This Row],[State]]&amp;" "&amp;Pop[[#This Row],[County]]</f>
        <v>NE Colfax</v>
      </c>
      <c r="B1901" t="s">
        <v>271</v>
      </c>
      <c r="C1901" s="30" t="s">
        <v>1408</v>
      </c>
      <c r="D1901" s="16">
        <v>10515</v>
      </c>
    </row>
    <row r="1902" spans="1:4" x14ac:dyDescent="0.3">
      <c r="A1902" s="1" t="str">
        <f>Pop[[#This Row],[State]]&amp;" "&amp;Pop[[#This Row],[County]]</f>
        <v>NE Cuming</v>
      </c>
      <c r="B1902" t="s">
        <v>271</v>
      </c>
      <c r="C1902" s="30" t="s">
        <v>1409</v>
      </c>
      <c r="D1902" s="16">
        <v>9139</v>
      </c>
    </row>
    <row r="1903" spans="1:4" x14ac:dyDescent="0.3">
      <c r="A1903" s="1" t="str">
        <f>Pop[[#This Row],[State]]&amp;" "&amp;Pop[[#This Row],[County]]</f>
        <v>NE Custer</v>
      </c>
      <c r="B1903" t="s">
        <v>271</v>
      </c>
      <c r="C1903" s="30" t="s">
        <v>492</v>
      </c>
      <c r="D1903" s="16">
        <v>10939</v>
      </c>
    </row>
    <row r="1904" spans="1:4" x14ac:dyDescent="0.3">
      <c r="A1904" s="1" t="str">
        <f>Pop[[#This Row],[State]]&amp;" "&amp;Pop[[#This Row],[County]]</f>
        <v>NE Dakota</v>
      </c>
      <c r="B1904" t="s">
        <v>271</v>
      </c>
      <c r="C1904" s="30" t="s">
        <v>1141</v>
      </c>
      <c r="D1904" s="16">
        <v>21006</v>
      </c>
    </row>
    <row r="1905" spans="1:4" x14ac:dyDescent="0.3">
      <c r="A1905" s="1" t="str">
        <f>Pop[[#This Row],[State]]&amp;" "&amp;Pop[[#This Row],[County]]</f>
        <v>NE Dawes</v>
      </c>
      <c r="B1905" t="s">
        <v>271</v>
      </c>
      <c r="C1905" s="30" t="s">
        <v>1410</v>
      </c>
      <c r="D1905" s="16">
        <v>9182</v>
      </c>
    </row>
    <row r="1906" spans="1:4" x14ac:dyDescent="0.3">
      <c r="A1906" s="1" t="str">
        <f>Pop[[#This Row],[State]]&amp;" "&amp;Pop[[#This Row],[County]]</f>
        <v>NE Dawson</v>
      </c>
      <c r="B1906" t="s">
        <v>271</v>
      </c>
      <c r="C1906" s="30" t="s">
        <v>622</v>
      </c>
      <c r="D1906" s="16">
        <v>24326</v>
      </c>
    </row>
    <row r="1907" spans="1:4" x14ac:dyDescent="0.3">
      <c r="A1907" s="1" t="str">
        <f>Pop[[#This Row],[State]]&amp;" "&amp;Pop[[#This Row],[County]]</f>
        <v>NE Deuel</v>
      </c>
      <c r="B1907" t="s">
        <v>271</v>
      </c>
      <c r="C1907" s="30" t="s">
        <v>1411</v>
      </c>
      <c r="D1907" s="16">
        <v>1941</v>
      </c>
    </row>
    <row r="1908" spans="1:4" x14ac:dyDescent="0.3">
      <c r="A1908" s="1" t="str">
        <f>Pop[[#This Row],[State]]&amp;" "&amp;Pop[[#This Row],[County]]</f>
        <v>NE Dixon</v>
      </c>
      <c r="B1908" t="s">
        <v>271</v>
      </c>
      <c r="C1908" s="30" t="s">
        <v>1412</v>
      </c>
      <c r="D1908" s="16">
        <v>6000</v>
      </c>
    </row>
    <row r="1909" spans="1:4" x14ac:dyDescent="0.3">
      <c r="A1909" s="1" t="str">
        <f>Pop[[#This Row],[State]]&amp;" "&amp;Pop[[#This Row],[County]]</f>
        <v>NE Dodge</v>
      </c>
      <c r="B1909" t="s">
        <v>271</v>
      </c>
      <c r="C1909" s="30" t="s">
        <v>623</v>
      </c>
      <c r="D1909" s="16">
        <v>36691</v>
      </c>
    </row>
    <row r="1910" spans="1:4" x14ac:dyDescent="0.3">
      <c r="A1910" s="1" t="str">
        <f>Pop[[#This Row],[State]]&amp;" "&amp;Pop[[#This Row],[County]]</f>
        <v>NE Douglas</v>
      </c>
      <c r="B1910" t="s">
        <v>271</v>
      </c>
      <c r="C1910" s="30" t="s">
        <v>496</v>
      </c>
      <c r="D1910" s="16">
        <v>517110</v>
      </c>
    </row>
    <row r="1911" spans="1:4" x14ac:dyDescent="0.3">
      <c r="A1911" s="1" t="str">
        <f>Pop[[#This Row],[State]]&amp;" "&amp;Pop[[#This Row],[County]]</f>
        <v>NE Dundy</v>
      </c>
      <c r="B1911" t="s">
        <v>271</v>
      </c>
      <c r="C1911" s="30" t="s">
        <v>1413</v>
      </c>
      <c r="D1911" s="16">
        <v>2008</v>
      </c>
    </row>
    <row r="1912" spans="1:4" x14ac:dyDescent="0.3">
      <c r="A1912" s="1" t="str">
        <f>Pop[[#This Row],[State]]&amp;" "&amp;Pop[[#This Row],[County]]</f>
        <v>NE Fillmore</v>
      </c>
      <c r="B1912" t="s">
        <v>271</v>
      </c>
      <c r="C1912" s="30" t="s">
        <v>1143</v>
      </c>
      <c r="D1912" s="16">
        <v>5890</v>
      </c>
    </row>
    <row r="1913" spans="1:4" x14ac:dyDescent="0.3">
      <c r="A1913" s="1" t="str">
        <f>Pop[[#This Row],[State]]&amp;" "&amp;Pop[[#This Row],[County]]</f>
        <v>NE Franklin</v>
      </c>
      <c r="B1913" t="s">
        <v>271</v>
      </c>
      <c r="C1913" s="30" t="s">
        <v>43</v>
      </c>
      <c r="D1913" s="16">
        <v>3225</v>
      </c>
    </row>
    <row r="1914" spans="1:4" x14ac:dyDescent="0.3">
      <c r="A1914" s="1" t="str">
        <f>Pop[[#This Row],[State]]&amp;" "&amp;Pop[[#This Row],[County]]</f>
        <v>NE Frontier</v>
      </c>
      <c r="B1914" t="s">
        <v>271</v>
      </c>
      <c r="C1914" s="30" t="s">
        <v>1414</v>
      </c>
      <c r="D1914" s="16">
        <v>2756</v>
      </c>
    </row>
    <row r="1915" spans="1:4" x14ac:dyDescent="0.3">
      <c r="A1915" s="1" t="str">
        <f>Pop[[#This Row],[State]]&amp;" "&amp;Pop[[#This Row],[County]]</f>
        <v>NE Furnas</v>
      </c>
      <c r="B1915" t="s">
        <v>271</v>
      </c>
      <c r="C1915" s="30" t="s">
        <v>1415</v>
      </c>
      <c r="D1915" s="16">
        <v>4959</v>
      </c>
    </row>
    <row r="1916" spans="1:4" x14ac:dyDescent="0.3">
      <c r="A1916" s="1" t="str">
        <f>Pop[[#This Row],[State]]&amp;" "&amp;Pop[[#This Row],[County]]</f>
        <v>NE Gage</v>
      </c>
      <c r="B1916" t="s">
        <v>271</v>
      </c>
      <c r="C1916" s="30" t="s">
        <v>1416</v>
      </c>
      <c r="D1916" s="16">
        <v>22311</v>
      </c>
    </row>
    <row r="1917" spans="1:4" x14ac:dyDescent="0.3">
      <c r="A1917" s="1" t="str">
        <f>Pop[[#This Row],[State]]&amp;" "&amp;Pop[[#This Row],[County]]</f>
        <v>NE Garden</v>
      </c>
      <c r="B1917" t="s">
        <v>271</v>
      </c>
      <c r="C1917" s="30" t="s">
        <v>1417</v>
      </c>
      <c r="D1917" s="16">
        <v>2057</v>
      </c>
    </row>
    <row r="1918" spans="1:4" x14ac:dyDescent="0.3">
      <c r="A1918" s="1" t="str">
        <f>Pop[[#This Row],[State]]&amp;" "&amp;Pop[[#This Row],[County]]</f>
        <v>NE Garfield</v>
      </c>
      <c r="B1918" t="s">
        <v>271</v>
      </c>
      <c r="C1918" s="30" t="s">
        <v>501</v>
      </c>
      <c r="D1918" s="16">
        <v>2049</v>
      </c>
    </row>
    <row r="1919" spans="1:4" x14ac:dyDescent="0.3">
      <c r="A1919" s="1" t="str">
        <f>Pop[[#This Row],[State]]&amp;" "&amp;Pop[[#This Row],[County]]</f>
        <v>NE Gosper</v>
      </c>
      <c r="B1919" t="s">
        <v>271</v>
      </c>
      <c r="C1919" s="30" t="s">
        <v>1418</v>
      </c>
      <c r="D1919" s="16">
        <v>2044</v>
      </c>
    </row>
    <row r="1920" spans="1:4" x14ac:dyDescent="0.3">
      <c r="A1920" s="1" t="str">
        <f>Pop[[#This Row],[State]]&amp;" "&amp;Pop[[#This Row],[County]]</f>
        <v>NE Grant</v>
      </c>
      <c r="B1920" t="s">
        <v>271</v>
      </c>
      <c r="C1920" s="30" t="s">
        <v>370</v>
      </c>
      <c r="D1920" s="16">
        <v>614</v>
      </c>
    </row>
    <row r="1921" spans="1:4" x14ac:dyDescent="0.3">
      <c r="A1921" s="1" t="str">
        <f>Pop[[#This Row],[State]]&amp;" "&amp;Pop[[#This Row],[County]]</f>
        <v>NE Greeley</v>
      </c>
      <c r="B1921" t="s">
        <v>271</v>
      </c>
      <c r="C1921" s="30" t="s">
        <v>881</v>
      </c>
      <c r="D1921" s="16">
        <v>2538</v>
      </c>
    </row>
    <row r="1922" spans="1:4" x14ac:dyDescent="0.3">
      <c r="A1922" s="1" t="str">
        <f>Pop[[#This Row],[State]]&amp;" "&amp;Pop[[#This Row],[County]]</f>
        <v>NE Hall</v>
      </c>
      <c r="B1922" t="s">
        <v>271</v>
      </c>
      <c r="C1922" s="30" t="s">
        <v>640</v>
      </c>
      <c r="D1922" s="16">
        <v>58607</v>
      </c>
    </row>
    <row r="1923" spans="1:4" x14ac:dyDescent="0.3">
      <c r="A1923" s="1" t="str">
        <f>Pop[[#This Row],[State]]&amp;" "&amp;Pop[[#This Row],[County]]</f>
        <v>NE Hamilton</v>
      </c>
      <c r="B1923" t="s">
        <v>271</v>
      </c>
      <c r="C1923" s="30" t="s">
        <v>561</v>
      </c>
      <c r="D1923" s="16">
        <v>9124</v>
      </c>
    </row>
    <row r="1924" spans="1:4" x14ac:dyDescent="0.3">
      <c r="A1924" s="1" t="str">
        <f>Pop[[#This Row],[State]]&amp;" "&amp;Pop[[#This Row],[County]]</f>
        <v>NE Harlan</v>
      </c>
      <c r="B1924" t="s">
        <v>271</v>
      </c>
      <c r="C1924" s="30" t="s">
        <v>954</v>
      </c>
      <c r="D1924" s="16">
        <v>3423</v>
      </c>
    </row>
    <row r="1925" spans="1:4" x14ac:dyDescent="0.3">
      <c r="A1925" s="1" t="str">
        <f>Pop[[#This Row],[State]]&amp;" "&amp;Pop[[#This Row],[County]]</f>
        <v>NE Hayes</v>
      </c>
      <c r="B1925" t="s">
        <v>271</v>
      </c>
      <c r="C1925" s="30" t="s">
        <v>1419</v>
      </c>
      <c r="D1925" s="16">
        <v>967</v>
      </c>
    </row>
    <row r="1926" spans="1:4" x14ac:dyDescent="0.3">
      <c r="A1926" s="1" t="str">
        <f>Pop[[#This Row],[State]]&amp;" "&amp;Pop[[#This Row],[County]]</f>
        <v>NE Hitchcock</v>
      </c>
      <c r="B1926" t="s">
        <v>271</v>
      </c>
      <c r="C1926" s="30" t="s">
        <v>1420</v>
      </c>
      <c r="D1926" s="16">
        <v>2908</v>
      </c>
    </row>
    <row r="1927" spans="1:4" x14ac:dyDescent="0.3">
      <c r="A1927" s="1" t="str">
        <f>Pop[[#This Row],[State]]&amp;" "&amp;Pop[[#This Row],[County]]</f>
        <v>NE Holt</v>
      </c>
      <c r="B1927" t="s">
        <v>271</v>
      </c>
      <c r="C1927" s="30" t="s">
        <v>1208</v>
      </c>
      <c r="D1927" s="16">
        <v>10435</v>
      </c>
    </row>
    <row r="1928" spans="1:4" x14ac:dyDescent="0.3">
      <c r="A1928" s="1" t="str">
        <f>Pop[[#This Row],[State]]&amp;" "&amp;Pop[[#This Row],[County]]</f>
        <v>NE Hooker</v>
      </c>
      <c r="B1928" t="s">
        <v>271</v>
      </c>
      <c r="C1928" s="30" t="s">
        <v>1421</v>
      </c>
      <c r="D1928" s="16">
        <v>736</v>
      </c>
    </row>
    <row r="1929" spans="1:4" x14ac:dyDescent="0.3">
      <c r="A1929" s="1" t="str">
        <f>Pop[[#This Row],[State]]&amp;" "&amp;Pop[[#This Row],[County]]</f>
        <v>NE Howard</v>
      </c>
      <c r="B1929" t="s">
        <v>271</v>
      </c>
      <c r="C1929" s="30" t="s">
        <v>373</v>
      </c>
      <c r="D1929" s="16">
        <v>6274</v>
      </c>
    </row>
    <row r="1930" spans="1:4" x14ac:dyDescent="0.3">
      <c r="A1930" s="1" t="str">
        <f>Pop[[#This Row],[State]]&amp;" "&amp;Pop[[#This Row],[County]]</f>
        <v>NE Jefferson</v>
      </c>
      <c r="B1930" t="s">
        <v>271</v>
      </c>
      <c r="C1930" s="30" t="s">
        <v>47</v>
      </c>
      <c r="D1930" s="16">
        <v>7547</v>
      </c>
    </row>
    <row r="1931" spans="1:4" x14ac:dyDescent="0.3">
      <c r="A1931" s="1" t="str">
        <f>Pop[[#This Row],[State]]&amp;" "&amp;Pop[[#This Row],[County]]</f>
        <v>NE Johnson</v>
      </c>
      <c r="B1931" t="s">
        <v>271</v>
      </c>
      <c r="C1931" s="30" t="s">
        <v>376</v>
      </c>
      <c r="D1931" s="16">
        <v>5217</v>
      </c>
    </row>
    <row r="1932" spans="1:4" x14ac:dyDescent="0.3">
      <c r="A1932" s="1" t="str">
        <f>Pop[[#This Row],[State]]&amp;" "&amp;Pop[[#This Row],[County]]</f>
        <v>NE Kearney</v>
      </c>
      <c r="B1932" t="s">
        <v>271</v>
      </c>
      <c r="C1932" s="30" t="s">
        <v>1422</v>
      </c>
      <c r="D1932" s="16">
        <v>6489</v>
      </c>
    </row>
    <row r="1933" spans="1:4" x14ac:dyDescent="0.3">
      <c r="A1933" s="1" t="str">
        <f>Pop[[#This Row],[State]]&amp;" "&amp;Pop[[#This Row],[County]]</f>
        <v>NE Keith</v>
      </c>
      <c r="B1933" t="s">
        <v>271</v>
      </c>
      <c r="C1933" s="30" t="s">
        <v>1423</v>
      </c>
      <c r="D1933" s="16">
        <v>8368</v>
      </c>
    </row>
    <row r="1934" spans="1:4" x14ac:dyDescent="0.3">
      <c r="A1934" s="1" t="str">
        <f>Pop[[#This Row],[State]]&amp;" "&amp;Pop[[#This Row],[County]]</f>
        <v>NE Keya Paha</v>
      </c>
      <c r="B1934" t="s">
        <v>271</v>
      </c>
      <c r="C1934" s="30" t="s">
        <v>1424</v>
      </c>
      <c r="D1934" s="16">
        <v>824</v>
      </c>
    </row>
    <row r="1935" spans="1:4" x14ac:dyDescent="0.3">
      <c r="A1935" s="1" t="str">
        <f>Pop[[#This Row],[State]]&amp;" "&amp;Pop[[#This Row],[County]]</f>
        <v>NE Kimball</v>
      </c>
      <c r="B1935" t="s">
        <v>271</v>
      </c>
      <c r="C1935" s="30" t="s">
        <v>1425</v>
      </c>
      <c r="D1935" s="16">
        <v>3821</v>
      </c>
    </row>
    <row r="1936" spans="1:4" x14ac:dyDescent="0.3">
      <c r="A1936" s="1" t="str">
        <f>Pop[[#This Row],[State]]&amp;" "&amp;Pop[[#This Row],[County]]</f>
        <v>NE Knox</v>
      </c>
      <c r="B1936" t="s">
        <v>271</v>
      </c>
      <c r="C1936" s="30" t="s">
        <v>804</v>
      </c>
      <c r="D1936" s="16">
        <v>8701</v>
      </c>
    </row>
    <row r="1937" spans="1:4" x14ac:dyDescent="0.3">
      <c r="A1937" s="1" t="str">
        <f>Pop[[#This Row],[State]]&amp;" "&amp;Pop[[#This Row],[County]]</f>
        <v>NE Lancaster</v>
      </c>
      <c r="B1937" t="s">
        <v>271</v>
      </c>
      <c r="C1937" s="30" t="s">
        <v>1426</v>
      </c>
      <c r="D1937" s="16">
        <v>285407</v>
      </c>
    </row>
    <row r="1938" spans="1:4" x14ac:dyDescent="0.3">
      <c r="A1938" s="1" t="str">
        <f>Pop[[#This Row],[State]]&amp;" "&amp;Pop[[#This Row],[County]]</f>
        <v>NE Lincoln</v>
      </c>
      <c r="B1938" t="s">
        <v>271</v>
      </c>
      <c r="C1938" s="30" t="s">
        <v>378</v>
      </c>
      <c r="D1938" s="16">
        <v>36288</v>
      </c>
    </row>
    <row r="1939" spans="1:4" x14ac:dyDescent="0.3">
      <c r="A1939" s="1" t="str">
        <f>Pop[[#This Row],[State]]&amp;" "&amp;Pop[[#This Row],[County]]</f>
        <v>NE Logan</v>
      </c>
      <c r="B1939" t="s">
        <v>271</v>
      </c>
      <c r="C1939" s="30" t="s">
        <v>380</v>
      </c>
      <c r="D1939" s="16">
        <v>763</v>
      </c>
    </row>
    <row r="1940" spans="1:4" x14ac:dyDescent="0.3">
      <c r="A1940" s="1" t="str">
        <f>Pop[[#This Row],[State]]&amp;" "&amp;Pop[[#This Row],[County]]</f>
        <v>NE Loup</v>
      </c>
      <c r="B1940" t="s">
        <v>271</v>
      </c>
      <c r="C1940" s="30" t="s">
        <v>1427</v>
      </c>
      <c r="D1940" s="16">
        <v>632</v>
      </c>
    </row>
    <row r="1941" spans="1:4" x14ac:dyDescent="0.3">
      <c r="A1941" s="1" t="str">
        <f>Pop[[#This Row],[State]]&amp;" "&amp;Pop[[#This Row],[County]]</f>
        <v>NE Madison</v>
      </c>
      <c r="B1941" t="s">
        <v>271</v>
      </c>
      <c r="C1941" s="30" t="s">
        <v>49</v>
      </c>
      <c r="D1941" s="16">
        <v>34876</v>
      </c>
    </row>
    <row r="1942" spans="1:4" x14ac:dyDescent="0.3">
      <c r="A1942" s="1" t="str">
        <f>Pop[[#This Row],[State]]&amp;" "&amp;Pop[[#This Row],[County]]</f>
        <v>NE McPherson</v>
      </c>
      <c r="B1942" t="s">
        <v>271</v>
      </c>
      <c r="C1942" s="30" t="s">
        <v>893</v>
      </c>
      <c r="D1942" s="16">
        <v>539</v>
      </c>
    </row>
    <row r="1943" spans="1:4" x14ac:dyDescent="0.3">
      <c r="A1943" s="1" t="str">
        <f>Pop[[#This Row],[State]]&amp;" "&amp;Pop[[#This Row],[County]]</f>
        <v>NE Merrick</v>
      </c>
      <c r="B1943" t="s">
        <v>271</v>
      </c>
      <c r="C1943" s="30" t="s">
        <v>1428</v>
      </c>
      <c r="D1943" s="16">
        <v>7845</v>
      </c>
    </row>
    <row r="1944" spans="1:4" x14ac:dyDescent="0.3">
      <c r="A1944" s="1" t="str">
        <f>Pop[[#This Row],[State]]&amp;" "&amp;Pop[[#This Row],[County]]</f>
        <v>NE Morrill</v>
      </c>
      <c r="B1944" t="s">
        <v>271</v>
      </c>
      <c r="C1944" s="30" t="s">
        <v>1429</v>
      </c>
      <c r="D1944" s="16">
        <v>5042</v>
      </c>
    </row>
    <row r="1945" spans="1:4" x14ac:dyDescent="0.3">
      <c r="A1945" s="1" t="str">
        <f>Pop[[#This Row],[State]]&amp;" "&amp;Pop[[#This Row],[County]]</f>
        <v>NE Nance</v>
      </c>
      <c r="B1945" t="s">
        <v>271</v>
      </c>
      <c r="C1945" s="30" t="s">
        <v>1430</v>
      </c>
      <c r="D1945" s="16">
        <v>3735</v>
      </c>
    </row>
    <row r="1946" spans="1:4" x14ac:dyDescent="0.3">
      <c r="A1946" s="1" t="str">
        <f>Pop[[#This Row],[State]]&amp;" "&amp;Pop[[#This Row],[County]]</f>
        <v>NE Nemaha</v>
      </c>
      <c r="B1946" t="s">
        <v>271</v>
      </c>
      <c r="C1946" s="30" t="s">
        <v>897</v>
      </c>
      <c r="D1946" s="16">
        <v>7248</v>
      </c>
    </row>
    <row r="1947" spans="1:4" x14ac:dyDescent="0.3">
      <c r="A1947" s="1" t="str">
        <f>Pop[[#This Row],[State]]&amp;" "&amp;Pop[[#This Row],[County]]</f>
        <v>NE Nuckolls</v>
      </c>
      <c r="B1947" t="s">
        <v>271</v>
      </c>
      <c r="C1947" s="30" t="s">
        <v>1431</v>
      </c>
      <c r="D1947" s="16">
        <v>4500</v>
      </c>
    </row>
    <row r="1948" spans="1:4" x14ac:dyDescent="0.3">
      <c r="A1948" s="1" t="str">
        <f>Pop[[#This Row],[State]]&amp;" "&amp;Pop[[#This Row],[County]]</f>
        <v>NE Otoe</v>
      </c>
      <c r="B1948" t="s">
        <v>271</v>
      </c>
      <c r="C1948" s="30" t="s">
        <v>1432</v>
      </c>
      <c r="D1948" s="16">
        <v>15740</v>
      </c>
    </row>
    <row r="1949" spans="1:4" x14ac:dyDescent="0.3">
      <c r="A1949" s="1" t="str">
        <f>Pop[[#This Row],[State]]&amp;" "&amp;Pop[[#This Row],[County]]</f>
        <v>NE Pawnee</v>
      </c>
      <c r="B1949" t="s">
        <v>271</v>
      </c>
      <c r="C1949" s="30" t="s">
        <v>904</v>
      </c>
      <c r="D1949" s="16">
        <v>2773</v>
      </c>
    </row>
    <row r="1950" spans="1:4" x14ac:dyDescent="0.3">
      <c r="A1950" s="1" t="str">
        <f>Pop[[#This Row],[State]]&amp;" "&amp;Pop[[#This Row],[County]]</f>
        <v>NE Perkins</v>
      </c>
      <c r="B1950" t="s">
        <v>271</v>
      </c>
      <c r="C1950" s="30" t="s">
        <v>1433</v>
      </c>
      <c r="D1950" s="16">
        <v>2970</v>
      </c>
    </row>
    <row r="1951" spans="1:4" x14ac:dyDescent="0.3">
      <c r="A1951" s="1" t="str">
        <f>Pop[[#This Row],[State]]&amp;" "&amp;Pop[[#This Row],[County]]</f>
        <v>NE Phelps</v>
      </c>
      <c r="B1951" t="s">
        <v>271</v>
      </c>
      <c r="C1951" s="30" t="s">
        <v>1219</v>
      </c>
      <c r="D1951" s="16">
        <v>9188</v>
      </c>
    </row>
    <row r="1952" spans="1:4" x14ac:dyDescent="0.3">
      <c r="A1952" s="1" t="str">
        <f>Pop[[#This Row],[State]]&amp;" "&amp;Pop[[#This Row],[County]]</f>
        <v>NE Pierce</v>
      </c>
      <c r="B1952" t="s">
        <v>271</v>
      </c>
      <c r="C1952" s="30" t="s">
        <v>665</v>
      </c>
      <c r="D1952" s="16">
        <v>7266</v>
      </c>
    </row>
    <row r="1953" spans="1:4" x14ac:dyDescent="0.3">
      <c r="A1953" s="1" t="str">
        <f>Pop[[#This Row],[State]]&amp;" "&amp;Pop[[#This Row],[County]]</f>
        <v>NE Platte</v>
      </c>
      <c r="B1953" t="s">
        <v>271</v>
      </c>
      <c r="C1953" s="30" t="s">
        <v>1220</v>
      </c>
      <c r="D1953" s="16">
        <v>32237</v>
      </c>
    </row>
    <row r="1954" spans="1:4" x14ac:dyDescent="0.3">
      <c r="A1954" s="1" t="str">
        <f>Pop[[#This Row],[State]]&amp;" "&amp;Pop[[#This Row],[County]]</f>
        <v>NE Polk</v>
      </c>
      <c r="B1954" t="s">
        <v>271</v>
      </c>
      <c r="C1954" s="30" t="s">
        <v>387</v>
      </c>
      <c r="D1954" s="16">
        <v>5406</v>
      </c>
    </row>
    <row r="1955" spans="1:4" x14ac:dyDescent="0.3">
      <c r="A1955" s="1" t="str">
        <f>Pop[[#This Row],[State]]&amp;" "&amp;Pop[[#This Row],[County]]</f>
        <v>NE Red Willow</v>
      </c>
      <c r="B1955" t="s">
        <v>271</v>
      </c>
      <c r="C1955" s="30" t="s">
        <v>1434</v>
      </c>
      <c r="D1955" s="16">
        <v>11055</v>
      </c>
    </row>
    <row r="1956" spans="1:4" x14ac:dyDescent="0.3">
      <c r="A1956" s="1" t="str">
        <f>Pop[[#This Row],[State]]&amp;" "&amp;Pop[[#This Row],[County]]</f>
        <v>NE Richardson</v>
      </c>
      <c r="B1956" t="s">
        <v>271</v>
      </c>
      <c r="C1956" s="30" t="s">
        <v>1435</v>
      </c>
      <c r="D1956" s="16">
        <v>8363</v>
      </c>
    </row>
    <row r="1957" spans="1:4" x14ac:dyDescent="0.3">
      <c r="A1957" s="1" t="str">
        <f>Pop[[#This Row],[State]]&amp;" "&amp;Pop[[#This Row],[County]]</f>
        <v>NE Rock</v>
      </c>
      <c r="B1957" t="s">
        <v>271</v>
      </c>
      <c r="C1957" s="30" t="s">
        <v>1177</v>
      </c>
      <c r="D1957" s="16">
        <v>1526</v>
      </c>
    </row>
    <row r="1958" spans="1:4" x14ac:dyDescent="0.3">
      <c r="A1958" s="1" t="str">
        <f>Pop[[#This Row],[State]]&amp;" "&amp;Pop[[#This Row],[County]]</f>
        <v>NE Saline</v>
      </c>
      <c r="B1958" t="s">
        <v>271</v>
      </c>
      <c r="C1958" s="30" t="s">
        <v>391</v>
      </c>
      <c r="D1958" s="16">
        <v>14200</v>
      </c>
    </row>
    <row r="1959" spans="1:4" x14ac:dyDescent="0.3">
      <c r="A1959" s="1" t="str">
        <f>Pop[[#This Row],[State]]&amp;" "&amp;Pop[[#This Row],[County]]</f>
        <v>NE Sarpy</v>
      </c>
      <c r="B1959" t="s">
        <v>271</v>
      </c>
      <c r="C1959" s="30" t="s">
        <v>1436</v>
      </c>
      <c r="D1959" s="16">
        <v>158840</v>
      </c>
    </row>
    <row r="1960" spans="1:4" x14ac:dyDescent="0.3">
      <c r="A1960" s="1" t="str">
        <f>Pop[[#This Row],[State]]&amp;" "&amp;Pop[[#This Row],[County]]</f>
        <v>NE Saunders</v>
      </c>
      <c r="B1960" t="s">
        <v>271</v>
      </c>
      <c r="C1960" s="30" t="s">
        <v>1437</v>
      </c>
      <c r="D1960" s="16">
        <v>20780</v>
      </c>
    </row>
    <row r="1961" spans="1:4" x14ac:dyDescent="0.3">
      <c r="A1961" s="1" t="str">
        <f>Pop[[#This Row],[State]]&amp;" "&amp;Pop[[#This Row],[County]]</f>
        <v>NE Scotts Bluff</v>
      </c>
      <c r="B1961" t="s">
        <v>271</v>
      </c>
      <c r="C1961" s="30" t="s">
        <v>1438</v>
      </c>
      <c r="D1961" s="16">
        <v>36970</v>
      </c>
    </row>
    <row r="1962" spans="1:4" x14ac:dyDescent="0.3">
      <c r="A1962" s="1" t="str">
        <f>Pop[[#This Row],[State]]&amp;" "&amp;Pop[[#This Row],[County]]</f>
        <v>NE Seward</v>
      </c>
      <c r="B1962" t="s">
        <v>271</v>
      </c>
      <c r="C1962" s="30" t="s">
        <v>913</v>
      </c>
      <c r="D1962" s="16">
        <v>16750</v>
      </c>
    </row>
    <row r="1963" spans="1:4" x14ac:dyDescent="0.3">
      <c r="A1963" s="1" t="str">
        <f>Pop[[#This Row],[State]]&amp;" "&amp;Pop[[#This Row],[County]]</f>
        <v>NE Sheridan</v>
      </c>
      <c r="B1963" t="s">
        <v>271</v>
      </c>
      <c r="C1963" s="30" t="s">
        <v>915</v>
      </c>
      <c r="D1963" s="16">
        <v>5469</v>
      </c>
    </row>
    <row r="1964" spans="1:4" x14ac:dyDescent="0.3">
      <c r="A1964" s="1" t="str">
        <f>Pop[[#This Row],[State]]&amp;" "&amp;Pop[[#This Row],[County]]</f>
        <v>NE Sherman</v>
      </c>
      <c r="B1964" t="s">
        <v>271</v>
      </c>
      <c r="C1964" s="30" t="s">
        <v>916</v>
      </c>
      <c r="D1964" s="16">
        <v>3152</v>
      </c>
    </row>
    <row r="1965" spans="1:4" x14ac:dyDescent="0.3">
      <c r="A1965" s="1" t="str">
        <f>Pop[[#This Row],[State]]&amp;" "&amp;Pop[[#This Row],[County]]</f>
        <v>NE Sioux</v>
      </c>
      <c r="B1965" t="s">
        <v>271</v>
      </c>
      <c r="C1965" s="30" t="s">
        <v>744</v>
      </c>
      <c r="D1965" s="16">
        <v>1311</v>
      </c>
    </row>
    <row r="1966" spans="1:4" x14ac:dyDescent="0.3">
      <c r="A1966" s="1" t="str">
        <f>Pop[[#This Row],[State]]&amp;" "&amp;Pop[[#This Row],[County]]</f>
        <v>NE Stanton</v>
      </c>
      <c r="B1966" t="s">
        <v>271</v>
      </c>
      <c r="C1966" s="30" t="s">
        <v>919</v>
      </c>
      <c r="D1966" s="16">
        <v>6129</v>
      </c>
    </row>
    <row r="1967" spans="1:4" x14ac:dyDescent="0.3">
      <c r="A1967" s="1" t="str">
        <f>Pop[[#This Row],[State]]&amp;" "&amp;Pop[[#This Row],[County]]</f>
        <v>NE Thayer</v>
      </c>
      <c r="B1967" t="s">
        <v>271</v>
      </c>
      <c r="C1967" s="30" t="s">
        <v>1439</v>
      </c>
      <c r="D1967" s="16">
        <v>5228</v>
      </c>
    </row>
    <row r="1968" spans="1:4" x14ac:dyDescent="0.3">
      <c r="A1968" s="1" t="str">
        <f>Pop[[#This Row],[State]]&amp;" "&amp;Pop[[#This Row],[County]]</f>
        <v>NE Thomas</v>
      </c>
      <c r="B1968" t="s">
        <v>271</v>
      </c>
      <c r="C1968" s="30" t="s">
        <v>680</v>
      </c>
      <c r="D1968" s="16">
        <v>647</v>
      </c>
    </row>
    <row r="1969" spans="1:4" x14ac:dyDescent="0.3">
      <c r="A1969" s="1" t="str">
        <f>Pop[[#This Row],[State]]&amp;" "&amp;Pop[[#This Row],[County]]</f>
        <v>NE Thurston</v>
      </c>
      <c r="B1969" t="s">
        <v>271</v>
      </c>
      <c r="C1969" s="30" t="s">
        <v>1440</v>
      </c>
      <c r="D1969" s="16">
        <v>6940</v>
      </c>
    </row>
    <row r="1970" spans="1:4" x14ac:dyDescent="0.3">
      <c r="A1970" s="1" t="str">
        <f>Pop[[#This Row],[State]]&amp;" "&amp;Pop[[#This Row],[County]]</f>
        <v>NE Valley</v>
      </c>
      <c r="B1970" t="s">
        <v>271</v>
      </c>
      <c r="C1970" s="30" t="s">
        <v>783</v>
      </c>
      <c r="D1970" s="16">
        <v>4260</v>
      </c>
    </row>
    <row r="1971" spans="1:4" x14ac:dyDescent="0.3">
      <c r="A1971" s="1" t="str">
        <f>Pop[[#This Row],[State]]&amp;" "&amp;Pop[[#This Row],[County]]</f>
        <v>NE Washington</v>
      </c>
      <c r="B1971" t="s">
        <v>271</v>
      </c>
      <c r="C1971" s="30" t="s">
        <v>65</v>
      </c>
      <c r="D1971" s="16">
        <v>20234</v>
      </c>
    </row>
    <row r="1972" spans="1:4" x14ac:dyDescent="0.3">
      <c r="A1972" s="1" t="str">
        <f>Pop[[#This Row],[State]]&amp;" "&amp;Pop[[#This Row],[County]]</f>
        <v>NE Wayne</v>
      </c>
      <c r="B1972" t="s">
        <v>271</v>
      </c>
      <c r="C1972" s="30" t="s">
        <v>691</v>
      </c>
      <c r="D1972" s="16">
        <v>9595</v>
      </c>
    </row>
    <row r="1973" spans="1:4" x14ac:dyDescent="0.3">
      <c r="A1973" s="1" t="str">
        <f>Pop[[#This Row],[State]]&amp;" "&amp;Pop[[#This Row],[County]]</f>
        <v>NE Webster</v>
      </c>
      <c r="B1973" t="s">
        <v>271</v>
      </c>
      <c r="C1973" s="30" t="s">
        <v>692</v>
      </c>
      <c r="D1973" s="16">
        <v>3812</v>
      </c>
    </row>
    <row r="1974" spans="1:4" x14ac:dyDescent="0.3">
      <c r="A1974" s="1" t="str">
        <f>Pop[[#This Row],[State]]&amp;" "&amp;Pop[[#This Row],[County]]</f>
        <v>NE Wheeler</v>
      </c>
      <c r="B1974" t="s">
        <v>271</v>
      </c>
      <c r="C1974" s="30" t="s">
        <v>693</v>
      </c>
      <c r="D1974" s="16">
        <v>818</v>
      </c>
    </row>
    <row r="1975" spans="1:4" x14ac:dyDescent="0.3">
      <c r="A1975" s="1" t="str">
        <f>Pop[[#This Row],[State]]&amp;" "&amp;Pop[[#This Row],[County]]</f>
        <v>NE York</v>
      </c>
      <c r="B1975" t="s">
        <v>271</v>
      </c>
      <c r="C1975" s="30" t="s">
        <v>1067</v>
      </c>
      <c r="D1975" s="16">
        <v>13665</v>
      </c>
    </row>
    <row r="1976" spans="1:4" x14ac:dyDescent="0.3">
      <c r="A1976" s="1" t="str">
        <f>Pop[[#This Row],[State]]&amp;" "&amp;Pop[[#This Row],[County]]</f>
        <v>NE State Agencies</v>
      </c>
      <c r="B1976" t="s">
        <v>271</v>
      </c>
      <c r="C1976" s="30" t="s">
        <v>243</v>
      </c>
      <c r="D1976" s="16" t="s">
        <v>244</v>
      </c>
    </row>
    <row r="1977" spans="1:4" x14ac:dyDescent="0.3">
      <c r="A1977" s="1" t="str">
        <f>Pop[[#This Row],[State]]&amp;" "&amp;Pop[[#This Row],[County]]</f>
        <v>NE Grand Total</v>
      </c>
      <c r="B1977" t="s">
        <v>271</v>
      </c>
      <c r="C1977" s="30" t="s">
        <v>67</v>
      </c>
      <c r="D1977" s="16">
        <v>1826341</v>
      </c>
    </row>
    <row r="1978" spans="1:4" x14ac:dyDescent="0.3">
      <c r="A1978" s="1" t="str">
        <f>Pop[[#This Row],[State]]&amp;" "&amp;Pop[[#This Row],[County]]</f>
        <v>NH Belknap</v>
      </c>
      <c r="B1978" t="s">
        <v>161</v>
      </c>
      <c r="C1978" s="30" t="s">
        <v>1441</v>
      </c>
      <c r="D1978" s="16">
        <v>60088</v>
      </c>
    </row>
    <row r="1979" spans="1:4" x14ac:dyDescent="0.3">
      <c r="A1979" s="1" t="str">
        <f>Pop[[#This Row],[State]]&amp;" "&amp;Pop[[#This Row],[County]]</f>
        <v>NH Carroll</v>
      </c>
      <c r="B1979" t="s">
        <v>161</v>
      </c>
      <c r="C1979" s="30" t="s">
        <v>357</v>
      </c>
      <c r="D1979" s="16">
        <v>47818</v>
      </c>
    </row>
    <row r="1980" spans="1:4" x14ac:dyDescent="0.3">
      <c r="A1980" s="1" t="str">
        <f>Pop[[#This Row],[State]]&amp;" "&amp;Pop[[#This Row],[County]]</f>
        <v>NH Cheshire</v>
      </c>
      <c r="B1980" t="s">
        <v>161</v>
      </c>
      <c r="C1980" s="30" t="s">
        <v>1442</v>
      </c>
      <c r="D1980" s="16">
        <v>77117</v>
      </c>
    </row>
    <row r="1981" spans="1:4" x14ac:dyDescent="0.3">
      <c r="A1981" s="1" t="str">
        <f>Pop[[#This Row],[State]]&amp;" "&amp;Pop[[#This Row],[County]]</f>
        <v>NH Coos</v>
      </c>
      <c r="B1981" t="s">
        <v>161</v>
      </c>
      <c r="C1981" s="30" t="s">
        <v>1443</v>
      </c>
      <c r="D1981" s="16">
        <v>33055</v>
      </c>
    </row>
    <row r="1982" spans="1:4" x14ac:dyDescent="0.3">
      <c r="A1982" s="1" t="str">
        <f>Pop[[#This Row],[State]]&amp;" "&amp;Pop[[#This Row],[County]]</f>
        <v>NH Grafton</v>
      </c>
      <c r="B1982" t="s">
        <v>161</v>
      </c>
      <c r="C1982" s="30" t="s">
        <v>1444</v>
      </c>
      <c r="D1982" s="16">
        <v>89118</v>
      </c>
    </row>
    <row r="1983" spans="1:4" x14ac:dyDescent="0.3">
      <c r="A1983" s="1" t="str">
        <f>Pop[[#This Row],[State]]&amp;" "&amp;Pop[[#This Row],[County]]</f>
        <v>NH Hillsborough</v>
      </c>
      <c r="B1983" t="s">
        <v>161</v>
      </c>
      <c r="C1983" s="30" t="s">
        <v>566</v>
      </c>
      <c r="D1983" s="16">
        <v>400721</v>
      </c>
    </row>
    <row r="1984" spans="1:4" x14ac:dyDescent="0.3">
      <c r="A1984" s="1" t="str">
        <f>Pop[[#This Row],[State]]&amp;" "&amp;Pop[[#This Row],[County]]</f>
        <v>NH Merrimack</v>
      </c>
      <c r="B1984" t="s">
        <v>161</v>
      </c>
      <c r="C1984" s="30" t="s">
        <v>1445</v>
      </c>
      <c r="D1984" s="16">
        <v>146445</v>
      </c>
    </row>
    <row r="1985" spans="1:4" x14ac:dyDescent="0.3">
      <c r="A1985" s="1" t="str">
        <f>Pop[[#This Row],[State]]&amp;" "&amp;Pop[[#This Row],[County]]</f>
        <v>NH Rockingham</v>
      </c>
      <c r="B1985" t="s">
        <v>161</v>
      </c>
      <c r="C1985" s="30" t="s">
        <v>1355</v>
      </c>
      <c r="D1985" s="16">
        <v>295223</v>
      </c>
    </row>
    <row r="1986" spans="1:4" x14ac:dyDescent="0.3">
      <c r="A1986" s="1" t="str">
        <f>Pop[[#This Row],[State]]&amp;" "&amp;Pop[[#This Row],[County]]</f>
        <v>NH Strafford</v>
      </c>
      <c r="B1986" t="s">
        <v>161</v>
      </c>
      <c r="C1986" s="30" t="s">
        <v>1446</v>
      </c>
      <c r="D1986" s="16">
        <v>123143</v>
      </c>
    </row>
    <row r="1987" spans="1:4" x14ac:dyDescent="0.3">
      <c r="A1987" s="1" t="str">
        <f>Pop[[#This Row],[State]]&amp;" "&amp;Pop[[#This Row],[County]]</f>
        <v>NH Sullivan</v>
      </c>
      <c r="B1987" t="s">
        <v>161</v>
      </c>
      <c r="C1987" s="30" t="s">
        <v>856</v>
      </c>
      <c r="D1987" s="16">
        <v>43742</v>
      </c>
    </row>
    <row r="1988" spans="1:4" x14ac:dyDescent="0.3">
      <c r="A1988" s="1" t="str">
        <f>Pop[[#This Row],[State]]&amp;" "&amp;Pop[[#This Row],[County]]</f>
        <v>NH State Agencies</v>
      </c>
      <c r="B1988" t="s">
        <v>161</v>
      </c>
      <c r="C1988" s="30" t="s">
        <v>243</v>
      </c>
      <c r="D1988" s="16" t="s">
        <v>244</v>
      </c>
    </row>
    <row r="1989" spans="1:4" x14ac:dyDescent="0.3">
      <c r="A1989" s="1" t="str">
        <f>Pop[[#This Row],[State]]&amp;" "&amp;Pop[[#This Row],[County]]</f>
        <v>NH Grand Total</v>
      </c>
      <c r="B1989" t="s">
        <v>161</v>
      </c>
      <c r="C1989" s="30" t="s">
        <v>67</v>
      </c>
      <c r="D1989" s="16">
        <v>1316470</v>
      </c>
    </row>
    <row r="1990" spans="1:4" x14ac:dyDescent="0.3">
      <c r="A1990" s="1" t="str">
        <f>Pop[[#This Row],[State]]&amp;" "&amp;Pop[[#This Row],[County]]</f>
        <v>NJ Atlantic</v>
      </c>
      <c r="B1990" t="s">
        <v>173</v>
      </c>
      <c r="C1990" s="30" t="s">
        <v>1447</v>
      </c>
      <c r="D1990" s="16">
        <v>274549</v>
      </c>
    </row>
    <row r="1991" spans="1:4" x14ac:dyDescent="0.3">
      <c r="A1991" s="1" t="str">
        <f>Pop[[#This Row],[State]]&amp;" "&amp;Pop[[#This Row],[County]]</f>
        <v>NJ Bergen</v>
      </c>
      <c r="B1991" t="s">
        <v>173</v>
      </c>
      <c r="C1991" s="30" t="s">
        <v>1448</v>
      </c>
      <c r="D1991" s="16">
        <v>905116</v>
      </c>
    </row>
    <row r="1992" spans="1:4" x14ac:dyDescent="0.3">
      <c r="A1992" s="1" t="str">
        <f>Pop[[#This Row],[State]]&amp;" "&amp;Pop[[#This Row],[County]]</f>
        <v>NJ Burlington</v>
      </c>
      <c r="B1992" t="s">
        <v>173</v>
      </c>
      <c r="C1992" s="30" t="s">
        <v>1449</v>
      </c>
      <c r="D1992" s="16">
        <v>448734</v>
      </c>
    </row>
    <row r="1993" spans="1:4" x14ac:dyDescent="0.3">
      <c r="A1993" s="1" t="str">
        <f>Pop[[#This Row],[State]]&amp;" "&amp;Pop[[#This Row],[County]]</f>
        <v>NJ Camden</v>
      </c>
      <c r="B1993" t="s">
        <v>173</v>
      </c>
      <c r="C1993" s="30" t="s">
        <v>607</v>
      </c>
      <c r="D1993" s="16">
        <v>513657</v>
      </c>
    </row>
    <row r="1994" spans="1:4" x14ac:dyDescent="0.3">
      <c r="A1994" s="1" t="str">
        <f>Pop[[#This Row],[State]]&amp;" "&amp;Pop[[#This Row],[County]]</f>
        <v>NJ Cape May</v>
      </c>
      <c r="B1994" t="s">
        <v>173</v>
      </c>
      <c r="C1994" s="30" t="s">
        <v>1450</v>
      </c>
      <c r="D1994" s="16">
        <v>97265</v>
      </c>
    </row>
    <row r="1995" spans="1:4" x14ac:dyDescent="0.3">
      <c r="A1995" s="1" t="str">
        <f>Pop[[#This Row],[State]]&amp;" "&amp;Pop[[#This Row],[County]]</f>
        <v>NJ Cumberland</v>
      </c>
      <c r="B1995" t="s">
        <v>173</v>
      </c>
      <c r="C1995" s="30" t="s">
        <v>790</v>
      </c>
      <c r="D1995" s="16">
        <v>156898</v>
      </c>
    </row>
    <row r="1996" spans="1:4" x14ac:dyDescent="0.3">
      <c r="A1996" s="1" t="str">
        <f>Pop[[#This Row],[State]]&amp;" "&amp;Pop[[#This Row],[County]]</f>
        <v>NJ Essex</v>
      </c>
      <c r="B1996" t="s">
        <v>173</v>
      </c>
      <c r="C1996" s="30" t="s">
        <v>1036</v>
      </c>
      <c r="D1996" s="16">
        <v>783969</v>
      </c>
    </row>
    <row r="1997" spans="1:4" x14ac:dyDescent="0.3">
      <c r="A1997" s="1" t="str">
        <f>Pop[[#This Row],[State]]&amp;" "&amp;Pop[[#This Row],[County]]</f>
        <v>NJ Gloucester</v>
      </c>
      <c r="B1997" t="s">
        <v>173</v>
      </c>
      <c r="C1997" s="30" t="s">
        <v>1451</v>
      </c>
      <c r="D1997" s="16">
        <v>288288</v>
      </c>
    </row>
    <row r="1998" spans="1:4" x14ac:dyDescent="0.3">
      <c r="A1998" s="1" t="str">
        <f>Pop[[#This Row],[State]]&amp;" "&amp;Pop[[#This Row],[County]]</f>
        <v>NJ Hudson</v>
      </c>
      <c r="B1998" t="s">
        <v>173</v>
      </c>
      <c r="C1998" s="30" t="s">
        <v>1452</v>
      </c>
      <c r="D1998" s="54">
        <v>634266</v>
      </c>
    </row>
    <row r="1999" spans="1:4" x14ac:dyDescent="0.3">
      <c r="A1999" s="1" t="str">
        <f>Pop[[#This Row],[State]]&amp;" "&amp;Pop[[#This Row],[County]]</f>
        <v>NJ Hunterdon</v>
      </c>
      <c r="B1999" t="s">
        <v>173</v>
      </c>
      <c r="C1999" s="30" t="s">
        <v>1453</v>
      </c>
      <c r="D1999" s="54">
        <v>128349</v>
      </c>
    </row>
    <row r="2000" spans="1:4" x14ac:dyDescent="0.3">
      <c r="A2000" s="1" t="str">
        <f>Pop[[#This Row],[State]]&amp;" "&amp;Pop[[#This Row],[County]]</f>
        <v>NJ Mercer</v>
      </c>
      <c r="B2000" t="s">
        <v>173</v>
      </c>
      <c r="C2000" s="30" t="s">
        <v>814</v>
      </c>
      <c r="D2000" s="54">
        <v>366513</v>
      </c>
    </row>
    <row r="2001" spans="1:4" x14ac:dyDescent="0.3">
      <c r="A2001" s="1" t="str">
        <f>Pop[[#This Row],[State]]&amp;" "&amp;Pop[[#This Row],[County]]</f>
        <v>NJ Middlesex</v>
      </c>
      <c r="B2001" t="s">
        <v>173</v>
      </c>
      <c r="C2001" s="30" t="s">
        <v>536</v>
      </c>
      <c r="D2001" s="16">
        <v>809858</v>
      </c>
    </row>
    <row r="2002" spans="1:4" x14ac:dyDescent="0.3">
      <c r="A2002" s="1" t="str">
        <f>Pop[[#This Row],[State]]&amp;" "&amp;Pop[[#This Row],[County]]</f>
        <v>NJ Monmouth</v>
      </c>
      <c r="B2002" t="s">
        <v>173</v>
      </c>
      <c r="C2002" s="30" t="s">
        <v>1454</v>
      </c>
      <c r="D2002" s="16">
        <v>630380</v>
      </c>
    </row>
    <row r="2003" spans="1:4" x14ac:dyDescent="0.3">
      <c r="A2003" s="1" t="str">
        <f>Pop[[#This Row],[State]]&amp;" "&amp;Pop[[#This Row],[County]]</f>
        <v>NJ Morris</v>
      </c>
      <c r="B2003" t="s">
        <v>173</v>
      </c>
      <c r="C2003" s="30" t="s">
        <v>895</v>
      </c>
      <c r="D2003" s="16">
        <v>492276</v>
      </c>
    </row>
    <row r="2004" spans="1:4" x14ac:dyDescent="0.3">
      <c r="A2004" s="1" t="str">
        <f>Pop[[#This Row],[State]]&amp;" "&amp;Pop[[#This Row],[County]]</f>
        <v>NJ Ocean</v>
      </c>
      <c r="B2004" t="s">
        <v>173</v>
      </c>
      <c r="C2004" s="30" t="s">
        <v>1455</v>
      </c>
      <c r="D2004" s="16">
        <v>576567</v>
      </c>
    </row>
    <row r="2005" spans="1:4" x14ac:dyDescent="0.3">
      <c r="A2005" s="1" t="str">
        <f>Pop[[#This Row],[State]]&amp;" "&amp;Pop[[#This Row],[County]]</f>
        <v>NJ Passaic</v>
      </c>
      <c r="B2005" t="s">
        <v>173</v>
      </c>
      <c r="C2005" s="30" t="s">
        <v>1456</v>
      </c>
      <c r="D2005" s="16">
        <v>501226</v>
      </c>
    </row>
    <row r="2006" spans="1:4" x14ac:dyDescent="0.3">
      <c r="A2006" s="1" t="str">
        <f>Pop[[#This Row],[State]]&amp;" "&amp;Pop[[#This Row],[County]]</f>
        <v>NJ Salem</v>
      </c>
      <c r="B2006" t="s">
        <v>173</v>
      </c>
      <c r="C2006" s="30" t="s">
        <v>1457</v>
      </c>
      <c r="D2006" s="16">
        <v>66083</v>
      </c>
    </row>
    <row r="2007" spans="1:4" x14ac:dyDescent="0.3">
      <c r="A2007" s="1" t="str">
        <f>Pop[[#This Row],[State]]&amp;" "&amp;Pop[[#This Row],[County]]</f>
        <v>NJ Somerset</v>
      </c>
      <c r="B2007" t="s">
        <v>173</v>
      </c>
      <c r="C2007" s="30" t="s">
        <v>1056</v>
      </c>
      <c r="D2007" s="16">
        <v>323444</v>
      </c>
    </row>
    <row r="2008" spans="1:4" x14ac:dyDescent="0.3">
      <c r="A2008" s="1" t="str">
        <f>Pop[[#This Row],[State]]&amp;" "&amp;Pop[[#This Row],[County]]</f>
        <v>NJ Sussex</v>
      </c>
      <c r="B2008" t="s">
        <v>173</v>
      </c>
      <c r="C2008" s="30" t="s">
        <v>543</v>
      </c>
      <c r="D2008" s="16">
        <v>149265</v>
      </c>
    </row>
    <row r="2009" spans="1:4" x14ac:dyDescent="0.3">
      <c r="A2009" s="1" t="str">
        <f>Pop[[#This Row],[State]]&amp;" "&amp;Pop[[#This Row],[County]]</f>
        <v>NJ Union</v>
      </c>
      <c r="B2009" t="s">
        <v>173</v>
      </c>
      <c r="C2009" s="30" t="s">
        <v>399</v>
      </c>
      <c r="D2009" s="16">
        <v>536499</v>
      </c>
    </row>
    <row r="2010" spans="1:4" x14ac:dyDescent="0.3">
      <c r="A2010" s="1" t="str">
        <f>Pop[[#This Row],[State]]&amp;" "&amp;Pop[[#This Row],[County]]</f>
        <v>NJ Warren</v>
      </c>
      <c r="B2010" t="s">
        <v>173</v>
      </c>
      <c r="C2010" s="30" t="s">
        <v>690</v>
      </c>
      <c r="D2010" s="16">
        <v>108692</v>
      </c>
    </row>
    <row r="2011" spans="1:4" x14ac:dyDescent="0.3">
      <c r="A2011" s="1" t="str">
        <f>Pop[[#This Row],[State]]&amp;" "&amp;Pop[[#This Row],[County]]</f>
        <v>NJ State Agencies</v>
      </c>
      <c r="B2011" t="s">
        <v>173</v>
      </c>
      <c r="C2011" s="30" t="s">
        <v>243</v>
      </c>
      <c r="D2011" s="16" t="s">
        <v>244</v>
      </c>
    </row>
    <row r="2012" spans="1:4" x14ac:dyDescent="0.3">
      <c r="A2012" s="1" t="str">
        <f>Pop[[#This Row],[State]]&amp;" "&amp;Pop[[#This Row],[County]]</f>
        <v>NJ Grand Total</v>
      </c>
      <c r="B2012" t="s">
        <v>173</v>
      </c>
      <c r="C2012" s="30" t="s">
        <v>67</v>
      </c>
      <c r="D2012" s="16">
        <v>8791894</v>
      </c>
    </row>
    <row r="2013" spans="1:4" x14ac:dyDescent="0.3">
      <c r="A2013" s="1" t="str">
        <f>Pop[[#This Row],[State]]&amp;" "&amp;Pop[[#This Row],[County]]</f>
        <v>NM Bernalillo</v>
      </c>
      <c r="B2013" t="s">
        <v>253</v>
      </c>
      <c r="C2013" s="30" t="s">
        <v>1458</v>
      </c>
      <c r="D2013" s="16">
        <v>662564</v>
      </c>
    </row>
    <row r="2014" spans="1:4" x14ac:dyDescent="0.3">
      <c r="A2014" s="1" t="str">
        <f>Pop[[#This Row],[State]]&amp;" "&amp;Pop[[#This Row],[County]]</f>
        <v>NM Catron</v>
      </c>
      <c r="B2014" t="s">
        <v>253</v>
      </c>
      <c r="C2014" s="30" t="s">
        <v>1459</v>
      </c>
      <c r="D2014" s="16">
        <v>3725</v>
      </c>
    </row>
    <row r="2015" spans="1:4" x14ac:dyDescent="0.3">
      <c r="A2015" s="1" t="str">
        <f>Pop[[#This Row],[State]]&amp;" "&amp;Pop[[#This Row],[County]]</f>
        <v>NM Chaves</v>
      </c>
      <c r="B2015" t="s">
        <v>253</v>
      </c>
      <c r="C2015" s="30" t="s">
        <v>1460</v>
      </c>
      <c r="D2015" s="16">
        <v>65645</v>
      </c>
    </row>
    <row r="2016" spans="1:4" x14ac:dyDescent="0.3">
      <c r="A2016" s="1" t="str">
        <f>Pop[[#This Row],[State]]&amp;" "&amp;Pop[[#This Row],[County]]</f>
        <v>NM Cibola</v>
      </c>
      <c r="B2016" t="s">
        <v>253</v>
      </c>
      <c r="C2016" s="30" t="s">
        <v>1461</v>
      </c>
      <c r="D2016" s="16">
        <v>27213</v>
      </c>
    </row>
    <row r="2017" spans="1:4" x14ac:dyDescent="0.3">
      <c r="A2017" s="1" t="str">
        <f>Pop[[#This Row],[State]]&amp;" "&amp;Pop[[#This Row],[County]]</f>
        <v>NM Colfax</v>
      </c>
      <c r="B2017" t="s">
        <v>253</v>
      </c>
      <c r="C2017" s="30" t="s">
        <v>1408</v>
      </c>
      <c r="D2017" s="16">
        <v>13750</v>
      </c>
    </row>
    <row r="2018" spans="1:4" x14ac:dyDescent="0.3">
      <c r="A2018" s="1" t="str">
        <f>Pop[[#This Row],[State]]&amp;" "&amp;Pop[[#This Row],[County]]</f>
        <v>NM Curry</v>
      </c>
      <c r="B2018" t="s">
        <v>253</v>
      </c>
      <c r="C2018" s="30" t="s">
        <v>1462</v>
      </c>
      <c r="D2018" s="16">
        <v>48376</v>
      </c>
    </row>
    <row r="2019" spans="1:4" x14ac:dyDescent="0.3">
      <c r="A2019" s="1" t="str">
        <f>Pop[[#This Row],[State]]&amp;" "&amp;Pop[[#This Row],[County]]</f>
        <v>NM De Baca</v>
      </c>
      <c r="B2019" t="s">
        <v>253</v>
      </c>
      <c r="C2019" s="30" t="s">
        <v>1463</v>
      </c>
      <c r="D2019" s="16">
        <v>2022</v>
      </c>
    </row>
    <row r="2020" spans="1:4" x14ac:dyDescent="0.3">
      <c r="A2020" s="1" t="str">
        <f>Pop[[#This Row],[State]]&amp;" "&amp;Pop[[#This Row],[County]]</f>
        <v>NM Doña Ana</v>
      </c>
      <c r="B2020" t="s">
        <v>253</v>
      </c>
      <c r="C2020" s="30" t="s">
        <v>1464</v>
      </c>
      <c r="D2020" s="16">
        <v>209233</v>
      </c>
    </row>
    <row r="2021" spans="1:4" x14ac:dyDescent="0.3">
      <c r="A2021" s="1" t="str">
        <f>Pop[[#This Row],[State]]&amp;" "&amp;Pop[[#This Row],[County]]</f>
        <v>NM Eddy</v>
      </c>
      <c r="B2021" t="s">
        <v>253</v>
      </c>
      <c r="C2021" s="30" t="s">
        <v>1379</v>
      </c>
      <c r="D2021" s="16">
        <v>53829</v>
      </c>
    </row>
    <row r="2022" spans="1:4" x14ac:dyDescent="0.3">
      <c r="A2022" s="1" t="str">
        <f>Pop[[#This Row],[State]]&amp;" "&amp;Pop[[#This Row],[County]]</f>
        <v>NM Grant</v>
      </c>
      <c r="B2022" t="s">
        <v>253</v>
      </c>
      <c r="C2022" s="30" t="s">
        <v>370</v>
      </c>
      <c r="D2022" s="16">
        <v>29514</v>
      </c>
    </row>
    <row r="2023" spans="1:4" x14ac:dyDescent="0.3">
      <c r="A2023" s="1" t="str">
        <f>Pop[[#This Row],[State]]&amp;" "&amp;Pop[[#This Row],[County]]</f>
        <v>NM Guadalupe</v>
      </c>
      <c r="B2023" t="s">
        <v>253</v>
      </c>
      <c r="C2023" s="30" t="s">
        <v>1465</v>
      </c>
      <c r="D2023" s="16">
        <v>4687</v>
      </c>
    </row>
    <row r="2024" spans="1:4" x14ac:dyDescent="0.3">
      <c r="A2024" s="1" t="str">
        <f>Pop[[#This Row],[State]]&amp;" "&amp;Pop[[#This Row],[County]]</f>
        <v>NM Harding</v>
      </c>
      <c r="B2024" t="s">
        <v>253</v>
      </c>
      <c r="C2024" s="30" t="s">
        <v>1466</v>
      </c>
      <c r="D2024" s="16">
        <v>695</v>
      </c>
    </row>
    <row r="2025" spans="1:4" x14ac:dyDescent="0.3">
      <c r="A2025" s="1" t="str">
        <f>Pop[[#This Row],[State]]&amp;" "&amp;Pop[[#This Row],[County]]</f>
        <v>NM Hidalgo</v>
      </c>
      <c r="B2025" t="s">
        <v>253</v>
      </c>
      <c r="C2025" s="30" t="s">
        <v>1467</v>
      </c>
      <c r="D2025" s="16">
        <v>4894</v>
      </c>
    </row>
    <row r="2026" spans="1:4" x14ac:dyDescent="0.3">
      <c r="A2026" s="1" t="str">
        <f>Pop[[#This Row],[State]]&amp;" "&amp;Pop[[#This Row],[County]]</f>
        <v>NM Lea</v>
      </c>
      <c r="B2026" t="s">
        <v>253</v>
      </c>
      <c r="C2026" s="30" t="s">
        <v>1468</v>
      </c>
      <c r="D2026" s="16">
        <v>64727</v>
      </c>
    </row>
    <row r="2027" spans="1:4" x14ac:dyDescent="0.3">
      <c r="A2027" s="1" t="str">
        <f>Pop[[#This Row],[State]]&amp;" "&amp;Pop[[#This Row],[County]]</f>
        <v>NM Lincoln</v>
      </c>
      <c r="B2027" t="s">
        <v>253</v>
      </c>
      <c r="C2027" s="30" t="s">
        <v>378</v>
      </c>
      <c r="D2027" s="16">
        <v>20497</v>
      </c>
    </row>
    <row r="2028" spans="1:4" x14ac:dyDescent="0.3">
      <c r="A2028" s="1" t="str">
        <f>Pop[[#This Row],[State]]&amp;" "&amp;Pop[[#This Row],[County]]</f>
        <v>NM Los Alamos</v>
      </c>
      <c r="B2028" t="s">
        <v>253</v>
      </c>
      <c r="C2028" s="30" t="s">
        <v>1469</v>
      </c>
      <c r="D2028" s="16">
        <v>17950</v>
      </c>
    </row>
    <row r="2029" spans="1:4" x14ac:dyDescent="0.3">
      <c r="A2029" s="1" t="str">
        <f>Pop[[#This Row],[State]]&amp;" "&amp;Pop[[#This Row],[County]]</f>
        <v>NM Luna</v>
      </c>
      <c r="B2029" t="s">
        <v>253</v>
      </c>
      <c r="C2029" s="30" t="s">
        <v>1470</v>
      </c>
      <c r="D2029" s="16">
        <v>25095</v>
      </c>
    </row>
    <row r="2030" spans="1:4" x14ac:dyDescent="0.3">
      <c r="A2030" s="1" t="str">
        <f>Pop[[#This Row],[State]]&amp;" "&amp;Pop[[#This Row],[County]]</f>
        <v>NM McKinley</v>
      </c>
      <c r="B2030" t="s">
        <v>253</v>
      </c>
      <c r="C2030" s="30" t="s">
        <v>1471</v>
      </c>
      <c r="D2030" s="16">
        <v>71492</v>
      </c>
    </row>
    <row r="2031" spans="1:4" x14ac:dyDescent="0.3">
      <c r="A2031" s="1" t="str">
        <f>Pop[[#This Row],[State]]&amp;" "&amp;Pop[[#This Row],[County]]</f>
        <v>NM Mora</v>
      </c>
      <c r="B2031" t="s">
        <v>253</v>
      </c>
      <c r="C2031" s="30" t="s">
        <v>1472</v>
      </c>
      <c r="D2031" s="16">
        <v>4881</v>
      </c>
    </row>
    <row r="2032" spans="1:4" x14ac:dyDescent="0.3">
      <c r="A2032" s="1" t="str">
        <f>Pop[[#This Row],[State]]&amp;" "&amp;Pop[[#This Row],[County]]</f>
        <v>NM Otero</v>
      </c>
      <c r="B2032" t="s">
        <v>253</v>
      </c>
      <c r="C2032" s="30" t="s">
        <v>517</v>
      </c>
      <c r="D2032" s="54">
        <v>63797</v>
      </c>
    </row>
    <row r="2033" spans="1:4" x14ac:dyDescent="0.3">
      <c r="A2033" s="1" t="str">
        <f>Pop[[#This Row],[State]]&amp;" "&amp;Pop[[#This Row],[County]]</f>
        <v>NM Quay</v>
      </c>
      <c r="B2033" t="s">
        <v>253</v>
      </c>
      <c r="C2033" s="30" t="s">
        <v>1473</v>
      </c>
      <c r="D2033" s="16">
        <v>9041</v>
      </c>
    </row>
    <row r="2034" spans="1:4" x14ac:dyDescent="0.3">
      <c r="A2034" s="1" t="str">
        <f>Pop[[#This Row],[State]]&amp;" "&amp;Pop[[#This Row],[County]]</f>
        <v>NM Rio Arriba</v>
      </c>
      <c r="B2034" t="s">
        <v>253</v>
      </c>
      <c r="C2034" s="30" t="s">
        <v>1474</v>
      </c>
      <c r="D2034" s="16">
        <v>40246</v>
      </c>
    </row>
    <row r="2035" spans="1:4" x14ac:dyDescent="0.3">
      <c r="A2035" s="1" t="str">
        <f>Pop[[#This Row],[State]]&amp;" "&amp;Pop[[#This Row],[County]]</f>
        <v>NM Roosevelt</v>
      </c>
      <c r="B2035" t="s">
        <v>253</v>
      </c>
      <c r="C2035" s="30" t="s">
        <v>1293</v>
      </c>
      <c r="D2035" s="16">
        <v>19846</v>
      </c>
    </row>
    <row r="2036" spans="1:4" x14ac:dyDescent="0.3">
      <c r="A2036" s="1" t="str">
        <f>Pop[[#This Row],[State]]&amp;" "&amp;Pop[[#This Row],[County]]</f>
        <v>NM San Juan</v>
      </c>
      <c r="B2036" t="s">
        <v>253</v>
      </c>
      <c r="C2036" s="30" t="s">
        <v>527</v>
      </c>
      <c r="D2036" s="16">
        <v>130044</v>
      </c>
    </row>
    <row r="2037" spans="1:4" x14ac:dyDescent="0.3">
      <c r="A2037" s="1" t="str">
        <f>Pop[[#This Row],[State]]&amp;" "&amp;Pop[[#This Row],[County]]</f>
        <v>NM San Miguel</v>
      </c>
      <c r="B2037" t="s">
        <v>253</v>
      </c>
      <c r="C2037" s="30" t="s">
        <v>528</v>
      </c>
      <c r="D2037" s="16">
        <v>29393</v>
      </c>
    </row>
    <row r="2038" spans="1:4" x14ac:dyDescent="0.3">
      <c r="A2038" s="1" t="str">
        <f>Pop[[#This Row],[State]]&amp;" "&amp;Pop[[#This Row],[County]]</f>
        <v>NM Sandoval</v>
      </c>
      <c r="B2038" t="s">
        <v>253</v>
      </c>
      <c r="C2038" s="30" t="s">
        <v>1475</v>
      </c>
      <c r="D2038" s="16">
        <v>131561</v>
      </c>
    </row>
    <row r="2039" spans="1:4" x14ac:dyDescent="0.3">
      <c r="A2039" s="1" t="str">
        <f>Pop[[#This Row],[State]]&amp;" "&amp;Pop[[#This Row],[County]]</f>
        <v>NM Santa Fe</v>
      </c>
      <c r="B2039" t="s">
        <v>253</v>
      </c>
      <c r="C2039" s="30" t="s">
        <v>1476</v>
      </c>
      <c r="D2039" s="16">
        <v>144170</v>
      </c>
    </row>
    <row r="2040" spans="1:4" x14ac:dyDescent="0.3">
      <c r="A2040" s="1" t="str">
        <f>Pop[[#This Row],[State]]&amp;" "&amp;Pop[[#This Row],[County]]</f>
        <v>NM Sierra</v>
      </c>
      <c r="B2040" t="s">
        <v>253</v>
      </c>
      <c r="C2040" s="30" t="s">
        <v>465</v>
      </c>
      <c r="D2040" s="16">
        <v>11988</v>
      </c>
    </row>
    <row r="2041" spans="1:4" x14ac:dyDescent="0.3">
      <c r="A2041" s="1" t="str">
        <f>Pop[[#This Row],[State]]&amp;" "&amp;Pop[[#This Row],[County]]</f>
        <v>NM Socorro</v>
      </c>
      <c r="B2041" t="s">
        <v>253</v>
      </c>
      <c r="C2041" s="30" t="s">
        <v>1477</v>
      </c>
      <c r="D2041" s="16">
        <v>17866</v>
      </c>
    </row>
    <row r="2042" spans="1:4" x14ac:dyDescent="0.3">
      <c r="A2042" s="1" t="str">
        <f>Pop[[#This Row],[State]]&amp;" "&amp;Pop[[#This Row],[County]]</f>
        <v>NM Taos</v>
      </c>
      <c r="B2042" t="s">
        <v>253</v>
      </c>
      <c r="C2042" s="30" t="s">
        <v>1478</v>
      </c>
      <c r="D2042" s="16">
        <v>32937</v>
      </c>
    </row>
    <row r="2043" spans="1:4" x14ac:dyDescent="0.3">
      <c r="A2043" s="1" t="str">
        <f>Pop[[#This Row],[State]]&amp;" "&amp;Pop[[#This Row],[County]]</f>
        <v>NM Torrance</v>
      </c>
      <c r="B2043" t="s">
        <v>253</v>
      </c>
      <c r="C2043" s="30" t="s">
        <v>1479</v>
      </c>
      <c r="D2043" s="16">
        <v>16383</v>
      </c>
    </row>
    <row r="2044" spans="1:4" x14ac:dyDescent="0.3">
      <c r="A2044" s="1" t="str">
        <f>Pop[[#This Row],[State]]&amp;" "&amp;Pop[[#This Row],[County]]</f>
        <v>NM Union</v>
      </c>
      <c r="B2044" t="s">
        <v>253</v>
      </c>
      <c r="C2044" s="30" t="s">
        <v>399</v>
      </c>
      <c r="D2044" s="16">
        <v>4549</v>
      </c>
    </row>
    <row r="2045" spans="1:4" x14ac:dyDescent="0.3">
      <c r="A2045" s="1" t="str">
        <f>Pop[[#This Row],[State]]&amp;" "&amp;Pop[[#This Row],[County]]</f>
        <v>NM Valencia</v>
      </c>
      <c r="B2045" t="s">
        <v>253</v>
      </c>
      <c r="C2045" s="30" t="s">
        <v>1480</v>
      </c>
      <c r="D2045" s="16">
        <v>76569</v>
      </c>
    </row>
    <row r="2046" spans="1:4" x14ac:dyDescent="0.3">
      <c r="A2046" s="1" t="str">
        <f>Pop[[#This Row],[State]]&amp;" "&amp;Pop[[#This Row],[County]]</f>
        <v>NM State Agencies</v>
      </c>
      <c r="B2046" t="s">
        <v>253</v>
      </c>
      <c r="C2046" s="30" t="s">
        <v>243</v>
      </c>
      <c r="D2046" s="16" t="s">
        <v>244</v>
      </c>
    </row>
    <row r="2047" spans="1:4" x14ac:dyDescent="0.3">
      <c r="A2047" s="1" t="str">
        <f>Pop[[#This Row],[State]]&amp;" "&amp;Pop[[#This Row],[County]]</f>
        <v>NM Grand Total</v>
      </c>
      <c r="B2047" t="s">
        <v>253</v>
      </c>
      <c r="C2047" s="30" t="s">
        <v>67</v>
      </c>
      <c r="D2047" s="16">
        <v>2059179</v>
      </c>
    </row>
    <row r="2048" spans="1:4" x14ac:dyDescent="0.3">
      <c r="A2048" s="1" t="str">
        <f>Pop[[#This Row],[State]]&amp;" "&amp;Pop[[#This Row],[County]]</f>
        <v>NV Churchill</v>
      </c>
      <c r="B2048" t="s">
        <v>309</v>
      </c>
      <c r="C2048" s="30" t="s">
        <v>1481</v>
      </c>
      <c r="D2048" s="16">
        <v>24877</v>
      </c>
    </row>
    <row r="2049" spans="1:4" x14ac:dyDescent="0.3">
      <c r="A2049" s="1" t="str">
        <f>Pop[[#This Row],[State]]&amp;" "&amp;Pop[[#This Row],[County]]</f>
        <v>NV Clark</v>
      </c>
      <c r="B2049" t="s">
        <v>309</v>
      </c>
      <c r="C2049" s="30" t="s">
        <v>38</v>
      </c>
      <c r="D2049" s="16">
        <v>1951269</v>
      </c>
    </row>
    <row r="2050" spans="1:4" x14ac:dyDescent="0.3">
      <c r="A2050" s="1" t="str">
        <f>Pop[[#This Row],[State]]&amp;" "&amp;Pop[[#This Row],[County]]</f>
        <v>NV Douglas</v>
      </c>
      <c r="B2050" t="s">
        <v>309</v>
      </c>
      <c r="C2050" s="30" t="s">
        <v>496</v>
      </c>
      <c r="D2050" s="16">
        <v>46997</v>
      </c>
    </row>
    <row r="2051" spans="1:4" x14ac:dyDescent="0.3">
      <c r="A2051" s="1" t="str">
        <f>Pop[[#This Row],[State]]&amp;" "&amp;Pop[[#This Row],[County]]</f>
        <v>NV Elko</v>
      </c>
      <c r="B2051" t="s">
        <v>309</v>
      </c>
      <c r="C2051" s="30" t="s">
        <v>1482</v>
      </c>
      <c r="D2051" s="16">
        <v>48818</v>
      </c>
    </row>
    <row r="2052" spans="1:4" x14ac:dyDescent="0.3">
      <c r="A2052" s="1" t="str">
        <f>Pop[[#This Row],[State]]&amp;" "&amp;Pop[[#This Row],[County]]</f>
        <v>NV Esmeralda</v>
      </c>
      <c r="B2052" t="s">
        <v>309</v>
      </c>
      <c r="C2052" s="30" t="s">
        <v>1483</v>
      </c>
      <c r="D2052" s="16">
        <v>783</v>
      </c>
    </row>
    <row r="2053" spans="1:4" x14ac:dyDescent="0.3">
      <c r="A2053" s="1" t="str">
        <f>Pop[[#This Row],[State]]&amp;" "&amp;Pop[[#This Row],[County]]</f>
        <v>NV Eureka</v>
      </c>
      <c r="B2053" t="s">
        <v>309</v>
      </c>
      <c r="C2053" s="30" t="s">
        <v>1484</v>
      </c>
      <c r="D2053" s="16">
        <v>1987</v>
      </c>
    </row>
    <row r="2054" spans="1:4" x14ac:dyDescent="0.3">
      <c r="A2054" s="1" t="str">
        <f>Pop[[#This Row],[State]]&amp;" "&amp;Pop[[#This Row],[County]]</f>
        <v>NV Humboldt</v>
      </c>
      <c r="B2054" t="s">
        <v>309</v>
      </c>
      <c r="C2054" s="30" t="s">
        <v>434</v>
      </c>
      <c r="D2054" s="16">
        <v>16528</v>
      </c>
    </row>
    <row r="2055" spans="1:4" x14ac:dyDescent="0.3">
      <c r="A2055" s="1" t="str">
        <f>Pop[[#This Row],[State]]&amp;" "&amp;Pop[[#This Row],[County]]</f>
        <v>NV Lander</v>
      </c>
      <c r="B2055" t="s">
        <v>309</v>
      </c>
      <c r="C2055" s="30" t="s">
        <v>1485</v>
      </c>
      <c r="D2055" s="16">
        <v>5775</v>
      </c>
    </row>
    <row r="2056" spans="1:4" x14ac:dyDescent="0.3">
      <c r="A2056" s="1" t="str">
        <f>Pop[[#This Row],[State]]&amp;" "&amp;Pop[[#This Row],[County]]</f>
        <v>NV Lincoln</v>
      </c>
      <c r="B2056" t="s">
        <v>309</v>
      </c>
      <c r="C2056" s="30" t="s">
        <v>378</v>
      </c>
      <c r="D2056" s="16">
        <v>5345</v>
      </c>
    </row>
    <row r="2057" spans="1:4" x14ac:dyDescent="0.3">
      <c r="A2057" s="1" t="str">
        <f>Pop[[#This Row],[State]]&amp;" "&amp;Pop[[#This Row],[County]]</f>
        <v>NV Lyon</v>
      </c>
      <c r="B2057" t="s">
        <v>309</v>
      </c>
      <c r="C2057" s="30" t="s">
        <v>730</v>
      </c>
      <c r="D2057" s="16">
        <v>51980</v>
      </c>
    </row>
    <row r="2058" spans="1:4" x14ac:dyDescent="0.3">
      <c r="A2058" s="1" t="str">
        <f>Pop[[#This Row],[State]]&amp;" "&amp;Pop[[#This Row],[County]]</f>
        <v>NV Mineral</v>
      </c>
      <c r="B2058" t="s">
        <v>309</v>
      </c>
      <c r="C2058" s="30" t="s">
        <v>513</v>
      </c>
      <c r="D2058" s="16">
        <v>4772</v>
      </c>
    </row>
    <row r="2059" spans="1:4" x14ac:dyDescent="0.3">
      <c r="A2059" s="1" t="str">
        <f>Pop[[#This Row],[State]]&amp;" "&amp;Pop[[#This Row],[County]]</f>
        <v>NV Nye</v>
      </c>
      <c r="B2059" t="s">
        <v>309</v>
      </c>
      <c r="C2059" s="30" t="s">
        <v>1486</v>
      </c>
      <c r="D2059" s="16">
        <v>43946</v>
      </c>
    </row>
    <row r="2060" spans="1:4" x14ac:dyDescent="0.3">
      <c r="A2060" s="1" t="str">
        <f>Pop[[#This Row],[State]]&amp;" "&amp;Pop[[#This Row],[County]]</f>
        <v>NV Pershing</v>
      </c>
      <c r="B2060" t="s">
        <v>309</v>
      </c>
      <c r="C2060" s="30" t="s">
        <v>1487</v>
      </c>
      <c r="D2060" s="16">
        <v>6753</v>
      </c>
    </row>
    <row r="2061" spans="1:4" x14ac:dyDescent="0.3">
      <c r="A2061" s="1" t="str">
        <f>Pop[[#This Row],[State]]&amp;" "&amp;Pop[[#This Row],[County]]</f>
        <v>NV Storey</v>
      </c>
      <c r="B2061" t="s">
        <v>309</v>
      </c>
      <c r="C2061" s="30" t="s">
        <v>1488</v>
      </c>
      <c r="D2061" s="16">
        <v>4010</v>
      </c>
    </row>
    <row r="2062" spans="1:4" x14ac:dyDescent="0.3">
      <c r="A2062" s="1" t="str">
        <f>Pop[[#This Row],[State]]&amp;" "&amp;Pop[[#This Row],[County]]</f>
        <v>NV Washoe</v>
      </c>
      <c r="B2062" t="s">
        <v>309</v>
      </c>
      <c r="C2062" s="30" t="s">
        <v>1489</v>
      </c>
      <c r="D2062" s="16">
        <v>421407</v>
      </c>
    </row>
    <row r="2063" spans="1:4" x14ac:dyDescent="0.3">
      <c r="A2063" s="1" t="str">
        <f>Pop[[#This Row],[State]]&amp;" "&amp;Pop[[#This Row],[County]]</f>
        <v>NV White Pine</v>
      </c>
      <c r="B2063" t="s">
        <v>309</v>
      </c>
      <c r="C2063" s="30" t="s">
        <v>1490</v>
      </c>
      <c r="D2063" s="16">
        <v>10030</v>
      </c>
    </row>
    <row r="2064" spans="1:4" x14ac:dyDescent="0.3">
      <c r="A2064" s="1" t="str">
        <f>Pop[[#This Row],[State]]&amp;" "&amp;Pop[[#This Row],[County]]</f>
        <v>NV State Agencies</v>
      </c>
      <c r="B2064" t="s">
        <v>309</v>
      </c>
      <c r="C2064" s="30" t="s">
        <v>243</v>
      </c>
      <c r="D2064" s="16" t="s">
        <v>244</v>
      </c>
    </row>
    <row r="2065" spans="1:4" x14ac:dyDescent="0.3">
      <c r="A2065" s="1" t="str">
        <f>Pop[[#This Row],[State]]&amp;" "&amp;Pop[[#This Row],[County]]</f>
        <v>NV Grand Total</v>
      </c>
      <c r="B2065" t="s">
        <v>309</v>
      </c>
      <c r="C2065" s="30" t="s">
        <v>67</v>
      </c>
      <c r="D2065" s="16">
        <v>2700551</v>
      </c>
    </row>
    <row r="2066" spans="1:4" x14ac:dyDescent="0.3">
      <c r="A2066" s="1" t="str">
        <f>Pop[[#This Row],[State]]&amp;" "&amp;Pop[[#This Row],[County]]</f>
        <v>NY Albany</v>
      </c>
      <c r="B2066" t="s">
        <v>177</v>
      </c>
      <c r="C2066" s="30" t="s">
        <v>1491</v>
      </c>
      <c r="D2066" s="16">
        <v>304204</v>
      </c>
    </row>
    <row r="2067" spans="1:4" x14ac:dyDescent="0.3">
      <c r="A2067" s="1" t="str">
        <f>Pop[[#This Row],[State]]&amp;" "&amp;Pop[[#This Row],[County]]</f>
        <v>NY Allegany</v>
      </c>
      <c r="B2067" t="s">
        <v>177</v>
      </c>
      <c r="C2067" s="30" t="s">
        <v>1043</v>
      </c>
      <c r="D2067" s="16">
        <v>48946</v>
      </c>
    </row>
    <row r="2068" spans="1:4" x14ac:dyDescent="0.3">
      <c r="A2068" s="1" t="str">
        <f>Pop[[#This Row],[State]]&amp;" "&amp;Pop[[#This Row],[County]]</f>
        <v>NY Bronx</v>
      </c>
      <c r="B2068" t="s">
        <v>177</v>
      </c>
      <c r="C2068" s="30" t="s">
        <v>1492</v>
      </c>
      <c r="D2068" s="16">
        <v>1385108</v>
      </c>
    </row>
    <row r="2069" spans="1:4" x14ac:dyDescent="0.3">
      <c r="A2069" s="1" t="str">
        <f>Pop[[#This Row],[State]]&amp;" "&amp;Pop[[#This Row],[County]]</f>
        <v>NY Broome</v>
      </c>
      <c r="B2069" t="s">
        <v>177</v>
      </c>
      <c r="C2069" s="30" t="s">
        <v>1493</v>
      </c>
      <c r="D2069" s="16">
        <v>200600</v>
      </c>
    </row>
    <row r="2070" spans="1:4" x14ac:dyDescent="0.3">
      <c r="A2070" s="1" t="str">
        <f>Pop[[#This Row],[State]]&amp;" "&amp;Pop[[#This Row],[County]]</f>
        <v>NY Cattaraugus</v>
      </c>
      <c r="B2070" t="s">
        <v>177</v>
      </c>
      <c r="C2070" s="30" t="s">
        <v>1494</v>
      </c>
      <c r="D2070" s="16">
        <v>80317</v>
      </c>
    </row>
    <row r="2071" spans="1:4" x14ac:dyDescent="0.3">
      <c r="A2071" s="1" t="str">
        <f>Pop[[#This Row],[State]]&amp;" "&amp;Pop[[#This Row],[County]]</f>
        <v>NY Cayuga</v>
      </c>
      <c r="B2071" t="s">
        <v>177</v>
      </c>
      <c r="C2071" s="30" t="s">
        <v>1495</v>
      </c>
      <c r="D2071" s="16">
        <v>80026</v>
      </c>
    </row>
    <row r="2072" spans="1:4" x14ac:dyDescent="0.3">
      <c r="A2072" s="1" t="str">
        <f>Pop[[#This Row],[State]]&amp;" "&amp;Pop[[#This Row],[County]]</f>
        <v>NY Chautauqua</v>
      </c>
      <c r="B2072" t="s">
        <v>177</v>
      </c>
      <c r="C2072" s="30" t="s">
        <v>868</v>
      </c>
      <c r="D2072" s="16">
        <v>134905</v>
      </c>
    </row>
    <row r="2073" spans="1:4" x14ac:dyDescent="0.3">
      <c r="A2073" s="1" t="str">
        <f>Pop[[#This Row],[State]]&amp;" "&amp;Pop[[#This Row],[County]]</f>
        <v>NY Chemung</v>
      </c>
      <c r="B2073" t="s">
        <v>177</v>
      </c>
      <c r="C2073" s="30" t="s">
        <v>1496</v>
      </c>
      <c r="D2073" s="16">
        <v>88830</v>
      </c>
    </row>
    <row r="2074" spans="1:4" x14ac:dyDescent="0.3">
      <c r="A2074" s="1" t="str">
        <f>Pop[[#This Row],[State]]&amp;" "&amp;Pop[[#This Row],[County]]</f>
        <v>NY Chenango</v>
      </c>
      <c r="B2074" t="s">
        <v>177</v>
      </c>
      <c r="C2074" s="30" t="s">
        <v>1497</v>
      </c>
      <c r="D2074" s="16">
        <v>50477</v>
      </c>
    </row>
    <row r="2075" spans="1:4" x14ac:dyDescent="0.3">
      <c r="A2075" s="1" t="str">
        <f>Pop[[#This Row],[State]]&amp;" "&amp;Pop[[#This Row],[County]]</f>
        <v>NY Clinton</v>
      </c>
      <c r="B2075" t="s">
        <v>177</v>
      </c>
      <c r="C2075" s="30" t="s">
        <v>715</v>
      </c>
      <c r="D2075" s="16">
        <v>82128</v>
      </c>
    </row>
    <row r="2076" spans="1:4" x14ac:dyDescent="0.3">
      <c r="A2076" s="1" t="str">
        <f>Pop[[#This Row],[State]]&amp;" "&amp;Pop[[#This Row],[County]]</f>
        <v>NY Columbia</v>
      </c>
      <c r="B2076" t="s">
        <v>177</v>
      </c>
      <c r="C2076" s="30" t="s">
        <v>360</v>
      </c>
      <c r="D2076" s="16">
        <v>63096</v>
      </c>
    </row>
    <row r="2077" spans="1:4" x14ac:dyDescent="0.3">
      <c r="A2077" s="1" t="str">
        <f>Pop[[#This Row],[State]]&amp;" "&amp;Pop[[#This Row],[County]]</f>
        <v>NY Cortland</v>
      </c>
      <c r="B2077" t="s">
        <v>177</v>
      </c>
      <c r="C2077" s="30" t="s">
        <v>1498</v>
      </c>
      <c r="D2077" s="16">
        <v>49336</v>
      </c>
    </row>
    <row r="2078" spans="1:4" x14ac:dyDescent="0.3">
      <c r="A2078" s="1" t="str">
        <f>Pop[[#This Row],[State]]&amp;" "&amp;Pop[[#This Row],[County]]</f>
        <v>NY Delaware</v>
      </c>
      <c r="B2078" t="s">
        <v>177</v>
      </c>
      <c r="C2078" s="30" t="s">
        <v>191</v>
      </c>
      <c r="D2078" s="16">
        <v>47980</v>
      </c>
    </row>
    <row r="2079" spans="1:4" x14ac:dyDescent="0.3">
      <c r="A2079" s="1" t="str">
        <f>Pop[[#This Row],[State]]&amp;" "&amp;Pop[[#This Row],[County]]</f>
        <v>NY Dutchess</v>
      </c>
      <c r="B2079" t="s">
        <v>177</v>
      </c>
      <c r="C2079" s="30" t="s">
        <v>1499</v>
      </c>
      <c r="D2079" s="16">
        <v>297488</v>
      </c>
    </row>
    <row r="2080" spans="1:4" x14ac:dyDescent="0.3">
      <c r="A2080" s="1" t="str">
        <f>Pop[[#This Row],[State]]&amp;" "&amp;Pop[[#This Row],[County]]</f>
        <v>NY Erie</v>
      </c>
      <c r="B2080" t="s">
        <v>177</v>
      </c>
      <c r="C2080" s="30" t="s">
        <v>1500</v>
      </c>
      <c r="D2080" s="16">
        <v>919040</v>
      </c>
    </row>
    <row r="2081" spans="1:4" x14ac:dyDescent="0.3">
      <c r="A2081" s="1" t="str">
        <f>Pop[[#This Row],[State]]&amp;" "&amp;Pop[[#This Row],[County]]</f>
        <v>NY Essex</v>
      </c>
      <c r="B2081" t="s">
        <v>177</v>
      </c>
      <c r="C2081" s="30" t="s">
        <v>1036</v>
      </c>
      <c r="D2081" s="16">
        <v>39370</v>
      </c>
    </row>
    <row r="2082" spans="1:4" x14ac:dyDescent="0.3">
      <c r="A2082" s="1" t="str">
        <f>Pop[[#This Row],[State]]&amp;" "&amp;Pop[[#This Row],[County]]</f>
        <v>NY Franklin</v>
      </c>
      <c r="B2082" t="s">
        <v>177</v>
      </c>
      <c r="C2082" s="30" t="s">
        <v>43</v>
      </c>
      <c r="D2082" s="16">
        <v>51599</v>
      </c>
    </row>
    <row r="2083" spans="1:4" x14ac:dyDescent="0.3">
      <c r="A2083" s="1" t="str">
        <f>Pop[[#This Row],[State]]&amp;" "&amp;Pop[[#This Row],[County]]</f>
        <v>NY Fulton</v>
      </c>
      <c r="B2083" t="s">
        <v>177</v>
      </c>
      <c r="C2083" s="30" t="s">
        <v>368</v>
      </c>
      <c r="D2083" s="16">
        <v>55531</v>
      </c>
    </row>
    <row r="2084" spans="1:4" x14ac:dyDescent="0.3">
      <c r="A2084" s="1" t="str">
        <f>Pop[[#This Row],[State]]&amp;" "&amp;Pop[[#This Row],[County]]</f>
        <v>NY Genesee</v>
      </c>
      <c r="B2084" t="s">
        <v>177</v>
      </c>
      <c r="C2084" s="30" t="s">
        <v>1083</v>
      </c>
      <c r="D2084" s="16">
        <v>60079</v>
      </c>
    </row>
    <row r="2085" spans="1:4" x14ac:dyDescent="0.3">
      <c r="A2085" s="1" t="str">
        <f>Pop[[#This Row],[State]]&amp;" "&amp;Pop[[#This Row],[County]]</f>
        <v>NY Greene</v>
      </c>
      <c r="B2085" t="s">
        <v>177</v>
      </c>
      <c r="C2085" s="30" t="s">
        <v>44</v>
      </c>
      <c r="D2085" s="16">
        <v>49221</v>
      </c>
    </row>
    <row r="2086" spans="1:4" x14ac:dyDescent="0.3">
      <c r="A2086" s="1" t="str">
        <f>Pop[[#This Row],[State]]&amp;" "&amp;Pop[[#This Row],[County]]</f>
        <v>NY Hamilton</v>
      </c>
      <c r="B2086" t="s">
        <v>177</v>
      </c>
      <c r="C2086" s="30" t="s">
        <v>561</v>
      </c>
      <c r="D2086" s="16">
        <v>4836</v>
      </c>
    </row>
    <row r="2087" spans="1:4" x14ac:dyDescent="0.3">
      <c r="A2087" s="1" t="str">
        <f>Pop[[#This Row],[State]]&amp;" "&amp;Pop[[#This Row],[County]]</f>
        <v>NY Herkimer</v>
      </c>
      <c r="B2087" t="s">
        <v>177</v>
      </c>
      <c r="C2087" s="30" t="s">
        <v>1501</v>
      </c>
      <c r="D2087" s="16">
        <v>64519</v>
      </c>
    </row>
    <row r="2088" spans="1:4" x14ac:dyDescent="0.3">
      <c r="A2088" s="1" t="str">
        <f>Pop[[#This Row],[State]]&amp;" "&amp;Pop[[#This Row],[County]]</f>
        <v>NY Jefferson</v>
      </c>
      <c r="B2088" t="s">
        <v>177</v>
      </c>
      <c r="C2088" s="30" t="s">
        <v>47</v>
      </c>
      <c r="D2088" s="16">
        <v>116229</v>
      </c>
    </row>
    <row r="2089" spans="1:4" x14ac:dyDescent="0.3">
      <c r="A2089" s="1" t="str">
        <f>Pop[[#This Row],[State]]&amp;" "&amp;Pop[[#This Row],[County]]</f>
        <v>NY Kings</v>
      </c>
      <c r="B2089" t="s">
        <v>177</v>
      </c>
      <c r="C2089" s="30" t="s">
        <v>438</v>
      </c>
      <c r="D2089" s="16">
        <v>2504700</v>
      </c>
    </row>
    <row r="2090" spans="1:4" x14ac:dyDescent="0.3">
      <c r="A2090" s="1" t="str">
        <f>Pop[[#This Row],[State]]&amp;" "&amp;Pop[[#This Row],[County]]</f>
        <v>NY Lewis</v>
      </c>
      <c r="B2090" t="s">
        <v>177</v>
      </c>
      <c r="C2090" s="30" t="s">
        <v>773</v>
      </c>
      <c r="D2090" s="16">
        <v>27087</v>
      </c>
    </row>
    <row r="2091" spans="1:4" x14ac:dyDescent="0.3">
      <c r="A2091" s="1" t="str">
        <f>Pop[[#This Row],[State]]&amp;" "&amp;Pop[[#This Row],[County]]</f>
        <v>NY Livingston</v>
      </c>
      <c r="B2091" t="s">
        <v>177</v>
      </c>
      <c r="C2091" s="30" t="s">
        <v>806</v>
      </c>
      <c r="D2091" s="16">
        <v>65393</v>
      </c>
    </row>
    <row r="2092" spans="1:4" x14ac:dyDescent="0.3">
      <c r="A2092" s="1" t="str">
        <f>Pop[[#This Row],[State]]&amp;" "&amp;Pop[[#This Row],[County]]</f>
        <v>NY Madison</v>
      </c>
      <c r="B2092" t="s">
        <v>177</v>
      </c>
      <c r="C2092" s="30" t="s">
        <v>49</v>
      </c>
      <c r="D2092" s="16">
        <v>73442</v>
      </c>
    </row>
    <row r="2093" spans="1:4" x14ac:dyDescent="0.3">
      <c r="A2093" s="1" t="str">
        <f>Pop[[#This Row],[State]]&amp;" "&amp;Pop[[#This Row],[County]]</f>
        <v>NY Monroe</v>
      </c>
      <c r="B2093" t="s">
        <v>177</v>
      </c>
      <c r="C2093" s="30" t="s">
        <v>339</v>
      </c>
      <c r="D2093" s="16">
        <v>744344</v>
      </c>
    </row>
    <row r="2094" spans="1:4" x14ac:dyDescent="0.3">
      <c r="A2094" s="1" t="str">
        <f>Pop[[#This Row],[State]]&amp;" "&amp;Pop[[#This Row],[County]]</f>
        <v>NY Montgomery</v>
      </c>
      <c r="B2094" t="s">
        <v>177</v>
      </c>
      <c r="C2094" s="30" t="s">
        <v>53</v>
      </c>
      <c r="D2094" s="16">
        <v>50219</v>
      </c>
    </row>
    <row r="2095" spans="1:4" x14ac:dyDescent="0.3">
      <c r="A2095" s="1" t="str">
        <f>Pop[[#This Row],[State]]&amp;" "&amp;Pop[[#This Row],[County]]</f>
        <v>NY Nassau</v>
      </c>
      <c r="B2095" t="s">
        <v>177</v>
      </c>
      <c r="C2095" s="30" t="s">
        <v>574</v>
      </c>
      <c r="D2095" s="16">
        <v>1339532</v>
      </c>
    </row>
    <row r="2096" spans="1:4" x14ac:dyDescent="0.3">
      <c r="A2096" s="1" t="str">
        <f>Pop[[#This Row],[State]]&amp;" "&amp;Pop[[#This Row],[County]]</f>
        <v>NY New York</v>
      </c>
      <c r="B2096" t="s">
        <v>177</v>
      </c>
      <c r="C2096" s="30" t="s">
        <v>178</v>
      </c>
      <c r="D2096" s="16">
        <v>1585873</v>
      </c>
    </row>
    <row r="2097" spans="1:4" x14ac:dyDescent="0.3">
      <c r="A2097" s="1" t="str">
        <f>Pop[[#This Row],[State]]&amp;" "&amp;Pop[[#This Row],[County]]</f>
        <v>NY Niagara</v>
      </c>
      <c r="B2097" t="s">
        <v>177</v>
      </c>
      <c r="C2097" s="30" t="s">
        <v>1502</v>
      </c>
      <c r="D2097" s="16">
        <v>216469</v>
      </c>
    </row>
    <row r="2098" spans="1:4" x14ac:dyDescent="0.3">
      <c r="A2098" s="1" t="str">
        <f>Pop[[#This Row],[State]]&amp;" "&amp;Pop[[#This Row],[County]]</f>
        <v>NY Oneida</v>
      </c>
      <c r="B2098" t="s">
        <v>177</v>
      </c>
      <c r="C2098" s="30" t="s">
        <v>776</v>
      </c>
      <c r="D2098" s="16">
        <v>234878</v>
      </c>
    </row>
    <row r="2099" spans="1:4" x14ac:dyDescent="0.3">
      <c r="A2099" s="1" t="str">
        <f>Pop[[#This Row],[State]]&amp;" "&amp;Pop[[#This Row],[County]]</f>
        <v>NY Onondaga</v>
      </c>
      <c r="B2099" t="s">
        <v>177</v>
      </c>
      <c r="C2099" s="30" t="s">
        <v>1503</v>
      </c>
      <c r="D2099" s="16">
        <v>467026</v>
      </c>
    </row>
    <row r="2100" spans="1:4" x14ac:dyDescent="0.3">
      <c r="A2100" s="1" t="str">
        <f>Pop[[#This Row],[State]]&amp;" "&amp;Pop[[#This Row],[County]]</f>
        <v>NY Ontario</v>
      </c>
      <c r="B2100" t="s">
        <v>177</v>
      </c>
      <c r="C2100" s="30" t="s">
        <v>1504</v>
      </c>
      <c r="D2100" s="16">
        <v>107931</v>
      </c>
    </row>
    <row r="2101" spans="1:4" x14ac:dyDescent="0.3">
      <c r="A2101" s="1" t="str">
        <f>Pop[[#This Row],[State]]&amp;" "&amp;Pop[[#This Row],[County]]</f>
        <v>NY Orange</v>
      </c>
      <c r="B2101" t="s">
        <v>177</v>
      </c>
      <c r="C2101" s="30" t="s">
        <v>55</v>
      </c>
      <c r="D2101" s="16">
        <v>372813</v>
      </c>
    </row>
    <row r="2102" spans="1:4" x14ac:dyDescent="0.3">
      <c r="A2102" s="1" t="str">
        <f>Pop[[#This Row],[State]]&amp;" "&amp;Pop[[#This Row],[County]]</f>
        <v>NY Orleans</v>
      </c>
      <c r="B2102" t="s">
        <v>177</v>
      </c>
      <c r="C2102" s="30" t="s">
        <v>1009</v>
      </c>
      <c r="D2102" s="16">
        <v>42883</v>
      </c>
    </row>
    <row r="2103" spans="1:4" x14ac:dyDescent="0.3">
      <c r="A2103" s="1" t="str">
        <f>Pop[[#This Row],[State]]&amp;" "&amp;Pop[[#This Row],[County]]</f>
        <v>NY Oswego</v>
      </c>
      <c r="B2103" t="s">
        <v>177</v>
      </c>
      <c r="C2103" s="30" t="s">
        <v>1505</v>
      </c>
      <c r="D2103" s="16">
        <v>122109</v>
      </c>
    </row>
    <row r="2104" spans="1:4" x14ac:dyDescent="0.3">
      <c r="A2104" s="1" t="str">
        <f>Pop[[#This Row],[State]]&amp;" "&amp;Pop[[#This Row],[County]]</f>
        <v>NY Otsego</v>
      </c>
      <c r="B2104" t="s">
        <v>177</v>
      </c>
      <c r="C2104" s="30" t="s">
        <v>1120</v>
      </c>
      <c r="D2104" s="16">
        <v>62259</v>
      </c>
    </row>
    <row r="2105" spans="1:4" x14ac:dyDescent="0.3">
      <c r="A2105" s="1" t="str">
        <f>Pop[[#This Row],[State]]&amp;" "&amp;Pop[[#This Row],[County]]</f>
        <v>NY Putnam</v>
      </c>
      <c r="B2105" t="s">
        <v>177</v>
      </c>
      <c r="C2105" s="30" t="s">
        <v>581</v>
      </c>
      <c r="D2105" s="16">
        <v>99710</v>
      </c>
    </row>
    <row r="2106" spans="1:4" x14ac:dyDescent="0.3">
      <c r="A2106" s="1" t="str">
        <f>Pop[[#This Row],[State]]&amp;" "&amp;Pop[[#This Row],[County]]</f>
        <v>NY Queens</v>
      </c>
      <c r="B2106" t="s">
        <v>177</v>
      </c>
      <c r="C2106" s="30" t="s">
        <v>1506</v>
      </c>
      <c r="D2106" s="16">
        <v>2230722</v>
      </c>
    </row>
    <row r="2107" spans="1:4" x14ac:dyDescent="0.3">
      <c r="A2107" s="1" t="str">
        <f>Pop[[#This Row],[State]]&amp;" "&amp;Pop[[#This Row],[County]]</f>
        <v>NY Rensselaer</v>
      </c>
      <c r="B2107" t="s">
        <v>177</v>
      </c>
      <c r="C2107" s="30" t="s">
        <v>1507</v>
      </c>
      <c r="D2107" s="16">
        <v>159429</v>
      </c>
    </row>
    <row r="2108" spans="1:4" x14ac:dyDescent="0.3">
      <c r="A2108" s="1" t="str">
        <f>Pop[[#This Row],[State]]&amp;" "&amp;Pop[[#This Row],[County]]</f>
        <v>NY Richmond</v>
      </c>
      <c r="B2108" t="s">
        <v>177</v>
      </c>
      <c r="C2108" s="30" t="s">
        <v>668</v>
      </c>
      <c r="D2108" s="16">
        <v>468730</v>
      </c>
    </row>
    <row r="2109" spans="1:4" x14ac:dyDescent="0.3">
      <c r="A2109" s="1" t="str">
        <f>Pop[[#This Row],[State]]&amp;" "&amp;Pop[[#This Row],[County]]</f>
        <v>NY Rockland</v>
      </c>
      <c r="B2109" t="s">
        <v>177</v>
      </c>
      <c r="C2109" s="30" t="s">
        <v>1508</v>
      </c>
      <c r="D2109" s="16">
        <v>311687</v>
      </c>
    </row>
    <row r="2110" spans="1:4" x14ac:dyDescent="0.3">
      <c r="A2110" s="1" t="str">
        <f>Pop[[#This Row],[State]]&amp;" "&amp;Pop[[#This Row],[County]]</f>
        <v>NY Saratoga</v>
      </c>
      <c r="B2110" t="s">
        <v>177</v>
      </c>
      <c r="C2110" s="30" t="s">
        <v>1509</v>
      </c>
      <c r="D2110" s="16">
        <v>219607</v>
      </c>
    </row>
    <row r="2111" spans="1:4" x14ac:dyDescent="0.3">
      <c r="A2111" s="1" t="str">
        <f>Pop[[#This Row],[State]]&amp;" "&amp;Pop[[#This Row],[County]]</f>
        <v>NY Schenectady</v>
      </c>
      <c r="B2111" t="s">
        <v>177</v>
      </c>
      <c r="C2111" s="30" t="s">
        <v>1510</v>
      </c>
      <c r="D2111" s="16">
        <v>154727</v>
      </c>
    </row>
    <row r="2112" spans="1:4" x14ac:dyDescent="0.3">
      <c r="A2112" s="1" t="str">
        <f>Pop[[#This Row],[State]]&amp;" "&amp;Pop[[#This Row],[County]]</f>
        <v>NY Schoharie</v>
      </c>
      <c r="B2112" t="s">
        <v>177</v>
      </c>
      <c r="C2112" s="30" t="s">
        <v>1511</v>
      </c>
      <c r="D2112" s="16">
        <v>32749</v>
      </c>
    </row>
    <row r="2113" spans="1:4" x14ac:dyDescent="0.3">
      <c r="A2113" s="1" t="str">
        <f>Pop[[#This Row],[State]]&amp;" "&amp;Pop[[#This Row],[County]]</f>
        <v>NY Schuyler</v>
      </c>
      <c r="B2113" t="s">
        <v>177</v>
      </c>
      <c r="C2113" s="30" t="s">
        <v>822</v>
      </c>
      <c r="D2113" s="16">
        <v>18343</v>
      </c>
    </row>
    <row r="2114" spans="1:4" x14ac:dyDescent="0.3">
      <c r="A2114" s="1" t="str">
        <f>Pop[[#This Row],[State]]&amp;" "&amp;Pop[[#This Row],[County]]</f>
        <v>NY Seneca</v>
      </c>
      <c r="B2114" t="s">
        <v>177</v>
      </c>
      <c r="C2114" s="30" t="s">
        <v>1512</v>
      </c>
      <c r="D2114" s="16">
        <v>35251</v>
      </c>
    </row>
    <row r="2115" spans="1:4" x14ac:dyDescent="0.3">
      <c r="A2115" s="1" t="str">
        <f>Pop[[#This Row],[State]]&amp;" "&amp;Pop[[#This Row],[County]]</f>
        <v>NY St. Lawrence</v>
      </c>
      <c r="B2115" t="s">
        <v>177</v>
      </c>
      <c r="C2115" s="30" t="s">
        <v>1513</v>
      </c>
      <c r="D2115" s="16">
        <v>111944</v>
      </c>
    </row>
    <row r="2116" spans="1:4" x14ac:dyDescent="0.3">
      <c r="A2116" s="1" t="str">
        <f>Pop[[#This Row],[State]]&amp;" "&amp;Pop[[#This Row],[County]]</f>
        <v>NY Steuben</v>
      </c>
      <c r="B2116" t="s">
        <v>177</v>
      </c>
      <c r="C2116" s="30" t="s">
        <v>855</v>
      </c>
      <c r="D2116" s="16">
        <v>98990</v>
      </c>
    </row>
    <row r="2117" spans="1:4" x14ac:dyDescent="0.3">
      <c r="A2117" s="1" t="str">
        <f>Pop[[#This Row],[State]]&amp;" "&amp;Pop[[#This Row],[County]]</f>
        <v>NY Suffolk</v>
      </c>
      <c r="B2117" t="s">
        <v>177</v>
      </c>
      <c r="C2117" s="30" t="s">
        <v>1041</v>
      </c>
      <c r="D2117" s="16">
        <v>1493350</v>
      </c>
    </row>
    <row r="2118" spans="1:4" x14ac:dyDescent="0.3">
      <c r="A2118" s="1" t="str">
        <f>Pop[[#This Row],[State]]&amp;" "&amp;Pop[[#This Row],[County]]</f>
        <v>NY Sullivan</v>
      </c>
      <c r="B2118" t="s">
        <v>177</v>
      </c>
      <c r="C2118" s="30" t="s">
        <v>856</v>
      </c>
      <c r="D2118" s="16">
        <v>77547</v>
      </c>
    </row>
    <row r="2119" spans="1:4" x14ac:dyDescent="0.3">
      <c r="A2119" s="1" t="str">
        <f>Pop[[#This Row],[State]]&amp;" "&amp;Pop[[#This Row],[County]]</f>
        <v>NY Tioga</v>
      </c>
      <c r="B2119" t="s">
        <v>177</v>
      </c>
      <c r="C2119" s="30" t="s">
        <v>1514</v>
      </c>
      <c r="D2119" s="16">
        <v>51125</v>
      </c>
    </row>
    <row r="2120" spans="1:4" x14ac:dyDescent="0.3">
      <c r="A2120" s="1" t="str">
        <f>Pop[[#This Row],[State]]&amp;" "&amp;Pop[[#This Row],[County]]</f>
        <v>NY Tompkins</v>
      </c>
      <c r="B2120" t="s">
        <v>177</v>
      </c>
      <c r="C2120" s="30" t="s">
        <v>1515</v>
      </c>
      <c r="D2120" s="16">
        <v>101564</v>
      </c>
    </row>
    <row r="2121" spans="1:4" x14ac:dyDescent="0.3">
      <c r="A2121" s="1" t="str">
        <f>Pop[[#This Row],[State]]&amp;" "&amp;Pop[[#This Row],[County]]</f>
        <v>NY Ulster</v>
      </c>
      <c r="B2121" t="s">
        <v>177</v>
      </c>
      <c r="C2121" s="30" t="s">
        <v>1516</v>
      </c>
      <c r="D2121" s="16">
        <v>182493</v>
      </c>
    </row>
    <row r="2122" spans="1:4" x14ac:dyDescent="0.3">
      <c r="A2122" s="1" t="str">
        <f>Pop[[#This Row],[State]]&amp;" "&amp;Pop[[#This Row],[County]]</f>
        <v>NY Warren</v>
      </c>
      <c r="B2122" t="s">
        <v>177</v>
      </c>
      <c r="C2122" s="30" t="s">
        <v>690</v>
      </c>
      <c r="D2122" s="16">
        <v>65707</v>
      </c>
    </row>
    <row r="2123" spans="1:4" x14ac:dyDescent="0.3">
      <c r="A2123" s="1" t="str">
        <f>Pop[[#This Row],[State]]&amp;" "&amp;Pop[[#This Row],[County]]</f>
        <v>NY Washington</v>
      </c>
      <c r="B2123" t="s">
        <v>177</v>
      </c>
      <c r="C2123" s="30" t="s">
        <v>65</v>
      </c>
      <c r="D2123" s="16">
        <v>63216</v>
      </c>
    </row>
    <row r="2124" spans="1:4" x14ac:dyDescent="0.3">
      <c r="A2124" s="1" t="str">
        <f>Pop[[#This Row],[State]]&amp;" "&amp;Pop[[#This Row],[County]]</f>
        <v>NY Wayne</v>
      </c>
      <c r="B2124" t="s">
        <v>177</v>
      </c>
      <c r="C2124" s="30" t="s">
        <v>691</v>
      </c>
      <c r="D2124" s="16">
        <v>93772</v>
      </c>
    </row>
    <row r="2125" spans="1:4" x14ac:dyDescent="0.3">
      <c r="A2125" s="1" t="str">
        <f>Pop[[#This Row],[State]]&amp;" "&amp;Pop[[#This Row],[County]]</f>
        <v>NY Westchester</v>
      </c>
      <c r="B2125" t="s">
        <v>177</v>
      </c>
      <c r="C2125" s="30" t="s">
        <v>1517</v>
      </c>
      <c r="D2125" s="16">
        <v>949113</v>
      </c>
    </row>
    <row r="2126" spans="1:4" x14ac:dyDescent="0.3">
      <c r="A2126" s="1" t="str">
        <f>Pop[[#This Row],[State]]&amp;" "&amp;Pop[[#This Row],[County]]</f>
        <v>NY Wyoming</v>
      </c>
      <c r="B2126" t="s">
        <v>177</v>
      </c>
      <c r="C2126" s="30" t="s">
        <v>289</v>
      </c>
      <c r="D2126" s="16">
        <v>42155</v>
      </c>
    </row>
    <row r="2127" spans="1:4" x14ac:dyDescent="0.3">
      <c r="A2127" s="1" t="str">
        <f>Pop[[#This Row],[State]]&amp;" "&amp;Pop[[#This Row],[County]]</f>
        <v>NY Yates</v>
      </c>
      <c r="B2127" t="s">
        <v>177</v>
      </c>
      <c r="C2127" s="30" t="s">
        <v>1518</v>
      </c>
      <c r="D2127" s="16">
        <v>25348</v>
      </c>
    </row>
    <row r="2128" spans="1:4" x14ac:dyDescent="0.3">
      <c r="A2128" s="1" t="str">
        <f>Pop[[#This Row],[State]]&amp;" "&amp;Pop[[#This Row],[County]]</f>
        <v>NY State Agencies</v>
      </c>
      <c r="B2128" t="s">
        <v>177</v>
      </c>
      <c r="C2128" s="30" t="s">
        <v>243</v>
      </c>
      <c r="D2128" s="16" t="s">
        <v>244</v>
      </c>
    </row>
    <row r="2129" spans="1:4" x14ac:dyDescent="0.3">
      <c r="A2129" s="1" t="str">
        <f>Pop[[#This Row],[State]]&amp;" "&amp;Pop[[#This Row],[County]]</f>
        <v>NY Grand Total</v>
      </c>
      <c r="B2129" t="s">
        <v>177</v>
      </c>
      <c r="C2129" s="30" t="s">
        <v>67</v>
      </c>
      <c r="D2129" s="16">
        <v>19378102</v>
      </c>
    </row>
    <row r="2130" spans="1:4" x14ac:dyDescent="0.3">
      <c r="A2130" s="1" t="str">
        <f>Pop[[#This Row],[State]]&amp;" "&amp;Pop[[#This Row],[County]]</f>
        <v>OH Adams</v>
      </c>
      <c r="B2130" t="s">
        <v>241</v>
      </c>
      <c r="C2130" s="30" t="s">
        <v>478</v>
      </c>
      <c r="D2130" s="16">
        <v>27477</v>
      </c>
    </row>
    <row r="2131" spans="1:4" x14ac:dyDescent="0.3">
      <c r="A2131" s="1" t="str">
        <f>Pop[[#This Row],[State]]&amp;" "&amp;Pop[[#This Row],[County]]</f>
        <v>OH Allen</v>
      </c>
      <c r="B2131" t="s">
        <v>241</v>
      </c>
      <c r="C2131" s="30" t="s">
        <v>832</v>
      </c>
      <c r="D2131" s="16">
        <v>102206</v>
      </c>
    </row>
    <row r="2132" spans="1:4" x14ac:dyDescent="0.3">
      <c r="A2132" s="1" t="str">
        <f>Pop[[#This Row],[State]]&amp;" "&amp;Pop[[#This Row],[County]]</f>
        <v>OH Ashland</v>
      </c>
      <c r="B2132" t="s">
        <v>241</v>
      </c>
      <c r="C2132" s="30" t="s">
        <v>1519</v>
      </c>
      <c r="D2132" s="16">
        <v>52447</v>
      </c>
    </row>
    <row r="2133" spans="1:4" x14ac:dyDescent="0.3">
      <c r="A2133" s="1" t="str">
        <f>Pop[[#This Row],[State]]&amp;" "&amp;Pop[[#This Row],[County]]</f>
        <v>OH Ashtabula</v>
      </c>
      <c r="B2133" t="s">
        <v>241</v>
      </c>
      <c r="C2133" s="30" t="s">
        <v>1520</v>
      </c>
      <c r="D2133" s="16">
        <v>97574</v>
      </c>
    </row>
    <row r="2134" spans="1:4" x14ac:dyDescent="0.3">
      <c r="A2134" s="1" t="str">
        <f>Pop[[#This Row],[State]]&amp;" "&amp;Pop[[#This Row],[County]]</f>
        <v>OH Athens</v>
      </c>
      <c r="B2134" t="s">
        <v>241</v>
      </c>
      <c r="C2134" s="30" t="s">
        <v>1521</v>
      </c>
      <c r="D2134" s="16">
        <v>62431</v>
      </c>
    </row>
    <row r="2135" spans="1:4" x14ac:dyDescent="0.3">
      <c r="A2135" s="1" t="str">
        <f>Pop[[#This Row],[State]]&amp;" "&amp;Pop[[#This Row],[County]]</f>
        <v>OH Auglaize</v>
      </c>
      <c r="B2135" t="s">
        <v>241</v>
      </c>
      <c r="C2135" s="30" t="s">
        <v>1522</v>
      </c>
      <c r="D2135" s="16">
        <v>46422</v>
      </c>
    </row>
    <row r="2136" spans="1:4" x14ac:dyDescent="0.3">
      <c r="A2136" s="1" t="str">
        <f>Pop[[#This Row],[State]]&amp;" "&amp;Pop[[#This Row],[County]]</f>
        <v>OH Belmont</v>
      </c>
      <c r="B2136" t="s">
        <v>241</v>
      </c>
      <c r="C2136" s="30" t="s">
        <v>1523</v>
      </c>
      <c r="D2136" s="16">
        <v>66497</v>
      </c>
    </row>
    <row r="2137" spans="1:4" x14ac:dyDescent="0.3">
      <c r="A2137" s="1" t="str">
        <f>Pop[[#This Row],[State]]&amp;" "&amp;Pop[[#This Row],[County]]</f>
        <v>OH Brown</v>
      </c>
      <c r="B2137" t="s">
        <v>241</v>
      </c>
      <c r="C2137" s="30" t="s">
        <v>37</v>
      </c>
      <c r="D2137" s="16">
        <v>43676</v>
      </c>
    </row>
    <row r="2138" spans="1:4" x14ac:dyDescent="0.3">
      <c r="A2138" s="1" t="str">
        <f>Pop[[#This Row],[State]]&amp;" "&amp;Pop[[#This Row],[County]]</f>
        <v>OH Butler</v>
      </c>
      <c r="B2138" t="s">
        <v>241</v>
      </c>
      <c r="C2138" s="30" t="s">
        <v>267</v>
      </c>
      <c r="D2138" s="16">
        <v>390357</v>
      </c>
    </row>
    <row r="2139" spans="1:4" x14ac:dyDescent="0.3">
      <c r="A2139" s="1" t="str">
        <f>Pop[[#This Row],[State]]&amp;" "&amp;Pop[[#This Row],[County]]</f>
        <v>OH Carroll</v>
      </c>
      <c r="B2139" t="s">
        <v>241</v>
      </c>
      <c r="C2139" s="30" t="s">
        <v>357</v>
      </c>
      <c r="D2139" s="16">
        <v>26721</v>
      </c>
    </row>
    <row r="2140" spans="1:4" x14ac:dyDescent="0.3">
      <c r="A2140" s="1" t="str">
        <f>Pop[[#This Row],[State]]&amp;" "&amp;Pop[[#This Row],[County]]</f>
        <v>OH Champaign</v>
      </c>
      <c r="B2140" t="s">
        <v>241</v>
      </c>
      <c r="C2140" s="30" t="s">
        <v>787</v>
      </c>
      <c r="D2140" s="16">
        <v>38714</v>
      </c>
    </row>
    <row r="2141" spans="1:4" x14ac:dyDescent="0.3">
      <c r="A2141" s="1" t="str">
        <f>Pop[[#This Row],[State]]&amp;" "&amp;Pop[[#This Row],[County]]</f>
        <v>OH Clark</v>
      </c>
      <c r="B2141" t="s">
        <v>241</v>
      </c>
      <c r="C2141" s="30" t="s">
        <v>38</v>
      </c>
      <c r="D2141" s="16">
        <v>136001</v>
      </c>
    </row>
    <row r="2142" spans="1:4" x14ac:dyDescent="0.3">
      <c r="A2142" s="1" t="str">
        <f>Pop[[#This Row],[State]]&amp;" "&amp;Pop[[#This Row],[County]]</f>
        <v>OH Clermont</v>
      </c>
      <c r="B2142" t="s">
        <v>241</v>
      </c>
      <c r="C2142" s="30" t="s">
        <v>1524</v>
      </c>
      <c r="D2142" s="16">
        <v>208601</v>
      </c>
    </row>
    <row r="2143" spans="1:4" x14ac:dyDescent="0.3">
      <c r="A2143" s="1" t="str">
        <f>Pop[[#This Row],[State]]&amp;" "&amp;Pop[[#This Row],[County]]</f>
        <v>OH Clinton</v>
      </c>
      <c r="B2143" t="s">
        <v>241</v>
      </c>
      <c r="C2143" s="30" t="s">
        <v>715</v>
      </c>
      <c r="D2143" s="16">
        <v>42018</v>
      </c>
    </row>
    <row r="2144" spans="1:4" x14ac:dyDescent="0.3">
      <c r="A2144" s="1" t="str">
        <f>Pop[[#This Row],[State]]&amp;" "&amp;Pop[[#This Row],[County]]</f>
        <v>OH Columbiana</v>
      </c>
      <c r="B2144" t="s">
        <v>241</v>
      </c>
      <c r="C2144" s="30" t="s">
        <v>1525</v>
      </c>
      <c r="D2144" s="16">
        <v>101877</v>
      </c>
    </row>
    <row r="2145" spans="1:4" x14ac:dyDescent="0.3">
      <c r="A2145" s="1" t="str">
        <f>Pop[[#This Row],[State]]&amp;" "&amp;Pop[[#This Row],[County]]</f>
        <v>OH Coshocton</v>
      </c>
      <c r="B2145" t="s">
        <v>241</v>
      </c>
      <c r="C2145" s="30" t="s">
        <v>1526</v>
      </c>
      <c r="D2145" s="16">
        <v>36612</v>
      </c>
    </row>
    <row r="2146" spans="1:4" x14ac:dyDescent="0.3">
      <c r="A2146" s="1" t="str">
        <f>Pop[[#This Row],[State]]&amp;" "&amp;Pop[[#This Row],[County]]</f>
        <v>OH Crawford</v>
      </c>
      <c r="B2146" t="s">
        <v>241</v>
      </c>
      <c r="C2146" s="30" t="s">
        <v>40</v>
      </c>
      <c r="D2146" s="16">
        <v>42025</v>
      </c>
    </row>
    <row r="2147" spans="1:4" x14ac:dyDescent="0.3">
      <c r="A2147" s="1" t="str">
        <f>Pop[[#This Row],[State]]&amp;" "&amp;Pop[[#This Row],[County]]</f>
        <v>OH Cuyahoga</v>
      </c>
      <c r="B2147" t="s">
        <v>241</v>
      </c>
      <c r="C2147" s="30" t="s">
        <v>1527</v>
      </c>
      <c r="D2147" s="54">
        <v>1264817</v>
      </c>
    </row>
    <row r="2148" spans="1:4" x14ac:dyDescent="0.3">
      <c r="A2148" s="1" t="str">
        <f>Pop[[#This Row],[State]]&amp;" "&amp;Pop[[#This Row],[County]]</f>
        <v>OH Darke</v>
      </c>
      <c r="B2148" t="s">
        <v>241</v>
      </c>
      <c r="C2148" s="30" t="s">
        <v>1528</v>
      </c>
      <c r="D2148" s="16">
        <v>51881</v>
      </c>
    </row>
    <row r="2149" spans="1:4" x14ac:dyDescent="0.3">
      <c r="A2149" s="1" t="str">
        <f>Pop[[#This Row],[State]]&amp;" "&amp;Pop[[#This Row],[County]]</f>
        <v>OH Defiance</v>
      </c>
      <c r="B2149" t="s">
        <v>241</v>
      </c>
      <c r="C2149" s="30" t="s">
        <v>1529</v>
      </c>
      <c r="D2149" s="16">
        <v>38286</v>
      </c>
    </row>
    <row r="2150" spans="1:4" x14ac:dyDescent="0.3">
      <c r="A2150" s="1" t="str">
        <f>Pop[[#This Row],[State]]&amp;" "&amp;Pop[[#This Row],[County]]</f>
        <v>OH Delaware</v>
      </c>
      <c r="B2150" t="s">
        <v>241</v>
      </c>
      <c r="C2150" s="30" t="s">
        <v>191</v>
      </c>
      <c r="D2150" s="16">
        <v>214124</v>
      </c>
    </row>
    <row r="2151" spans="1:4" x14ac:dyDescent="0.3">
      <c r="A2151" s="1" t="str">
        <f>Pop[[#This Row],[State]]&amp;" "&amp;Pop[[#This Row],[County]]</f>
        <v>OH Erie</v>
      </c>
      <c r="B2151" t="s">
        <v>241</v>
      </c>
      <c r="C2151" s="30" t="s">
        <v>1500</v>
      </c>
      <c r="D2151" s="16">
        <v>75622</v>
      </c>
    </row>
    <row r="2152" spans="1:4" x14ac:dyDescent="0.3">
      <c r="A2152" s="1" t="str">
        <f>Pop[[#This Row],[State]]&amp;" "&amp;Pop[[#This Row],[County]]</f>
        <v>OH Fairfield</v>
      </c>
      <c r="B2152" t="s">
        <v>241</v>
      </c>
      <c r="C2152" s="30" t="s">
        <v>533</v>
      </c>
      <c r="D2152" s="16">
        <v>158921</v>
      </c>
    </row>
    <row r="2153" spans="1:4" x14ac:dyDescent="0.3">
      <c r="A2153" s="1" t="str">
        <f>Pop[[#This Row],[State]]&amp;" "&amp;Pop[[#This Row],[County]]</f>
        <v>OH Fayette</v>
      </c>
      <c r="B2153" t="s">
        <v>241</v>
      </c>
      <c r="C2153" s="30" t="s">
        <v>326</v>
      </c>
      <c r="D2153" s="16">
        <v>28951</v>
      </c>
    </row>
    <row r="2154" spans="1:4" x14ac:dyDescent="0.3">
      <c r="A2154" s="1" t="str">
        <f>Pop[[#This Row],[State]]&amp;" "&amp;Pop[[#This Row],[County]]</f>
        <v>OH Franklin</v>
      </c>
      <c r="B2154" t="s">
        <v>241</v>
      </c>
      <c r="C2154" s="30" t="s">
        <v>43</v>
      </c>
      <c r="D2154" s="16">
        <v>1323807</v>
      </c>
    </row>
    <row r="2155" spans="1:4" x14ac:dyDescent="0.3">
      <c r="A2155" s="1" t="str">
        <f>Pop[[#This Row],[State]]&amp;" "&amp;Pop[[#This Row],[County]]</f>
        <v>OH Fulton</v>
      </c>
      <c r="B2155" t="s">
        <v>241</v>
      </c>
      <c r="C2155" s="30" t="s">
        <v>368</v>
      </c>
      <c r="D2155" s="16">
        <v>42713</v>
      </c>
    </row>
    <row r="2156" spans="1:4" x14ac:dyDescent="0.3">
      <c r="A2156" s="1" t="str">
        <f>Pop[[#This Row],[State]]&amp;" "&amp;Pop[[#This Row],[County]]</f>
        <v>OH Gallia</v>
      </c>
      <c r="B2156" t="s">
        <v>241</v>
      </c>
      <c r="C2156" s="30" t="s">
        <v>1530</v>
      </c>
      <c r="D2156" s="16">
        <v>29220</v>
      </c>
    </row>
    <row r="2157" spans="1:4" x14ac:dyDescent="0.3">
      <c r="A2157" s="1" t="str">
        <f>Pop[[#This Row],[State]]&amp;" "&amp;Pop[[#This Row],[County]]</f>
        <v>OH Geauga</v>
      </c>
      <c r="B2157" t="s">
        <v>241</v>
      </c>
      <c r="C2157" s="30" t="s">
        <v>1531</v>
      </c>
      <c r="D2157" s="54">
        <v>95397</v>
      </c>
    </row>
    <row r="2158" spans="1:4" x14ac:dyDescent="0.3">
      <c r="A2158" s="1" t="str">
        <f>Pop[[#This Row],[State]]&amp;" "&amp;Pop[[#This Row],[County]]</f>
        <v>OH Greene</v>
      </c>
      <c r="B2158" t="s">
        <v>241</v>
      </c>
      <c r="C2158" s="30" t="s">
        <v>44</v>
      </c>
      <c r="D2158" s="16">
        <v>167966</v>
      </c>
    </row>
    <row r="2159" spans="1:4" x14ac:dyDescent="0.3">
      <c r="A2159" s="1" t="str">
        <f>Pop[[#This Row],[State]]&amp;" "&amp;Pop[[#This Row],[County]]</f>
        <v>OH Guernsey</v>
      </c>
      <c r="B2159" t="s">
        <v>241</v>
      </c>
      <c r="C2159" s="30" t="s">
        <v>1532</v>
      </c>
      <c r="D2159" s="16">
        <v>38438</v>
      </c>
    </row>
    <row r="2160" spans="1:4" x14ac:dyDescent="0.3">
      <c r="A2160" s="1" t="str">
        <f>Pop[[#This Row],[State]]&amp;" "&amp;Pop[[#This Row],[County]]</f>
        <v>OH Hamilton</v>
      </c>
      <c r="B2160" t="s">
        <v>241</v>
      </c>
      <c r="C2160" s="30" t="s">
        <v>561</v>
      </c>
      <c r="D2160" s="16">
        <v>830639</v>
      </c>
    </row>
    <row r="2161" spans="1:4" x14ac:dyDescent="0.3">
      <c r="A2161" s="1" t="str">
        <f>Pop[[#This Row],[State]]&amp;" "&amp;Pop[[#This Row],[County]]</f>
        <v>OH Hancock</v>
      </c>
      <c r="B2161" t="s">
        <v>241</v>
      </c>
      <c r="C2161" s="30" t="s">
        <v>641</v>
      </c>
      <c r="D2161" s="16">
        <v>74920</v>
      </c>
    </row>
    <row r="2162" spans="1:4" x14ac:dyDescent="0.3">
      <c r="A2162" s="1" t="str">
        <f>Pop[[#This Row],[State]]&amp;" "&amp;Pop[[#This Row],[County]]</f>
        <v>OH Hardin</v>
      </c>
      <c r="B2162" t="s">
        <v>241</v>
      </c>
      <c r="C2162" s="30" t="s">
        <v>723</v>
      </c>
      <c r="D2162" s="16">
        <v>30696</v>
      </c>
    </row>
    <row r="2163" spans="1:4" x14ac:dyDescent="0.3">
      <c r="A2163" s="1" t="str">
        <f>Pop[[#This Row],[State]]&amp;" "&amp;Pop[[#This Row],[County]]</f>
        <v>OH Harrison</v>
      </c>
      <c r="B2163" t="s">
        <v>241</v>
      </c>
      <c r="C2163" s="30" t="s">
        <v>45</v>
      </c>
      <c r="D2163" s="16">
        <v>14483</v>
      </c>
    </row>
    <row r="2164" spans="1:4" x14ac:dyDescent="0.3">
      <c r="A2164" s="1" t="str">
        <f>Pop[[#This Row],[State]]&amp;" "&amp;Pop[[#This Row],[County]]</f>
        <v>OH Henry</v>
      </c>
      <c r="B2164" t="s">
        <v>241</v>
      </c>
      <c r="C2164" s="30" t="s">
        <v>329</v>
      </c>
      <c r="D2164" s="16">
        <v>27662</v>
      </c>
    </row>
    <row r="2165" spans="1:4" x14ac:dyDescent="0.3">
      <c r="A2165" s="1" t="str">
        <f>Pop[[#This Row],[State]]&amp;" "&amp;Pop[[#This Row],[County]]</f>
        <v>OH Highland</v>
      </c>
      <c r="B2165" t="s">
        <v>241</v>
      </c>
      <c r="C2165" s="30" t="s">
        <v>1533</v>
      </c>
      <c r="D2165" s="16">
        <v>43317</v>
      </c>
    </row>
    <row r="2166" spans="1:4" x14ac:dyDescent="0.3">
      <c r="A2166" s="1" t="str">
        <f>Pop[[#This Row],[State]]&amp;" "&amp;Pop[[#This Row],[County]]</f>
        <v>OH Hocking</v>
      </c>
      <c r="B2166" t="s">
        <v>241</v>
      </c>
      <c r="C2166" s="30" t="s">
        <v>1534</v>
      </c>
      <c r="D2166" s="16">
        <v>28050</v>
      </c>
    </row>
    <row r="2167" spans="1:4" x14ac:dyDescent="0.3">
      <c r="A2167" s="1" t="str">
        <f>Pop[[#This Row],[State]]&amp;" "&amp;Pop[[#This Row],[County]]</f>
        <v>OH Holmes</v>
      </c>
      <c r="B2167" t="s">
        <v>241</v>
      </c>
      <c r="C2167" s="30" t="s">
        <v>567</v>
      </c>
      <c r="D2167" s="16">
        <v>44223</v>
      </c>
    </row>
    <row r="2168" spans="1:4" x14ac:dyDescent="0.3">
      <c r="A2168" s="1" t="str">
        <f>Pop[[#This Row],[State]]&amp;" "&amp;Pop[[#This Row],[County]]</f>
        <v>OH Huron</v>
      </c>
      <c r="B2168" t="s">
        <v>241</v>
      </c>
      <c r="C2168" s="30" t="s">
        <v>1090</v>
      </c>
      <c r="D2168" s="16">
        <v>58565</v>
      </c>
    </row>
    <row r="2169" spans="1:4" x14ac:dyDescent="0.3">
      <c r="A2169" s="1" t="str">
        <f>Pop[[#This Row],[State]]&amp;" "&amp;Pop[[#This Row],[County]]</f>
        <v>OH Jackson</v>
      </c>
      <c r="B2169" t="s">
        <v>241</v>
      </c>
      <c r="C2169" s="30" t="s">
        <v>46</v>
      </c>
      <c r="D2169" s="16">
        <v>32653</v>
      </c>
    </row>
    <row r="2170" spans="1:4" x14ac:dyDescent="0.3">
      <c r="A2170" s="1" t="str">
        <f>Pop[[#This Row],[State]]&amp;" "&amp;Pop[[#This Row],[County]]</f>
        <v>OH Jefferson</v>
      </c>
      <c r="B2170" t="s">
        <v>241</v>
      </c>
      <c r="C2170" s="30" t="s">
        <v>47</v>
      </c>
      <c r="D2170" s="16">
        <v>65249</v>
      </c>
    </row>
    <row r="2171" spans="1:4" x14ac:dyDescent="0.3">
      <c r="A2171" s="1" t="str">
        <f>Pop[[#This Row],[State]]&amp;" "&amp;Pop[[#This Row],[County]]</f>
        <v>OH Knox</v>
      </c>
      <c r="B2171" t="s">
        <v>241</v>
      </c>
      <c r="C2171" s="30" t="s">
        <v>804</v>
      </c>
      <c r="D2171" s="16">
        <v>62721</v>
      </c>
    </row>
    <row r="2172" spans="1:4" x14ac:dyDescent="0.3">
      <c r="A2172" s="1" t="str">
        <f>Pop[[#This Row],[State]]&amp;" "&amp;Pop[[#This Row],[County]]</f>
        <v>OH Lake</v>
      </c>
      <c r="B2172" t="s">
        <v>241</v>
      </c>
      <c r="C2172" s="30" t="s">
        <v>439</v>
      </c>
      <c r="D2172" s="54">
        <v>232603</v>
      </c>
    </row>
    <row r="2173" spans="1:4" x14ac:dyDescent="0.3">
      <c r="A2173" s="1" t="str">
        <f>Pop[[#This Row],[State]]&amp;" "&amp;Pop[[#This Row],[County]]</f>
        <v>OH Lawrence</v>
      </c>
      <c r="B2173" t="s">
        <v>241</v>
      </c>
      <c r="C2173" s="30" t="s">
        <v>48</v>
      </c>
      <c r="D2173" s="16">
        <v>58240</v>
      </c>
    </row>
    <row r="2174" spans="1:4" x14ac:dyDescent="0.3">
      <c r="A2174" s="1" t="str">
        <f>Pop[[#This Row],[State]]&amp;" "&amp;Pop[[#This Row],[County]]</f>
        <v>OH Licking</v>
      </c>
      <c r="B2174" t="s">
        <v>241</v>
      </c>
      <c r="C2174" s="30" t="s">
        <v>1535</v>
      </c>
      <c r="D2174" s="16">
        <v>178519</v>
      </c>
    </row>
    <row r="2175" spans="1:4" x14ac:dyDescent="0.3">
      <c r="A2175" s="1" t="str">
        <f>Pop[[#This Row],[State]]&amp;" "&amp;Pop[[#This Row],[County]]</f>
        <v>OH Logan</v>
      </c>
      <c r="B2175" t="s">
        <v>241</v>
      </c>
      <c r="C2175" s="30" t="s">
        <v>380</v>
      </c>
      <c r="D2175" s="16">
        <v>46150</v>
      </c>
    </row>
    <row r="2176" spans="1:4" x14ac:dyDescent="0.3">
      <c r="A2176" s="1" t="str">
        <f>Pop[[#This Row],[State]]&amp;" "&amp;Pop[[#This Row],[County]]</f>
        <v>OH Lorain</v>
      </c>
      <c r="B2176" t="s">
        <v>241</v>
      </c>
      <c r="C2176" s="30" t="s">
        <v>1536</v>
      </c>
      <c r="D2176" s="16">
        <v>312964</v>
      </c>
    </row>
    <row r="2177" spans="1:4" x14ac:dyDescent="0.3">
      <c r="A2177" s="1" t="str">
        <f>Pop[[#This Row],[State]]&amp;" "&amp;Pop[[#This Row],[County]]</f>
        <v>OH Lucas</v>
      </c>
      <c r="B2177" t="s">
        <v>241</v>
      </c>
      <c r="C2177" s="30" t="s">
        <v>729</v>
      </c>
      <c r="D2177" s="16">
        <v>431279</v>
      </c>
    </row>
    <row r="2178" spans="1:4" x14ac:dyDescent="0.3">
      <c r="A2178" s="1" t="str">
        <f>Pop[[#This Row],[State]]&amp;" "&amp;Pop[[#This Row],[County]]</f>
        <v>OH Madison</v>
      </c>
      <c r="B2178" t="s">
        <v>241</v>
      </c>
      <c r="C2178" s="30" t="s">
        <v>49</v>
      </c>
      <c r="D2178" s="16">
        <v>43824</v>
      </c>
    </row>
    <row r="2179" spans="1:4" x14ac:dyDescent="0.3">
      <c r="A2179" s="1" t="str">
        <f>Pop[[#This Row],[State]]&amp;" "&amp;Pop[[#This Row],[County]]</f>
        <v>OH Mahoning</v>
      </c>
      <c r="B2179" t="s">
        <v>241</v>
      </c>
      <c r="C2179" s="30" t="s">
        <v>1537</v>
      </c>
      <c r="D2179" s="16">
        <v>228614</v>
      </c>
    </row>
    <row r="2180" spans="1:4" x14ac:dyDescent="0.3">
      <c r="A2180" s="1" t="str">
        <f>Pop[[#This Row],[State]]&amp;" "&amp;Pop[[#This Row],[County]]</f>
        <v>OH Marion</v>
      </c>
      <c r="B2180" t="s">
        <v>241</v>
      </c>
      <c r="C2180" s="30" t="s">
        <v>50</v>
      </c>
      <c r="D2180" s="16">
        <v>65359</v>
      </c>
    </row>
    <row r="2181" spans="1:4" x14ac:dyDescent="0.3">
      <c r="A2181" s="1" t="str">
        <f>Pop[[#This Row],[State]]&amp;" "&amp;Pop[[#This Row],[County]]</f>
        <v>OH Medina</v>
      </c>
      <c r="B2181" t="s">
        <v>241</v>
      </c>
      <c r="C2181" s="30" t="s">
        <v>1538</v>
      </c>
      <c r="D2181" s="16">
        <v>182470</v>
      </c>
    </row>
    <row r="2182" spans="1:4" x14ac:dyDescent="0.3">
      <c r="A2182" s="1" t="str">
        <f>Pop[[#This Row],[State]]&amp;" "&amp;Pop[[#This Row],[County]]</f>
        <v>OH Meigs</v>
      </c>
      <c r="B2182" t="s">
        <v>241</v>
      </c>
      <c r="C2182" s="30" t="s">
        <v>1539</v>
      </c>
      <c r="D2182" s="16">
        <v>22210</v>
      </c>
    </row>
    <row r="2183" spans="1:4" x14ac:dyDescent="0.3">
      <c r="A2183" s="1" t="str">
        <f>Pop[[#This Row],[State]]&amp;" "&amp;Pop[[#This Row],[County]]</f>
        <v>OH Mercer</v>
      </c>
      <c r="B2183" t="s">
        <v>241</v>
      </c>
      <c r="C2183" s="30" t="s">
        <v>814</v>
      </c>
      <c r="D2183" s="16">
        <v>42528</v>
      </c>
    </row>
    <row r="2184" spans="1:4" x14ac:dyDescent="0.3">
      <c r="A2184" s="1" t="str">
        <f>Pop[[#This Row],[State]]&amp;" "&amp;Pop[[#This Row],[County]]</f>
        <v>OH Miami</v>
      </c>
      <c r="B2184" t="s">
        <v>241</v>
      </c>
      <c r="C2184" s="30" t="s">
        <v>847</v>
      </c>
      <c r="D2184" s="16">
        <v>108774</v>
      </c>
    </row>
    <row r="2185" spans="1:4" x14ac:dyDescent="0.3">
      <c r="A2185" s="1" t="str">
        <f>Pop[[#This Row],[State]]&amp;" "&amp;Pop[[#This Row],[County]]</f>
        <v>OH Monroe</v>
      </c>
      <c r="B2185" t="s">
        <v>241</v>
      </c>
      <c r="C2185" s="30" t="s">
        <v>339</v>
      </c>
      <c r="D2185" s="16">
        <v>13385</v>
      </c>
    </row>
    <row r="2186" spans="1:4" x14ac:dyDescent="0.3">
      <c r="A2186" s="1" t="str">
        <f>Pop[[#This Row],[State]]&amp;" "&amp;Pop[[#This Row],[County]]</f>
        <v>OH Montgomery</v>
      </c>
      <c r="B2186" t="s">
        <v>241</v>
      </c>
      <c r="C2186" s="30" t="s">
        <v>53</v>
      </c>
      <c r="D2186" s="16">
        <v>537309</v>
      </c>
    </row>
    <row r="2187" spans="1:4" x14ac:dyDescent="0.3">
      <c r="A2187" s="1" t="str">
        <f>Pop[[#This Row],[State]]&amp;" "&amp;Pop[[#This Row],[County]]</f>
        <v>OH Morgan</v>
      </c>
      <c r="B2187" t="s">
        <v>241</v>
      </c>
      <c r="C2187" s="30" t="s">
        <v>54</v>
      </c>
      <c r="D2187" s="16">
        <v>13802</v>
      </c>
    </row>
    <row r="2188" spans="1:4" x14ac:dyDescent="0.3">
      <c r="A2188" s="1" t="str">
        <f>Pop[[#This Row],[State]]&amp;" "&amp;Pop[[#This Row],[County]]</f>
        <v>OH Morrow</v>
      </c>
      <c r="B2188" t="s">
        <v>241</v>
      </c>
      <c r="C2188" s="30" t="s">
        <v>1540</v>
      </c>
      <c r="D2188" s="16">
        <v>34950</v>
      </c>
    </row>
    <row r="2189" spans="1:4" x14ac:dyDescent="0.3">
      <c r="A2189" s="1" t="str">
        <f>Pop[[#This Row],[State]]&amp;" "&amp;Pop[[#This Row],[County]]</f>
        <v>OH Muskingum</v>
      </c>
      <c r="B2189" t="s">
        <v>241</v>
      </c>
      <c r="C2189" s="30" t="s">
        <v>1541</v>
      </c>
      <c r="D2189" s="16">
        <v>86410</v>
      </c>
    </row>
    <row r="2190" spans="1:4" x14ac:dyDescent="0.3">
      <c r="A2190" s="1" t="str">
        <f>Pop[[#This Row],[State]]&amp;" "&amp;Pop[[#This Row],[County]]</f>
        <v>OH Noble</v>
      </c>
      <c r="B2190" t="s">
        <v>241</v>
      </c>
      <c r="C2190" s="30" t="s">
        <v>848</v>
      </c>
      <c r="D2190" s="16">
        <v>14115</v>
      </c>
    </row>
    <row r="2191" spans="1:4" x14ac:dyDescent="0.3">
      <c r="A2191" s="1" t="str">
        <f>Pop[[#This Row],[State]]&amp;" "&amp;Pop[[#This Row],[County]]</f>
        <v>OH Ottawa</v>
      </c>
      <c r="B2191" t="s">
        <v>241</v>
      </c>
      <c r="C2191" s="30" t="s">
        <v>903</v>
      </c>
      <c r="D2191" s="16">
        <v>40364</v>
      </c>
    </row>
    <row r="2192" spans="1:4" x14ac:dyDescent="0.3">
      <c r="A2192" s="1" t="str">
        <f>Pop[[#This Row],[State]]&amp;" "&amp;Pop[[#This Row],[County]]</f>
        <v>OH Paulding</v>
      </c>
      <c r="B2192" t="s">
        <v>241</v>
      </c>
      <c r="C2192" s="30" t="s">
        <v>663</v>
      </c>
      <c r="D2192" s="16">
        <v>18806</v>
      </c>
    </row>
    <row r="2193" spans="1:4" x14ac:dyDescent="0.3">
      <c r="A2193" s="1" t="str">
        <f>Pop[[#This Row],[State]]&amp;" "&amp;Pop[[#This Row],[County]]</f>
        <v>OH Perry</v>
      </c>
      <c r="B2193" t="s">
        <v>241</v>
      </c>
      <c r="C2193" s="30" t="s">
        <v>58</v>
      </c>
      <c r="D2193" s="16">
        <v>35408</v>
      </c>
    </row>
    <row r="2194" spans="1:4" x14ac:dyDescent="0.3">
      <c r="A2194" s="1" t="str">
        <f>Pop[[#This Row],[State]]&amp;" "&amp;Pop[[#This Row],[County]]</f>
        <v>OH Pickaway</v>
      </c>
      <c r="B2194" t="s">
        <v>241</v>
      </c>
      <c r="C2194" s="30" t="s">
        <v>1542</v>
      </c>
      <c r="D2194" s="16">
        <v>58539</v>
      </c>
    </row>
    <row r="2195" spans="1:4" x14ac:dyDescent="0.3">
      <c r="A2195" s="1" t="str">
        <f>Pop[[#This Row],[State]]&amp;" "&amp;Pop[[#This Row],[County]]</f>
        <v>OH Pike</v>
      </c>
      <c r="B2195" t="s">
        <v>241</v>
      </c>
      <c r="C2195" s="30" t="s">
        <v>341</v>
      </c>
      <c r="D2195" s="16">
        <v>27088</v>
      </c>
    </row>
    <row r="2196" spans="1:4" x14ac:dyDescent="0.3">
      <c r="A2196" s="1" t="str">
        <f>Pop[[#This Row],[State]]&amp;" "&amp;Pop[[#This Row],[County]]</f>
        <v>OH Portage</v>
      </c>
      <c r="B2196" t="s">
        <v>241</v>
      </c>
      <c r="C2196" s="30" t="s">
        <v>1543</v>
      </c>
      <c r="D2196" s="16">
        <v>161791</v>
      </c>
    </row>
    <row r="2197" spans="1:4" x14ac:dyDescent="0.3">
      <c r="A2197" s="1" t="str">
        <f>Pop[[#This Row],[State]]&amp;" "&amp;Pop[[#This Row],[County]]</f>
        <v>OH Preble</v>
      </c>
      <c r="B2197" t="s">
        <v>241</v>
      </c>
      <c r="C2197" s="30" t="s">
        <v>1544</v>
      </c>
      <c r="D2197" s="16">
        <v>40999</v>
      </c>
    </row>
    <row r="2198" spans="1:4" x14ac:dyDescent="0.3">
      <c r="A2198" s="1" t="str">
        <f>Pop[[#This Row],[State]]&amp;" "&amp;Pop[[#This Row],[County]]</f>
        <v>OH Putnam</v>
      </c>
      <c r="B2198" t="s">
        <v>241</v>
      </c>
      <c r="C2198" s="30" t="s">
        <v>581</v>
      </c>
      <c r="D2198" s="16">
        <v>34451</v>
      </c>
    </row>
    <row r="2199" spans="1:4" x14ac:dyDescent="0.3">
      <c r="A2199" s="1" t="str">
        <f>Pop[[#This Row],[State]]&amp;" "&amp;Pop[[#This Row],[County]]</f>
        <v>OH Richland</v>
      </c>
      <c r="B2199" t="s">
        <v>241</v>
      </c>
      <c r="C2199" s="30" t="s">
        <v>819</v>
      </c>
      <c r="D2199" s="16">
        <v>124936</v>
      </c>
    </row>
    <row r="2200" spans="1:4" x14ac:dyDescent="0.3">
      <c r="A2200" s="1" t="str">
        <f>Pop[[#This Row],[State]]&amp;" "&amp;Pop[[#This Row],[County]]</f>
        <v>OH Ross</v>
      </c>
      <c r="B2200" t="s">
        <v>241</v>
      </c>
      <c r="C2200" s="30" t="s">
        <v>1545</v>
      </c>
      <c r="D2200" s="16">
        <v>77093</v>
      </c>
    </row>
    <row r="2201" spans="1:4" x14ac:dyDescent="0.3">
      <c r="A2201" s="1" t="str">
        <f>Pop[[#This Row],[State]]&amp;" "&amp;Pop[[#This Row],[County]]</f>
        <v>OH Sandusky</v>
      </c>
      <c r="B2201" t="s">
        <v>241</v>
      </c>
      <c r="C2201" s="30" t="s">
        <v>1546</v>
      </c>
      <c r="D2201" s="16">
        <v>58896</v>
      </c>
    </row>
    <row r="2202" spans="1:4" x14ac:dyDescent="0.3">
      <c r="A2202" s="1" t="str">
        <f>Pop[[#This Row],[State]]&amp;" "&amp;Pop[[#This Row],[County]]</f>
        <v>OH Scioto</v>
      </c>
      <c r="B2202" t="s">
        <v>241</v>
      </c>
      <c r="C2202" s="30" t="s">
        <v>1547</v>
      </c>
      <c r="D2202" s="16">
        <v>74008</v>
      </c>
    </row>
    <row r="2203" spans="1:4" x14ac:dyDescent="0.3">
      <c r="A2203" s="1" t="str">
        <f>Pop[[#This Row],[State]]&amp;" "&amp;Pop[[#This Row],[County]]</f>
        <v>OH Seneca</v>
      </c>
      <c r="B2203" t="s">
        <v>241</v>
      </c>
      <c r="C2203" s="30" t="s">
        <v>1512</v>
      </c>
      <c r="D2203" s="16">
        <v>55069</v>
      </c>
    </row>
    <row r="2204" spans="1:4" x14ac:dyDescent="0.3">
      <c r="A2204" s="1" t="str">
        <f>Pop[[#This Row],[State]]&amp;" "&amp;Pop[[#This Row],[County]]</f>
        <v>OH Shelby</v>
      </c>
      <c r="B2204" t="s">
        <v>241</v>
      </c>
      <c r="C2204" s="30" t="s">
        <v>59</v>
      </c>
      <c r="D2204" s="16">
        <v>48230</v>
      </c>
    </row>
    <row r="2205" spans="1:4" x14ac:dyDescent="0.3">
      <c r="A2205" s="1" t="str">
        <f>Pop[[#This Row],[State]]&amp;" "&amp;Pop[[#This Row],[County]]</f>
        <v>OH Stark</v>
      </c>
      <c r="B2205" t="s">
        <v>241</v>
      </c>
      <c r="C2205" s="30" t="s">
        <v>823</v>
      </c>
      <c r="D2205" s="16">
        <v>374853</v>
      </c>
    </row>
    <row r="2206" spans="1:4" x14ac:dyDescent="0.3">
      <c r="A2206" s="1" t="str">
        <f>Pop[[#This Row],[State]]&amp;" "&amp;Pop[[#This Row],[County]]</f>
        <v>OH Summit</v>
      </c>
      <c r="B2206" t="s">
        <v>241</v>
      </c>
      <c r="C2206" s="30" t="s">
        <v>530</v>
      </c>
      <c r="D2206" s="16">
        <v>540428</v>
      </c>
    </row>
    <row r="2207" spans="1:4" x14ac:dyDescent="0.3">
      <c r="A2207" s="1" t="str">
        <f>Pop[[#This Row],[State]]&amp;" "&amp;Pop[[#This Row],[County]]</f>
        <v>OH Trumbull</v>
      </c>
      <c r="B2207" t="s">
        <v>241</v>
      </c>
      <c r="C2207" s="30" t="s">
        <v>1548</v>
      </c>
      <c r="D2207" s="54">
        <v>201977</v>
      </c>
    </row>
    <row r="2208" spans="1:4" x14ac:dyDescent="0.3">
      <c r="A2208" s="1" t="str">
        <f>Pop[[#This Row],[State]]&amp;" "&amp;Pop[[#This Row],[County]]</f>
        <v>OH Tuscarawas</v>
      </c>
      <c r="B2208" t="s">
        <v>241</v>
      </c>
      <c r="C2208" s="30" t="s">
        <v>1549</v>
      </c>
      <c r="D2208" s="16">
        <v>93263</v>
      </c>
    </row>
    <row r="2209" spans="1:4" x14ac:dyDescent="0.3">
      <c r="A2209" s="1" t="str">
        <f>Pop[[#This Row],[State]]&amp;" "&amp;Pop[[#This Row],[County]]</f>
        <v>OH Union</v>
      </c>
      <c r="B2209" t="s">
        <v>241</v>
      </c>
      <c r="C2209" s="30" t="s">
        <v>399</v>
      </c>
      <c r="D2209" s="16">
        <v>62784</v>
      </c>
    </row>
    <row r="2210" spans="1:4" x14ac:dyDescent="0.3">
      <c r="A2210" s="1" t="str">
        <f>Pop[[#This Row],[State]]&amp;" "&amp;Pop[[#This Row],[County]]</f>
        <v>OH Van Wert</v>
      </c>
      <c r="B2210" t="s">
        <v>241</v>
      </c>
      <c r="C2210" s="30" t="s">
        <v>1550</v>
      </c>
      <c r="D2210" s="16">
        <v>28931</v>
      </c>
    </row>
    <row r="2211" spans="1:4" x14ac:dyDescent="0.3">
      <c r="A2211" s="1" t="str">
        <f>Pop[[#This Row],[State]]&amp;" "&amp;Pop[[#This Row],[County]]</f>
        <v>OH Vinton</v>
      </c>
      <c r="B2211" t="s">
        <v>241</v>
      </c>
      <c r="C2211" s="30" t="s">
        <v>1551</v>
      </c>
      <c r="D2211" s="16">
        <v>12800</v>
      </c>
    </row>
    <row r="2212" spans="1:4" x14ac:dyDescent="0.3">
      <c r="A2212" s="1" t="str">
        <f>Pop[[#This Row],[State]]&amp;" "&amp;Pop[[#This Row],[County]]</f>
        <v>OH Warren</v>
      </c>
      <c r="B2212" t="s">
        <v>241</v>
      </c>
      <c r="C2212" s="30" t="s">
        <v>690</v>
      </c>
      <c r="D2212" s="16">
        <v>242337</v>
      </c>
    </row>
    <row r="2213" spans="1:4" x14ac:dyDescent="0.3">
      <c r="A2213" s="1" t="str">
        <f>Pop[[#This Row],[State]]&amp;" "&amp;Pop[[#This Row],[County]]</f>
        <v>OH Washington</v>
      </c>
      <c r="B2213" t="s">
        <v>241</v>
      </c>
      <c r="C2213" s="30" t="s">
        <v>65</v>
      </c>
      <c r="D2213" s="16">
        <v>59771</v>
      </c>
    </row>
    <row r="2214" spans="1:4" x14ac:dyDescent="0.3">
      <c r="A2214" s="1" t="str">
        <f>Pop[[#This Row],[State]]&amp;" "&amp;Pop[[#This Row],[County]]</f>
        <v>OH Wayne</v>
      </c>
      <c r="B2214" t="s">
        <v>241</v>
      </c>
      <c r="C2214" s="30" t="s">
        <v>691</v>
      </c>
      <c r="D2214" s="16">
        <v>116894</v>
      </c>
    </row>
    <row r="2215" spans="1:4" x14ac:dyDescent="0.3">
      <c r="A2215" s="1" t="str">
        <f>Pop[[#This Row],[State]]&amp;" "&amp;Pop[[#This Row],[County]]</f>
        <v>OH Williams</v>
      </c>
      <c r="B2215" t="s">
        <v>241</v>
      </c>
      <c r="C2215" s="30" t="s">
        <v>1400</v>
      </c>
      <c r="D2215" s="16">
        <v>37102</v>
      </c>
    </row>
    <row r="2216" spans="1:4" x14ac:dyDescent="0.3">
      <c r="A2216" s="1" t="str">
        <f>Pop[[#This Row],[State]]&amp;" "&amp;Pop[[#This Row],[County]]</f>
        <v>OH Wood</v>
      </c>
      <c r="B2216" t="s">
        <v>241</v>
      </c>
      <c r="C2216" s="30" t="s">
        <v>1552</v>
      </c>
      <c r="D2216" s="16">
        <v>132248</v>
      </c>
    </row>
    <row r="2217" spans="1:4" x14ac:dyDescent="0.3">
      <c r="A2217" s="1" t="str">
        <f>Pop[[#This Row],[State]]&amp;" "&amp;Pop[[#This Row],[County]]</f>
        <v>OH Wyandot</v>
      </c>
      <c r="B2217" t="s">
        <v>241</v>
      </c>
      <c r="C2217" s="30" t="s">
        <v>1553</v>
      </c>
      <c r="D2217" s="16">
        <v>21900</v>
      </c>
    </row>
    <row r="2218" spans="1:4" x14ac:dyDescent="0.3">
      <c r="A2218" s="1" t="str">
        <f>Pop[[#This Row],[State]]&amp;" "&amp;Pop[[#This Row],[County]]</f>
        <v>OH State Agencies</v>
      </c>
      <c r="B2218" t="s">
        <v>241</v>
      </c>
      <c r="C2218" s="30" t="s">
        <v>243</v>
      </c>
      <c r="D2218" s="16" t="s">
        <v>244</v>
      </c>
    </row>
    <row r="2219" spans="1:4" x14ac:dyDescent="0.3">
      <c r="A2219" s="1" t="str">
        <f>Pop[[#This Row],[State]]&amp;" "&amp;Pop[[#This Row],[County]]</f>
        <v>OH Grand Total</v>
      </c>
      <c r="B2219" t="s">
        <v>241</v>
      </c>
      <c r="C2219" s="30" t="s">
        <v>67</v>
      </c>
      <c r="D2219" s="16">
        <v>11799448</v>
      </c>
    </row>
    <row r="2220" spans="1:4" x14ac:dyDescent="0.3">
      <c r="A2220" s="1" t="str">
        <f>Pop[[#This Row],[State]]&amp;" "&amp;Pop[[#This Row],[County]]</f>
        <v>OK Adair</v>
      </c>
      <c r="B2220" t="s">
        <v>256</v>
      </c>
      <c r="C2220" s="30" t="s">
        <v>703</v>
      </c>
      <c r="D2220" s="16">
        <v>22683</v>
      </c>
    </row>
    <row r="2221" spans="1:4" x14ac:dyDescent="0.3">
      <c r="A2221" s="1" t="str">
        <f>Pop[[#This Row],[State]]&amp;" "&amp;Pop[[#This Row],[County]]</f>
        <v>OK Alfalfa</v>
      </c>
      <c r="B2221" t="s">
        <v>256</v>
      </c>
      <c r="C2221" s="30" t="s">
        <v>1554</v>
      </c>
      <c r="D2221" s="16">
        <v>5642</v>
      </c>
    </row>
    <row r="2222" spans="1:4" x14ac:dyDescent="0.3">
      <c r="A2222" s="1" t="str">
        <f>Pop[[#This Row],[State]]&amp;" "&amp;Pop[[#This Row],[County]]</f>
        <v>OK Atoka</v>
      </c>
      <c r="B2222" t="s">
        <v>256</v>
      </c>
      <c r="C2222" s="30" t="s">
        <v>1555</v>
      </c>
      <c r="D2222" s="16">
        <v>14182</v>
      </c>
    </row>
    <row r="2223" spans="1:4" x14ac:dyDescent="0.3">
      <c r="A2223" s="1" t="str">
        <f>Pop[[#This Row],[State]]&amp;" "&amp;Pop[[#This Row],[County]]</f>
        <v>OK Beaver</v>
      </c>
      <c r="B2223" t="s">
        <v>256</v>
      </c>
      <c r="C2223" s="30" t="s">
        <v>1556</v>
      </c>
      <c r="D2223" s="16">
        <v>5636</v>
      </c>
    </row>
    <row r="2224" spans="1:4" x14ac:dyDescent="0.3">
      <c r="A2224" s="1" t="str">
        <f>Pop[[#This Row],[State]]&amp;" "&amp;Pop[[#This Row],[County]]</f>
        <v>OK Beckham</v>
      </c>
      <c r="B2224" t="s">
        <v>256</v>
      </c>
      <c r="C2224" s="30" t="s">
        <v>1557</v>
      </c>
      <c r="D2224" s="16">
        <v>22119</v>
      </c>
    </row>
    <row r="2225" spans="1:4" x14ac:dyDescent="0.3">
      <c r="A2225" s="1" t="str">
        <f>Pop[[#This Row],[State]]&amp;" "&amp;Pop[[#This Row],[County]]</f>
        <v>OK Blaine</v>
      </c>
      <c r="B2225" t="s">
        <v>256</v>
      </c>
      <c r="C2225" s="30" t="s">
        <v>757</v>
      </c>
      <c r="D2225" s="16">
        <v>11943</v>
      </c>
    </row>
    <row r="2226" spans="1:4" x14ac:dyDescent="0.3">
      <c r="A2226" s="1" t="str">
        <f>Pop[[#This Row],[State]]&amp;" "&amp;Pop[[#This Row],[County]]</f>
        <v>OK Bryan</v>
      </c>
      <c r="B2226" t="s">
        <v>256</v>
      </c>
      <c r="C2226" s="30" t="s">
        <v>603</v>
      </c>
      <c r="D2226" s="16">
        <v>42416</v>
      </c>
    </row>
    <row r="2227" spans="1:4" x14ac:dyDescent="0.3">
      <c r="A2227" s="1" t="str">
        <f>Pop[[#This Row],[State]]&amp;" "&amp;Pop[[#This Row],[County]]</f>
        <v>OK Caddo</v>
      </c>
      <c r="B2227" t="s">
        <v>256</v>
      </c>
      <c r="C2227" s="30" t="s">
        <v>991</v>
      </c>
      <c r="D2227" s="16">
        <v>29600</v>
      </c>
    </row>
    <row r="2228" spans="1:4" x14ac:dyDescent="0.3">
      <c r="A2228" s="1" t="str">
        <f>Pop[[#This Row],[State]]&amp;" "&amp;Pop[[#This Row],[County]]</f>
        <v>OK Canadian</v>
      </c>
      <c r="B2228" t="s">
        <v>256</v>
      </c>
      <c r="C2228" s="30" t="s">
        <v>1558</v>
      </c>
      <c r="D2228" s="16">
        <v>115541</v>
      </c>
    </row>
    <row r="2229" spans="1:4" x14ac:dyDescent="0.3">
      <c r="A2229" s="1" t="str">
        <f>Pop[[#This Row],[State]]&amp;" "&amp;Pop[[#This Row],[County]]</f>
        <v>OK Carter</v>
      </c>
      <c r="B2229" t="s">
        <v>256</v>
      </c>
      <c r="C2229" s="30" t="s">
        <v>943</v>
      </c>
      <c r="D2229" s="16">
        <v>47557</v>
      </c>
    </row>
    <row r="2230" spans="1:4" x14ac:dyDescent="0.3">
      <c r="A2230" s="1" t="str">
        <f>Pop[[#This Row],[State]]&amp;" "&amp;Pop[[#This Row],[County]]</f>
        <v>OK Cherokee</v>
      </c>
      <c r="B2230" t="s">
        <v>256</v>
      </c>
      <c r="C2230" s="30" t="s">
        <v>276</v>
      </c>
      <c r="D2230" s="16">
        <v>46987</v>
      </c>
    </row>
    <row r="2231" spans="1:4" x14ac:dyDescent="0.3">
      <c r="A2231" s="1" t="str">
        <f>Pop[[#This Row],[State]]&amp;" "&amp;Pop[[#This Row],[County]]</f>
        <v>OK Choctaw</v>
      </c>
      <c r="B2231" t="s">
        <v>256</v>
      </c>
      <c r="C2231" s="30" t="s">
        <v>282</v>
      </c>
      <c r="D2231" s="16">
        <v>15205</v>
      </c>
    </row>
    <row r="2232" spans="1:4" x14ac:dyDescent="0.3">
      <c r="A2232" s="1" t="str">
        <f>Pop[[#This Row],[State]]&amp;" "&amp;Pop[[#This Row],[County]]</f>
        <v>OK Cimarron</v>
      </c>
      <c r="B2232" t="s">
        <v>256</v>
      </c>
      <c r="C2232" s="30" t="s">
        <v>1559</v>
      </c>
      <c r="D2232" s="16">
        <v>2475</v>
      </c>
    </row>
    <row r="2233" spans="1:4" x14ac:dyDescent="0.3">
      <c r="A2233" s="1" t="str">
        <f>Pop[[#This Row],[State]]&amp;" "&amp;Pop[[#This Row],[County]]</f>
        <v>OK Cleveland</v>
      </c>
      <c r="B2233" t="s">
        <v>256</v>
      </c>
      <c r="C2233" s="30" t="s">
        <v>359</v>
      </c>
      <c r="D2233" s="16">
        <v>255755</v>
      </c>
    </row>
    <row r="2234" spans="1:4" x14ac:dyDescent="0.3">
      <c r="A2234" s="1" t="str">
        <f>Pop[[#This Row],[State]]&amp;" "&amp;Pop[[#This Row],[County]]</f>
        <v>OK Coal</v>
      </c>
      <c r="B2234" t="s">
        <v>256</v>
      </c>
      <c r="C2234" s="30" t="s">
        <v>1560</v>
      </c>
      <c r="D2234" s="16">
        <v>5925</v>
      </c>
    </row>
    <row r="2235" spans="1:4" x14ac:dyDescent="0.3">
      <c r="A2235" s="1" t="str">
        <f>Pop[[#This Row],[State]]&amp;" "&amp;Pop[[#This Row],[County]]</f>
        <v>OK Comanche</v>
      </c>
      <c r="B2235" t="s">
        <v>256</v>
      </c>
      <c r="C2235" s="30" t="s">
        <v>871</v>
      </c>
      <c r="D2235" s="16">
        <v>124098</v>
      </c>
    </row>
    <row r="2236" spans="1:4" x14ac:dyDescent="0.3">
      <c r="A2236" s="1" t="str">
        <f>Pop[[#This Row],[State]]&amp;" "&amp;Pop[[#This Row],[County]]</f>
        <v>OK Cotton</v>
      </c>
      <c r="B2236" t="s">
        <v>256</v>
      </c>
      <c r="C2236" s="30" t="s">
        <v>1561</v>
      </c>
      <c r="D2236" s="16">
        <v>6193</v>
      </c>
    </row>
    <row r="2237" spans="1:4" x14ac:dyDescent="0.3">
      <c r="A2237" s="1" t="str">
        <f>Pop[[#This Row],[State]]&amp;" "&amp;Pop[[#This Row],[County]]</f>
        <v>OK Craig</v>
      </c>
      <c r="B2237" t="s">
        <v>256</v>
      </c>
      <c r="C2237" s="30" t="s">
        <v>1562</v>
      </c>
      <c r="D2237" s="16">
        <v>15029</v>
      </c>
    </row>
    <row r="2238" spans="1:4" x14ac:dyDescent="0.3">
      <c r="A2238" s="1" t="str">
        <f>Pop[[#This Row],[State]]&amp;" "&amp;Pop[[#This Row],[County]]</f>
        <v>OK Creek</v>
      </c>
      <c r="B2238" t="s">
        <v>256</v>
      </c>
      <c r="C2238" s="30" t="s">
        <v>1563</v>
      </c>
      <c r="D2238" s="16">
        <v>69967</v>
      </c>
    </row>
    <row r="2239" spans="1:4" x14ac:dyDescent="0.3">
      <c r="A2239" s="1" t="str">
        <f>Pop[[#This Row],[State]]&amp;" "&amp;Pop[[#This Row],[County]]</f>
        <v>OK Custer</v>
      </c>
      <c r="B2239" t="s">
        <v>256</v>
      </c>
      <c r="C2239" s="30" t="s">
        <v>492</v>
      </c>
      <c r="D2239" s="16">
        <v>27469</v>
      </c>
    </row>
    <row r="2240" spans="1:4" x14ac:dyDescent="0.3">
      <c r="A2240" s="1" t="str">
        <f>Pop[[#This Row],[State]]&amp;" "&amp;Pop[[#This Row],[County]]</f>
        <v>OK Delaware</v>
      </c>
      <c r="B2240" t="s">
        <v>256</v>
      </c>
      <c r="C2240" s="30" t="s">
        <v>191</v>
      </c>
      <c r="D2240" s="16">
        <v>41487</v>
      </c>
    </row>
    <row r="2241" spans="1:4" x14ac:dyDescent="0.3">
      <c r="A2241" s="1" t="str">
        <f>Pop[[#This Row],[State]]&amp;" "&amp;Pop[[#This Row],[County]]</f>
        <v>OK Dewey</v>
      </c>
      <c r="B2241" t="s">
        <v>256</v>
      </c>
      <c r="C2241" s="30" t="s">
        <v>1564</v>
      </c>
      <c r="D2241" s="16">
        <v>4810</v>
      </c>
    </row>
    <row r="2242" spans="1:4" x14ac:dyDescent="0.3">
      <c r="A2242" s="1" t="str">
        <f>Pop[[#This Row],[State]]&amp;" "&amp;Pop[[#This Row],[County]]</f>
        <v>OK Ellis</v>
      </c>
      <c r="B2242" t="s">
        <v>256</v>
      </c>
      <c r="C2242" s="30" t="s">
        <v>875</v>
      </c>
      <c r="D2242" s="16">
        <v>4151</v>
      </c>
    </row>
    <row r="2243" spans="1:4" x14ac:dyDescent="0.3">
      <c r="A2243" s="1" t="str">
        <f>Pop[[#This Row],[State]]&amp;" "&amp;Pop[[#This Row],[County]]</f>
        <v>OK Garfield</v>
      </c>
      <c r="B2243" t="s">
        <v>256</v>
      </c>
      <c r="C2243" s="30" t="s">
        <v>501</v>
      </c>
      <c r="D2243" s="16">
        <v>60580</v>
      </c>
    </row>
    <row r="2244" spans="1:4" x14ac:dyDescent="0.3">
      <c r="A2244" s="1" t="str">
        <f>Pop[[#This Row],[State]]&amp;" "&amp;Pop[[#This Row],[County]]</f>
        <v>OK Garvin</v>
      </c>
      <c r="B2244" t="s">
        <v>256</v>
      </c>
      <c r="C2244" s="30" t="s">
        <v>1565</v>
      </c>
      <c r="D2244" s="16">
        <v>27576</v>
      </c>
    </row>
    <row r="2245" spans="1:4" x14ac:dyDescent="0.3">
      <c r="A2245" s="1" t="str">
        <f>Pop[[#This Row],[State]]&amp;" "&amp;Pop[[#This Row],[County]]</f>
        <v>OK Grady</v>
      </c>
      <c r="B2245" t="s">
        <v>256</v>
      </c>
      <c r="C2245" s="30" t="s">
        <v>637</v>
      </c>
      <c r="D2245" s="16">
        <v>52431</v>
      </c>
    </row>
    <row r="2246" spans="1:4" x14ac:dyDescent="0.3">
      <c r="A2246" s="1" t="str">
        <f>Pop[[#This Row],[State]]&amp;" "&amp;Pop[[#This Row],[County]]</f>
        <v>OK Grant</v>
      </c>
      <c r="B2246" t="s">
        <v>256</v>
      </c>
      <c r="C2246" s="30" t="s">
        <v>370</v>
      </c>
      <c r="D2246" s="16">
        <v>4527</v>
      </c>
    </row>
    <row r="2247" spans="1:4" x14ac:dyDescent="0.3">
      <c r="A2247" s="1" t="str">
        <f>Pop[[#This Row],[State]]&amp;" "&amp;Pop[[#This Row],[County]]</f>
        <v>OK Greer</v>
      </c>
      <c r="B2247" t="s">
        <v>256</v>
      </c>
      <c r="C2247" s="30" t="s">
        <v>1566</v>
      </c>
      <c r="D2247" s="16">
        <v>6239</v>
      </c>
    </row>
    <row r="2248" spans="1:4" x14ac:dyDescent="0.3">
      <c r="A2248" s="1" t="str">
        <f>Pop[[#This Row],[State]]&amp;" "&amp;Pop[[#This Row],[County]]</f>
        <v>OK Harmon</v>
      </c>
      <c r="B2248" t="s">
        <v>256</v>
      </c>
      <c r="C2248" s="30" t="s">
        <v>1567</v>
      </c>
      <c r="D2248" s="16">
        <v>2922</v>
      </c>
    </row>
    <row r="2249" spans="1:4" x14ac:dyDescent="0.3">
      <c r="A2249" s="1" t="str">
        <f>Pop[[#This Row],[State]]&amp;" "&amp;Pop[[#This Row],[County]]</f>
        <v>OK Harper</v>
      </c>
      <c r="B2249" t="s">
        <v>256</v>
      </c>
      <c r="C2249" s="30" t="s">
        <v>883</v>
      </c>
      <c r="D2249" s="16">
        <v>3685</v>
      </c>
    </row>
    <row r="2250" spans="1:4" x14ac:dyDescent="0.3">
      <c r="A2250" s="1" t="str">
        <f>Pop[[#This Row],[State]]&amp;" "&amp;Pop[[#This Row],[County]]</f>
        <v>OK Haskell</v>
      </c>
      <c r="B2250" t="s">
        <v>256</v>
      </c>
      <c r="C2250" s="30" t="s">
        <v>885</v>
      </c>
      <c r="D2250" s="16">
        <v>12769</v>
      </c>
    </row>
    <row r="2251" spans="1:4" x14ac:dyDescent="0.3">
      <c r="A2251" s="1" t="str">
        <f>Pop[[#This Row],[State]]&amp;" "&amp;Pop[[#This Row],[County]]</f>
        <v>OK Hughes</v>
      </c>
      <c r="B2251" t="s">
        <v>256</v>
      </c>
      <c r="C2251" s="30" t="s">
        <v>1568</v>
      </c>
      <c r="D2251" s="16">
        <v>14003</v>
      </c>
    </row>
    <row r="2252" spans="1:4" x14ac:dyDescent="0.3">
      <c r="A2252" s="1" t="str">
        <f>Pop[[#This Row],[State]]&amp;" "&amp;Pop[[#This Row],[County]]</f>
        <v>OK Jackson</v>
      </c>
      <c r="B2252" t="s">
        <v>256</v>
      </c>
      <c r="C2252" s="30" t="s">
        <v>46</v>
      </c>
      <c r="D2252" s="16">
        <v>26446</v>
      </c>
    </row>
    <row r="2253" spans="1:4" x14ac:dyDescent="0.3">
      <c r="A2253" s="1" t="str">
        <f>Pop[[#This Row],[State]]&amp;" "&amp;Pop[[#This Row],[County]]</f>
        <v>OK Jefferson</v>
      </c>
      <c r="B2253" t="s">
        <v>256</v>
      </c>
      <c r="C2253" s="30" t="s">
        <v>47</v>
      </c>
      <c r="D2253" s="16">
        <v>6472</v>
      </c>
    </row>
    <row r="2254" spans="1:4" x14ac:dyDescent="0.3">
      <c r="A2254" s="1" t="str">
        <f>Pop[[#This Row],[State]]&amp;" "&amp;Pop[[#This Row],[County]]</f>
        <v>OK Johnston</v>
      </c>
      <c r="B2254" t="s">
        <v>256</v>
      </c>
      <c r="C2254" s="30" t="s">
        <v>1339</v>
      </c>
      <c r="D2254" s="16">
        <v>10957</v>
      </c>
    </row>
    <row r="2255" spans="1:4" x14ac:dyDescent="0.3">
      <c r="A2255" s="1" t="str">
        <f>Pop[[#This Row],[State]]&amp;" "&amp;Pop[[#This Row],[County]]</f>
        <v>OK Kay</v>
      </c>
      <c r="B2255" t="s">
        <v>256</v>
      </c>
      <c r="C2255" s="30" t="s">
        <v>1569</v>
      </c>
      <c r="D2255" s="16">
        <v>46562</v>
      </c>
    </row>
    <row r="2256" spans="1:4" x14ac:dyDescent="0.3">
      <c r="A2256" s="1" t="str">
        <f>Pop[[#This Row],[State]]&amp;" "&amp;Pop[[#This Row],[County]]</f>
        <v>OK Kingfisher</v>
      </c>
      <c r="B2256" t="s">
        <v>256</v>
      </c>
      <c r="C2256" s="30" t="s">
        <v>1570</v>
      </c>
      <c r="D2256" s="16">
        <v>15034</v>
      </c>
    </row>
    <row r="2257" spans="1:4" x14ac:dyDescent="0.3">
      <c r="A2257" s="1" t="str">
        <f>Pop[[#This Row],[State]]&amp;" "&amp;Pop[[#This Row],[County]]</f>
        <v>OK Kiowa</v>
      </c>
      <c r="B2257" t="s">
        <v>256</v>
      </c>
      <c r="C2257" s="30" t="s">
        <v>507</v>
      </c>
      <c r="D2257" s="16">
        <v>9446</v>
      </c>
    </row>
    <row r="2258" spans="1:4" x14ac:dyDescent="0.3">
      <c r="A2258" s="1" t="str">
        <f>Pop[[#This Row],[State]]&amp;" "&amp;Pop[[#This Row],[County]]</f>
        <v>OK Latimer</v>
      </c>
      <c r="B2258" t="s">
        <v>256</v>
      </c>
      <c r="C2258" s="30" t="s">
        <v>1571</v>
      </c>
      <c r="D2258" s="16">
        <v>11154</v>
      </c>
    </row>
    <row r="2259" spans="1:4" x14ac:dyDescent="0.3">
      <c r="A2259" s="1" t="str">
        <f>Pop[[#This Row],[State]]&amp;" "&amp;Pop[[#This Row],[County]]</f>
        <v>OK Le Flore</v>
      </c>
      <c r="B2259" t="s">
        <v>256</v>
      </c>
      <c r="C2259" s="30" t="s">
        <v>1572</v>
      </c>
      <c r="D2259" s="16">
        <v>50384</v>
      </c>
    </row>
    <row r="2260" spans="1:4" x14ac:dyDescent="0.3">
      <c r="A2260" s="1" t="str">
        <f>Pop[[#This Row],[State]]&amp;" "&amp;Pop[[#This Row],[County]]</f>
        <v>OK Lincoln</v>
      </c>
      <c r="B2260" t="s">
        <v>256</v>
      </c>
      <c r="C2260" s="30" t="s">
        <v>378</v>
      </c>
      <c r="D2260" s="16">
        <v>34273</v>
      </c>
    </row>
    <row r="2261" spans="1:4" x14ac:dyDescent="0.3">
      <c r="A2261" s="1" t="str">
        <f>Pop[[#This Row],[State]]&amp;" "&amp;Pop[[#This Row],[County]]</f>
        <v>OK Logan</v>
      </c>
      <c r="B2261" t="s">
        <v>256</v>
      </c>
      <c r="C2261" s="30" t="s">
        <v>380</v>
      </c>
      <c r="D2261" s="16">
        <v>41848</v>
      </c>
    </row>
    <row r="2262" spans="1:4" x14ac:dyDescent="0.3">
      <c r="A2262" s="1" t="str">
        <f>Pop[[#This Row],[State]]&amp;" "&amp;Pop[[#This Row],[County]]</f>
        <v>OK Love</v>
      </c>
      <c r="B2262" t="s">
        <v>256</v>
      </c>
      <c r="C2262" s="30" t="s">
        <v>1573</v>
      </c>
      <c r="D2262" s="16">
        <v>9423</v>
      </c>
    </row>
    <row r="2263" spans="1:4" x14ac:dyDescent="0.3">
      <c r="A2263" s="1" t="str">
        <f>Pop[[#This Row],[State]]&amp;" "&amp;Pop[[#This Row],[County]]</f>
        <v>OK Major</v>
      </c>
      <c r="B2263" t="s">
        <v>256</v>
      </c>
      <c r="C2263" s="30" t="s">
        <v>1574</v>
      </c>
      <c r="D2263" s="16">
        <v>7527</v>
      </c>
    </row>
    <row r="2264" spans="1:4" x14ac:dyDescent="0.3">
      <c r="A2264" s="1" t="str">
        <f>Pop[[#This Row],[State]]&amp;" "&amp;Pop[[#This Row],[County]]</f>
        <v>OK Marshall</v>
      </c>
      <c r="B2264" t="s">
        <v>256</v>
      </c>
      <c r="C2264" s="30" t="s">
        <v>51</v>
      </c>
      <c r="D2264" s="16">
        <v>15840</v>
      </c>
    </row>
    <row r="2265" spans="1:4" x14ac:dyDescent="0.3">
      <c r="A2265" s="1" t="str">
        <f>Pop[[#This Row],[State]]&amp;" "&amp;Pop[[#This Row],[County]]</f>
        <v>OK Mayes</v>
      </c>
      <c r="B2265" t="s">
        <v>256</v>
      </c>
      <c r="C2265" s="30" t="s">
        <v>1575</v>
      </c>
      <c r="D2265" s="16">
        <v>41259</v>
      </c>
    </row>
    <row r="2266" spans="1:4" x14ac:dyDescent="0.3">
      <c r="A2266" s="1" t="str">
        <f>Pop[[#This Row],[State]]&amp;" "&amp;Pop[[#This Row],[County]]</f>
        <v>OK McClain</v>
      </c>
      <c r="B2266" t="s">
        <v>256</v>
      </c>
      <c r="C2266" s="30" t="s">
        <v>1576</v>
      </c>
      <c r="D2266" s="16">
        <v>34506</v>
      </c>
    </row>
    <row r="2267" spans="1:4" x14ac:dyDescent="0.3">
      <c r="A2267" s="1" t="str">
        <f>Pop[[#This Row],[State]]&amp;" "&amp;Pop[[#This Row],[County]]</f>
        <v>OK McCurtain</v>
      </c>
      <c r="B2267" t="s">
        <v>256</v>
      </c>
      <c r="C2267" s="30" t="s">
        <v>1577</v>
      </c>
      <c r="D2267" s="16">
        <v>33151</v>
      </c>
    </row>
    <row r="2268" spans="1:4" x14ac:dyDescent="0.3">
      <c r="A2268" s="1" t="str">
        <f>Pop[[#This Row],[State]]&amp;" "&amp;Pop[[#This Row],[County]]</f>
        <v>OK McIntosh</v>
      </c>
      <c r="B2268" t="s">
        <v>256</v>
      </c>
      <c r="C2268" s="30" t="s">
        <v>656</v>
      </c>
      <c r="D2268" s="16">
        <v>20252</v>
      </c>
    </row>
    <row r="2269" spans="1:4" x14ac:dyDescent="0.3">
      <c r="A2269" s="1" t="str">
        <f>Pop[[#This Row],[State]]&amp;" "&amp;Pop[[#This Row],[County]]</f>
        <v>OK Murray</v>
      </c>
      <c r="B2269" t="s">
        <v>256</v>
      </c>
      <c r="C2269" s="30" t="s">
        <v>659</v>
      </c>
      <c r="D2269" s="16">
        <v>13488</v>
      </c>
    </row>
    <row r="2270" spans="1:4" x14ac:dyDescent="0.3">
      <c r="A2270" s="1" t="str">
        <f>Pop[[#This Row],[State]]&amp;" "&amp;Pop[[#This Row],[County]]</f>
        <v>OK Muskogee</v>
      </c>
      <c r="B2270" t="s">
        <v>256</v>
      </c>
      <c r="C2270" s="30" t="s">
        <v>1578</v>
      </c>
      <c r="D2270" s="16">
        <v>70990</v>
      </c>
    </row>
    <row r="2271" spans="1:4" x14ac:dyDescent="0.3">
      <c r="A2271" s="1" t="str">
        <f>Pop[[#This Row],[State]]&amp;" "&amp;Pop[[#This Row],[County]]</f>
        <v>OK Noble</v>
      </c>
      <c r="B2271" t="s">
        <v>256</v>
      </c>
      <c r="C2271" s="30" t="s">
        <v>848</v>
      </c>
      <c r="D2271" s="16">
        <v>11561</v>
      </c>
    </row>
    <row r="2272" spans="1:4" x14ac:dyDescent="0.3">
      <c r="A2272" s="1" t="str">
        <f>Pop[[#This Row],[State]]&amp;" "&amp;Pop[[#This Row],[County]]</f>
        <v>OK Nowata</v>
      </c>
      <c r="B2272" t="s">
        <v>256</v>
      </c>
      <c r="C2272" s="30" t="s">
        <v>1579</v>
      </c>
      <c r="D2272" s="16">
        <v>10536</v>
      </c>
    </row>
    <row r="2273" spans="1:4" x14ac:dyDescent="0.3">
      <c r="A2273" s="1" t="str">
        <f>Pop[[#This Row],[State]]&amp;" "&amp;Pop[[#This Row],[County]]</f>
        <v>OK Okfuskee</v>
      </c>
      <c r="B2273" t="s">
        <v>256</v>
      </c>
      <c r="C2273" s="30" t="s">
        <v>1580</v>
      </c>
      <c r="D2273" s="16">
        <v>12191</v>
      </c>
    </row>
    <row r="2274" spans="1:4" x14ac:dyDescent="0.3">
      <c r="A2274" s="1" t="str">
        <f>Pop[[#This Row],[State]]&amp;" "&amp;Pop[[#This Row],[County]]</f>
        <v>OK Oklahoma</v>
      </c>
      <c r="B2274" t="s">
        <v>256</v>
      </c>
      <c r="C2274" s="30" t="s">
        <v>257</v>
      </c>
      <c r="D2274" s="16">
        <v>718633</v>
      </c>
    </row>
    <row r="2275" spans="1:4" x14ac:dyDescent="0.3">
      <c r="A2275" s="1" t="str">
        <f>Pop[[#This Row],[State]]&amp;" "&amp;Pop[[#This Row],[County]]</f>
        <v>OK Okmulgee</v>
      </c>
      <c r="B2275" t="s">
        <v>256</v>
      </c>
      <c r="C2275" s="30" t="s">
        <v>1581</v>
      </c>
      <c r="D2275" s="16">
        <v>40069</v>
      </c>
    </row>
    <row r="2276" spans="1:4" x14ac:dyDescent="0.3">
      <c r="A2276" s="1" t="str">
        <f>Pop[[#This Row],[State]]&amp;" "&amp;Pop[[#This Row],[County]]</f>
        <v>OK Osage</v>
      </c>
      <c r="B2276" t="s">
        <v>256</v>
      </c>
      <c r="C2276" s="30" t="s">
        <v>901</v>
      </c>
      <c r="D2276" s="16">
        <v>47472</v>
      </c>
    </row>
    <row r="2277" spans="1:4" x14ac:dyDescent="0.3">
      <c r="A2277" s="1" t="str">
        <f>Pop[[#This Row],[State]]&amp;" "&amp;Pop[[#This Row],[County]]</f>
        <v>OK Ottawa</v>
      </c>
      <c r="B2277" t="s">
        <v>256</v>
      </c>
      <c r="C2277" s="30" t="s">
        <v>903</v>
      </c>
      <c r="D2277" s="16">
        <v>31848</v>
      </c>
    </row>
    <row r="2278" spans="1:4" x14ac:dyDescent="0.3">
      <c r="A2278" s="1" t="str">
        <f>Pop[[#This Row],[State]]&amp;" "&amp;Pop[[#This Row],[County]]</f>
        <v>OK Pawnee</v>
      </c>
      <c r="B2278" t="s">
        <v>256</v>
      </c>
      <c r="C2278" s="30" t="s">
        <v>904</v>
      </c>
      <c r="D2278" s="16">
        <v>16577</v>
      </c>
    </row>
    <row r="2279" spans="1:4" x14ac:dyDescent="0.3">
      <c r="A2279" s="1" t="str">
        <f>Pop[[#This Row],[State]]&amp;" "&amp;Pop[[#This Row],[County]]</f>
        <v>OK Payne</v>
      </c>
      <c r="B2279" t="s">
        <v>256</v>
      </c>
      <c r="C2279" s="30" t="s">
        <v>1582</v>
      </c>
      <c r="D2279" s="16">
        <v>77350</v>
      </c>
    </row>
    <row r="2280" spans="1:4" x14ac:dyDescent="0.3">
      <c r="A2280" s="1" t="str">
        <f>Pop[[#This Row],[State]]&amp;" "&amp;Pop[[#This Row],[County]]</f>
        <v>OK Pittsburg</v>
      </c>
      <c r="B2280" t="s">
        <v>256</v>
      </c>
      <c r="C2280" s="30" t="s">
        <v>1583</v>
      </c>
      <c r="D2280" s="16">
        <v>45837</v>
      </c>
    </row>
    <row r="2281" spans="1:4" x14ac:dyDescent="0.3">
      <c r="A2281" s="1" t="str">
        <f>Pop[[#This Row],[State]]&amp;" "&amp;Pop[[#This Row],[County]]</f>
        <v>OK Pontotoc</v>
      </c>
      <c r="B2281" t="s">
        <v>256</v>
      </c>
      <c r="C2281" s="30" t="s">
        <v>1255</v>
      </c>
      <c r="D2281" s="16">
        <v>37492</v>
      </c>
    </row>
    <row r="2282" spans="1:4" x14ac:dyDescent="0.3">
      <c r="A2282" s="1" t="str">
        <f>Pop[[#This Row],[State]]&amp;" "&amp;Pop[[#This Row],[County]]</f>
        <v>OK Pottawatomie</v>
      </c>
      <c r="B2282" t="s">
        <v>256</v>
      </c>
      <c r="C2282" s="30" t="s">
        <v>905</v>
      </c>
      <c r="D2282" s="16">
        <v>69442</v>
      </c>
    </row>
    <row r="2283" spans="1:4" x14ac:dyDescent="0.3">
      <c r="A2283" s="1" t="str">
        <f>Pop[[#This Row],[State]]&amp;" "&amp;Pop[[#This Row],[County]]</f>
        <v>OK Pushmataha</v>
      </c>
      <c r="B2283" t="s">
        <v>256</v>
      </c>
      <c r="C2283" s="30" t="s">
        <v>1584</v>
      </c>
      <c r="D2283" s="16">
        <v>11572</v>
      </c>
    </row>
    <row r="2284" spans="1:4" x14ac:dyDescent="0.3">
      <c r="A2284" s="1" t="str">
        <f>Pop[[#This Row],[State]]&amp;" "&amp;Pop[[#This Row],[County]]</f>
        <v>OK Roger Mills</v>
      </c>
      <c r="B2284" t="s">
        <v>256</v>
      </c>
      <c r="C2284" s="30" t="s">
        <v>1585</v>
      </c>
      <c r="D2284" s="16">
        <v>3647</v>
      </c>
    </row>
    <row r="2285" spans="1:4" x14ac:dyDescent="0.3">
      <c r="A2285" s="1" t="str">
        <f>Pop[[#This Row],[State]]&amp;" "&amp;Pop[[#This Row],[County]]</f>
        <v>OK Rogers</v>
      </c>
      <c r="B2285" t="s">
        <v>256</v>
      </c>
      <c r="C2285" s="30" t="s">
        <v>1586</v>
      </c>
      <c r="D2285" s="16">
        <v>86905</v>
      </c>
    </row>
    <row r="2286" spans="1:4" x14ac:dyDescent="0.3">
      <c r="A2286" s="1" t="str">
        <f>Pop[[#This Row],[State]]&amp;" "&amp;Pop[[#This Row],[County]]</f>
        <v>OK Seminole</v>
      </c>
      <c r="B2286" t="s">
        <v>256</v>
      </c>
      <c r="C2286" s="30" t="s">
        <v>584</v>
      </c>
      <c r="D2286" s="16">
        <v>25482</v>
      </c>
    </row>
    <row r="2287" spans="1:4" x14ac:dyDescent="0.3">
      <c r="A2287" s="1" t="str">
        <f>Pop[[#This Row],[State]]&amp;" "&amp;Pop[[#This Row],[County]]</f>
        <v>OK Sequoyah</v>
      </c>
      <c r="B2287" t="s">
        <v>256</v>
      </c>
      <c r="C2287" s="30" t="s">
        <v>1587</v>
      </c>
      <c r="D2287" s="16">
        <v>42391</v>
      </c>
    </row>
    <row r="2288" spans="1:4" x14ac:dyDescent="0.3">
      <c r="A2288" s="1" t="str">
        <f>Pop[[#This Row],[State]]&amp;" "&amp;Pop[[#This Row],[County]]</f>
        <v>OK Stephens</v>
      </c>
      <c r="B2288" t="s">
        <v>256</v>
      </c>
      <c r="C2288" s="30" t="s">
        <v>673</v>
      </c>
      <c r="D2288" s="16">
        <v>45048</v>
      </c>
    </row>
    <row r="2289" spans="1:4" x14ac:dyDescent="0.3">
      <c r="A2289" s="1" t="str">
        <f>Pop[[#This Row],[State]]&amp;" "&amp;Pop[[#This Row],[County]]</f>
        <v>OK Texas</v>
      </c>
      <c r="B2289" t="s">
        <v>256</v>
      </c>
      <c r="C2289" s="30" t="s">
        <v>260</v>
      </c>
      <c r="D2289" s="16">
        <v>20640</v>
      </c>
    </row>
    <row r="2290" spans="1:4" x14ac:dyDescent="0.3">
      <c r="A2290" s="1" t="str">
        <f>Pop[[#This Row],[State]]&amp;" "&amp;Pop[[#This Row],[County]]</f>
        <v>OK Tillman</v>
      </c>
      <c r="B2290" t="s">
        <v>256</v>
      </c>
      <c r="C2290" s="30" t="s">
        <v>1588</v>
      </c>
      <c r="D2290" s="16">
        <v>7992</v>
      </c>
    </row>
    <row r="2291" spans="1:4" x14ac:dyDescent="0.3">
      <c r="A2291" s="1" t="str">
        <f>Pop[[#This Row],[State]]&amp;" "&amp;Pop[[#This Row],[County]]</f>
        <v>OK Tulsa</v>
      </c>
      <c r="B2291" t="s">
        <v>256</v>
      </c>
      <c r="C2291" s="30" t="s">
        <v>1589</v>
      </c>
      <c r="D2291" s="16">
        <v>603403</v>
      </c>
    </row>
    <row r="2292" spans="1:4" x14ac:dyDescent="0.3">
      <c r="A2292" s="1" t="str">
        <f>Pop[[#This Row],[State]]&amp;" "&amp;Pop[[#This Row],[County]]</f>
        <v>OK Wagoner</v>
      </c>
      <c r="B2292" t="s">
        <v>256</v>
      </c>
      <c r="C2292" s="30" t="s">
        <v>1590</v>
      </c>
      <c r="D2292" s="16">
        <v>73085</v>
      </c>
    </row>
    <row r="2293" spans="1:4" x14ac:dyDescent="0.3">
      <c r="A2293" s="1" t="str">
        <f>Pop[[#This Row],[State]]&amp;" "&amp;Pop[[#This Row],[County]]</f>
        <v>OK Washington</v>
      </c>
      <c r="B2293" t="s">
        <v>256</v>
      </c>
      <c r="C2293" s="30" t="s">
        <v>65</v>
      </c>
      <c r="D2293" s="16">
        <v>50976</v>
      </c>
    </row>
    <row r="2294" spans="1:4" x14ac:dyDescent="0.3">
      <c r="A2294" s="1" t="str">
        <f>Pop[[#This Row],[State]]&amp;" "&amp;Pop[[#This Row],[County]]</f>
        <v>OK Washita</v>
      </c>
      <c r="B2294" t="s">
        <v>256</v>
      </c>
      <c r="C2294" s="30" t="s">
        <v>1591</v>
      </c>
      <c r="D2294" s="16">
        <v>11629</v>
      </c>
    </row>
    <row r="2295" spans="1:4" x14ac:dyDescent="0.3">
      <c r="A2295" s="1" t="str">
        <f>Pop[[#This Row],[State]]&amp;" "&amp;Pop[[#This Row],[County]]</f>
        <v>OK Woods</v>
      </c>
      <c r="B2295" t="s">
        <v>256</v>
      </c>
      <c r="C2295" s="30" t="s">
        <v>1592</v>
      </c>
      <c r="D2295" s="16">
        <v>8878</v>
      </c>
    </row>
    <row r="2296" spans="1:4" x14ac:dyDescent="0.3">
      <c r="A2296" s="1" t="str">
        <f>Pop[[#This Row],[State]]&amp;" "&amp;Pop[[#This Row],[County]]</f>
        <v>OK Woodward</v>
      </c>
      <c r="B2296" t="s">
        <v>256</v>
      </c>
      <c r="C2296" s="30" t="s">
        <v>1593</v>
      </c>
      <c r="D2296" s="16">
        <v>20081</v>
      </c>
    </row>
    <row r="2297" spans="1:4" x14ac:dyDescent="0.3">
      <c r="A2297" s="1" t="str">
        <f>Pop[[#This Row],[State]]&amp;" "&amp;Pop[[#This Row],[County]]</f>
        <v>OK State Agencies</v>
      </c>
      <c r="B2297" t="s">
        <v>256</v>
      </c>
      <c r="C2297" s="30" t="s">
        <v>243</v>
      </c>
      <c r="D2297" s="16" t="s">
        <v>244</v>
      </c>
    </row>
    <row r="2298" spans="1:4" x14ac:dyDescent="0.3">
      <c r="A2298" s="1" t="str">
        <f>Pop[[#This Row],[State]]&amp;" "&amp;Pop[[#This Row],[County]]</f>
        <v>OK Grand Total</v>
      </c>
      <c r="B2298" t="s">
        <v>256</v>
      </c>
      <c r="C2298" s="30" t="s">
        <v>67</v>
      </c>
      <c r="D2298" s="16">
        <v>3751351</v>
      </c>
    </row>
    <row r="2299" spans="1:4" x14ac:dyDescent="0.3">
      <c r="A2299" s="1" t="str">
        <f>Pop[[#This Row],[State]]&amp;" "&amp;Pop[[#This Row],[County]]</f>
        <v>OR Baker</v>
      </c>
      <c r="B2299" t="s">
        <v>320</v>
      </c>
      <c r="C2299" s="30" t="s">
        <v>545</v>
      </c>
      <c r="D2299" s="16">
        <v>16134</v>
      </c>
    </row>
    <row r="2300" spans="1:4" x14ac:dyDescent="0.3">
      <c r="A2300" s="1" t="str">
        <f>Pop[[#This Row],[State]]&amp;" "&amp;Pop[[#This Row],[County]]</f>
        <v>OR Benton</v>
      </c>
      <c r="B2300" t="s">
        <v>320</v>
      </c>
      <c r="C2300" s="30" t="s">
        <v>354</v>
      </c>
      <c r="D2300" s="16">
        <v>85579</v>
      </c>
    </row>
    <row r="2301" spans="1:4" x14ac:dyDescent="0.3">
      <c r="A2301" s="1" t="str">
        <f>Pop[[#This Row],[State]]&amp;" "&amp;Pop[[#This Row],[County]]</f>
        <v>OR Clackamas</v>
      </c>
      <c r="B2301" t="s">
        <v>320</v>
      </c>
      <c r="C2301" s="30" t="s">
        <v>1594</v>
      </c>
      <c r="D2301" s="16">
        <v>375992</v>
      </c>
    </row>
    <row r="2302" spans="1:4" x14ac:dyDescent="0.3">
      <c r="A2302" s="1" t="str">
        <f>Pop[[#This Row],[State]]&amp;" "&amp;Pop[[#This Row],[County]]</f>
        <v>OR Clatsop</v>
      </c>
      <c r="B2302" t="s">
        <v>320</v>
      </c>
      <c r="C2302" s="30" t="s">
        <v>1595</v>
      </c>
      <c r="D2302" s="16">
        <v>37039</v>
      </c>
    </row>
    <row r="2303" spans="1:4" x14ac:dyDescent="0.3">
      <c r="A2303" s="1" t="str">
        <f>Pop[[#This Row],[State]]&amp;" "&amp;Pop[[#This Row],[County]]</f>
        <v>OR Columbia</v>
      </c>
      <c r="B2303" t="s">
        <v>320</v>
      </c>
      <c r="C2303" s="30" t="s">
        <v>360</v>
      </c>
      <c r="D2303" s="16">
        <v>49351</v>
      </c>
    </row>
    <row r="2304" spans="1:4" x14ac:dyDescent="0.3">
      <c r="A2304" s="1" t="str">
        <f>Pop[[#This Row],[State]]&amp;" "&amp;Pop[[#This Row],[County]]</f>
        <v>OR Coos</v>
      </c>
      <c r="B2304" t="s">
        <v>320</v>
      </c>
      <c r="C2304" s="30" t="s">
        <v>1443</v>
      </c>
      <c r="D2304" s="16">
        <v>63043</v>
      </c>
    </row>
    <row r="2305" spans="1:4" x14ac:dyDescent="0.3">
      <c r="A2305" s="1" t="str">
        <f>Pop[[#This Row],[State]]&amp;" "&amp;Pop[[#This Row],[County]]</f>
        <v>OR Crook</v>
      </c>
      <c r="B2305" t="s">
        <v>320</v>
      </c>
      <c r="C2305" s="30" t="s">
        <v>1596</v>
      </c>
      <c r="D2305" s="16">
        <v>20978</v>
      </c>
    </row>
    <row r="2306" spans="1:4" x14ac:dyDescent="0.3">
      <c r="A2306" s="1" t="str">
        <f>Pop[[#This Row],[State]]&amp;" "&amp;Pop[[#This Row],[County]]</f>
        <v>OR Curry</v>
      </c>
      <c r="B2306" t="s">
        <v>320</v>
      </c>
      <c r="C2306" s="30" t="s">
        <v>1462</v>
      </c>
      <c r="D2306" s="16">
        <v>22364</v>
      </c>
    </row>
    <row r="2307" spans="1:4" x14ac:dyDescent="0.3">
      <c r="A2307" s="1" t="str">
        <f>Pop[[#This Row],[State]]&amp;" "&amp;Pop[[#This Row],[County]]</f>
        <v>OR Deschutes</v>
      </c>
      <c r="B2307" t="s">
        <v>320</v>
      </c>
      <c r="C2307" s="30" t="s">
        <v>1597</v>
      </c>
      <c r="D2307" s="16">
        <v>157733</v>
      </c>
    </row>
    <row r="2308" spans="1:4" x14ac:dyDescent="0.3">
      <c r="A2308" s="1" t="str">
        <f>Pop[[#This Row],[State]]&amp;" "&amp;Pop[[#This Row],[County]]</f>
        <v>OR Douglas</v>
      </c>
      <c r="B2308" t="s">
        <v>320</v>
      </c>
      <c r="C2308" s="30" t="s">
        <v>496</v>
      </c>
      <c r="D2308" s="16">
        <v>107667</v>
      </c>
    </row>
    <row r="2309" spans="1:4" x14ac:dyDescent="0.3">
      <c r="A2309" s="1" t="str">
        <f>Pop[[#This Row],[State]]&amp;" "&amp;Pop[[#This Row],[County]]</f>
        <v>OR Gilliam</v>
      </c>
      <c r="B2309" t="s">
        <v>320</v>
      </c>
      <c r="C2309" s="30" t="s">
        <v>1598</v>
      </c>
      <c r="D2309" s="16">
        <v>1871</v>
      </c>
    </row>
    <row r="2310" spans="1:4" x14ac:dyDescent="0.3">
      <c r="A2310" s="1" t="str">
        <f>Pop[[#This Row],[State]]&amp;" "&amp;Pop[[#This Row],[County]]</f>
        <v>OR Grant</v>
      </c>
      <c r="B2310" t="s">
        <v>320</v>
      </c>
      <c r="C2310" s="30" t="s">
        <v>370</v>
      </c>
      <c r="D2310" s="16">
        <v>7445</v>
      </c>
    </row>
    <row r="2311" spans="1:4" x14ac:dyDescent="0.3">
      <c r="A2311" s="1" t="str">
        <f>Pop[[#This Row],[State]]&amp;" "&amp;Pop[[#This Row],[County]]</f>
        <v>OR Harney</v>
      </c>
      <c r="B2311" t="s">
        <v>320</v>
      </c>
      <c r="C2311" s="30" t="s">
        <v>1599</v>
      </c>
      <c r="D2311" s="16">
        <v>7422</v>
      </c>
    </row>
    <row r="2312" spans="1:4" x14ac:dyDescent="0.3">
      <c r="A2312" s="1" t="str">
        <f>Pop[[#This Row],[State]]&amp;" "&amp;Pop[[#This Row],[County]]</f>
        <v>OR Hood River</v>
      </c>
      <c r="B2312" t="s">
        <v>320</v>
      </c>
      <c r="C2312" s="30" t="s">
        <v>1600</v>
      </c>
      <c r="D2312" s="16">
        <v>22346</v>
      </c>
    </row>
    <row r="2313" spans="1:4" x14ac:dyDescent="0.3">
      <c r="A2313" s="1" t="str">
        <f>Pop[[#This Row],[State]]&amp;" "&amp;Pop[[#This Row],[County]]</f>
        <v>OR Jackson</v>
      </c>
      <c r="B2313" t="s">
        <v>320</v>
      </c>
      <c r="C2313" s="30" t="s">
        <v>46</v>
      </c>
      <c r="D2313" s="16">
        <v>203206</v>
      </c>
    </row>
    <row r="2314" spans="1:4" x14ac:dyDescent="0.3">
      <c r="A2314" s="1" t="str">
        <f>Pop[[#This Row],[State]]&amp;" "&amp;Pop[[#This Row],[County]]</f>
        <v>OR Jefferson</v>
      </c>
      <c r="B2314" t="s">
        <v>320</v>
      </c>
      <c r="C2314" s="30" t="s">
        <v>47</v>
      </c>
      <c r="D2314" s="16">
        <v>21720</v>
      </c>
    </row>
    <row r="2315" spans="1:4" x14ac:dyDescent="0.3">
      <c r="A2315" s="1" t="str">
        <f>Pop[[#This Row],[State]]&amp;" "&amp;Pop[[#This Row],[County]]</f>
        <v>OR Josephine</v>
      </c>
      <c r="B2315" t="s">
        <v>320</v>
      </c>
      <c r="C2315" s="30" t="s">
        <v>1601</v>
      </c>
      <c r="D2315" s="16">
        <v>82713</v>
      </c>
    </row>
    <row r="2316" spans="1:4" x14ac:dyDescent="0.3">
      <c r="A2316" s="1" t="str">
        <f>Pop[[#This Row],[State]]&amp;" "&amp;Pop[[#This Row],[County]]</f>
        <v>OR Klamath</v>
      </c>
      <c r="B2316" t="s">
        <v>320</v>
      </c>
      <c r="C2316" s="30" t="s">
        <v>1602</v>
      </c>
      <c r="D2316" s="16">
        <v>66380</v>
      </c>
    </row>
    <row r="2317" spans="1:4" x14ac:dyDescent="0.3">
      <c r="A2317" s="1" t="str">
        <f>Pop[[#This Row],[State]]&amp;" "&amp;Pop[[#This Row],[County]]</f>
        <v>OR Lake</v>
      </c>
      <c r="B2317" t="s">
        <v>320</v>
      </c>
      <c r="C2317" s="30" t="s">
        <v>439</v>
      </c>
      <c r="D2317" s="16">
        <v>7895</v>
      </c>
    </row>
    <row r="2318" spans="1:4" x14ac:dyDescent="0.3">
      <c r="A2318" s="1" t="str">
        <f>Pop[[#This Row],[State]]&amp;" "&amp;Pop[[#This Row],[County]]</f>
        <v>OR Lane</v>
      </c>
      <c r="B2318" t="s">
        <v>320</v>
      </c>
      <c r="C2318" s="30" t="s">
        <v>891</v>
      </c>
      <c r="D2318" s="16">
        <v>351715</v>
      </c>
    </row>
    <row r="2319" spans="1:4" x14ac:dyDescent="0.3">
      <c r="A2319" s="1" t="str">
        <f>Pop[[#This Row],[State]]&amp;" "&amp;Pop[[#This Row],[County]]</f>
        <v>OR Lincoln</v>
      </c>
      <c r="B2319" t="s">
        <v>320</v>
      </c>
      <c r="C2319" s="30" t="s">
        <v>378</v>
      </c>
      <c r="D2319" s="16">
        <v>46034</v>
      </c>
    </row>
    <row r="2320" spans="1:4" x14ac:dyDescent="0.3">
      <c r="A2320" s="1" t="str">
        <f>Pop[[#This Row],[State]]&amp;" "&amp;Pop[[#This Row],[County]]</f>
        <v>OR Linn</v>
      </c>
      <c r="B2320" t="s">
        <v>320</v>
      </c>
      <c r="C2320" s="30" t="s">
        <v>727</v>
      </c>
      <c r="D2320" s="16">
        <v>116672</v>
      </c>
    </row>
    <row r="2321" spans="1:4" x14ac:dyDescent="0.3">
      <c r="A2321" s="1" t="str">
        <f>Pop[[#This Row],[State]]&amp;" "&amp;Pop[[#This Row],[County]]</f>
        <v>OR Malheur</v>
      </c>
      <c r="B2321" t="s">
        <v>320</v>
      </c>
      <c r="C2321" s="30" t="s">
        <v>1603</v>
      </c>
      <c r="D2321" s="16">
        <v>31313</v>
      </c>
    </row>
    <row r="2322" spans="1:4" x14ac:dyDescent="0.3">
      <c r="A2322" s="1" t="str">
        <f>Pop[[#This Row],[State]]&amp;" "&amp;Pop[[#This Row],[County]]</f>
        <v>OR Marion</v>
      </c>
      <c r="B2322" t="s">
        <v>320</v>
      </c>
      <c r="C2322" s="30" t="s">
        <v>50</v>
      </c>
      <c r="D2322" s="16">
        <v>315335</v>
      </c>
    </row>
    <row r="2323" spans="1:4" x14ac:dyDescent="0.3">
      <c r="A2323" s="1" t="str">
        <f>Pop[[#This Row],[State]]&amp;" "&amp;Pop[[#This Row],[County]]</f>
        <v>OR Morrow</v>
      </c>
      <c r="B2323" t="s">
        <v>320</v>
      </c>
      <c r="C2323" s="30" t="s">
        <v>1540</v>
      </c>
      <c r="D2323" s="16">
        <v>11173</v>
      </c>
    </row>
    <row r="2324" spans="1:4" x14ac:dyDescent="0.3">
      <c r="A2324" s="1" t="str">
        <f>Pop[[#This Row],[State]]&amp;" "&amp;Pop[[#This Row],[County]]</f>
        <v>OR Multnomah</v>
      </c>
      <c r="B2324" t="s">
        <v>320</v>
      </c>
      <c r="C2324" s="30" t="s">
        <v>1604</v>
      </c>
      <c r="D2324" s="16">
        <v>735334</v>
      </c>
    </row>
    <row r="2325" spans="1:4" x14ac:dyDescent="0.3">
      <c r="A2325" s="1" t="str">
        <f>Pop[[#This Row],[State]]&amp;" "&amp;Pop[[#This Row],[County]]</f>
        <v>OR Polk</v>
      </c>
      <c r="B2325" t="s">
        <v>320</v>
      </c>
      <c r="C2325" s="30" t="s">
        <v>387</v>
      </c>
      <c r="D2325" s="16">
        <v>75403</v>
      </c>
    </row>
    <row r="2326" spans="1:4" x14ac:dyDescent="0.3">
      <c r="A2326" s="1" t="str">
        <f>Pop[[#This Row],[State]]&amp;" "&amp;Pop[[#This Row],[County]]</f>
        <v>OR Sherman</v>
      </c>
      <c r="B2326" t="s">
        <v>320</v>
      </c>
      <c r="C2326" s="30" t="s">
        <v>916</v>
      </c>
      <c r="D2326" s="16">
        <v>1765</v>
      </c>
    </row>
    <row r="2327" spans="1:4" x14ac:dyDescent="0.3">
      <c r="A2327" s="1" t="str">
        <f>Pop[[#This Row],[State]]&amp;" "&amp;Pop[[#This Row],[County]]</f>
        <v>OR Tillamook</v>
      </c>
      <c r="B2327" t="s">
        <v>320</v>
      </c>
      <c r="C2327" s="30" t="s">
        <v>1605</v>
      </c>
      <c r="D2327" s="16">
        <v>25250</v>
      </c>
    </row>
    <row r="2328" spans="1:4" x14ac:dyDescent="0.3">
      <c r="A2328" s="1" t="str">
        <f>Pop[[#This Row],[State]]&amp;" "&amp;Pop[[#This Row],[County]]</f>
        <v>OR Umatilla</v>
      </c>
      <c r="B2328" t="s">
        <v>320</v>
      </c>
      <c r="C2328" s="30" t="s">
        <v>1606</v>
      </c>
      <c r="D2328" s="16">
        <v>75889</v>
      </c>
    </row>
    <row r="2329" spans="1:4" x14ac:dyDescent="0.3">
      <c r="A2329" s="1" t="str">
        <f>Pop[[#This Row],[State]]&amp;" "&amp;Pop[[#This Row],[County]]</f>
        <v>OR Union</v>
      </c>
      <c r="B2329" t="s">
        <v>320</v>
      </c>
      <c r="C2329" s="30" t="s">
        <v>399</v>
      </c>
      <c r="D2329" s="16">
        <v>25748</v>
      </c>
    </row>
    <row r="2330" spans="1:4" x14ac:dyDescent="0.3">
      <c r="A2330" s="1" t="str">
        <f>Pop[[#This Row],[State]]&amp;" "&amp;Pop[[#This Row],[County]]</f>
        <v>OR Wallowa</v>
      </c>
      <c r="B2330" t="s">
        <v>320</v>
      </c>
      <c r="C2330" s="30" t="s">
        <v>1607</v>
      </c>
      <c r="D2330" s="16">
        <v>7008</v>
      </c>
    </row>
    <row r="2331" spans="1:4" x14ac:dyDescent="0.3">
      <c r="A2331" s="1" t="str">
        <f>Pop[[#This Row],[State]]&amp;" "&amp;Pop[[#This Row],[County]]</f>
        <v>OR Wasco</v>
      </c>
      <c r="B2331" t="s">
        <v>320</v>
      </c>
      <c r="C2331" s="30" t="s">
        <v>1608</v>
      </c>
      <c r="D2331" s="16">
        <v>25213</v>
      </c>
    </row>
    <row r="2332" spans="1:4" x14ac:dyDescent="0.3">
      <c r="A2332" s="1" t="str">
        <f>Pop[[#This Row],[State]]&amp;" "&amp;Pop[[#This Row],[County]]</f>
        <v>OR Washington</v>
      </c>
      <c r="B2332" t="s">
        <v>320</v>
      </c>
      <c r="C2332" s="30" t="s">
        <v>65</v>
      </c>
      <c r="D2332" s="16">
        <v>529710</v>
      </c>
    </row>
    <row r="2333" spans="1:4" x14ac:dyDescent="0.3">
      <c r="A2333" s="1" t="str">
        <f>Pop[[#This Row],[State]]&amp;" "&amp;Pop[[#This Row],[County]]</f>
        <v>OR Wheeler</v>
      </c>
      <c r="B2333" t="s">
        <v>320</v>
      </c>
      <c r="C2333" s="30" t="s">
        <v>693</v>
      </c>
      <c r="D2333" s="16">
        <v>1441</v>
      </c>
    </row>
    <row r="2334" spans="1:4" x14ac:dyDescent="0.3">
      <c r="A2334" s="1" t="str">
        <f>Pop[[#This Row],[State]]&amp;" "&amp;Pop[[#This Row],[County]]</f>
        <v>OR Yamhill</v>
      </c>
      <c r="B2334" t="s">
        <v>320</v>
      </c>
      <c r="C2334" s="30" t="s">
        <v>1609</v>
      </c>
      <c r="D2334" s="16">
        <v>99193</v>
      </c>
    </row>
    <row r="2335" spans="1:4" x14ac:dyDescent="0.3">
      <c r="A2335" s="1" t="str">
        <f>Pop[[#This Row],[State]]&amp;" "&amp;Pop[[#This Row],[County]]</f>
        <v>OR State Agencies</v>
      </c>
      <c r="B2335" t="s">
        <v>320</v>
      </c>
      <c r="C2335" s="30" t="s">
        <v>243</v>
      </c>
      <c r="D2335" s="16" t="s">
        <v>244</v>
      </c>
    </row>
    <row r="2336" spans="1:4" x14ac:dyDescent="0.3">
      <c r="A2336" s="1" t="str">
        <f>Pop[[#This Row],[State]]&amp;" "&amp;Pop[[#This Row],[County]]</f>
        <v>OR Grand Total</v>
      </c>
      <c r="B2336" t="s">
        <v>320</v>
      </c>
      <c r="C2336" s="30" t="s">
        <v>67</v>
      </c>
      <c r="D2336" s="16">
        <v>3831074</v>
      </c>
    </row>
    <row r="2337" spans="1:4" x14ac:dyDescent="0.3">
      <c r="A2337" s="1" t="str">
        <f>Pop[[#This Row],[State]]&amp;" "&amp;Pop[[#This Row],[County]]</f>
        <v>PA Adams</v>
      </c>
      <c r="B2337" t="s">
        <v>196</v>
      </c>
      <c r="C2337" s="30" t="s">
        <v>478</v>
      </c>
      <c r="D2337" s="16">
        <v>101407</v>
      </c>
    </row>
    <row r="2338" spans="1:4" x14ac:dyDescent="0.3">
      <c r="A2338" s="1" t="str">
        <f>Pop[[#This Row],[State]]&amp;" "&amp;Pop[[#This Row],[County]]</f>
        <v>PA Allegheny</v>
      </c>
      <c r="B2338" t="s">
        <v>196</v>
      </c>
      <c r="C2338" s="30" t="s">
        <v>1610</v>
      </c>
      <c r="D2338" s="16">
        <v>1223348</v>
      </c>
    </row>
    <row r="2339" spans="1:4" x14ac:dyDescent="0.3">
      <c r="A2339" s="1" t="str">
        <f>Pop[[#This Row],[State]]&amp;" "&amp;Pop[[#This Row],[County]]</f>
        <v>PA Armstrong</v>
      </c>
      <c r="B2339" t="s">
        <v>196</v>
      </c>
      <c r="C2339" s="30" t="s">
        <v>1611</v>
      </c>
      <c r="D2339" s="16">
        <v>68941</v>
      </c>
    </row>
    <row r="2340" spans="1:4" x14ac:dyDescent="0.3">
      <c r="A2340" s="1" t="str">
        <f>Pop[[#This Row],[State]]&amp;" "&amp;Pop[[#This Row],[County]]</f>
        <v>PA Beaver</v>
      </c>
      <c r="B2340" t="s">
        <v>196</v>
      </c>
      <c r="C2340" s="30" t="s">
        <v>1556</v>
      </c>
      <c r="D2340" s="16">
        <v>170539</v>
      </c>
    </row>
    <row r="2341" spans="1:4" x14ac:dyDescent="0.3">
      <c r="A2341" s="1" t="str">
        <f>Pop[[#This Row],[State]]&amp;" "&amp;Pop[[#This Row],[County]]</f>
        <v>PA Bedford</v>
      </c>
      <c r="B2341" t="s">
        <v>196</v>
      </c>
      <c r="C2341" s="30" t="s">
        <v>1612</v>
      </c>
      <c r="D2341" s="16">
        <v>49762</v>
      </c>
    </row>
    <row r="2342" spans="1:4" x14ac:dyDescent="0.3">
      <c r="A2342" s="1" t="str">
        <f>Pop[[#This Row],[State]]&amp;" "&amp;Pop[[#This Row],[County]]</f>
        <v>PA Berks</v>
      </c>
      <c r="B2342" t="s">
        <v>196</v>
      </c>
      <c r="C2342" s="30" t="s">
        <v>1613</v>
      </c>
      <c r="D2342" s="16">
        <v>411442</v>
      </c>
    </row>
    <row r="2343" spans="1:4" x14ac:dyDescent="0.3">
      <c r="A2343" s="1" t="str">
        <f>Pop[[#This Row],[State]]&amp;" "&amp;Pop[[#This Row],[County]]</f>
        <v>PA Blair</v>
      </c>
      <c r="B2343" t="s">
        <v>196</v>
      </c>
      <c r="C2343" s="30" t="s">
        <v>1614</v>
      </c>
      <c r="D2343" s="16">
        <v>127089</v>
      </c>
    </row>
    <row r="2344" spans="1:4" x14ac:dyDescent="0.3">
      <c r="A2344" s="1" t="str">
        <f>Pop[[#This Row],[State]]&amp;" "&amp;Pop[[#This Row],[County]]</f>
        <v>PA Bradford</v>
      </c>
      <c r="B2344" t="s">
        <v>196</v>
      </c>
      <c r="C2344" s="30" t="s">
        <v>547</v>
      </c>
      <c r="D2344" s="16">
        <v>62622</v>
      </c>
    </row>
    <row r="2345" spans="1:4" x14ac:dyDescent="0.3">
      <c r="A2345" s="1" t="str">
        <f>Pop[[#This Row],[State]]&amp;" "&amp;Pop[[#This Row],[County]]</f>
        <v>PA Bucks</v>
      </c>
      <c r="B2345" t="s">
        <v>196</v>
      </c>
      <c r="C2345" s="30" t="s">
        <v>1615</v>
      </c>
      <c r="D2345" s="16">
        <v>625249</v>
      </c>
    </row>
    <row r="2346" spans="1:4" x14ac:dyDescent="0.3">
      <c r="A2346" s="1" t="str">
        <f>Pop[[#This Row],[State]]&amp;" "&amp;Pop[[#This Row],[County]]</f>
        <v>PA Butler</v>
      </c>
      <c r="B2346" t="s">
        <v>196</v>
      </c>
      <c r="C2346" s="30" t="s">
        <v>267</v>
      </c>
      <c r="D2346" s="16">
        <v>183862</v>
      </c>
    </row>
    <row r="2347" spans="1:4" x14ac:dyDescent="0.3">
      <c r="A2347" s="1" t="str">
        <f>Pop[[#This Row],[State]]&amp;" "&amp;Pop[[#This Row],[County]]</f>
        <v>PA Cambria</v>
      </c>
      <c r="B2347" t="s">
        <v>196</v>
      </c>
      <c r="C2347" s="30" t="s">
        <v>1616</v>
      </c>
      <c r="D2347" s="16">
        <v>143679</v>
      </c>
    </row>
    <row r="2348" spans="1:4" x14ac:dyDescent="0.3">
      <c r="A2348" s="1" t="str">
        <f>Pop[[#This Row],[State]]&amp;" "&amp;Pop[[#This Row],[County]]</f>
        <v>PA Cameron</v>
      </c>
      <c r="B2348" t="s">
        <v>196</v>
      </c>
      <c r="C2348" s="30" t="s">
        <v>993</v>
      </c>
      <c r="D2348" s="16">
        <v>5085</v>
      </c>
    </row>
    <row r="2349" spans="1:4" x14ac:dyDescent="0.3">
      <c r="A2349" s="1" t="str">
        <f>Pop[[#This Row],[State]]&amp;" "&amp;Pop[[#This Row],[County]]</f>
        <v>PA Carbon</v>
      </c>
      <c r="B2349" t="s">
        <v>196</v>
      </c>
      <c r="C2349" s="30" t="s">
        <v>1271</v>
      </c>
      <c r="D2349" s="16">
        <v>65249</v>
      </c>
    </row>
    <row r="2350" spans="1:4" x14ac:dyDescent="0.3">
      <c r="A2350" s="1" t="str">
        <f>Pop[[#This Row],[State]]&amp;" "&amp;Pop[[#This Row],[County]]</f>
        <v>PA Centre</v>
      </c>
      <c r="B2350" t="s">
        <v>196</v>
      </c>
      <c r="C2350" s="30" t="s">
        <v>1617</v>
      </c>
      <c r="D2350" s="16">
        <v>153990</v>
      </c>
    </row>
    <row r="2351" spans="1:4" x14ac:dyDescent="0.3">
      <c r="A2351" s="1" t="str">
        <f>Pop[[#This Row],[State]]&amp;" "&amp;Pop[[#This Row],[County]]</f>
        <v>PA Chester</v>
      </c>
      <c r="B2351" t="s">
        <v>196</v>
      </c>
      <c r="C2351" s="30" t="s">
        <v>1618</v>
      </c>
      <c r="D2351" s="54">
        <v>498886</v>
      </c>
    </row>
    <row r="2352" spans="1:4" x14ac:dyDescent="0.3">
      <c r="A2352" s="1" t="str">
        <f>Pop[[#This Row],[State]]&amp;" "&amp;Pop[[#This Row],[County]]</f>
        <v>PA Clarion</v>
      </c>
      <c r="B2352" t="s">
        <v>196</v>
      </c>
      <c r="C2352" s="30" t="s">
        <v>1619</v>
      </c>
      <c r="D2352" s="16">
        <v>39988</v>
      </c>
    </row>
    <row r="2353" spans="1:4" x14ac:dyDescent="0.3">
      <c r="A2353" s="1" t="str">
        <f>Pop[[#This Row],[State]]&amp;" "&amp;Pop[[#This Row],[County]]</f>
        <v>PA Clearfield</v>
      </c>
      <c r="B2353" t="s">
        <v>196</v>
      </c>
      <c r="C2353" s="30" t="s">
        <v>1620</v>
      </c>
      <c r="D2353" s="54">
        <v>81642</v>
      </c>
    </row>
    <row r="2354" spans="1:4" x14ac:dyDescent="0.3">
      <c r="A2354" s="1" t="str">
        <f>Pop[[#This Row],[State]]&amp;" "&amp;Pop[[#This Row],[County]]</f>
        <v>PA Clinton</v>
      </c>
      <c r="B2354" t="s">
        <v>196</v>
      </c>
      <c r="C2354" s="30" t="s">
        <v>715</v>
      </c>
      <c r="D2354" s="16">
        <v>39238</v>
      </c>
    </row>
    <row r="2355" spans="1:4" x14ac:dyDescent="0.3">
      <c r="A2355" s="1" t="str">
        <f>Pop[[#This Row],[State]]&amp;" "&amp;Pop[[#This Row],[County]]</f>
        <v>PA Columbia</v>
      </c>
      <c r="B2355" t="s">
        <v>196</v>
      </c>
      <c r="C2355" s="30" t="s">
        <v>360</v>
      </c>
      <c r="D2355" s="16">
        <v>67295</v>
      </c>
    </row>
    <row r="2356" spans="1:4" x14ac:dyDescent="0.3">
      <c r="A2356" s="1" t="str">
        <f>Pop[[#This Row],[State]]&amp;" "&amp;Pop[[#This Row],[County]]</f>
        <v>PA Crawford</v>
      </c>
      <c r="B2356" t="s">
        <v>196</v>
      </c>
      <c r="C2356" s="30" t="s">
        <v>40</v>
      </c>
      <c r="D2356" s="16">
        <v>88765</v>
      </c>
    </row>
    <row r="2357" spans="1:4" x14ac:dyDescent="0.3">
      <c r="A2357" s="1" t="str">
        <f>Pop[[#This Row],[State]]&amp;" "&amp;Pop[[#This Row],[County]]</f>
        <v>PA Cumberland</v>
      </c>
      <c r="B2357" t="s">
        <v>196</v>
      </c>
      <c r="C2357" s="30" t="s">
        <v>790</v>
      </c>
      <c r="D2357" s="16">
        <v>235406</v>
      </c>
    </row>
    <row r="2358" spans="1:4" x14ac:dyDescent="0.3">
      <c r="A2358" s="1" t="str">
        <f>Pop[[#This Row],[State]]&amp;" "&amp;Pop[[#This Row],[County]]</f>
        <v>PA Dauphin</v>
      </c>
      <c r="B2358" t="s">
        <v>196</v>
      </c>
      <c r="C2358" s="30" t="s">
        <v>1621</v>
      </c>
      <c r="D2358" s="16">
        <v>268100</v>
      </c>
    </row>
    <row r="2359" spans="1:4" x14ac:dyDescent="0.3">
      <c r="A2359" s="1" t="str">
        <f>Pop[[#This Row],[State]]&amp;" "&amp;Pop[[#This Row],[County]]</f>
        <v>PA Delaware</v>
      </c>
      <c r="B2359" t="s">
        <v>196</v>
      </c>
      <c r="C2359" s="30" t="s">
        <v>191</v>
      </c>
      <c r="D2359" s="54">
        <v>558979</v>
      </c>
    </row>
    <row r="2360" spans="1:4" x14ac:dyDescent="0.3">
      <c r="A2360" s="1" t="str">
        <f>Pop[[#This Row],[State]]&amp;" "&amp;Pop[[#This Row],[County]]</f>
        <v>PA Elk</v>
      </c>
      <c r="B2360" t="s">
        <v>196</v>
      </c>
      <c r="C2360" s="30" t="s">
        <v>874</v>
      </c>
      <c r="D2360" s="16">
        <v>31946</v>
      </c>
    </row>
    <row r="2361" spans="1:4" x14ac:dyDescent="0.3">
      <c r="A2361" s="1" t="str">
        <f>Pop[[#This Row],[State]]&amp;" "&amp;Pop[[#This Row],[County]]</f>
        <v>PA Erie</v>
      </c>
      <c r="B2361" t="s">
        <v>196</v>
      </c>
      <c r="C2361" s="30" t="s">
        <v>1500</v>
      </c>
      <c r="D2361" s="16">
        <v>280566</v>
      </c>
    </row>
    <row r="2362" spans="1:4" x14ac:dyDescent="0.3">
      <c r="A2362" s="1" t="str">
        <f>Pop[[#This Row],[State]]&amp;" "&amp;Pop[[#This Row],[County]]</f>
        <v>PA Fayette</v>
      </c>
      <c r="B2362" t="s">
        <v>196</v>
      </c>
      <c r="C2362" s="30" t="s">
        <v>326</v>
      </c>
      <c r="D2362" s="16">
        <v>136606</v>
      </c>
    </row>
    <row r="2363" spans="1:4" x14ac:dyDescent="0.3">
      <c r="A2363" s="1" t="str">
        <f>Pop[[#This Row],[State]]&amp;" "&amp;Pop[[#This Row],[County]]</f>
        <v>PA Forest</v>
      </c>
      <c r="B2363" t="s">
        <v>196</v>
      </c>
      <c r="C2363" s="30" t="s">
        <v>1622</v>
      </c>
      <c r="D2363" s="16">
        <v>7716</v>
      </c>
    </row>
    <row r="2364" spans="1:4" x14ac:dyDescent="0.3">
      <c r="A2364" s="1" t="str">
        <f>Pop[[#This Row],[State]]&amp;" "&amp;Pop[[#This Row],[County]]</f>
        <v>PA Franklin</v>
      </c>
      <c r="B2364" t="s">
        <v>196</v>
      </c>
      <c r="C2364" s="30" t="s">
        <v>43</v>
      </c>
      <c r="D2364" s="16">
        <v>149618</v>
      </c>
    </row>
    <row r="2365" spans="1:4" x14ac:dyDescent="0.3">
      <c r="A2365" s="1" t="str">
        <f>Pop[[#This Row],[State]]&amp;" "&amp;Pop[[#This Row],[County]]</f>
        <v>PA Fulton</v>
      </c>
      <c r="B2365" t="s">
        <v>196</v>
      </c>
      <c r="C2365" s="30" t="s">
        <v>368</v>
      </c>
      <c r="D2365" s="16">
        <v>14845</v>
      </c>
    </row>
    <row r="2366" spans="1:4" x14ac:dyDescent="0.3">
      <c r="A2366" s="1" t="str">
        <f>Pop[[#This Row],[State]]&amp;" "&amp;Pop[[#This Row],[County]]</f>
        <v>PA Greene</v>
      </c>
      <c r="B2366" t="s">
        <v>196</v>
      </c>
      <c r="C2366" s="30" t="s">
        <v>44</v>
      </c>
      <c r="D2366" s="16">
        <v>38686</v>
      </c>
    </row>
    <row r="2367" spans="1:4" x14ac:dyDescent="0.3">
      <c r="A2367" s="1" t="str">
        <f>Pop[[#This Row],[State]]&amp;" "&amp;Pop[[#This Row],[County]]</f>
        <v>PA Huntingdon</v>
      </c>
      <c r="B2367" t="s">
        <v>196</v>
      </c>
      <c r="C2367" s="30" t="s">
        <v>1623</v>
      </c>
      <c r="D2367" s="16">
        <v>45913</v>
      </c>
    </row>
    <row r="2368" spans="1:4" x14ac:dyDescent="0.3">
      <c r="A2368" s="1" t="str">
        <f>Pop[[#This Row],[State]]&amp;" "&amp;Pop[[#This Row],[County]]</f>
        <v>PA Indiana</v>
      </c>
      <c r="B2368" t="s">
        <v>196</v>
      </c>
      <c r="C2368" s="30" t="s">
        <v>123</v>
      </c>
      <c r="D2368" s="16">
        <v>88880</v>
      </c>
    </row>
    <row r="2369" spans="1:4" x14ac:dyDescent="0.3">
      <c r="A2369" s="1" t="str">
        <f>Pop[[#This Row],[State]]&amp;" "&amp;Pop[[#This Row],[County]]</f>
        <v>PA Jefferson</v>
      </c>
      <c r="B2369" t="s">
        <v>196</v>
      </c>
      <c r="C2369" s="30" t="s">
        <v>47</v>
      </c>
      <c r="D2369" s="54">
        <v>45200</v>
      </c>
    </row>
    <row r="2370" spans="1:4" x14ac:dyDescent="0.3">
      <c r="A2370" s="1" t="str">
        <f>Pop[[#This Row],[State]]&amp;" "&amp;Pop[[#This Row],[County]]</f>
        <v>PA Juniata</v>
      </c>
      <c r="B2370" t="s">
        <v>196</v>
      </c>
      <c r="C2370" s="30" t="s">
        <v>1624</v>
      </c>
      <c r="D2370" s="16">
        <v>24636</v>
      </c>
    </row>
    <row r="2371" spans="1:4" x14ac:dyDescent="0.3">
      <c r="A2371" s="1" t="str">
        <f>Pop[[#This Row],[State]]&amp;" "&amp;Pop[[#This Row],[County]]</f>
        <v>PA Lackawanna</v>
      </c>
      <c r="B2371" t="s">
        <v>196</v>
      </c>
      <c r="C2371" s="30" t="s">
        <v>1625</v>
      </c>
      <c r="D2371" s="16">
        <v>214437</v>
      </c>
    </row>
    <row r="2372" spans="1:4" x14ac:dyDescent="0.3">
      <c r="A2372" s="1" t="str">
        <f>Pop[[#This Row],[State]]&amp;" "&amp;Pop[[#This Row],[County]]</f>
        <v>PA Lancaster</v>
      </c>
      <c r="B2372" t="s">
        <v>196</v>
      </c>
      <c r="C2372" s="30" t="s">
        <v>1426</v>
      </c>
      <c r="D2372" s="16">
        <v>519445</v>
      </c>
    </row>
    <row r="2373" spans="1:4" x14ac:dyDescent="0.3">
      <c r="A2373" s="1" t="str">
        <f>Pop[[#This Row],[State]]&amp;" "&amp;Pop[[#This Row],[County]]</f>
        <v>PA Lawrence</v>
      </c>
      <c r="B2373" t="s">
        <v>196</v>
      </c>
      <c r="C2373" s="30" t="s">
        <v>48</v>
      </c>
      <c r="D2373" s="16">
        <v>91108</v>
      </c>
    </row>
    <row r="2374" spans="1:4" x14ac:dyDescent="0.3">
      <c r="A2374" s="1" t="str">
        <f>Pop[[#This Row],[State]]&amp;" "&amp;Pop[[#This Row],[County]]</f>
        <v>PA Lebanon</v>
      </c>
      <c r="B2374" t="s">
        <v>196</v>
      </c>
      <c r="C2374" s="30" t="s">
        <v>1626</v>
      </c>
      <c r="D2374" s="16">
        <v>133568</v>
      </c>
    </row>
    <row r="2375" spans="1:4" x14ac:dyDescent="0.3">
      <c r="A2375" s="1" t="str">
        <f>Pop[[#This Row],[State]]&amp;" "&amp;Pop[[#This Row],[County]]</f>
        <v>PA Lehigh</v>
      </c>
      <c r="B2375" t="s">
        <v>196</v>
      </c>
      <c r="C2375" s="30" t="s">
        <v>1627</v>
      </c>
      <c r="D2375" s="16">
        <v>349497</v>
      </c>
    </row>
    <row r="2376" spans="1:4" x14ac:dyDescent="0.3">
      <c r="A2376" s="1" t="str">
        <f>Pop[[#This Row],[State]]&amp;" "&amp;Pop[[#This Row],[County]]</f>
        <v>PA Luzerne</v>
      </c>
      <c r="B2376" t="s">
        <v>196</v>
      </c>
      <c r="C2376" s="30" t="s">
        <v>1628</v>
      </c>
      <c r="D2376" s="16">
        <v>320918</v>
      </c>
    </row>
    <row r="2377" spans="1:4" x14ac:dyDescent="0.3">
      <c r="A2377" s="1" t="str">
        <f>Pop[[#This Row],[State]]&amp;" "&amp;Pop[[#This Row],[County]]</f>
        <v>PA Lycoming</v>
      </c>
      <c r="B2377" t="s">
        <v>196</v>
      </c>
      <c r="C2377" s="30" t="s">
        <v>1629</v>
      </c>
      <c r="D2377" s="16">
        <v>116111</v>
      </c>
    </row>
    <row r="2378" spans="1:4" x14ac:dyDescent="0.3">
      <c r="A2378" s="1" t="str">
        <f>Pop[[#This Row],[State]]&amp;" "&amp;Pop[[#This Row],[County]]</f>
        <v>PA McKean</v>
      </c>
      <c r="B2378" t="s">
        <v>196</v>
      </c>
      <c r="C2378" s="30" t="s">
        <v>1630</v>
      </c>
      <c r="D2378" s="16">
        <v>43450</v>
      </c>
    </row>
    <row r="2379" spans="1:4" x14ac:dyDescent="0.3">
      <c r="A2379" s="1" t="str">
        <f>Pop[[#This Row],[State]]&amp;" "&amp;Pop[[#This Row],[County]]</f>
        <v>PA Mercer</v>
      </c>
      <c r="B2379" t="s">
        <v>196</v>
      </c>
      <c r="C2379" s="30" t="s">
        <v>814</v>
      </c>
      <c r="D2379" s="16">
        <v>116638</v>
      </c>
    </row>
    <row r="2380" spans="1:4" x14ac:dyDescent="0.3">
      <c r="A2380" s="1" t="str">
        <f>Pop[[#This Row],[State]]&amp;" "&amp;Pop[[#This Row],[County]]</f>
        <v>PA Mifflin</v>
      </c>
      <c r="B2380" t="s">
        <v>196</v>
      </c>
      <c r="C2380" s="30" t="s">
        <v>1631</v>
      </c>
      <c r="D2380" s="16">
        <v>46682</v>
      </c>
    </row>
    <row r="2381" spans="1:4" x14ac:dyDescent="0.3">
      <c r="A2381" s="1" t="str">
        <f>Pop[[#This Row],[State]]&amp;" "&amp;Pop[[#This Row],[County]]</f>
        <v>PA Monroe</v>
      </c>
      <c r="B2381" t="s">
        <v>196</v>
      </c>
      <c r="C2381" s="30" t="s">
        <v>339</v>
      </c>
      <c r="D2381" s="16">
        <v>169842</v>
      </c>
    </row>
    <row r="2382" spans="1:4" x14ac:dyDescent="0.3">
      <c r="A2382" s="1" t="str">
        <f>Pop[[#This Row],[State]]&amp;" "&amp;Pop[[#This Row],[County]]</f>
        <v>PA Montgomery</v>
      </c>
      <c r="B2382" t="s">
        <v>196</v>
      </c>
      <c r="C2382" s="30" t="s">
        <v>53</v>
      </c>
      <c r="D2382" s="54">
        <v>799874</v>
      </c>
    </row>
    <row r="2383" spans="1:4" x14ac:dyDescent="0.3">
      <c r="A2383" s="1" t="str">
        <f>Pop[[#This Row],[State]]&amp;" "&amp;Pop[[#This Row],[County]]</f>
        <v>PA Montour</v>
      </c>
      <c r="B2383" t="s">
        <v>196</v>
      </c>
      <c r="C2383" s="30" t="s">
        <v>1632</v>
      </c>
      <c r="D2383" s="16">
        <v>18267</v>
      </c>
    </row>
    <row r="2384" spans="1:4" x14ac:dyDescent="0.3">
      <c r="A2384" s="1" t="str">
        <f>Pop[[#This Row],[State]]&amp;" "&amp;Pop[[#This Row],[County]]</f>
        <v>PA Northampton</v>
      </c>
      <c r="B2384" t="s">
        <v>196</v>
      </c>
      <c r="C2384" s="30" t="s">
        <v>1346</v>
      </c>
      <c r="D2384" s="16">
        <v>297735</v>
      </c>
    </row>
    <row r="2385" spans="1:4" x14ac:dyDescent="0.3">
      <c r="A2385" s="1" t="str">
        <f>Pop[[#This Row],[State]]&amp;" "&amp;Pop[[#This Row],[County]]</f>
        <v>PA Northumberland</v>
      </c>
      <c r="B2385" t="s">
        <v>196</v>
      </c>
      <c r="C2385" s="30" t="s">
        <v>1633</v>
      </c>
      <c r="D2385" s="16">
        <v>94528</v>
      </c>
    </row>
    <row r="2386" spans="1:4" x14ac:dyDescent="0.3">
      <c r="A2386" s="1" t="str">
        <f>Pop[[#This Row],[State]]&amp;" "&amp;Pop[[#This Row],[County]]</f>
        <v>PA Perry</v>
      </c>
      <c r="B2386" t="s">
        <v>196</v>
      </c>
      <c r="C2386" s="30" t="s">
        <v>58</v>
      </c>
      <c r="D2386" s="16">
        <v>45969</v>
      </c>
    </row>
    <row r="2387" spans="1:4" x14ac:dyDescent="0.3">
      <c r="A2387" s="1" t="str">
        <f>Pop[[#This Row],[State]]&amp;" "&amp;Pop[[#This Row],[County]]</f>
        <v>PA Philadelphia</v>
      </c>
      <c r="B2387" t="s">
        <v>196</v>
      </c>
      <c r="C2387" s="30" t="s">
        <v>1634</v>
      </c>
      <c r="D2387" s="16">
        <v>1526006</v>
      </c>
    </row>
    <row r="2388" spans="1:4" x14ac:dyDescent="0.3">
      <c r="A2388" s="1" t="str">
        <f>Pop[[#This Row],[State]]&amp;" "&amp;Pop[[#This Row],[County]]</f>
        <v>PA Pike</v>
      </c>
      <c r="B2388" t="s">
        <v>196</v>
      </c>
      <c r="C2388" s="30" t="s">
        <v>341</v>
      </c>
      <c r="D2388" s="16">
        <v>57369</v>
      </c>
    </row>
    <row r="2389" spans="1:4" x14ac:dyDescent="0.3">
      <c r="A2389" s="1" t="str">
        <f>Pop[[#This Row],[State]]&amp;" "&amp;Pop[[#This Row],[County]]</f>
        <v>PA Potter</v>
      </c>
      <c r="B2389" t="s">
        <v>196</v>
      </c>
      <c r="C2389" s="30" t="s">
        <v>1635</v>
      </c>
      <c r="D2389" s="16">
        <v>17457</v>
      </c>
    </row>
    <row r="2390" spans="1:4" x14ac:dyDescent="0.3">
      <c r="A2390" s="1" t="str">
        <f>Pop[[#This Row],[State]]&amp;" "&amp;Pop[[#This Row],[County]]</f>
        <v>PA Schuylkill</v>
      </c>
      <c r="B2390" t="s">
        <v>196</v>
      </c>
      <c r="C2390" s="30" t="s">
        <v>1636</v>
      </c>
      <c r="D2390" s="16">
        <v>148289</v>
      </c>
    </row>
    <row r="2391" spans="1:4" x14ac:dyDescent="0.3">
      <c r="A2391" s="1" t="str">
        <f>Pop[[#This Row],[State]]&amp;" "&amp;Pop[[#This Row],[County]]</f>
        <v>PA Snyder</v>
      </c>
      <c r="B2391" t="s">
        <v>196</v>
      </c>
      <c r="C2391" s="30" t="s">
        <v>1637</v>
      </c>
      <c r="D2391" s="16">
        <v>39702</v>
      </c>
    </row>
    <row r="2392" spans="1:4" x14ac:dyDescent="0.3">
      <c r="A2392" s="1" t="str">
        <f>Pop[[#This Row],[State]]&amp;" "&amp;Pop[[#This Row],[County]]</f>
        <v>PA Somerset</v>
      </c>
      <c r="B2392" t="s">
        <v>196</v>
      </c>
      <c r="C2392" s="30" t="s">
        <v>1056</v>
      </c>
      <c r="D2392" s="16">
        <v>77742</v>
      </c>
    </row>
    <row r="2393" spans="1:4" x14ac:dyDescent="0.3">
      <c r="A2393" s="1" t="str">
        <f>Pop[[#This Row],[State]]&amp;" "&amp;Pop[[#This Row],[County]]</f>
        <v>PA Sullivan</v>
      </c>
      <c r="B2393" t="s">
        <v>196</v>
      </c>
      <c r="C2393" s="30" t="s">
        <v>856</v>
      </c>
      <c r="D2393" s="16">
        <v>6428</v>
      </c>
    </row>
    <row r="2394" spans="1:4" x14ac:dyDescent="0.3">
      <c r="A2394" s="1" t="str">
        <f>Pop[[#This Row],[State]]&amp;" "&amp;Pop[[#This Row],[County]]</f>
        <v>PA Susquehanna</v>
      </c>
      <c r="B2394" t="s">
        <v>196</v>
      </c>
      <c r="C2394" s="30" t="s">
        <v>1638</v>
      </c>
      <c r="D2394" s="16">
        <v>43356</v>
      </c>
    </row>
    <row r="2395" spans="1:4" x14ac:dyDescent="0.3">
      <c r="A2395" s="1" t="str">
        <f>Pop[[#This Row],[State]]&amp;" "&amp;Pop[[#This Row],[County]]</f>
        <v>PA Tioga</v>
      </c>
      <c r="B2395" t="s">
        <v>196</v>
      </c>
      <c r="C2395" s="30" t="s">
        <v>1514</v>
      </c>
      <c r="D2395" s="16">
        <v>41981</v>
      </c>
    </row>
    <row r="2396" spans="1:4" x14ac:dyDescent="0.3">
      <c r="A2396" s="1" t="str">
        <f>Pop[[#This Row],[State]]&amp;" "&amp;Pop[[#This Row],[County]]</f>
        <v>PA Union</v>
      </c>
      <c r="B2396" t="s">
        <v>196</v>
      </c>
      <c r="C2396" s="30" t="s">
        <v>399</v>
      </c>
      <c r="D2396" s="16">
        <v>44947</v>
      </c>
    </row>
    <row r="2397" spans="1:4" x14ac:dyDescent="0.3">
      <c r="A2397" s="1" t="str">
        <f>Pop[[#This Row],[State]]&amp;" "&amp;Pop[[#This Row],[County]]</f>
        <v>PA Venango</v>
      </c>
      <c r="B2397" t="s">
        <v>196</v>
      </c>
      <c r="C2397" s="30" t="s">
        <v>1639</v>
      </c>
      <c r="D2397" s="16">
        <v>54984</v>
      </c>
    </row>
    <row r="2398" spans="1:4" x14ac:dyDescent="0.3">
      <c r="A2398" s="1" t="str">
        <f>Pop[[#This Row],[State]]&amp;" "&amp;Pop[[#This Row],[County]]</f>
        <v>PA Warren</v>
      </c>
      <c r="B2398" t="s">
        <v>196</v>
      </c>
      <c r="C2398" s="30" t="s">
        <v>690</v>
      </c>
      <c r="D2398" s="16">
        <v>41815</v>
      </c>
    </row>
    <row r="2399" spans="1:4" x14ac:dyDescent="0.3">
      <c r="A2399" s="1" t="str">
        <f>Pop[[#This Row],[State]]&amp;" "&amp;Pop[[#This Row],[County]]</f>
        <v>PA Washington</v>
      </c>
      <c r="B2399" t="s">
        <v>196</v>
      </c>
      <c r="C2399" s="30" t="s">
        <v>65</v>
      </c>
      <c r="D2399" s="16">
        <v>207820</v>
      </c>
    </row>
    <row r="2400" spans="1:4" x14ac:dyDescent="0.3">
      <c r="A2400" s="1" t="str">
        <f>Pop[[#This Row],[State]]&amp;" "&amp;Pop[[#This Row],[County]]</f>
        <v>PA Wayne</v>
      </c>
      <c r="B2400" t="s">
        <v>196</v>
      </c>
      <c r="C2400" s="30" t="s">
        <v>691</v>
      </c>
      <c r="D2400" s="16">
        <v>52822</v>
      </c>
    </row>
    <row r="2401" spans="1:4" x14ac:dyDescent="0.3">
      <c r="A2401" s="1" t="str">
        <f>Pop[[#This Row],[State]]&amp;" "&amp;Pop[[#This Row],[County]]</f>
        <v>PA Westmoreland</v>
      </c>
      <c r="B2401" t="s">
        <v>196</v>
      </c>
      <c r="C2401" s="30" t="s">
        <v>1640</v>
      </c>
      <c r="D2401" s="16">
        <v>365169</v>
      </c>
    </row>
    <row r="2402" spans="1:4" x14ac:dyDescent="0.3">
      <c r="A2402" s="1" t="str">
        <f>Pop[[#This Row],[State]]&amp;" "&amp;Pop[[#This Row],[County]]</f>
        <v>PA Wyoming</v>
      </c>
      <c r="B2402" t="s">
        <v>196</v>
      </c>
      <c r="C2402" s="30" t="s">
        <v>289</v>
      </c>
      <c r="D2402" s="16">
        <v>28276</v>
      </c>
    </row>
    <row r="2403" spans="1:4" x14ac:dyDescent="0.3">
      <c r="A2403" s="1" t="str">
        <f>Pop[[#This Row],[State]]&amp;" "&amp;Pop[[#This Row],[County]]</f>
        <v>PA York</v>
      </c>
      <c r="B2403" t="s">
        <v>196</v>
      </c>
      <c r="C2403" s="30" t="s">
        <v>1067</v>
      </c>
      <c r="D2403" s="16">
        <v>434972</v>
      </c>
    </row>
    <row r="2404" spans="1:4" x14ac:dyDescent="0.3">
      <c r="A2404" s="1" t="str">
        <f>Pop[[#This Row],[State]]&amp;" "&amp;Pop[[#This Row],[County]]</f>
        <v>PA State Agencies</v>
      </c>
      <c r="B2404" t="s">
        <v>196</v>
      </c>
      <c r="C2404" s="30" t="s">
        <v>243</v>
      </c>
      <c r="D2404" s="16" t="s">
        <v>244</v>
      </c>
    </row>
    <row r="2405" spans="1:4" x14ac:dyDescent="0.3">
      <c r="A2405" s="1" t="str">
        <f>Pop[[#This Row],[State]]&amp;" "&amp;Pop[[#This Row],[County]]</f>
        <v>PA Grand Total</v>
      </c>
      <c r="B2405" t="s">
        <v>196</v>
      </c>
      <c r="C2405" s="30" t="s">
        <v>67</v>
      </c>
      <c r="D2405" s="16">
        <v>12702379</v>
      </c>
    </row>
    <row r="2406" spans="1:4" x14ac:dyDescent="0.3">
      <c r="A2406" s="1" t="str">
        <f>Pop[[#This Row],[State]]&amp;" "&amp;Pop[[#This Row],[County]]</f>
        <v>PR Adjuntas</v>
      </c>
      <c r="B2406" t="s">
        <v>180</v>
      </c>
      <c r="C2406" t="s">
        <v>1641</v>
      </c>
      <c r="D2406">
        <v>19483</v>
      </c>
    </row>
    <row r="2407" spans="1:4" x14ac:dyDescent="0.3">
      <c r="A2407" s="1" t="str">
        <f>Pop[[#This Row],[State]]&amp;" "&amp;Pop[[#This Row],[County]]</f>
        <v>PR Aguada</v>
      </c>
      <c r="B2407" t="s">
        <v>180</v>
      </c>
      <c r="C2407" t="s">
        <v>1642</v>
      </c>
      <c r="D2407">
        <v>41959</v>
      </c>
    </row>
    <row r="2408" spans="1:4" x14ac:dyDescent="0.3">
      <c r="A2408" s="1" t="str">
        <f>Pop[[#This Row],[State]]&amp;" "&amp;Pop[[#This Row],[County]]</f>
        <v>PR Aguadilla</v>
      </c>
      <c r="B2408" t="s">
        <v>180</v>
      </c>
      <c r="C2408" t="s">
        <v>1643</v>
      </c>
      <c r="D2408">
        <v>60949</v>
      </c>
    </row>
    <row r="2409" spans="1:4" x14ac:dyDescent="0.3">
      <c r="A2409" s="1" t="str">
        <f>Pop[[#This Row],[State]]&amp;" "&amp;Pop[[#This Row],[County]]</f>
        <v>PR Aguas Buenas</v>
      </c>
      <c r="B2409" t="s">
        <v>180</v>
      </c>
      <c r="C2409" t="s">
        <v>1644</v>
      </c>
      <c r="D2409">
        <v>28659</v>
      </c>
    </row>
    <row r="2410" spans="1:4" x14ac:dyDescent="0.3">
      <c r="A2410" s="1" t="str">
        <f>Pop[[#This Row],[State]]&amp;" "&amp;Pop[[#This Row],[County]]</f>
        <v>PR Aibonito</v>
      </c>
      <c r="B2410" t="s">
        <v>180</v>
      </c>
      <c r="C2410" t="s">
        <v>1645</v>
      </c>
      <c r="D2410">
        <v>25900</v>
      </c>
    </row>
    <row r="2411" spans="1:4" x14ac:dyDescent="0.3">
      <c r="A2411" s="1" t="str">
        <f>Pop[[#This Row],[State]]&amp;" "&amp;Pop[[#This Row],[County]]</f>
        <v>PR Añasco</v>
      </c>
      <c r="B2411" t="s">
        <v>180</v>
      </c>
      <c r="C2411" t="s">
        <v>1646</v>
      </c>
      <c r="D2411">
        <v>29261</v>
      </c>
    </row>
    <row r="2412" spans="1:4" x14ac:dyDescent="0.3">
      <c r="A2412" s="1" t="str">
        <f>Pop[[#This Row],[State]]&amp;" "&amp;Pop[[#This Row],[County]]</f>
        <v>PR Arecibo</v>
      </c>
      <c r="B2412" t="s">
        <v>180</v>
      </c>
      <c r="C2412" t="s">
        <v>1647</v>
      </c>
      <c r="D2412">
        <v>96440</v>
      </c>
    </row>
    <row r="2413" spans="1:4" x14ac:dyDescent="0.3">
      <c r="A2413" s="1" t="str">
        <f>Pop[[#This Row],[State]]&amp;" "&amp;Pop[[#This Row],[County]]</f>
        <v>PR Arroyo</v>
      </c>
      <c r="B2413" t="s">
        <v>180</v>
      </c>
      <c r="C2413" t="s">
        <v>1648</v>
      </c>
      <c r="D2413">
        <v>19575</v>
      </c>
    </row>
    <row r="2414" spans="1:4" x14ac:dyDescent="0.3">
      <c r="A2414" s="1" t="str">
        <f>Pop[[#This Row],[State]]&amp;" "&amp;Pop[[#This Row],[County]]</f>
        <v>PR Barceloneta</v>
      </c>
      <c r="B2414" t="s">
        <v>180</v>
      </c>
      <c r="C2414" t="s">
        <v>1649</v>
      </c>
      <c r="D2414">
        <v>24816</v>
      </c>
    </row>
    <row r="2415" spans="1:4" x14ac:dyDescent="0.3">
      <c r="A2415" s="1" t="str">
        <f>Pop[[#This Row],[State]]&amp;" "&amp;Pop[[#This Row],[County]]</f>
        <v>PR Barranquitas</v>
      </c>
      <c r="B2415" t="s">
        <v>180</v>
      </c>
      <c r="C2415" t="s">
        <v>1650</v>
      </c>
      <c r="D2415">
        <v>30318</v>
      </c>
    </row>
    <row r="2416" spans="1:4" x14ac:dyDescent="0.3">
      <c r="A2416" s="1" t="str">
        <f>Pop[[#This Row],[State]]&amp;" "&amp;Pop[[#This Row],[County]]</f>
        <v>PR Bayamón</v>
      </c>
      <c r="B2416" t="s">
        <v>180</v>
      </c>
      <c r="C2416" t="s">
        <v>1651</v>
      </c>
      <c r="D2416">
        <v>208116</v>
      </c>
    </row>
    <row r="2417" spans="1:4" x14ac:dyDescent="0.3">
      <c r="A2417" s="1" t="str">
        <f>Pop[[#This Row],[State]]&amp;" "&amp;Pop[[#This Row],[County]]</f>
        <v>PR Cabo Rojo</v>
      </c>
      <c r="B2417" t="s">
        <v>180</v>
      </c>
      <c r="C2417" t="s">
        <v>1652</v>
      </c>
      <c r="D2417">
        <v>50917</v>
      </c>
    </row>
    <row r="2418" spans="1:4" x14ac:dyDescent="0.3">
      <c r="A2418" s="1" t="str">
        <f>Pop[[#This Row],[State]]&amp;" "&amp;Pop[[#This Row],[County]]</f>
        <v>PR Caguas</v>
      </c>
      <c r="B2418" t="s">
        <v>180</v>
      </c>
      <c r="C2418" t="s">
        <v>1653</v>
      </c>
      <c r="D2418">
        <v>142893</v>
      </c>
    </row>
    <row r="2419" spans="1:4" x14ac:dyDescent="0.3">
      <c r="A2419" s="1" t="str">
        <f>Pop[[#This Row],[State]]&amp;" "&amp;Pop[[#This Row],[County]]</f>
        <v>PR Camuy</v>
      </c>
      <c r="B2419" t="s">
        <v>180</v>
      </c>
      <c r="C2419" t="s">
        <v>1654</v>
      </c>
      <c r="D2419">
        <v>35159</v>
      </c>
    </row>
    <row r="2420" spans="1:4" x14ac:dyDescent="0.3">
      <c r="A2420" s="1" t="str">
        <f>Pop[[#This Row],[State]]&amp;" "&amp;Pop[[#This Row],[County]]</f>
        <v>PR Canóvanas</v>
      </c>
      <c r="B2420" t="s">
        <v>180</v>
      </c>
      <c r="C2420" t="s">
        <v>1655</v>
      </c>
      <c r="D2420">
        <v>47648</v>
      </c>
    </row>
    <row r="2421" spans="1:4" x14ac:dyDescent="0.3">
      <c r="A2421" s="1" t="str">
        <f>Pop[[#This Row],[State]]&amp;" "&amp;Pop[[#This Row],[County]]</f>
        <v>PR Carolina</v>
      </c>
      <c r="B2421" t="s">
        <v>180</v>
      </c>
      <c r="C2421" t="s">
        <v>1656</v>
      </c>
      <c r="D2421">
        <v>176762</v>
      </c>
    </row>
    <row r="2422" spans="1:4" x14ac:dyDescent="0.3">
      <c r="A2422" s="1" t="str">
        <f>Pop[[#This Row],[State]]&amp;" "&amp;Pop[[#This Row],[County]]</f>
        <v>PR Cataño</v>
      </c>
      <c r="B2422" t="s">
        <v>180</v>
      </c>
      <c r="C2422" t="s">
        <v>1657</v>
      </c>
      <c r="D2422">
        <v>28140</v>
      </c>
    </row>
    <row r="2423" spans="1:4" x14ac:dyDescent="0.3">
      <c r="A2423" s="1" t="str">
        <f>Pop[[#This Row],[State]]&amp;" "&amp;Pop[[#This Row],[County]]</f>
        <v>PR Cayey</v>
      </c>
      <c r="B2423" t="s">
        <v>180</v>
      </c>
      <c r="C2423" t="s">
        <v>1658</v>
      </c>
      <c r="D2423">
        <v>48119</v>
      </c>
    </row>
    <row r="2424" spans="1:4" x14ac:dyDescent="0.3">
      <c r="A2424" s="1" t="str">
        <f>Pop[[#This Row],[State]]&amp;" "&amp;Pop[[#This Row],[County]]</f>
        <v>PR Ceiba</v>
      </c>
      <c r="B2424" t="s">
        <v>180</v>
      </c>
      <c r="C2424" t="s">
        <v>1659</v>
      </c>
      <c r="D2424">
        <v>13631</v>
      </c>
    </row>
    <row r="2425" spans="1:4" x14ac:dyDescent="0.3">
      <c r="A2425" s="1" t="str">
        <f>Pop[[#This Row],[State]]&amp;" "&amp;Pop[[#This Row],[County]]</f>
        <v>PR Ciales</v>
      </c>
      <c r="B2425" t="s">
        <v>180</v>
      </c>
      <c r="C2425" t="s">
        <v>1660</v>
      </c>
      <c r="D2425">
        <v>18782</v>
      </c>
    </row>
    <row r="2426" spans="1:4" x14ac:dyDescent="0.3">
      <c r="A2426" s="1" t="str">
        <f>Pop[[#This Row],[State]]&amp;" "&amp;Pop[[#This Row],[County]]</f>
        <v>PR Cidra</v>
      </c>
      <c r="B2426" t="s">
        <v>180</v>
      </c>
      <c r="C2426" t="s">
        <v>1661</v>
      </c>
      <c r="D2426">
        <v>43480</v>
      </c>
    </row>
    <row r="2427" spans="1:4" x14ac:dyDescent="0.3">
      <c r="A2427" s="1" t="str">
        <f>Pop[[#This Row],[State]]&amp;" "&amp;Pop[[#This Row],[County]]</f>
        <v>PR Coamo</v>
      </c>
      <c r="B2427" t="s">
        <v>180</v>
      </c>
      <c r="C2427" t="s">
        <v>1662</v>
      </c>
      <c r="D2427">
        <v>40512</v>
      </c>
    </row>
    <row r="2428" spans="1:4" x14ac:dyDescent="0.3">
      <c r="A2428" s="1" t="str">
        <f>Pop[[#This Row],[State]]&amp;" "&amp;Pop[[#This Row],[County]]</f>
        <v>PR Comerío</v>
      </c>
      <c r="B2428" t="s">
        <v>180</v>
      </c>
      <c r="C2428" t="s">
        <v>1663</v>
      </c>
      <c r="D2428">
        <v>20778</v>
      </c>
    </row>
    <row r="2429" spans="1:4" x14ac:dyDescent="0.3">
      <c r="A2429" s="1" t="str">
        <f>Pop[[#This Row],[State]]&amp;" "&amp;Pop[[#This Row],[County]]</f>
        <v>PR Corozal</v>
      </c>
      <c r="B2429" t="s">
        <v>180</v>
      </c>
      <c r="C2429" t="s">
        <v>1664</v>
      </c>
      <c r="D2429">
        <v>37142</v>
      </c>
    </row>
    <row r="2430" spans="1:4" x14ac:dyDescent="0.3">
      <c r="A2430" s="1" t="str">
        <f>Pop[[#This Row],[State]]&amp;" "&amp;Pop[[#This Row],[County]]</f>
        <v>PR Culebra</v>
      </c>
      <c r="B2430" t="s">
        <v>180</v>
      </c>
      <c r="C2430" t="s">
        <v>1665</v>
      </c>
      <c r="D2430">
        <v>1818</v>
      </c>
    </row>
    <row r="2431" spans="1:4" x14ac:dyDescent="0.3">
      <c r="A2431" s="1" t="str">
        <f>Pop[[#This Row],[State]]&amp;" "&amp;Pop[[#This Row],[County]]</f>
        <v>PR Dorado</v>
      </c>
      <c r="B2431" t="s">
        <v>180</v>
      </c>
      <c r="C2431" t="s">
        <v>1666</v>
      </c>
      <c r="D2431">
        <v>38165</v>
      </c>
    </row>
    <row r="2432" spans="1:4" x14ac:dyDescent="0.3">
      <c r="A2432" s="1" t="str">
        <f>Pop[[#This Row],[State]]&amp;" "&amp;Pop[[#This Row],[County]]</f>
        <v>PR Fajardo</v>
      </c>
      <c r="B2432" t="s">
        <v>180</v>
      </c>
      <c r="C2432" t="s">
        <v>1667</v>
      </c>
      <c r="D2432">
        <v>36993</v>
      </c>
    </row>
    <row r="2433" spans="1:4" x14ac:dyDescent="0.3">
      <c r="A2433" s="1" t="str">
        <f>Pop[[#This Row],[State]]&amp;" "&amp;Pop[[#This Row],[County]]</f>
        <v>PR Florida</v>
      </c>
      <c r="B2433" t="s">
        <v>180</v>
      </c>
      <c r="C2433" t="s">
        <v>211</v>
      </c>
      <c r="D2433">
        <v>12680</v>
      </c>
    </row>
    <row r="2434" spans="1:4" x14ac:dyDescent="0.3">
      <c r="A2434" s="1" t="str">
        <f>Pop[[#This Row],[State]]&amp;" "&amp;Pop[[#This Row],[County]]</f>
        <v>PR Guánica</v>
      </c>
      <c r="B2434" t="s">
        <v>180</v>
      </c>
      <c r="C2434" t="s">
        <v>1668</v>
      </c>
      <c r="D2434">
        <v>19427</v>
      </c>
    </row>
    <row r="2435" spans="1:4" x14ac:dyDescent="0.3">
      <c r="A2435" s="1" t="str">
        <f>Pop[[#This Row],[State]]&amp;" "&amp;Pop[[#This Row],[County]]</f>
        <v>PR Guayama</v>
      </c>
      <c r="B2435" t="s">
        <v>180</v>
      </c>
      <c r="C2435" t="s">
        <v>1669</v>
      </c>
      <c r="D2435">
        <v>45362</v>
      </c>
    </row>
    <row r="2436" spans="1:4" x14ac:dyDescent="0.3">
      <c r="A2436" s="1" t="str">
        <f>Pop[[#This Row],[State]]&amp;" "&amp;Pop[[#This Row],[County]]</f>
        <v>PR Guayanilla</v>
      </c>
      <c r="B2436" t="s">
        <v>180</v>
      </c>
      <c r="C2436" t="s">
        <v>1670</v>
      </c>
      <c r="D2436">
        <v>21581</v>
      </c>
    </row>
    <row r="2437" spans="1:4" x14ac:dyDescent="0.3">
      <c r="A2437" s="1" t="str">
        <f>Pop[[#This Row],[State]]&amp;" "&amp;Pop[[#This Row],[County]]</f>
        <v>PR Guaynabo</v>
      </c>
      <c r="B2437" t="s">
        <v>180</v>
      </c>
      <c r="C2437" t="s">
        <v>1671</v>
      </c>
      <c r="D2437">
        <v>97924</v>
      </c>
    </row>
    <row r="2438" spans="1:4" x14ac:dyDescent="0.3">
      <c r="A2438" s="1" t="str">
        <f>Pop[[#This Row],[State]]&amp;" "&amp;Pop[[#This Row],[County]]</f>
        <v>PR Gurabo</v>
      </c>
      <c r="B2438" t="s">
        <v>180</v>
      </c>
      <c r="C2438" t="s">
        <v>1672</v>
      </c>
      <c r="D2438">
        <v>45369</v>
      </c>
    </row>
    <row r="2439" spans="1:4" x14ac:dyDescent="0.3">
      <c r="A2439" s="1" t="str">
        <f>Pop[[#This Row],[State]]&amp;" "&amp;Pop[[#This Row],[County]]</f>
        <v>PR Hatillo</v>
      </c>
      <c r="B2439" t="s">
        <v>180</v>
      </c>
      <c r="C2439" t="s">
        <v>1673</v>
      </c>
      <c r="D2439">
        <v>41953</v>
      </c>
    </row>
    <row r="2440" spans="1:4" x14ac:dyDescent="0.3">
      <c r="A2440" s="1" t="str">
        <f>Pop[[#This Row],[State]]&amp;" "&amp;Pop[[#This Row],[County]]</f>
        <v>PR Hormigueros</v>
      </c>
      <c r="B2440" t="s">
        <v>180</v>
      </c>
      <c r="C2440" t="s">
        <v>1674</v>
      </c>
      <c r="D2440">
        <v>17250</v>
      </c>
    </row>
    <row r="2441" spans="1:4" x14ac:dyDescent="0.3">
      <c r="A2441" s="1" t="str">
        <f>Pop[[#This Row],[State]]&amp;" "&amp;Pop[[#This Row],[County]]</f>
        <v>PR Humacao</v>
      </c>
      <c r="B2441" t="s">
        <v>180</v>
      </c>
      <c r="C2441" t="s">
        <v>1675</v>
      </c>
      <c r="D2441">
        <v>58466</v>
      </c>
    </row>
    <row r="2442" spans="1:4" x14ac:dyDescent="0.3">
      <c r="A2442" s="1" t="str">
        <f>Pop[[#This Row],[State]]&amp;" "&amp;Pop[[#This Row],[County]]</f>
        <v>PR Isabela</v>
      </c>
      <c r="B2442" t="s">
        <v>180</v>
      </c>
      <c r="C2442" t="s">
        <v>1676</v>
      </c>
      <c r="D2442">
        <v>45631</v>
      </c>
    </row>
    <row r="2443" spans="1:4" x14ac:dyDescent="0.3">
      <c r="A2443" s="1" t="str">
        <f>Pop[[#This Row],[State]]&amp;" "&amp;Pop[[#This Row],[County]]</f>
        <v>PR Jayuya</v>
      </c>
      <c r="B2443" t="s">
        <v>180</v>
      </c>
      <c r="C2443" t="s">
        <v>1677</v>
      </c>
      <c r="D2443">
        <v>16642</v>
      </c>
    </row>
    <row r="2444" spans="1:4" x14ac:dyDescent="0.3">
      <c r="A2444" s="1" t="str">
        <f>Pop[[#This Row],[State]]&amp;" "&amp;Pop[[#This Row],[County]]</f>
        <v>PR Juana Díaz</v>
      </c>
      <c r="B2444" t="s">
        <v>180</v>
      </c>
      <c r="C2444" t="s">
        <v>1678</v>
      </c>
      <c r="D2444">
        <v>50747</v>
      </c>
    </row>
    <row r="2445" spans="1:4" x14ac:dyDescent="0.3">
      <c r="A2445" s="1" t="str">
        <f>Pop[[#This Row],[State]]&amp;" "&amp;Pop[[#This Row],[County]]</f>
        <v>PR Juncos</v>
      </c>
      <c r="B2445" t="s">
        <v>180</v>
      </c>
      <c r="C2445" t="s">
        <v>1679</v>
      </c>
      <c r="D2445">
        <v>40290</v>
      </c>
    </row>
    <row r="2446" spans="1:4" x14ac:dyDescent="0.3">
      <c r="A2446" s="1" t="str">
        <f>Pop[[#This Row],[State]]&amp;" "&amp;Pop[[#This Row],[County]]</f>
        <v>PR Lajas</v>
      </c>
      <c r="B2446" t="s">
        <v>180</v>
      </c>
      <c r="C2446" t="s">
        <v>1680</v>
      </c>
      <c r="D2446">
        <v>25753</v>
      </c>
    </row>
    <row r="2447" spans="1:4" x14ac:dyDescent="0.3">
      <c r="A2447" s="1" t="str">
        <f>Pop[[#This Row],[State]]&amp;" "&amp;Pop[[#This Row],[County]]</f>
        <v>PR Lares</v>
      </c>
      <c r="B2447" t="s">
        <v>180</v>
      </c>
      <c r="C2447" t="s">
        <v>1681</v>
      </c>
      <c r="D2447">
        <v>30753</v>
      </c>
    </row>
    <row r="2448" spans="1:4" x14ac:dyDescent="0.3">
      <c r="A2448" s="1" t="str">
        <f>Pop[[#This Row],[State]]&amp;" "&amp;Pop[[#This Row],[County]]</f>
        <v>PR Las Marías</v>
      </c>
      <c r="B2448" t="s">
        <v>180</v>
      </c>
      <c r="C2448" t="s">
        <v>1682</v>
      </c>
      <c r="D2448">
        <v>9881</v>
      </c>
    </row>
    <row r="2449" spans="1:4" x14ac:dyDescent="0.3">
      <c r="A2449" s="1" t="str">
        <f>Pop[[#This Row],[State]]&amp;" "&amp;Pop[[#This Row],[County]]</f>
        <v>PR Las Piedras</v>
      </c>
      <c r="B2449" t="s">
        <v>180</v>
      </c>
      <c r="C2449" t="s">
        <v>1683</v>
      </c>
      <c r="D2449">
        <v>38675</v>
      </c>
    </row>
    <row r="2450" spans="1:4" x14ac:dyDescent="0.3">
      <c r="A2450" s="1" t="str">
        <f>Pop[[#This Row],[State]]&amp;" "&amp;Pop[[#This Row],[County]]</f>
        <v>PR Loíza</v>
      </c>
      <c r="B2450" t="s">
        <v>180</v>
      </c>
      <c r="C2450" t="s">
        <v>1684</v>
      </c>
      <c r="D2450">
        <v>30060</v>
      </c>
    </row>
    <row r="2451" spans="1:4" x14ac:dyDescent="0.3">
      <c r="A2451" s="1" t="str">
        <f>Pop[[#This Row],[State]]&amp;" "&amp;Pop[[#This Row],[County]]</f>
        <v>PR Luquillo</v>
      </c>
      <c r="B2451" t="s">
        <v>180</v>
      </c>
      <c r="C2451" t="s">
        <v>1685</v>
      </c>
      <c r="D2451">
        <v>20068</v>
      </c>
    </row>
    <row r="2452" spans="1:4" x14ac:dyDescent="0.3">
      <c r="A2452" s="1" t="str">
        <f>Pop[[#This Row],[State]]&amp;" "&amp;Pop[[#This Row],[County]]</f>
        <v>PR Manatí</v>
      </c>
      <c r="B2452" t="s">
        <v>180</v>
      </c>
      <c r="C2452" t="s">
        <v>1686</v>
      </c>
      <c r="D2452">
        <v>44113</v>
      </c>
    </row>
    <row r="2453" spans="1:4" x14ac:dyDescent="0.3">
      <c r="A2453" s="1" t="str">
        <f>Pop[[#This Row],[State]]&amp;" "&amp;Pop[[#This Row],[County]]</f>
        <v>PR Maricao</v>
      </c>
      <c r="B2453" t="s">
        <v>180</v>
      </c>
      <c r="C2453" t="s">
        <v>1687</v>
      </c>
      <c r="D2453">
        <v>6276</v>
      </c>
    </row>
    <row r="2454" spans="1:4" x14ac:dyDescent="0.3">
      <c r="A2454" s="1" t="str">
        <f>Pop[[#This Row],[State]]&amp;" "&amp;Pop[[#This Row],[County]]</f>
        <v>PR Maunabo</v>
      </c>
      <c r="B2454" t="s">
        <v>180</v>
      </c>
      <c r="C2454" t="s">
        <v>1688</v>
      </c>
      <c r="D2454">
        <v>12225</v>
      </c>
    </row>
    <row r="2455" spans="1:4" x14ac:dyDescent="0.3">
      <c r="A2455" s="1" t="str">
        <f>Pop[[#This Row],[State]]&amp;" "&amp;Pop[[#This Row],[County]]</f>
        <v>PR Mayagüez</v>
      </c>
      <c r="B2455" t="s">
        <v>180</v>
      </c>
      <c r="C2455" t="s">
        <v>1689</v>
      </c>
      <c r="D2455">
        <v>89080</v>
      </c>
    </row>
    <row r="2456" spans="1:4" x14ac:dyDescent="0.3">
      <c r="A2456" s="1" t="str">
        <f>Pop[[#This Row],[State]]&amp;" "&amp;Pop[[#This Row],[County]]</f>
        <v>PR Moca</v>
      </c>
      <c r="B2456" t="s">
        <v>180</v>
      </c>
      <c r="C2456" t="s">
        <v>1690</v>
      </c>
      <c r="D2456">
        <v>40109</v>
      </c>
    </row>
    <row r="2457" spans="1:4" x14ac:dyDescent="0.3">
      <c r="A2457" s="1" t="str">
        <f>Pop[[#This Row],[State]]&amp;" "&amp;Pop[[#This Row],[County]]</f>
        <v>PR Morovis</v>
      </c>
      <c r="B2457" t="s">
        <v>180</v>
      </c>
      <c r="C2457" t="s">
        <v>1691</v>
      </c>
      <c r="D2457">
        <v>32610</v>
      </c>
    </row>
    <row r="2458" spans="1:4" x14ac:dyDescent="0.3">
      <c r="A2458" s="1" t="str">
        <f>Pop[[#This Row],[State]]&amp;" "&amp;Pop[[#This Row],[County]]</f>
        <v>PR Naguabo</v>
      </c>
      <c r="B2458" t="s">
        <v>180</v>
      </c>
      <c r="C2458" t="s">
        <v>1692</v>
      </c>
      <c r="D2458">
        <v>26720</v>
      </c>
    </row>
    <row r="2459" spans="1:4" x14ac:dyDescent="0.3">
      <c r="A2459" s="1" t="str">
        <f>Pop[[#This Row],[State]]&amp;" "&amp;Pop[[#This Row],[County]]</f>
        <v>PR Naranjito</v>
      </c>
      <c r="B2459" t="s">
        <v>180</v>
      </c>
      <c r="C2459" t="s">
        <v>1693</v>
      </c>
      <c r="D2459">
        <v>30402</v>
      </c>
    </row>
    <row r="2460" spans="1:4" x14ac:dyDescent="0.3">
      <c r="A2460" s="1" t="str">
        <f>Pop[[#This Row],[State]]&amp;" "&amp;Pop[[#This Row],[County]]</f>
        <v>PR Orocovis</v>
      </c>
      <c r="B2460" t="s">
        <v>180</v>
      </c>
      <c r="C2460" t="s">
        <v>1694</v>
      </c>
      <c r="D2460">
        <v>23423</v>
      </c>
    </row>
    <row r="2461" spans="1:4" x14ac:dyDescent="0.3">
      <c r="A2461" s="1" t="str">
        <f>Pop[[#This Row],[State]]&amp;" "&amp;Pop[[#This Row],[County]]</f>
        <v>PR Patillas</v>
      </c>
      <c r="B2461" t="s">
        <v>180</v>
      </c>
      <c r="C2461" t="s">
        <v>1695</v>
      </c>
      <c r="D2461">
        <v>19277</v>
      </c>
    </row>
    <row r="2462" spans="1:4" x14ac:dyDescent="0.3">
      <c r="A2462" s="1" t="str">
        <f>Pop[[#This Row],[State]]&amp;" "&amp;Pop[[#This Row],[County]]</f>
        <v>PR Peñuelas</v>
      </c>
      <c r="B2462" t="s">
        <v>180</v>
      </c>
      <c r="C2462" t="s">
        <v>1696</v>
      </c>
      <c r="D2462">
        <v>24282</v>
      </c>
    </row>
    <row r="2463" spans="1:4" x14ac:dyDescent="0.3">
      <c r="A2463" s="1" t="str">
        <f>Pop[[#This Row],[State]]&amp;" "&amp;Pop[[#This Row],[County]]</f>
        <v>PR Ponce</v>
      </c>
      <c r="B2463" t="s">
        <v>180</v>
      </c>
      <c r="C2463" t="s">
        <v>1697</v>
      </c>
      <c r="D2463">
        <v>166327</v>
      </c>
    </row>
    <row r="2464" spans="1:4" x14ac:dyDescent="0.3">
      <c r="A2464" s="1" t="str">
        <f>Pop[[#This Row],[State]]&amp;" "&amp;Pop[[#This Row],[County]]</f>
        <v>PR Quebradillas</v>
      </c>
      <c r="B2464" t="s">
        <v>180</v>
      </c>
      <c r="C2464" t="s">
        <v>1698</v>
      </c>
      <c r="D2464">
        <v>25919</v>
      </c>
    </row>
    <row r="2465" spans="1:4" x14ac:dyDescent="0.3">
      <c r="A2465" s="1" t="str">
        <f>Pop[[#This Row],[State]]&amp;" "&amp;Pop[[#This Row],[County]]</f>
        <v>PR Rincón</v>
      </c>
      <c r="B2465" t="s">
        <v>180</v>
      </c>
      <c r="C2465" t="s">
        <v>1699</v>
      </c>
      <c r="D2465">
        <v>15200</v>
      </c>
    </row>
    <row r="2466" spans="1:4" x14ac:dyDescent="0.3">
      <c r="A2466" s="1" t="str">
        <f>Pop[[#This Row],[State]]&amp;" "&amp;Pop[[#This Row],[County]]</f>
        <v>PR Río Grande</v>
      </c>
      <c r="B2466" t="s">
        <v>180</v>
      </c>
      <c r="C2466" t="s">
        <v>1700</v>
      </c>
      <c r="D2466">
        <v>54304</v>
      </c>
    </row>
    <row r="2467" spans="1:4" x14ac:dyDescent="0.3">
      <c r="A2467" s="1" t="str">
        <f>Pop[[#This Row],[State]]&amp;" "&amp;Pop[[#This Row],[County]]</f>
        <v>PR Sabana Grande</v>
      </c>
      <c r="B2467" t="s">
        <v>180</v>
      </c>
      <c r="C2467" t="s">
        <v>1701</v>
      </c>
      <c r="D2467">
        <v>25265</v>
      </c>
    </row>
    <row r="2468" spans="1:4" x14ac:dyDescent="0.3">
      <c r="A2468" s="1" t="str">
        <f>Pop[[#This Row],[State]]&amp;" "&amp;Pop[[#This Row],[County]]</f>
        <v>PR Salinas</v>
      </c>
      <c r="B2468" t="s">
        <v>180</v>
      </c>
      <c r="C2468" t="s">
        <v>1702</v>
      </c>
      <c r="D2468">
        <v>31078</v>
      </c>
    </row>
    <row r="2469" spans="1:4" x14ac:dyDescent="0.3">
      <c r="A2469" s="1" t="str">
        <f>Pop[[#This Row],[State]]&amp;" "&amp;Pop[[#This Row],[County]]</f>
        <v>PR San Germán</v>
      </c>
      <c r="B2469" t="s">
        <v>180</v>
      </c>
      <c r="C2469" t="s">
        <v>1703</v>
      </c>
      <c r="D2469">
        <v>35527</v>
      </c>
    </row>
    <row r="2470" spans="1:4" x14ac:dyDescent="0.3">
      <c r="A2470" s="1" t="str">
        <f>Pop[[#This Row],[State]]&amp;" "&amp;Pop[[#This Row],[County]]</f>
        <v>PR San Juan</v>
      </c>
      <c r="B2470" t="s">
        <v>180</v>
      </c>
      <c r="C2470" t="s">
        <v>527</v>
      </c>
      <c r="D2470">
        <v>395326</v>
      </c>
    </row>
    <row r="2471" spans="1:4" x14ac:dyDescent="0.3">
      <c r="A2471" s="1" t="str">
        <f>Pop[[#This Row],[State]]&amp;" "&amp;Pop[[#This Row],[County]]</f>
        <v>PR San Lorenzo</v>
      </c>
      <c r="B2471" t="s">
        <v>180</v>
      </c>
      <c r="C2471" t="s">
        <v>1704</v>
      </c>
      <c r="D2471">
        <v>41058</v>
      </c>
    </row>
    <row r="2472" spans="1:4" x14ac:dyDescent="0.3">
      <c r="A2472" s="1" t="str">
        <f>Pop[[#This Row],[State]]&amp;" "&amp;Pop[[#This Row],[County]]</f>
        <v>PR San Sebastián</v>
      </c>
      <c r="B2472" t="s">
        <v>180</v>
      </c>
      <c r="C2472" t="s">
        <v>1705</v>
      </c>
      <c r="D2472">
        <v>42430</v>
      </c>
    </row>
    <row r="2473" spans="1:4" x14ac:dyDescent="0.3">
      <c r="A2473" s="1" t="str">
        <f>Pop[[#This Row],[State]]&amp;" "&amp;Pop[[#This Row],[County]]</f>
        <v>PR Santa Isabel</v>
      </c>
      <c r="B2473" t="s">
        <v>180</v>
      </c>
      <c r="C2473" t="s">
        <v>1706</v>
      </c>
      <c r="D2473">
        <v>23274</v>
      </c>
    </row>
    <row r="2474" spans="1:4" x14ac:dyDescent="0.3">
      <c r="A2474" s="1" t="str">
        <f>Pop[[#This Row],[State]]&amp;" "&amp;Pop[[#This Row],[County]]</f>
        <v>PR Toa Alta</v>
      </c>
      <c r="B2474" t="s">
        <v>180</v>
      </c>
      <c r="C2474" t="s">
        <v>1707</v>
      </c>
      <c r="D2474">
        <v>74066</v>
      </c>
    </row>
    <row r="2475" spans="1:4" x14ac:dyDescent="0.3">
      <c r="A2475" s="1" t="str">
        <f>Pop[[#This Row],[State]]&amp;" "&amp;Pop[[#This Row],[County]]</f>
        <v>PR Toa Baja</v>
      </c>
      <c r="B2475" t="s">
        <v>180</v>
      </c>
      <c r="C2475" t="s">
        <v>1708</v>
      </c>
      <c r="D2475">
        <v>89609</v>
      </c>
    </row>
    <row r="2476" spans="1:4" x14ac:dyDescent="0.3">
      <c r="A2476" s="1" t="str">
        <f>Pop[[#This Row],[State]]&amp;" "&amp;Pop[[#This Row],[County]]</f>
        <v>PR Trujillo Alto</v>
      </c>
      <c r="B2476" t="s">
        <v>180</v>
      </c>
      <c r="C2476" t="s">
        <v>1709</v>
      </c>
      <c r="D2476">
        <v>74842</v>
      </c>
    </row>
    <row r="2477" spans="1:4" x14ac:dyDescent="0.3">
      <c r="A2477" s="1" t="str">
        <f>Pop[[#This Row],[State]]&amp;" "&amp;Pop[[#This Row],[County]]</f>
        <v>PR Utuado</v>
      </c>
      <c r="B2477" t="s">
        <v>180</v>
      </c>
      <c r="C2477" t="s">
        <v>1710</v>
      </c>
      <c r="D2477">
        <v>33149</v>
      </c>
    </row>
    <row r="2478" spans="1:4" x14ac:dyDescent="0.3">
      <c r="A2478" s="1" t="str">
        <f>Pop[[#This Row],[State]]&amp;" "&amp;Pop[[#This Row],[County]]</f>
        <v>PR Vega Alta</v>
      </c>
      <c r="B2478" t="s">
        <v>180</v>
      </c>
      <c r="C2478" t="s">
        <v>1711</v>
      </c>
      <c r="D2478">
        <v>39951</v>
      </c>
    </row>
    <row r="2479" spans="1:4" x14ac:dyDescent="0.3">
      <c r="A2479" s="1" t="str">
        <f>Pop[[#This Row],[State]]&amp;" "&amp;Pop[[#This Row],[County]]</f>
        <v>PR Vega Baja</v>
      </c>
      <c r="B2479" t="s">
        <v>180</v>
      </c>
      <c r="C2479" t="s">
        <v>1712</v>
      </c>
      <c r="D2479">
        <v>59662</v>
      </c>
    </row>
    <row r="2480" spans="1:4" x14ac:dyDescent="0.3">
      <c r="A2480" s="1" t="str">
        <f>Pop[[#This Row],[State]]&amp;" "&amp;Pop[[#This Row],[County]]</f>
        <v>PR Vieques</v>
      </c>
      <c r="B2480" t="s">
        <v>180</v>
      </c>
      <c r="C2480" t="s">
        <v>1713</v>
      </c>
      <c r="D2480">
        <v>9301</v>
      </c>
    </row>
    <row r="2481" spans="1:4" x14ac:dyDescent="0.3">
      <c r="A2481" s="1" t="str">
        <f>Pop[[#This Row],[State]]&amp;" "&amp;Pop[[#This Row],[County]]</f>
        <v>PR Villalba</v>
      </c>
      <c r="B2481" t="s">
        <v>180</v>
      </c>
      <c r="C2481" t="s">
        <v>1714</v>
      </c>
      <c r="D2481">
        <v>26073</v>
      </c>
    </row>
    <row r="2482" spans="1:4" x14ac:dyDescent="0.3">
      <c r="A2482" s="1" t="str">
        <f>Pop[[#This Row],[State]]&amp;" "&amp;Pop[[#This Row],[County]]</f>
        <v>PR Yabucoa</v>
      </c>
      <c r="B2482" t="s">
        <v>180</v>
      </c>
      <c r="C2482" t="s">
        <v>1715</v>
      </c>
      <c r="D2482">
        <v>37941</v>
      </c>
    </row>
    <row r="2483" spans="1:4" x14ac:dyDescent="0.3">
      <c r="A2483" s="1" t="str">
        <f>Pop[[#This Row],[State]]&amp;" "&amp;Pop[[#This Row],[County]]</f>
        <v>PR Yauco</v>
      </c>
      <c r="B2483" t="s">
        <v>180</v>
      </c>
      <c r="C2483" t="s">
        <v>1716</v>
      </c>
      <c r="D2483">
        <v>42043</v>
      </c>
    </row>
    <row r="2484" spans="1:4" x14ac:dyDescent="0.3">
      <c r="A2484" s="1" t="str">
        <f>Pop[[#This Row],[State]]&amp;" "&amp;Pop[[#This Row],[County]]</f>
        <v>PR State Agencies</v>
      </c>
      <c r="B2484" t="s">
        <v>180</v>
      </c>
      <c r="C2484" s="30" t="s">
        <v>243</v>
      </c>
      <c r="D2484" s="16" t="s">
        <v>244</v>
      </c>
    </row>
    <row r="2485" spans="1:4" x14ac:dyDescent="0.3">
      <c r="A2485" s="1" t="str">
        <f>Pop[[#This Row],[State]]&amp;" "&amp;Pop[[#This Row],[County]]</f>
        <v>PR Grand Total</v>
      </c>
      <c r="B2485" t="s">
        <v>180</v>
      </c>
      <c r="C2485" s="30" t="s">
        <v>67</v>
      </c>
      <c r="D2485" s="16">
        <v>3725789</v>
      </c>
    </row>
    <row r="2486" spans="1:4" x14ac:dyDescent="0.3">
      <c r="A2486" s="1" t="str">
        <f>Pop[[#This Row],[State]]&amp;" "&amp;Pop[[#This Row],[County]]</f>
        <v>RI Bristol</v>
      </c>
      <c r="B2486" t="s">
        <v>165</v>
      </c>
      <c r="C2486" s="30" t="s">
        <v>1034</v>
      </c>
      <c r="D2486" s="16">
        <v>49875</v>
      </c>
    </row>
    <row r="2487" spans="1:4" x14ac:dyDescent="0.3">
      <c r="A2487" s="1" t="str">
        <f>Pop[[#This Row],[State]]&amp;" "&amp;Pop[[#This Row],[County]]</f>
        <v>RI Kent</v>
      </c>
      <c r="B2487" t="s">
        <v>165</v>
      </c>
      <c r="C2487" s="30" t="s">
        <v>541</v>
      </c>
      <c r="D2487" s="16">
        <v>166158</v>
      </c>
    </row>
    <row r="2488" spans="1:4" x14ac:dyDescent="0.3">
      <c r="A2488" s="1" t="str">
        <f>Pop[[#This Row],[State]]&amp;" "&amp;Pop[[#This Row],[County]]</f>
        <v>RI Newport</v>
      </c>
      <c r="B2488" t="s">
        <v>165</v>
      </c>
      <c r="C2488" s="30" t="s">
        <v>1717</v>
      </c>
      <c r="D2488" s="16">
        <v>82888</v>
      </c>
    </row>
    <row r="2489" spans="1:4" x14ac:dyDescent="0.3">
      <c r="A2489" s="1" t="str">
        <f>Pop[[#This Row],[State]]&amp;" "&amp;Pop[[#This Row],[County]]</f>
        <v>RI Providence</v>
      </c>
      <c r="B2489" t="s">
        <v>165</v>
      </c>
      <c r="C2489" s="30" t="s">
        <v>1718</v>
      </c>
      <c r="D2489" s="16">
        <v>626667</v>
      </c>
    </row>
    <row r="2490" spans="1:4" x14ac:dyDescent="0.3">
      <c r="A2490" s="1" t="str">
        <f>Pop[[#This Row],[State]]&amp;" "&amp;Pop[[#This Row],[County]]</f>
        <v>RI Washington</v>
      </c>
      <c r="B2490" t="s">
        <v>165</v>
      </c>
      <c r="C2490" s="30" t="s">
        <v>65</v>
      </c>
      <c r="D2490" s="16">
        <v>126979</v>
      </c>
    </row>
    <row r="2491" spans="1:4" x14ac:dyDescent="0.3">
      <c r="A2491" s="1" t="str">
        <f>Pop[[#This Row],[State]]&amp;" "&amp;Pop[[#This Row],[County]]</f>
        <v>RI State Agencies</v>
      </c>
      <c r="B2491" t="s">
        <v>165</v>
      </c>
      <c r="C2491" s="30" t="s">
        <v>243</v>
      </c>
      <c r="D2491" s="16" t="s">
        <v>244</v>
      </c>
    </row>
    <row r="2492" spans="1:4" x14ac:dyDescent="0.3">
      <c r="A2492" s="1" t="str">
        <f>Pop[[#This Row],[State]]&amp;" "&amp;Pop[[#This Row],[County]]</f>
        <v>RI Grand Total</v>
      </c>
      <c r="B2492" t="s">
        <v>165</v>
      </c>
      <c r="C2492" s="30" t="s">
        <v>67</v>
      </c>
      <c r="D2492" s="16">
        <v>1052567</v>
      </c>
    </row>
    <row r="2493" spans="1:4" x14ac:dyDescent="0.3">
      <c r="A2493" s="1" t="str">
        <f>Pop[[#This Row],[State]]&amp;" "&amp;Pop[[#This Row],[County]]</f>
        <v>SC Abbeville</v>
      </c>
      <c r="B2493" t="s">
        <v>225</v>
      </c>
      <c r="C2493" s="30" t="s">
        <v>1719</v>
      </c>
      <c r="D2493" s="16">
        <v>24295</v>
      </c>
    </row>
    <row r="2494" spans="1:4" x14ac:dyDescent="0.3">
      <c r="A2494" s="1" t="str">
        <f>Pop[[#This Row],[State]]&amp;" "&amp;Pop[[#This Row],[County]]</f>
        <v>SC Aiken</v>
      </c>
      <c r="B2494" t="s">
        <v>225</v>
      </c>
      <c r="C2494" s="30" t="s">
        <v>1720</v>
      </c>
      <c r="D2494" s="16">
        <v>168808</v>
      </c>
    </row>
    <row r="2495" spans="1:4" x14ac:dyDescent="0.3">
      <c r="A2495" s="1" t="str">
        <f>Pop[[#This Row],[State]]&amp;" "&amp;Pop[[#This Row],[County]]</f>
        <v>SC Allendale</v>
      </c>
      <c r="B2495" t="s">
        <v>225</v>
      </c>
      <c r="C2495" s="30" t="s">
        <v>1721</v>
      </c>
      <c r="D2495" s="16">
        <v>8039</v>
      </c>
    </row>
    <row r="2496" spans="1:4" x14ac:dyDescent="0.3">
      <c r="A2496" s="1" t="str">
        <f>Pop[[#This Row],[State]]&amp;" "&amp;Pop[[#This Row],[County]]</f>
        <v>SC Anderson</v>
      </c>
      <c r="B2496" t="s">
        <v>225</v>
      </c>
      <c r="C2496" s="30" t="s">
        <v>862</v>
      </c>
      <c r="D2496" s="16">
        <v>203718</v>
      </c>
    </row>
    <row r="2497" spans="1:4" x14ac:dyDescent="0.3">
      <c r="A2497" s="1" t="str">
        <f>Pop[[#This Row],[State]]&amp;" "&amp;Pop[[#This Row],[County]]</f>
        <v>SC Bamberg</v>
      </c>
      <c r="B2497" t="s">
        <v>225</v>
      </c>
      <c r="C2497" s="30" t="s">
        <v>1722</v>
      </c>
      <c r="D2497" s="16">
        <v>13311</v>
      </c>
    </row>
    <row r="2498" spans="1:4" x14ac:dyDescent="0.3">
      <c r="A2498" s="1" t="str">
        <f>Pop[[#This Row],[State]]&amp;" "&amp;Pop[[#This Row],[County]]</f>
        <v>SC Barnwell</v>
      </c>
      <c r="B2498" t="s">
        <v>225</v>
      </c>
      <c r="C2498" s="30" t="s">
        <v>1723</v>
      </c>
      <c r="D2498" s="16">
        <v>20589</v>
      </c>
    </row>
    <row r="2499" spans="1:4" x14ac:dyDescent="0.3">
      <c r="A2499" s="1" t="str">
        <f>Pop[[#This Row],[State]]&amp;" "&amp;Pop[[#This Row],[County]]</f>
        <v>SC Beaufort</v>
      </c>
      <c r="B2499" t="s">
        <v>225</v>
      </c>
      <c r="C2499" s="30" t="s">
        <v>1309</v>
      </c>
      <c r="D2499" s="16">
        <v>187117</v>
      </c>
    </row>
    <row r="2500" spans="1:4" x14ac:dyDescent="0.3">
      <c r="A2500" s="1" t="str">
        <f>Pop[[#This Row],[State]]&amp;" "&amp;Pop[[#This Row],[County]]</f>
        <v>SC Berkeley</v>
      </c>
      <c r="B2500" t="s">
        <v>225</v>
      </c>
      <c r="C2500" s="30" t="s">
        <v>1724</v>
      </c>
      <c r="D2500" s="16">
        <v>229861</v>
      </c>
    </row>
    <row r="2501" spans="1:4" x14ac:dyDescent="0.3">
      <c r="A2501" s="1" t="str">
        <f>Pop[[#This Row],[State]]&amp;" "&amp;Pop[[#This Row],[County]]</f>
        <v>SC Calhoun</v>
      </c>
      <c r="B2501" t="s">
        <v>225</v>
      </c>
      <c r="C2501" s="30" t="s">
        <v>270</v>
      </c>
      <c r="D2501" s="16">
        <v>14119</v>
      </c>
    </row>
    <row r="2502" spans="1:4" x14ac:dyDescent="0.3">
      <c r="A2502" s="1" t="str">
        <f>Pop[[#This Row],[State]]&amp;" "&amp;Pop[[#This Row],[County]]</f>
        <v>SC Charleston</v>
      </c>
      <c r="B2502" t="s">
        <v>225</v>
      </c>
      <c r="C2502" s="30" t="s">
        <v>1725</v>
      </c>
      <c r="D2502" s="16">
        <v>408235</v>
      </c>
    </row>
    <row r="2503" spans="1:4" x14ac:dyDescent="0.3">
      <c r="A2503" s="1" t="str">
        <f>Pop[[#This Row],[State]]&amp;" "&amp;Pop[[#This Row],[County]]</f>
        <v>SC Cherokee</v>
      </c>
      <c r="B2503" t="s">
        <v>225</v>
      </c>
      <c r="C2503" s="30" t="s">
        <v>276</v>
      </c>
      <c r="D2503" s="54">
        <v>56216</v>
      </c>
    </row>
    <row r="2504" spans="1:4" x14ac:dyDescent="0.3">
      <c r="A2504" s="1" t="str">
        <f>Pop[[#This Row],[State]]&amp;" "&amp;Pop[[#This Row],[County]]</f>
        <v>SC Chester</v>
      </c>
      <c r="B2504" t="s">
        <v>225</v>
      </c>
      <c r="C2504" s="30" t="s">
        <v>1618</v>
      </c>
      <c r="D2504" s="16">
        <v>32294</v>
      </c>
    </row>
    <row r="2505" spans="1:4" x14ac:dyDescent="0.3">
      <c r="A2505" s="1" t="str">
        <f>Pop[[#This Row],[State]]&amp;" "&amp;Pop[[#This Row],[County]]</f>
        <v>SC Chesterfield</v>
      </c>
      <c r="B2505" t="s">
        <v>225</v>
      </c>
      <c r="C2505" s="30" t="s">
        <v>1726</v>
      </c>
      <c r="D2505" s="16">
        <v>43273</v>
      </c>
    </row>
    <row r="2506" spans="1:4" x14ac:dyDescent="0.3">
      <c r="A2506" s="1" t="str">
        <f>Pop[[#This Row],[State]]&amp;" "&amp;Pop[[#This Row],[County]]</f>
        <v>SC Clarendon</v>
      </c>
      <c r="B2506" t="s">
        <v>225</v>
      </c>
      <c r="C2506" s="30" t="s">
        <v>1727</v>
      </c>
      <c r="D2506" s="16">
        <v>31144</v>
      </c>
    </row>
    <row r="2507" spans="1:4" x14ac:dyDescent="0.3">
      <c r="A2507" s="1" t="str">
        <f>Pop[[#This Row],[State]]&amp;" "&amp;Pop[[#This Row],[County]]</f>
        <v>SC Colleton</v>
      </c>
      <c r="B2507" t="s">
        <v>225</v>
      </c>
      <c r="C2507" s="30" t="s">
        <v>1728</v>
      </c>
      <c r="D2507" s="16">
        <v>38604</v>
      </c>
    </row>
    <row r="2508" spans="1:4" x14ac:dyDescent="0.3">
      <c r="A2508" s="1" t="str">
        <f>Pop[[#This Row],[State]]&amp;" "&amp;Pop[[#This Row],[County]]</f>
        <v>SC Darlington</v>
      </c>
      <c r="B2508" t="s">
        <v>225</v>
      </c>
      <c r="C2508" s="30" t="s">
        <v>1729</v>
      </c>
      <c r="D2508" s="16">
        <v>62905</v>
      </c>
    </row>
    <row r="2509" spans="1:4" x14ac:dyDescent="0.3">
      <c r="A2509" s="1" t="str">
        <f>Pop[[#This Row],[State]]&amp;" "&amp;Pop[[#This Row],[County]]</f>
        <v>SC Dillon</v>
      </c>
      <c r="B2509" t="s">
        <v>225</v>
      </c>
      <c r="C2509" s="30" t="s">
        <v>1730</v>
      </c>
      <c r="D2509" s="16">
        <v>28292</v>
      </c>
    </row>
    <row r="2510" spans="1:4" x14ac:dyDescent="0.3">
      <c r="A2510" s="1" t="str">
        <f>Pop[[#This Row],[State]]&amp;" "&amp;Pop[[#This Row],[County]]</f>
        <v>SC Dorchester</v>
      </c>
      <c r="B2510" t="s">
        <v>225</v>
      </c>
      <c r="C2510" s="30" t="s">
        <v>1050</v>
      </c>
      <c r="D2510" s="16">
        <v>161540</v>
      </c>
    </row>
    <row r="2511" spans="1:4" x14ac:dyDescent="0.3">
      <c r="A2511" s="1" t="str">
        <f>Pop[[#This Row],[State]]&amp;" "&amp;Pop[[#This Row],[County]]</f>
        <v>SC Edgefield</v>
      </c>
      <c r="B2511" t="s">
        <v>225</v>
      </c>
      <c r="C2511" s="30" t="s">
        <v>1731</v>
      </c>
      <c r="D2511" s="16">
        <v>25657</v>
      </c>
    </row>
    <row r="2512" spans="1:4" x14ac:dyDescent="0.3">
      <c r="A2512" s="1" t="str">
        <f>Pop[[#This Row],[State]]&amp;" "&amp;Pop[[#This Row],[County]]</f>
        <v>SC Fairfield</v>
      </c>
      <c r="B2512" t="s">
        <v>225</v>
      </c>
      <c r="C2512" s="30" t="s">
        <v>533</v>
      </c>
      <c r="D2512" s="16">
        <v>20948</v>
      </c>
    </row>
    <row r="2513" spans="1:4" x14ac:dyDescent="0.3">
      <c r="A2513" s="1" t="str">
        <f>Pop[[#This Row],[State]]&amp;" "&amp;Pop[[#This Row],[County]]</f>
        <v>SC Florence</v>
      </c>
      <c r="B2513" t="s">
        <v>225</v>
      </c>
      <c r="C2513" s="30" t="s">
        <v>1732</v>
      </c>
      <c r="D2513" s="16">
        <v>137059</v>
      </c>
    </row>
    <row r="2514" spans="1:4" x14ac:dyDescent="0.3">
      <c r="A2514" s="1" t="str">
        <f>Pop[[#This Row],[State]]&amp;" "&amp;Pop[[#This Row],[County]]</f>
        <v>SC Georgetown</v>
      </c>
      <c r="B2514" t="s">
        <v>225</v>
      </c>
      <c r="C2514" s="30" t="s">
        <v>1733</v>
      </c>
      <c r="D2514" s="16">
        <v>63404</v>
      </c>
    </row>
    <row r="2515" spans="1:4" x14ac:dyDescent="0.3">
      <c r="A2515" s="1" t="str">
        <f>Pop[[#This Row],[State]]&amp;" "&amp;Pop[[#This Row],[County]]</f>
        <v>SC Greenville</v>
      </c>
      <c r="B2515" t="s">
        <v>225</v>
      </c>
      <c r="C2515" s="30" t="s">
        <v>1734</v>
      </c>
      <c r="D2515" s="16">
        <v>525534</v>
      </c>
    </row>
    <row r="2516" spans="1:4" x14ac:dyDescent="0.3">
      <c r="A2516" s="1" t="str">
        <f>Pop[[#This Row],[State]]&amp;" "&amp;Pop[[#This Row],[County]]</f>
        <v>SC Greenwood</v>
      </c>
      <c r="B2516" t="s">
        <v>225</v>
      </c>
      <c r="C2516" s="30" t="s">
        <v>882</v>
      </c>
      <c r="D2516" s="16">
        <v>69351</v>
      </c>
    </row>
    <row r="2517" spans="1:4" x14ac:dyDescent="0.3">
      <c r="A2517" s="1" t="str">
        <f>Pop[[#This Row],[State]]&amp;" "&amp;Pop[[#This Row],[County]]</f>
        <v>SC Hampton</v>
      </c>
      <c r="B2517" t="s">
        <v>225</v>
      </c>
      <c r="C2517" s="30" t="s">
        <v>1735</v>
      </c>
      <c r="D2517" s="16">
        <v>18561</v>
      </c>
    </row>
    <row r="2518" spans="1:4" x14ac:dyDescent="0.3">
      <c r="A2518" s="1" t="str">
        <f>Pop[[#This Row],[State]]&amp;" "&amp;Pop[[#This Row],[County]]</f>
        <v>SC Horry</v>
      </c>
      <c r="B2518" t="s">
        <v>225</v>
      </c>
      <c r="C2518" s="30" t="s">
        <v>1736</v>
      </c>
      <c r="D2518" s="16">
        <v>351029</v>
      </c>
    </row>
    <row r="2519" spans="1:4" x14ac:dyDescent="0.3">
      <c r="A2519" s="1" t="str">
        <f>Pop[[#This Row],[State]]&amp;" "&amp;Pop[[#This Row],[County]]</f>
        <v>SC Jasper</v>
      </c>
      <c r="B2519" t="s">
        <v>225</v>
      </c>
      <c r="C2519" s="30" t="s">
        <v>647</v>
      </c>
      <c r="D2519" s="16">
        <v>28791</v>
      </c>
    </row>
    <row r="2520" spans="1:4" x14ac:dyDescent="0.3">
      <c r="A2520" s="1" t="str">
        <f>Pop[[#This Row],[State]]&amp;" "&amp;Pop[[#This Row],[County]]</f>
        <v>SC Kershaw</v>
      </c>
      <c r="B2520" t="s">
        <v>225</v>
      </c>
      <c r="C2520" s="30" t="s">
        <v>1737</v>
      </c>
      <c r="D2520" s="54">
        <v>65403</v>
      </c>
    </row>
    <row r="2521" spans="1:4" x14ac:dyDescent="0.3">
      <c r="A2521" s="1" t="str">
        <f>Pop[[#This Row],[State]]&amp;" "&amp;Pop[[#This Row],[County]]</f>
        <v>SC Lancaster</v>
      </c>
      <c r="B2521" t="s">
        <v>225</v>
      </c>
      <c r="C2521" s="30" t="s">
        <v>1426</v>
      </c>
      <c r="D2521" s="16">
        <v>96016</v>
      </c>
    </row>
    <row r="2522" spans="1:4" x14ac:dyDescent="0.3">
      <c r="A2522" s="1" t="str">
        <f>Pop[[#This Row],[State]]&amp;" "&amp;Pop[[#This Row],[County]]</f>
        <v>SC Laurens</v>
      </c>
      <c r="B2522" t="s">
        <v>225</v>
      </c>
      <c r="C2522" s="30" t="s">
        <v>652</v>
      </c>
      <c r="D2522" s="16">
        <v>67539</v>
      </c>
    </row>
    <row r="2523" spans="1:4" x14ac:dyDescent="0.3">
      <c r="A2523" s="1" t="str">
        <f>Pop[[#This Row],[State]]&amp;" "&amp;Pop[[#This Row],[County]]</f>
        <v>SC Lee</v>
      </c>
      <c r="B2523" t="s">
        <v>225</v>
      </c>
      <c r="C2523" s="30" t="s">
        <v>333</v>
      </c>
      <c r="D2523" s="16">
        <v>16531</v>
      </c>
    </row>
    <row r="2524" spans="1:4" x14ac:dyDescent="0.3">
      <c r="A2524" s="1" t="str">
        <f>Pop[[#This Row],[State]]&amp;" "&amp;Pop[[#This Row],[County]]</f>
        <v>SC Lexington</v>
      </c>
      <c r="B2524" t="s">
        <v>225</v>
      </c>
      <c r="C2524" s="30" t="s">
        <v>1738</v>
      </c>
      <c r="D2524" s="16">
        <v>293991</v>
      </c>
    </row>
    <row r="2525" spans="1:4" x14ac:dyDescent="0.3">
      <c r="A2525" s="1" t="str">
        <f>Pop[[#This Row],[State]]&amp;" "&amp;Pop[[#This Row],[County]]</f>
        <v>SC Marion</v>
      </c>
      <c r="B2525" t="s">
        <v>225</v>
      </c>
      <c r="C2525" s="30" t="s">
        <v>50</v>
      </c>
      <c r="D2525" s="16">
        <v>29183</v>
      </c>
    </row>
    <row r="2526" spans="1:4" x14ac:dyDescent="0.3">
      <c r="A2526" s="1" t="str">
        <f>Pop[[#This Row],[State]]&amp;" "&amp;Pop[[#This Row],[County]]</f>
        <v>SC Marlboro</v>
      </c>
      <c r="B2526" t="s">
        <v>225</v>
      </c>
      <c r="C2526" s="30" t="s">
        <v>1739</v>
      </c>
      <c r="D2526" s="16">
        <v>26667</v>
      </c>
    </row>
    <row r="2527" spans="1:4" x14ac:dyDescent="0.3">
      <c r="A2527" s="1" t="str">
        <f>Pop[[#This Row],[State]]&amp;" "&amp;Pop[[#This Row],[County]]</f>
        <v>SC McCormick</v>
      </c>
      <c r="B2527" t="s">
        <v>225</v>
      </c>
      <c r="C2527" s="30" t="s">
        <v>1740</v>
      </c>
      <c r="D2527" s="16">
        <v>9526</v>
      </c>
    </row>
    <row r="2528" spans="1:4" x14ac:dyDescent="0.3">
      <c r="A2528" s="1" t="str">
        <f>Pop[[#This Row],[State]]&amp;" "&amp;Pop[[#This Row],[County]]</f>
        <v>SC Newberry</v>
      </c>
      <c r="B2528" t="s">
        <v>225</v>
      </c>
      <c r="C2528" s="30" t="s">
        <v>1741</v>
      </c>
      <c r="D2528" s="16">
        <v>37719</v>
      </c>
    </row>
    <row r="2529" spans="1:4" x14ac:dyDescent="0.3">
      <c r="A2529" s="1" t="str">
        <f>Pop[[#This Row],[State]]&amp;" "&amp;Pop[[#This Row],[County]]</f>
        <v>SC Oconee</v>
      </c>
      <c r="B2529" t="s">
        <v>225</v>
      </c>
      <c r="C2529" s="30" t="s">
        <v>661</v>
      </c>
      <c r="D2529" s="16">
        <v>78607</v>
      </c>
    </row>
    <row r="2530" spans="1:4" x14ac:dyDescent="0.3">
      <c r="A2530" s="1" t="str">
        <f>Pop[[#This Row],[State]]&amp;" "&amp;Pop[[#This Row],[County]]</f>
        <v>SC Orangeburg</v>
      </c>
      <c r="B2530" t="s">
        <v>225</v>
      </c>
      <c r="C2530" s="30" t="s">
        <v>1742</v>
      </c>
      <c r="D2530" s="16">
        <v>84223</v>
      </c>
    </row>
    <row r="2531" spans="1:4" x14ac:dyDescent="0.3">
      <c r="A2531" s="1" t="str">
        <f>Pop[[#This Row],[State]]&amp;" "&amp;Pop[[#This Row],[County]]</f>
        <v>SC Pickens</v>
      </c>
      <c r="B2531" t="s">
        <v>225</v>
      </c>
      <c r="C2531" s="30" t="s">
        <v>340</v>
      </c>
      <c r="D2531" s="16">
        <v>131404</v>
      </c>
    </row>
    <row r="2532" spans="1:4" x14ac:dyDescent="0.3">
      <c r="A2532" s="1" t="str">
        <f>Pop[[#This Row],[State]]&amp;" "&amp;Pop[[#This Row],[County]]</f>
        <v>SC Richland</v>
      </c>
      <c r="B2532" t="s">
        <v>225</v>
      </c>
      <c r="C2532" s="30" t="s">
        <v>819</v>
      </c>
      <c r="D2532" s="16">
        <v>416147</v>
      </c>
    </row>
    <row r="2533" spans="1:4" x14ac:dyDescent="0.3">
      <c r="A2533" s="1" t="str">
        <f>Pop[[#This Row],[State]]&amp;" "&amp;Pop[[#This Row],[County]]</f>
        <v>SC Saluda</v>
      </c>
      <c r="B2533" t="s">
        <v>225</v>
      </c>
      <c r="C2533" s="30" t="s">
        <v>1743</v>
      </c>
      <c r="D2533" s="16">
        <v>18862</v>
      </c>
    </row>
    <row r="2534" spans="1:4" x14ac:dyDescent="0.3">
      <c r="A2534" s="1" t="str">
        <f>Pop[[#This Row],[State]]&amp;" "&amp;Pop[[#This Row],[County]]</f>
        <v>SC Spartanburg</v>
      </c>
      <c r="B2534" t="s">
        <v>225</v>
      </c>
      <c r="C2534" s="30" t="s">
        <v>1744</v>
      </c>
      <c r="D2534" s="16">
        <v>327997</v>
      </c>
    </row>
    <row r="2535" spans="1:4" x14ac:dyDescent="0.3">
      <c r="A2535" s="1" t="str">
        <f>Pop[[#This Row],[State]]&amp;" "&amp;Pop[[#This Row],[County]]</f>
        <v>SC Sumter</v>
      </c>
      <c r="B2535" t="s">
        <v>225</v>
      </c>
      <c r="C2535" s="30" t="s">
        <v>345</v>
      </c>
      <c r="D2535" s="16">
        <v>105556</v>
      </c>
    </row>
    <row r="2536" spans="1:4" x14ac:dyDescent="0.3">
      <c r="A2536" s="1" t="str">
        <f>Pop[[#This Row],[State]]&amp;" "&amp;Pop[[#This Row],[County]]</f>
        <v>SC Union</v>
      </c>
      <c r="B2536" t="s">
        <v>225</v>
      </c>
      <c r="C2536" s="30" t="s">
        <v>399</v>
      </c>
      <c r="D2536" s="16">
        <v>27244</v>
      </c>
    </row>
    <row r="2537" spans="1:4" x14ac:dyDescent="0.3">
      <c r="A2537" s="1" t="str">
        <f>Pop[[#This Row],[State]]&amp;" "&amp;Pop[[#This Row],[County]]</f>
        <v>SC Williamsburg</v>
      </c>
      <c r="B2537" t="s">
        <v>225</v>
      </c>
      <c r="C2537" s="30" t="s">
        <v>1745</v>
      </c>
      <c r="D2537" s="16">
        <v>31026</v>
      </c>
    </row>
    <row r="2538" spans="1:4" x14ac:dyDescent="0.3">
      <c r="A2538" s="1" t="str">
        <f>Pop[[#This Row],[State]]&amp;" "&amp;Pop[[#This Row],[County]]</f>
        <v>SC York</v>
      </c>
      <c r="B2538" t="s">
        <v>225</v>
      </c>
      <c r="C2538" s="30" t="s">
        <v>1067</v>
      </c>
      <c r="D2538" s="16">
        <v>282090</v>
      </c>
    </row>
    <row r="2539" spans="1:4" x14ac:dyDescent="0.3">
      <c r="A2539" s="1" t="str">
        <f>Pop[[#This Row],[State]]&amp;" "&amp;Pop[[#This Row],[County]]</f>
        <v>SC State Agencies</v>
      </c>
      <c r="B2539" t="s">
        <v>225</v>
      </c>
      <c r="C2539" s="30" t="s">
        <v>243</v>
      </c>
      <c r="D2539" s="16" t="s">
        <v>244</v>
      </c>
    </row>
    <row r="2540" spans="1:4" x14ac:dyDescent="0.3">
      <c r="A2540" s="1" t="str">
        <f>Pop[[#This Row],[State]]&amp;" "&amp;Pop[[#This Row],[County]]</f>
        <v>SC Grand Total</v>
      </c>
      <c r="B2540" t="s">
        <v>225</v>
      </c>
      <c r="C2540" s="30" t="s">
        <v>67</v>
      </c>
      <c r="D2540" s="16">
        <v>5118425</v>
      </c>
    </row>
    <row r="2541" spans="1:4" x14ac:dyDescent="0.3">
      <c r="A2541" s="1" t="str">
        <f>Pop[[#This Row],[State]]&amp;" "&amp;Pop[[#This Row],[County]]</f>
        <v>SD Aurora</v>
      </c>
      <c r="B2541" t="s">
        <v>283</v>
      </c>
      <c r="C2541" s="30" t="s">
        <v>1746</v>
      </c>
      <c r="D2541" s="16">
        <v>2710</v>
      </c>
    </row>
    <row r="2542" spans="1:4" x14ac:dyDescent="0.3">
      <c r="A2542" s="1" t="str">
        <f>Pop[[#This Row],[State]]&amp;" "&amp;Pop[[#This Row],[County]]</f>
        <v>SD Beadle</v>
      </c>
      <c r="B2542" t="s">
        <v>283</v>
      </c>
      <c r="C2542" s="30" t="s">
        <v>1747</v>
      </c>
      <c r="D2542" s="16">
        <v>17398</v>
      </c>
    </row>
    <row r="2543" spans="1:4" x14ac:dyDescent="0.3">
      <c r="A2543" s="1" t="str">
        <f>Pop[[#This Row],[State]]&amp;" "&amp;Pop[[#This Row],[County]]</f>
        <v>SD Bennett</v>
      </c>
      <c r="B2543" t="s">
        <v>283</v>
      </c>
      <c r="C2543" s="30" t="s">
        <v>1748</v>
      </c>
      <c r="D2543" s="16">
        <v>3431</v>
      </c>
    </row>
    <row r="2544" spans="1:4" x14ac:dyDescent="0.3">
      <c r="A2544" s="1" t="str">
        <f>Pop[[#This Row],[State]]&amp;" "&amp;Pop[[#This Row],[County]]</f>
        <v>SD Bon Homme</v>
      </c>
      <c r="B2544" t="s">
        <v>283</v>
      </c>
      <c r="C2544" s="30" t="s">
        <v>1749</v>
      </c>
      <c r="D2544" s="16">
        <v>7070</v>
      </c>
    </row>
    <row r="2545" spans="1:4" x14ac:dyDescent="0.3">
      <c r="A2545" s="1" t="str">
        <f>Pop[[#This Row],[State]]&amp;" "&amp;Pop[[#This Row],[County]]</f>
        <v>SD Brookings</v>
      </c>
      <c r="B2545" t="s">
        <v>283</v>
      </c>
      <c r="C2545" s="30" t="s">
        <v>1750</v>
      </c>
      <c r="D2545" s="16">
        <v>31965</v>
      </c>
    </row>
    <row r="2546" spans="1:4" x14ac:dyDescent="0.3">
      <c r="A2546" s="1" t="str">
        <f>Pop[[#This Row],[State]]&amp;" "&amp;Pop[[#This Row],[County]]</f>
        <v>SD Brown</v>
      </c>
      <c r="B2546" t="s">
        <v>283</v>
      </c>
      <c r="C2546" s="30" t="s">
        <v>37</v>
      </c>
      <c r="D2546" s="16">
        <v>36531</v>
      </c>
    </row>
    <row r="2547" spans="1:4" x14ac:dyDescent="0.3">
      <c r="A2547" s="1" t="str">
        <f>Pop[[#This Row],[State]]&amp;" "&amp;Pop[[#This Row],[County]]</f>
        <v>SD Brule</v>
      </c>
      <c r="B2547" t="s">
        <v>283</v>
      </c>
      <c r="C2547" s="30" t="s">
        <v>1751</v>
      </c>
      <c r="D2547" s="16">
        <v>5255</v>
      </c>
    </row>
    <row r="2548" spans="1:4" x14ac:dyDescent="0.3">
      <c r="A2548" s="1" t="str">
        <f>Pop[[#This Row],[State]]&amp;" "&amp;Pop[[#This Row],[County]]</f>
        <v>SD Buffalo</v>
      </c>
      <c r="B2548" t="s">
        <v>283</v>
      </c>
      <c r="C2548" s="30" t="s">
        <v>1405</v>
      </c>
      <c r="D2548" s="16">
        <v>1912</v>
      </c>
    </row>
    <row r="2549" spans="1:4" x14ac:dyDescent="0.3">
      <c r="A2549" s="1" t="str">
        <f>Pop[[#This Row],[State]]&amp;" "&amp;Pop[[#This Row],[County]]</f>
        <v>SD Butte</v>
      </c>
      <c r="B2549" t="s">
        <v>283</v>
      </c>
      <c r="C2549" s="30" t="s">
        <v>426</v>
      </c>
      <c r="D2549" s="16">
        <v>10110</v>
      </c>
    </row>
    <row r="2550" spans="1:4" x14ac:dyDescent="0.3">
      <c r="A2550" s="1" t="str">
        <f>Pop[[#This Row],[State]]&amp;" "&amp;Pop[[#This Row],[County]]</f>
        <v>SD Campbell</v>
      </c>
      <c r="B2550" t="s">
        <v>283</v>
      </c>
      <c r="C2550" s="30" t="s">
        <v>941</v>
      </c>
      <c r="D2550" s="16">
        <v>1466</v>
      </c>
    </row>
    <row r="2551" spans="1:4" x14ac:dyDescent="0.3">
      <c r="A2551" s="1" t="str">
        <f>Pop[[#This Row],[State]]&amp;" "&amp;Pop[[#This Row],[County]]</f>
        <v>SD Charles Mix</v>
      </c>
      <c r="B2551" t="s">
        <v>283</v>
      </c>
      <c r="C2551" s="30" t="s">
        <v>1752</v>
      </c>
      <c r="D2551" s="16">
        <v>9129</v>
      </c>
    </row>
    <row r="2552" spans="1:4" x14ac:dyDescent="0.3">
      <c r="A2552" s="1" t="str">
        <f>Pop[[#This Row],[State]]&amp;" "&amp;Pop[[#This Row],[County]]</f>
        <v>SD Clark</v>
      </c>
      <c r="B2552" t="s">
        <v>283</v>
      </c>
      <c r="C2552" s="30" t="s">
        <v>38</v>
      </c>
      <c r="D2552" s="16">
        <v>3691</v>
      </c>
    </row>
    <row r="2553" spans="1:4" x14ac:dyDescent="0.3">
      <c r="A2553" s="1" t="str">
        <f>Pop[[#This Row],[State]]&amp;" "&amp;Pop[[#This Row],[County]]</f>
        <v>SD Clay</v>
      </c>
      <c r="B2553" t="s">
        <v>283</v>
      </c>
      <c r="C2553" s="30" t="s">
        <v>39</v>
      </c>
      <c r="D2553" s="16">
        <v>13864</v>
      </c>
    </row>
    <row r="2554" spans="1:4" x14ac:dyDescent="0.3">
      <c r="A2554" s="1" t="str">
        <f>Pop[[#This Row],[State]]&amp;" "&amp;Pop[[#This Row],[County]]</f>
        <v>SD Codington</v>
      </c>
      <c r="B2554" t="s">
        <v>283</v>
      </c>
      <c r="C2554" s="30" t="s">
        <v>1753</v>
      </c>
      <c r="D2554" s="16">
        <v>27227</v>
      </c>
    </row>
    <row r="2555" spans="1:4" x14ac:dyDescent="0.3">
      <c r="A2555" s="1" t="str">
        <f>Pop[[#This Row],[State]]&amp;" "&amp;Pop[[#This Row],[County]]</f>
        <v>SD Corson</v>
      </c>
      <c r="B2555" t="s">
        <v>283</v>
      </c>
      <c r="C2555" s="30" t="s">
        <v>1754</v>
      </c>
      <c r="D2555" s="16">
        <v>4050</v>
      </c>
    </row>
    <row r="2556" spans="1:4" x14ac:dyDescent="0.3">
      <c r="A2556" s="1" t="str">
        <f>Pop[[#This Row],[State]]&amp;" "&amp;Pop[[#This Row],[County]]</f>
        <v>SD Custer</v>
      </c>
      <c r="B2556" t="s">
        <v>283</v>
      </c>
      <c r="C2556" s="30" t="s">
        <v>492</v>
      </c>
      <c r="D2556" s="16">
        <v>8216</v>
      </c>
    </row>
    <row r="2557" spans="1:4" x14ac:dyDescent="0.3">
      <c r="A2557" s="1" t="str">
        <f>Pop[[#This Row],[State]]&amp;" "&amp;Pop[[#This Row],[County]]</f>
        <v>SD Davison</v>
      </c>
      <c r="B2557" t="s">
        <v>283</v>
      </c>
      <c r="C2557" s="30" t="s">
        <v>1755</v>
      </c>
      <c r="D2557" s="16">
        <v>19504</v>
      </c>
    </row>
    <row r="2558" spans="1:4" x14ac:dyDescent="0.3">
      <c r="A2558" s="1" t="str">
        <f>Pop[[#This Row],[State]]&amp;" "&amp;Pop[[#This Row],[County]]</f>
        <v>SD Day</v>
      </c>
      <c r="B2558" t="s">
        <v>283</v>
      </c>
      <c r="C2558" s="30" t="s">
        <v>1756</v>
      </c>
      <c r="D2558" s="16">
        <v>5710</v>
      </c>
    </row>
    <row r="2559" spans="1:4" x14ac:dyDescent="0.3">
      <c r="A2559" s="1" t="str">
        <f>Pop[[#This Row],[State]]&amp;" "&amp;Pop[[#This Row],[County]]</f>
        <v>SD Deuel</v>
      </c>
      <c r="B2559" t="s">
        <v>283</v>
      </c>
      <c r="C2559" s="30" t="s">
        <v>1411</v>
      </c>
      <c r="D2559" s="16">
        <v>4364</v>
      </c>
    </row>
    <row r="2560" spans="1:4" x14ac:dyDescent="0.3">
      <c r="A2560" s="1" t="str">
        <f>Pop[[#This Row],[State]]&amp;" "&amp;Pop[[#This Row],[County]]</f>
        <v>SD Dewey</v>
      </c>
      <c r="B2560" t="s">
        <v>283</v>
      </c>
      <c r="C2560" s="30" t="s">
        <v>1564</v>
      </c>
      <c r="D2560" s="16">
        <v>5301</v>
      </c>
    </row>
    <row r="2561" spans="1:4" x14ac:dyDescent="0.3">
      <c r="A2561" s="1" t="str">
        <f>Pop[[#This Row],[State]]&amp;" "&amp;Pop[[#This Row],[County]]</f>
        <v>SD Douglas</v>
      </c>
      <c r="B2561" t="s">
        <v>283</v>
      </c>
      <c r="C2561" s="30" t="s">
        <v>496</v>
      </c>
      <c r="D2561" s="16">
        <v>3002</v>
      </c>
    </row>
    <row r="2562" spans="1:4" x14ac:dyDescent="0.3">
      <c r="A2562" s="1" t="str">
        <f>Pop[[#This Row],[State]]&amp;" "&amp;Pop[[#This Row],[County]]</f>
        <v>SD Edmunds</v>
      </c>
      <c r="B2562" t="s">
        <v>283</v>
      </c>
      <c r="C2562" s="30" t="s">
        <v>1757</v>
      </c>
      <c r="D2562" s="16">
        <v>4071</v>
      </c>
    </row>
    <row r="2563" spans="1:4" x14ac:dyDescent="0.3">
      <c r="A2563" s="1" t="str">
        <f>Pop[[#This Row],[State]]&amp;" "&amp;Pop[[#This Row],[County]]</f>
        <v>SD Fall River</v>
      </c>
      <c r="B2563" t="s">
        <v>283</v>
      </c>
      <c r="C2563" s="30" t="s">
        <v>1758</v>
      </c>
      <c r="D2563" s="16">
        <v>7094</v>
      </c>
    </row>
    <row r="2564" spans="1:4" x14ac:dyDescent="0.3">
      <c r="A2564" s="1" t="str">
        <f>Pop[[#This Row],[State]]&amp;" "&amp;Pop[[#This Row],[County]]</f>
        <v>SD Faulk</v>
      </c>
      <c r="B2564" t="s">
        <v>283</v>
      </c>
      <c r="C2564" s="30" t="s">
        <v>1759</v>
      </c>
      <c r="D2564" s="16">
        <v>2364</v>
      </c>
    </row>
    <row r="2565" spans="1:4" x14ac:dyDescent="0.3">
      <c r="A2565" s="1" t="str">
        <f>Pop[[#This Row],[State]]&amp;" "&amp;Pop[[#This Row],[County]]</f>
        <v>SD Grant</v>
      </c>
      <c r="B2565" t="s">
        <v>283</v>
      </c>
      <c r="C2565" s="30" t="s">
        <v>370</v>
      </c>
      <c r="D2565" s="16">
        <v>7356</v>
      </c>
    </row>
    <row r="2566" spans="1:4" x14ac:dyDescent="0.3">
      <c r="A2566" s="1" t="str">
        <f>Pop[[#This Row],[State]]&amp;" "&amp;Pop[[#This Row],[County]]</f>
        <v>SD Gregory</v>
      </c>
      <c r="B2566" t="s">
        <v>283</v>
      </c>
      <c r="C2566" s="30" t="s">
        <v>1760</v>
      </c>
      <c r="D2566" s="16">
        <v>4271</v>
      </c>
    </row>
    <row r="2567" spans="1:4" x14ac:dyDescent="0.3">
      <c r="A2567" s="1" t="str">
        <f>Pop[[#This Row],[State]]&amp;" "&amp;Pop[[#This Row],[County]]</f>
        <v>SD Haakon</v>
      </c>
      <c r="B2567" t="s">
        <v>283</v>
      </c>
      <c r="C2567" s="30" t="s">
        <v>1761</v>
      </c>
      <c r="D2567" s="16">
        <v>1937</v>
      </c>
    </row>
    <row r="2568" spans="1:4" x14ac:dyDescent="0.3">
      <c r="A2568" s="1" t="str">
        <f>Pop[[#This Row],[State]]&amp;" "&amp;Pop[[#This Row],[County]]</f>
        <v>SD Hamlin</v>
      </c>
      <c r="B2568" t="s">
        <v>283</v>
      </c>
      <c r="C2568" s="30" t="s">
        <v>1762</v>
      </c>
      <c r="D2568" s="16">
        <v>5903</v>
      </c>
    </row>
    <row r="2569" spans="1:4" x14ac:dyDescent="0.3">
      <c r="A2569" s="1" t="str">
        <f>Pop[[#This Row],[State]]&amp;" "&amp;Pop[[#This Row],[County]]</f>
        <v>SD Hand</v>
      </c>
      <c r="B2569" t="s">
        <v>283</v>
      </c>
      <c r="C2569" s="30" t="s">
        <v>1763</v>
      </c>
      <c r="D2569" s="16">
        <v>3431</v>
      </c>
    </row>
    <row r="2570" spans="1:4" x14ac:dyDescent="0.3">
      <c r="A2570" s="1" t="str">
        <f>Pop[[#This Row],[State]]&amp;" "&amp;Pop[[#This Row],[County]]</f>
        <v>SD Hanson</v>
      </c>
      <c r="B2570" t="s">
        <v>283</v>
      </c>
      <c r="C2570" s="30" t="s">
        <v>1764</v>
      </c>
      <c r="D2570" s="16">
        <v>3331</v>
      </c>
    </row>
    <row r="2571" spans="1:4" x14ac:dyDescent="0.3">
      <c r="A2571" s="1" t="str">
        <f>Pop[[#This Row],[State]]&amp;" "&amp;Pop[[#This Row],[County]]</f>
        <v>SD Harding</v>
      </c>
      <c r="B2571" t="s">
        <v>283</v>
      </c>
      <c r="C2571" s="30" t="s">
        <v>1466</v>
      </c>
      <c r="D2571" s="16">
        <v>1255</v>
      </c>
    </row>
    <row r="2572" spans="1:4" x14ac:dyDescent="0.3">
      <c r="A2572" s="1" t="str">
        <f>Pop[[#This Row],[State]]&amp;" "&amp;Pop[[#This Row],[County]]</f>
        <v>SD Hughes</v>
      </c>
      <c r="B2572" t="s">
        <v>283</v>
      </c>
      <c r="C2572" s="30" t="s">
        <v>1568</v>
      </c>
      <c r="D2572" s="16">
        <v>17022</v>
      </c>
    </row>
    <row r="2573" spans="1:4" x14ac:dyDescent="0.3">
      <c r="A2573" s="1" t="str">
        <f>Pop[[#This Row],[State]]&amp;" "&amp;Pop[[#This Row],[County]]</f>
        <v>SD Hutchinson</v>
      </c>
      <c r="B2573" t="s">
        <v>283</v>
      </c>
      <c r="C2573" s="30" t="s">
        <v>1765</v>
      </c>
      <c r="D2573" s="16">
        <v>7343</v>
      </c>
    </row>
    <row r="2574" spans="1:4" x14ac:dyDescent="0.3">
      <c r="A2574" s="1" t="str">
        <f>Pop[[#This Row],[State]]&amp;" "&amp;Pop[[#This Row],[County]]</f>
        <v>SD Hyde</v>
      </c>
      <c r="B2574" t="s">
        <v>283</v>
      </c>
      <c r="C2574" s="30" t="s">
        <v>1337</v>
      </c>
      <c r="D2574" s="16">
        <v>1420</v>
      </c>
    </row>
    <row r="2575" spans="1:4" x14ac:dyDescent="0.3">
      <c r="A2575" s="1" t="str">
        <f>Pop[[#This Row],[State]]&amp;" "&amp;Pop[[#This Row],[County]]</f>
        <v>SD Jackson</v>
      </c>
      <c r="B2575" t="s">
        <v>283</v>
      </c>
      <c r="C2575" s="30" t="s">
        <v>46</v>
      </c>
      <c r="D2575" s="16">
        <v>3031</v>
      </c>
    </row>
    <row r="2576" spans="1:4" x14ac:dyDescent="0.3">
      <c r="A2576" s="1" t="str">
        <f>Pop[[#This Row],[State]]&amp;" "&amp;Pop[[#This Row],[County]]</f>
        <v>SD Jerauld</v>
      </c>
      <c r="B2576" t="s">
        <v>283</v>
      </c>
      <c r="C2576" s="30" t="s">
        <v>1766</v>
      </c>
      <c r="D2576" s="16">
        <v>2071</v>
      </c>
    </row>
    <row r="2577" spans="1:4" x14ac:dyDescent="0.3">
      <c r="A2577" s="1" t="str">
        <f>Pop[[#This Row],[State]]&amp;" "&amp;Pop[[#This Row],[County]]</f>
        <v>SD Jones</v>
      </c>
      <c r="B2577" t="s">
        <v>283</v>
      </c>
      <c r="C2577" s="30" t="s">
        <v>650</v>
      </c>
      <c r="D2577" s="16">
        <v>1006</v>
      </c>
    </row>
    <row r="2578" spans="1:4" x14ac:dyDescent="0.3">
      <c r="A2578" s="1" t="str">
        <f>Pop[[#This Row],[State]]&amp;" "&amp;Pop[[#This Row],[County]]</f>
        <v>SD Kingsbury</v>
      </c>
      <c r="B2578" t="s">
        <v>283</v>
      </c>
      <c r="C2578" s="30" t="s">
        <v>1767</v>
      </c>
      <c r="D2578" s="16">
        <v>5148</v>
      </c>
    </row>
    <row r="2579" spans="1:4" x14ac:dyDescent="0.3">
      <c r="A2579" s="1" t="str">
        <f>Pop[[#This Row],[State]]&amp;" "&amp;Pop[[#This Row],[County]]</f>
        <v>SD Lake</v>
      </c>
      <c r="B2579" t="s">
        <v>283</v>
      </c>
      <c r="C2579" s="30" t="s">
        <v>439</v>
      </c>
      <c r="D2579" s="16">
        <v>11200</v>
      </c>
    </row>
    <row r="2580" spans="1:4" x14ac:dyDescent="0.3">
      <c r="A2580" s="1" t="str">
        <f>Pop[[#This Row],[State]]&amp;" "&amp;Pop[[#This Row],[County]]</f>
        <v>SD Lawrence</v>
      </c>
      <c r="B2580" t="s">
        <v>283</v>
      </c>
      <c r="C2580" s="30" t="s">
        <v>48</v>
      </c>
      <c r="D2580" s="16">
        <v>24097</v>
      </c>
    </row>
    <row r="2581" spans="1:4" x14ac:dyDescent="0.3">
      <c r="A2581" s="1" t="str">
        <f>Pop[[#This Row],[State]]&amp;" "&amp;Pop[[#This Row],[County]]</f>
        <v>SD Lincoln</v>
      </c>
      <c r="B2581" t="s">
        <v>283</v>
      </c>
      <c r="C2581" s="30" t="s">
        <v>378</v>
      </c>
      <c r="D2581" s="16">
        <v>44828</v>
      </c>
    </row>
    <row r="2582" spans="1:4" x14ac:dyDescent="0.3">
      <c r="A2582" s="1" t="str">
        <f>Pop[[#This Row],[State]]&amp;" "&amp;Pop[[#This Row],[County]]</f>
        <v>SD Lyman</v>
      </c>
      <c r="B2582" t="s">
        <v>283</v>
      </c>
      <c r="C2582" s="30" t="s">
        <v>1768</v>
      </c>
      <c r="D2582" s="16">
        <v>3755</v>
      </c>
    </row>
    <row r="2583" spans="1:4" x14ac:dyDescent="0.3">
      <c r="A2583" s="1" t="str">
        <f>Pop[[#This Row],[State]]&amp;" "&amp;Pop[[#This Row],[County]]</f>
        <v>SD Marshall</v>
      </c>
      <c r="B2583" t="s">
        <v>283</v>
      </c>
      <c r="C2583" s="30" t="s">
        <v>51</v>
      </c>
      <c r="D2583" s="16">
        <v>4656</v>
      </c>
    </row>
    <row r="2584" spans="1:4" x14ac:dyDescent="0.3">
      <c r="A2584" s="1" t="str">
        <f>Pop[[#This Row],[State]]&amp;" "&amp;Pop[[#This Row],[County]]</f>
        <v>SD McCook</v>
      </c>
      <c r="B2584" t="s">
        <v>283</v>
      </c>
      <c r="C2584" s="30" t="s">
        <v>1769</v>
      </c>
      <c r="D2584" s="16">
        <v>5618</v>
      </c>
    </row>
    <row r="2585" spans="1:4" x14ac:dyDescent="0.3">
      <c r="A2585" s="1" t="str">
        <f>Pop[[#This Row],[State]]&amp;" "&amp;Pop[[#This Row],[County]]</f>
        <v>SD McPherson</v>
      </c>
      <c r="B2585" t="s">
        <v>283</v>
      </c>
      <c r="C2585" s="30" t="s">
        <v>893</v>
      </c>
      <c r="D2585" s="16">
        <v>2459</v>
      </c>
    </row>
    <row r="2586" spans="1:4" x14ac:dyDescent="0.3">
      <c r="A2586" s="1" t="str">
        <f>Pop[[#This Row],[State]]&amp;" "&amp;Pop[[#This Row],[County]]</f>
        <v>SD Meade</v>
      </c>
      <c r="B2586" t="s">
        <v>283</v>
      </c>
      <c r="C2586" s="30" t="s">
        <v>894</v>
      </c>
      <c r="D2586" s="54">
        <v>25434</v>
      </c>
    </row>
    <row r="2587" spans="1:4" x14ac:dyDescent="0.3">
      <c r="A2587" s="1" t="str">
        <f>Pop[[#This Row],[State]]&amp;" "&amp;Pop[[#This Row],[County]]</f>
        <v>SD Mellette</v>
      </c>
      <c r="B2587" t="s">
        <v>283</v>
      </c>
      <c r="C2587" s="30" t="s">
        <v>1770</v>
      </c>
      <c r="D2587" s="16">
        <v>2048</v>
      </c>
    </row>
    <row r="2588" spans="1:4" x14ac:dyDescent="0.3">
      <c r="A2588" s="1" t="str">
        <f>Pop[[#This Row],[State]]&amp;" "&amp;Pop[[#This Row],[County]]</f>
        <v>SD Miner</v>
      </c>
      <c r="B2588" t="s">
        <v>283</v>
      </c>
      <c r="C2588" s="30" t="s">
        <v>1771</v>
      </c>
      <c r="D2588" s="16">
        <v>2389</v>
      </c>
    </row>
    <row r="2589" spans="1:4" x14ac:dyDescent="0.3">
      <c r="A2589" s="1" t="str">
        <f>Pop[[#This Row],[State]]&amp;" "&amp;Pop[[#This Row],[County]]</f>
        <v>SD Minnehaha</v>
      </c>
      <c r="B2589" t="s">
        <v>283</v>
      </c>
      <c r="C2589" s="30" t="s">
        <v>1772</v>
      </c>
      <c r="D2589" s="16">
        <v>169468</v>
      </c>
    </row>
    <row r="2590" spans="1:4" x14ac:dyDescent="0.3">
      <c r="A2590" s="1" t="str">
        <f>Pop[[#This Row],[State]]&amp;" "&amp;Pop[[#This Row],[County]]</f>
        <v>SD Moody</v>
      </c>
      <c r="B2590" t="s">
        <v>283</v>
      </c>
      <c r="C2590" s="30" t="s">
        <v>1773</v>
      </c>
      <c r="D2590" s="16">
        <v>6486</v>
      </c>
    </row>
    <row r="2591" spans="1:4" x14ac:dyDescent="0.3">
      <c r="A2591" s="1" t="str">
        <f>Pop[[#This Row],[State]]&amp;" "&amp;Pop[[#This Row],[County]]</f>
        <v>SD Pennington</v>
      </c>
      <c r="B2591" t="s">
        <v>283</v>
      </c>
      <c r="C2591" s="30" t="s">
        <v>1168</v>
      </c>
      <c r="D2591" s="54">
        <v>100948</v>
      </c>
    </row>
    <row r="2592" spans="1:4" x14ac:dyDescent="0.3">
      <c r="A2592" s="1" t="str">
        <f>Pop[[#This Row],[State]]&amp;" "&amp;Pop[[#This Row],[County]]</f>
        <v>SD Perkins</v>
      </c>
      <c r="B2592" t="s">
        <v>283</v>
      </c>
      <c r="C2592" s="30" t="s">
        <v>1433</v>
      </c>
      <c r="D2592" s="16">
        <v>2982</v>
      </c>
    </row>
    <row r="2593" spans="1:4" x14ac:dyDescent="0.3">
      <c r="A2593" s="1" t="str">
        <f>Pop[[#This Row],[State]]&amp;" "&amp;Pop[[#This Row],[County]]</f>
        <v>SD Potter</v>
      </c>
      <c r="B2593" t="s">
        <v>283</v>
      </c>
      <c r="C2593" s="30" t="s">
        <v>1635</v>
      </c>
      <c r="D2593" s="16">
        <v>2329</v>
      </c>
    </row>
    <row r="2594" spans="1:4" x14ac:dyDescent="0.3">
      <c r="A2594" s="1" t="str">
        <f>Pop[[#This Row],[State]]&amp;" "&amp;Pop[[#This Row],[County]]</f>
        <v>SD Roberts</v>
      </c>
      <c r="B2594" t="s">
        <v>283</v>
      </c>
      <c r="C2594" s="30" t="s">
        <v>1774</v>
      </c>
      <c r="D2594" s="16">
        <v>10149</v>
      </c>
    </row>
    <row r="2595" spans="1:4" x14ac:dyDescent="0.3">
      <c r="A2595" s="1" t="str">
        <f>Pop[[#This Row],[State]]&amp;" "&amp;Pop[[#This Row],[County]]</f>
        <v>SD Sanborn</v>
      </c>
      <c r="B2595" t="s">
        <v>283</v>
      </c>
      <c r="C2595" s="30" t="s">
        <v>1775</v>
      </c>
      <c r="D2595" s="16">
        <v>2355</v>
      </c>
    </row>
    <row r="2596" spans="1:4" x14ac:dyDescent="0.3">
      <c r="A2596" s="1" t="str">
        <f>Pop[[#This Row],[State]]&amp;" "&amp;Pop[[#This Row],[County]]</f>
        <v>SD Shannon</v>
      </c>
      <c r="B2596" t="s">
        <v>283</v>
      </c>
      <c r="C2596" s="30" t="s">
        <v>1225</v>
      </c>
      <c r="D2596" s="16">
        <v>13586</v>
      </c>
    </row>
    <row r="2597" spans="1:4" x14ac:dyDescent="0.3">
      <c r="A2597" s="1" t="str">
        <f>Pop[[#This Row],[State]]&amp;" "&amp;Pop[[#This Row],[County]]</f>
        <v>SD Spink</v>
      </c>
      <c r="B2597" t="s">
        <v>283</v>
      </c>
      <c r="C2597" s="30" t="s">
        <v>1776</v>
      </c>
      <c r="D2597" s="16">
        <v>6415</v>
      </c>
    </row>
    <row r="2598" spans="1:4" x14ac:dyDescent="0.3">
      <c r="A2598" s="1" t="str">
        <f>Pop[[#This Row],[State]]&amp;" "&amp;Pop[[#This Row],[County]]</f>
        <v>SD Stanley</v>
      </c>
      <c r="B2598" t="s">
        <v>283</v>
      </c>
      <c r="C2598" s="30" t="s">
        <v>1777</v>
      </c>
      <c r="D2598" s="16">
        <v>2966</v>
      </c>
    </row>
    <row r="2599" spans="1:4" x14ac:dyDescent="0.3">
      <c r="A2599" s="1" t="str">
        <f>Pop[[#This Row],[State]]&amp;" "&amp;Pop[[#This Row],[County]]</f>
        <v>SD Sully</v>
      </c>
      <c r="B2599" t="s">
        <v>283</v>
      </c>
      <c r="C2599" s="30" t="s">
        <v>1778</v>
      </c>
      <c r="D2599" s="16">
        <v>1373</v>
      </c>
    </row>
    <row r="2600" spans="1:4" x14ac:dyDescent="0.3">
      <c r="A2600" s="1" t="str">
        <f>Pop[[#This Row],[State]]&amp;" "&amp;Pop[[#This Row],[County]]</f>
        <v>SD Todd</v>
      </c>
      <c r="B2600" t="s">
        <v>283</v>
      </c>
      <c r="C2600" s="30" t="s">
        <v>980</v>
      </c>
      <c r="D2600" s="16">
        <v>9612</v>
      </c>
    </row>
    <row r="2601" spans="1:4" x14ac:dyDescent="0.3">
      <c r="A2601" s="1" t="str">
        <f>Pop[[#This Row],[State]]&amp;" "&amp;Pop[[#This Row],[County]]</f>
        <v>SD Tripp</v>
      </c>
      <c r="B2601" t="s">
        <v>283</v>
      </c>
      <c r="C2601" s="30" t="s">
        <v>1779</v>
      </c>
      <c r="D2601" s="16">
        <v>5644</v>
      </c>
    </row>
    <row r="2602" spans="1:4" x14ac:dyDescent="0.3">
      <c r="A2602" s="1" t="str">
        <f>Pop[[#This Row],[State]]&amp;" "&amp;Pop[[#This Row],[County]]</f>
        <v>SD Turner</v>
      </c>
      <c r="B2602" t="s">
        <v>283</v>
      </c>
      <c r="C2602" s="30" t="s">
        <v>686</v>
      </c>
      <c r="D2602" s="16">
        <v>8347</v>
      </c>
    </row>
    <row r="2603" spans="1:4" x14ac:dyDescent="0.3">
      <c r="A2603" s="1" t="str">
        <f>Pop[[#This Row],[State]]&amp;" "&amp;Pop[[#This Row],[County]]</f>
        <v>SD Union</v>
      </c>
      <c r="B2603" t="s">
        <v>283</v>
      </c>
      <c r="C2603" s="30" t="s">
        <v>399</v>
      </c>
      <c r="D2603" s="16">
        <v>14399</v>
      </c>
    </row>
    <row r="2604" spans="1:4" x14ac:dyDescent="0.3">
      <c r="A2604" s="1" t="str">
        <f>Pop[[#This Row],[State]]&amp;" "&amp;Pop[[#This Row],[County]]</f>
        <v>SD Walworth</v>
      </c>
      <c r="B2604" t="s">
        <v>283</v>
      </c>
      <c r="C2604" s="30" t="s">
        <v>1780</v>
      </c>
      <c r="D2604" s="16">
        <v>5438</v>
      </c>
    </row>
    <row r="2605" spans="1:4" x14ac:dyDescent="0.3">
      <c r="A2605" s="1" t="str">
        <f>Pop[[#This Row],[State]]&amp;" "&amp;Pop[[#This Row],[County]]</f>
        <v>SD Yankton</v>
      </c>
      <c r="B2605" t="s">
        <v>283</v>
      </c>
      <c r="C2605" s="30" t="s">
        <v>1781</v>
      </c>
      <c r="D2605" s="16">
        <v>22438</v>
      </c>
    </row>
    <row r="2606" spans="1:4" x14ac:dyDescent="0.3">
      <c r="A2606" s="1" t="str">
        <f>Pop[[#This Row],[State]]&amp;" "&amp;Pop[[#This Row],[County]]</f>
        <v>SD Ziebach</v>
      </c>
      <c r="B2606" t="s">
        <v>283</v>
      </c>
      <c r="C2606" s="30" t="s">
        <v>1782</v>
      </c>
      <c r="D2606" s="16">
        <v>2801</v>
      </c>
    </row>
    <row r="2607" spans="1:4" x14ac:dyDescent="0.3">
      <c r="A2607" s="1" t="str">
        <f>Pop[[#This Row],[State]]&amp;" "&amp;Pop[[#This Row],[County]]</f>
        <v>SD State Agencies</v>
      </c>
      <c r="B2607" t="s">
        <v>283</v>
      </c>
      <c r="C2607" s="30" t="s">
        <v>243</v>
      </c>
      <c r="D2607" s="16" t="s">
        <v>244</v>
      </c>
    </row>
    <row r="2608" spans="1:4" x14ac:dyDescent="0.3">
      <c r="A2608" s="1" t="str">
        <f>Pop[[#This Row],[State]]&amp;" "&amp;Pop[[#This Row],[County]]</f>
        <v>SD Grand Total</v>
      </c>
      <c r="B2608" t="s">
        <v>283</v>
      </c>
      <c r="C2608" s="30" t="s">
        <v>67</v>
      </c>
      <c r="D2608" s="16">
        <v>814180</v>
      </c>
    </row>
    <row r="2609" spans="1:4" x14ac:dyDescent="0.3">
      <c r="A2609" s="1" t="str">
        <f>Pop[[#This Row],[State]]&amp;" "&amp;Pop[[#This Row],[County]]</f>
        <v>TN Anderson</v>
      </c>
      <c r="B2609" t="s">
        <v>228</v>
      </c>
      <c r="C2609" s="30" t="s">
        <v>862</v>
      </c>
      <c r="D2609" s="16">
        <v>77123</v>
      </c>
    </row>
    <row r="2610" spans="1:4" x14ac:dyDescent="0.3">
      <c r="A2610" s="1" t="str">
        <f>Pop[[#This Row],[State]]&amp;" "&amp;Pop[[#This Row],[County]]</f>
        <v>TN Bedford</v>
      </c>
      <c r="B2610" t="s">
        <v>228</v>
      </c>
      <c r="C2610" s="30" t="s">
        <v>1612</v>
      </c>
      <c r="D2610" s="16">
        <v>50237</v>
      </c>
    </row>
    <row r="2611" spans="1:4" x14ac:dyDescent="0.3">
      <c r="A2611" s="1" t="str">
        <f>Pop[[#This Row],[State]]&amp;" "&amp;Pop[[#This Row],[County]]</f>
        <v>TN Benton</v>
      </c>
      <c r="B2611" t="s">
        <v>228</v>
      </c>
      <c r="C2611" s="30" t="s">
        <v>354</v>
      </c>
      <c r="D2611" s="16">
        <v>15864</v>
      </c>
    </row>
    <row r="2612" spans="1:4" x14ac:dyDescent="0.3">
      <c r="A2612" s="1" t="str">
        <f>Pop[[#This Row],[State]]&amp;" "&amp;Pop[[#This Row],[County]]</f>
        <v>TN Bledsoe</v>
      </c>
      <c r="B2612" t="s">
        <v>228</v>
      </c>
      <c r="C2612" s="30" t="s">
        <v>1783</v>
      </c>
      <c r="D2612" s="16">
        <v>14913</v>
      </c>
    </row>
    <row r="2613" spans="1:4" x14ac:dyDescent="0.3">
      <c r="A2613" s="1" t="str">
        <f>Pop[[#This Row],[State]]&amp;" "&amp;Pop[[#This Row],[County]]</f>
        <v>TN Blount</v>
      </c>
      <c r="B2613" t="s">
        <v>228</v>
      </c>
      <c r="C2613" s="30" t="s">
        <v>261</v>
      </c>
      <c r="D2613" s="16">
        <v>135280</v>
      </c>
    </row>
    <row r="2614" spans="1:4" x14ac:dyDescent="0.3">
      <c r="A2614" s="1" t="str">
        <f>Pop[[#This Row],[State]]&amp;" "&amp;Pop[[#This Row],[County]]</f>
        <v>TN Bradley</v>
      </c>
      <c r="B2614" t="s">
        <v>228</v>
      </c>
      <c r="C2614" s="30" t="s">
        <v>356</v>
      </c>
      <c r="D2614" s="16">
        <v>108620</v>
      </c>
    </row>
    <row r="2615" spans="1:4" x14ac:dyDescent="0.3">
      <c r="A2615" s="1" t="str">
        <f>Pop[[#This Row],[State]]&amp;" "&amp;Pop[[#This Row],[County]]</f>
        <v>TN Campbell</v>
      </c>
      <c r="B2615" t="s">
        <v>228</v>
      </c>
      <c r="C2615" s="30" t="s">
        <v>941</v>
      </c>
      <c r="D2615" s="16">
        <v>39272</v>
      </c>
    </row>
    <row r="2616" spans="1:4" x14ac:dyDescent="0.3">
      <c r="A2616" s="1" t="str">
        <f>Pop[[#This Row],[State]]&amp;" "&amp;Pop[[#This Row],[County]]</f>
        <v>TN Cannon</v>
      </c>
      <c r="B2616" t="s">
        <v>228</v>
      </c>
      <c r="C2616" s="30" t="s">
        <v>1784</v>
      </c>
      <c r="D2616" s="16">
        <v>14506</v>
      </c>
    </row>
    <row r="2617" spans="1:4" x14ac:dyDescent="0.3">
      <c r="A2617" s="1" t="str">
        <f>Pop[[#This Row],[State]]&amp;" "&amp;Pop[[#This Row],[County]]</f>
        <v>TN Carroll</v>
      </c>
      <c r="B2617" t="s">
        <v>228</v>
      </c>
      <c r="C2617" s="30" t="s">
        <v>357</v>
      </c>
      <c r="D2617" s="16">
        <v>28440</v>
      </c>
    </row>
    <row r="2618" spans="1:4" x14ac:dyDescent="0.3">
      <c r="A2618" s="1" t="str">
        <f>Pop[[#This Row],[State]]&amp;" "&amp;Pop[[#This Row],[County]]</f>
        <v>TN Carter</v>
      </c>
      <c r="B2618" t="s">
        <v>228</v>
      </c>
      <c r="C2618" s="30" t="s">
        <v>943</v>
      </c>
      <c r="D2618" s="16">
        <v>56356</v>
      </c>
    </row>
    <row r="2619" spans="1:4" x14ac:dyDescent="0.3">
      <c r="A2619" s="1" t="str">
        <f>Pop[[#This Row],[State]]&amp;" "&amp;Pop[[#This Row],[County]]</f>
        <v>TN Cheatham</v>
      </c>
      <c r="B2619" t="s">
        <v>228</v>
      </c>
      <c r="C2619" s="30" t="s">
        <v>1785</v>
      </c>
      <c r="D2619" s="16">
        <v>41072</v>
      </c>
    </row>
    <row r="2620" spans="1:4" x14ac:dyDescent="0.3">
      <c r="A2620" s="1" t="str">
        <f>Pop[[#This Row],[State]]&amp;" "&amp;Pop[[#This Row],[County]]</f>
        <v>TN Chester</v>
      </c>
      <c r="B2620" t="s">
        <v>228</v>
      </c>
      <c r="C2620" s="30" t="s">
        <v>1618</v>
      </c>
      <c r="D2620" s="16">
        <v>17341</v>
      </c>
    </row>
    <row r="2621" spans="1:4" x14ac:dyDescent="0.3">
      <c r="A2621" s="1" t="str">
        <f>Pop[[#This Row],[State]]&amp;" "&amp;Pop[[#This Row],[County]]</f>
        <v>TN Claiborne</v>
      </c>
      <c r="B2621" t="s">
        <v>228</v>
      </c>
      <c r="C2621" s="30" t="s">
        <v>995</v>
      </c>
      <c r="D2621" s="16">
        <v>32043</v>
      </c>
    </row>
    <row r="2622" spans="1:4" x14ac:dyDescent="0.3">
      <c r="A2622" s="1" t="str">
        <f>Pop[[#This Row],[State]]&amp;" "&amp;Pop[[#This Row],[County]]</f>
        <v>TN Clay</v>
      </c>
      <c r="B2622" t="s">
        <v>228</v>
      </c>
      <c r="C2622" s="30" t="s">
        <v>39</v>
      </c>
      <c r="D2622" s="16">
        <v>7581</v>
      </c>
    </row>
    <row r="2623" spans="1:4" x14ac:dyDescent="0.3">
      <c r="A2623" s="1" t="str">
        <f>Pop[[#This Row],[State]]&amp;" "&amp;Pop[[#This Row],[County]]</f>
        <v>TN Cocke</v>
      </c>
      <c r="B2623" t="s">
        <v>228</v>
      </c>
      <c r="C2623" s="30" t="s">
        <v>1786</v>
      </c>
      <c r="D2623" s="16">
        <v>35999</v>
      </c>
    </row>
    <row r="2624" spans="1:4" x14ac:dyDescent="0.3">
      <c r="A2624" s="1" t="str">
        <f>Pop[[#This Row],[State]]&amp;" "&amp;Pop[[#This Row],[County]]</f>
        <v>TN Coffee</v>
      </c>
      <c r="B2624" t="s">
        <v>228</v>
      </c>
      <c r="C2624" s="30" t="s">
        <v>293</v>
      </c>
      <c r="D2624" s="16">
        <v>57889</v>
      </c>
    </row>
    <row r="2625" spans="1:4" x14ac:dyDescent="0.3">
      <c r="A2625" s="1" t="str">
        <f>Pop[[#This Row],[State]]&amp;" "&amp;Pop[[#This Row],[County]]</f>
        <v>TN Crockett</v>
      </c>
      <c r="B2625" t="s">
        <v>228</v>
      </c>
      <c r="C2625" s="30" t="s">
        <v>1787</v>
      </c>
      <c r="D2625" s="16">
        <v>13911</v>
      </c>
    </row>
    <row r="2626" spans="1:4" x14ac:dyDescent="0.3">
      <c r="A2626" s="1" t="str">
        <f>Pop[[#This Row],[State]]&amp;" "&amp;Pop[[#This Row],[County]]</f>
        <v>TN Cumberland</v>
      </c>
      <c r="B2626" t="s">
        <v>228</v>
      </c>
      <c r="C2626" s="30" t="s">
        <v>790</v>
      </c>
      <c r="D2626" s="16">
        <v>61145</v>
      </c>
    </row>
    <row r="2627" spans="1:4" x14ac:dyDescent="0.3">
      <c r="A2627" s="1" t="str">
        <f>Pop[[#This Row],[State]]&amp;" "&amp;Pop[[#This Row],[County]]</f>
        <v>TN Davidson</v>
      </c>
      <c r="B2627" t="s">
        <v>228</v>
      </c>
      <c r="C2627" s="30" t="s">
        <v>1323</v>
      </c>
      <c r="D2627" s="16">
        <v>715884</v>
      </c>
    </row>
    <row r="2628" spans="1:4" x14ac:dyDescent="0.3">
      <c r="A2628" s="1" t="str">
        <f>Pop[[#This Row],[State]]&amp;" "&amp;Pop[[#This Row],[County]]</f>
        <v>TN Decatur</v>
      </c>
      <c r="B2628" t="s">
        <v>228</v>
      </c>
      <c r="C2628" s="30" t="s">
        <v>41</v>
      </c>
      <c r="D2628" s="16">
        <v>11435</v>
      </c>
    </row>
    <row r="2629" spans="1:4" x14ac:dyDescent="0.3">
      <c r="A2629" s="1" t="str">
        <f>Pop[[#This Row],[State]]&amp;" "&amp;Pop[[#This Row],[County]]</f>
        <v>TN DeKalb</v>
      </c>
      <c r="B2629" t="s">
        <v>228</v>
      </c>
      <c r="C2629" s="30" t="s">
        <v>319</v>
      </c>
      <c r="D2629" s="16">
        <v>20080</v>
      </c>
    </row>
    <row r="2630" spans="1:4" x14ac:dyDescent="0.3">
      <c r="A2630" s="1" t="str">
        <f>Pop[[#This Row],[State]]&amp;" "&amp;Pop[[#This Row],[County]]</f>
        <v>TN Dickson</v>
      </c>
      <c r="B2630" t="s">
        <v>228</v>
      </c>
      <c r="C2630" s="30" t="s">
        <v>1788</v>
      </c>
      <c r="D2630" s="16">
        <v>54315</v>
      </c>
    </row>
    <row r="2631" spans="1:4" x14ac:dyDescent="0.3">
      <c r="A2631" s="1" t="str">
        <f>Pop[[#This Row],[State]]&amp;" "&amp;Pop[[#This Row],[County]]</f>
        <v>TN Dyer</v>
      </c>
      <c r="B2631" t="s">
        <v>228</v>
      </c>
      <c r="C2631" s="30" t="s">
        <v>1789</v>
      </c>
      <c r="D2631" s="16">
        <v>36801</v>
      </c>
    </row>
    <row r="2632" spans="1:4" x14ac:dyDescent="0.3">
      <c r="A2632" s="1" t="str">
        <f>Pop[[#This Row],[State]]&amp;" "&amp;Pop[[#This Row],[County]]</f>
        <v>TN Fayette</v>
      </c>
      <c r="B2632" t="s">
        <v>228</v>
      </c>
      <c r="C2632" s="30" t="s">
        <v>326</v>
      </c>
      <c r="D2632" s="16">
        <v>41990</v>
      </c>
    </row>
    <row r="2633" spans="1:4" x14ac:dyDescent="0.3">
      <c r="A2633" s="1" t="str">
        <f>Pop[[#This Row],[State]]&amp;" "&amp;Pop[[#This Row],[County]]</f>
        <v>TN Fentress</v>
      </c>
      <c r="B2633" t="s">
        <v>228</v>
      </c>
      <c r="C2633" s="30" t="s">
        <v>1790</v>
      </c>
      <c r="D2633" s="16">
        <v>18489</v>
      </c>
    </row>
    <row r="2634" spans="1:4" x14ac:dyDescent="0.3">
      <c r="A2634" s="1" t="str">
        <f>Pop[[#This Row],[State]]&amp;" "&amp;Pop[[#This Row],[County]]</f>
        <v>TN Franklin</v>
      </c>
      <c r="B2634" t="s">
        <v>228</v>
      </c>
      <c r="C2634" s="30" t="s">
        <v>43</v>
      </c>
      <c r="D2634" s="16">
        <v>42774</v>
      </c>
    </row>
    <row r="2635" spans="1:4" x14ac:dyDescent="0.3">
      <c r="A2635" s="1" t="str">
        <f>Pop[[#This Row],[State]]&amp;" "&amp;Pop[[#This Row],[County]]</f>
        <v>TN Gibson</v>
      </c>
      <c r="B2635" t="s">
        <v>228</v>
      </c>
      <c r="C2635" s="30" t="s">
        <v>839</v>
      </c>
      <c r="D2635" s="16">
        <v>50429</v>
      </c>
    </row>
    <row r="2636" spans="1:4" x14ac:dyDescent="0.3">
      <c r="A2636" s="1" t="str">
        <f>Pop[[#This Row],[State]]&amp;" "&amp;Pop[[#This Row],[County]]</f>
        <v>TN Giles</v>
      </c>
      <c r="B2636" t="s">
        <v>228</v>
      </c>
      <c r="C2636" s="30" t="s">
        <v>1791</v>
      </c>
      <c r="D2636" s="16">
        <v>30346</v>
      </c>
    </row>
    <row r="2637" spans="1:4" x14ac:dyDescent="0.3">
      <c r="A2637" s="1" t="str">
        <f>Pop[[#This Row],[State]]&amp;" "&amp;Pop[[#This Row],[County]]</f>
        <v>TN Grainger</v>
      </c>
      <c r="B2637" t="s">
        <v>228</v>
      </c>
      <c r="C2637" s="30" t="s">
        <v>1792</v>
      </c>
      <c r="D2637" s="16">
        <v>23527</v>
      </c>
    </row>
    <row r="2638" spans="1:4" x14ac:dyDescent="0.3">
      <c r="A2638" s="1" t="str">
        <f>Pop[[#This Row],[State]]&amp;" "&amp;Pop[[#This Row],[County]]</f>
        <v>TN Greene</v>
      </c>
      <c r="B2638" t="s">
        <v>228</v>
      </c>
      <c r="C2638" s="30" t="s">
        <v>44</v>
      </c>
      <c r="D2638" s="16">
        <v>70152</v>
      </c>
    </row>
    <row r="2639" spans="1:4" x14ac:dyDescent="0.3">
      <c r="A2639" s="1" t="str">
        <f>Pop[[#This Row],[State]]&amp;" "&amp;Pop[[#This Row],[County]]</f>
        <v>TN Grundy</v>
      </c>
      <c r="B2639" t="s">
        <v>228</v>
      </c>
      <c r="C2639" s="30" t="s">
        <v>721</v>
      </c>
      <c r="D2639" s="16">
        <v>13529</v>
      </c>
    </row>
    <row r="2640" spans="1:4" x14ac:dyDescent="0.3">
      <c r="A2640" s="1" t="str">
        <f>Pop[[#This Row],[State]]&amp;" "&amp;Pop[[#This Row],[County]]</f>
        <v>TN Hamblen</v>
      </c>
      <c r="B2640" t="s">
        <v>228</v>
      </c>
      <c r="C2640" s="30" t="s">
        <v>1793</v>
      </c>
      <c r="D2640" s="16">
        <v>64499</v>
      </c>
    </row>
    <row r="2641" spans="1:4" x14ac:dyDescent="0.3">
      <c r="A2641" s="1" t="str">
        <f>Pop[[#This Row],[State]]&amp;" "&amp;Pop[[#This Row],[County]]</f>
        <v>TN Hamilton</v>
      </c>
      <c r="B2641" t="s">
        <v>228</v>
      </c>
      <c r="C2641" s="30" t="s">
        <v>561</v>
      </c>
      <c r="D2641" s="16">
        <v>366207</v>
      </c>
    </row>
    <row r="2642" spans="1:4" x14ac:dyDescent="0.3">
      <c r="A2642" s="1" t="str">
        <f>Pop[[#This Row],[State]]&amp;" "&amp;Pop[[#This Row],[County]]</f>
        <v>TN Hancock</v>
      </c>
      <c r="B2642" t="s">
        <v>228</v>
      </c>
      <c r="C2642" s="30" t="s">
        <v>641</v>
      </c>
      <c r="D2642" s="16">
        <v>6662</v>
      </c>
    </row>
    <row r="2643" spans="1:4" x14ac:dyDescent="0.3">
      <c r="A2643" s="1" t="str">
        <f>Pop[[#This Row],[State]]&amp;" "&amp;Pop[[#This Row],[County]]</f>
        <v>TN Hardeman</v>
      </c>
      <c r="B2643" t="s">
        <v>228</v>
      </c>
      <c r="C2643" s="30" t="s">
        <v>1794</v>
      </c>
      <c r="D2643" s="16">
        <v>25462</v>
      </c>
    </row>
    <row r="2644" spans="1:4" x14ac:dyDescent="0.3">
      <c r="A2644" s="1" t="str">
        <f>Pop[[#This Row],[State]]&amp;" "&amp;Pop[[#This Row],[County]]</f>
        <v>TN Hardin</v>
      </c>
      <c r="B2644" t="s">
        <v>228</v>
      </c>
      <c r="C2644" s="30" t="s">
        <v>723</v>
      </c>
      <c r="D2644" s="16">
        <v>26831</v>
      </c>
    </row>
    <row r="2645" spans="1:4" x14ac:dyDescent="0.3">
      <c r="A2645" s="1" t="str">
        <f>Pop[[#This Row],[State]]&amp;" "&amp;Pop[[#This Row],[County]]</f>
        <v>TN Hawkins</v>
      </c>
      <c r="B2645" t="s">
        <v>228</v>
      </c>
      <c r="C2645" s="30" t="s">
        <v>1795</v>
      </c>
      <c r="D2645" s="16">
        <v>56721</v>
      </c>
    </row>
    <row r="2646" spans="1:4" x14ac:dyDescent="0.3">
      <c r="A2646" s="1" t="str">
        <f>Pop[[#This Row],[State]]&amp;" "&amp;Pop[[#This Row],[County]]</f>
        <v>TN Haywood</v>
      </c>
      <c r="B2646" t="s">
        <v>228</v>
      </c>
      <c r="C2646" s="30" t="s">
        <v>1334</v>
      </c>
      <c r="D2646" s="16">
        <v>17864</v>
      </c>
    </row>
    <row r="2647" spans="1:4" x14ac:dyDescent="0.3">
      <c r="A2647" s="1" t="str">
        <f>Pop[[#This Row],[State]]&amp;" "&amp;Pop[[#This Row],[County]]</f>
        <v>TN Henderson</v>
      </c>
      <c r="B2647" t="s">
        <v>228</v>
      </c>
      <c r="C2647" s="30" t="s">
        <v>797</v>
      </c>
      <c r="D2647" s="16">
        <v>27842</v>
      </c>
    </row>
    <row r="2648" spans="1:4" x14ac:dyDescent="0.3">
      <c r="A2648" s="1" t="str">
        <f>Pop[[#This Row],[State]]&amp;" "&amp;Pop[[#This Row],[County]]</f>
        <v>TN Henry</v>
      </c>
      <c r="B2648" t="s">
        <v>228</v>
      </c>
      <c r="C2648" s="30" t="s">
        <v>329</v>
      </c>
      <c r="D2648" s="16">
        <v>32199</v>
      </c>
    </row>
    <row r="2649" spans="1:4" x14ac:dyDescent="0.3">
      <c r="A2649" s="1" t="str">
        <f>Pop[[#This Row],[State]]&amp;" "&amp;Pop[[#This Row],[County]]</f>
        <v>TN Hickman</v>
      </c>
      <c r="B2649" t="s">
        <v>228</v>
      </c>
      <c r="C2649" s="30" t="s">
        <v>955</v>
      </c>
      <c r="D2649" s="16">
        <v>24925</v>
      </c>
    </row>
    <row r="2650" spans="1:4" x14ac:dyDescent="0.3">
      <c r="A2650" s="1" t="str">
        <f>Pop[[#This Row],[State]]&amp;" "&amp;Pop[[#This Row],[County]]</f>
        <v>TN Houston</v>
      </c>
      <c r="B2650" t="s">
        <v>228</v>
      </c>
      <c r="C2650" s="30" t="s">
        <v>330</v>
      </c>
      <c r="D2650" s="16">
        <v>8283</v>
      </c>
    </row>
    <row r="2651" spans="1:4" x14ac:dyDescent="0.3">
      <c r="A2651" s="1" t="str">
        <f>Pop[[#This Row],[State]]&amp;" "&amp;Pop[[#This Row],[County]]</f>
        <v>TN Humphreys</v>
      </c>
      <c r="B2651" t="s">
        <v>228</v>
      </c>
      <c r="C2651" s="30" t="s">
        <v>1244</v>
      </c>
      <c r="D2651" s="16">
        <v>18990</v>
      </c>
    </row>
    <row r="2652" spans="1:4" x14ac:dyDescent="0.3">
      <c r="A2652" s="1" t="str">
        <f>Pop[[#This Row],[State]]&amp;" "&amp;Pop[[#This Row],[County]]</f>
        <v>TN Jackson</v>
      </c>
      <c r="B2652" t="s">
        <v>228</v>
      </c>
      <c r="C2652" s="30" t="s">
        <v>46</v>
      </c>
      <c r="D2652" s="16">
        <v>11617</v>
      </c>
    </row>
    <row r="2653" spans="1:4" x14ac:dyDescent="0.3">
      <c r="A2653" s="1" t="str">
        <f>Pop[[#This Row],[State]]&amp;" "&amp;Pop[[#This Row],[County]]</f>
        <v>TN Jefferson</v>
      </c>
      <c r="B2653" t="s">
        <v>228</v>
      </c>
      <c r="C2653" s="30" t="s">
        <v>47</v>
      </c>
      <c r="D2653" s="16">
        <v>54683</v>
      </c>
    </row>
    <row r="2654" spans="1:4" x14ac:dyDescent="0.3">
      <c r="A2654" s="1" t="str">
        <f>Pop[[#This Row],[State]]&amp;" "&amp;Pop[[#This Row],[County]]</f>
        <v>TN Johnson</v>
      </c>
      <c r="B2654" t="s">
        <v>228</v>
      </c>
      <c r="C2654" s="30" t="s">
        <v>376</v>
      </c>
      <c r="D2654" s="16">
        <v>17948</v>
      </c>
    </row>
    <row r="2655" spans="1:4" x14ac:dyDescent="0.3">
      <c r="A2655" s="1" t="str">
        <f>Pop[[#This Row],[State]]&amp;" "&amp;Pop[[#This Row],[County]]</f>
        <v>TN Knox</v>
      </c>
      <c r="B2655" t="s">
        <v>228</v>
      </c>
      <c r="C2655" s="30" t="s">
        <v>804</v>
      </c>
      <c r="D2655" s="16">
        <v>478971</v>
      </c>
    </row>
    <row r="2656" spans="1:4" x14ac:dyDescent="0.3">
      <c r="A2656" s="1" t="str">
        <f>Pop[[#This Row],[State]]&amp;" "&amp;Pop[[#This Row],[County]]</f>
        <v>TN Lake</v>
      </c>
      <c r="B2656" t="s">
        <v>228</v>
      </c>
      <c r="C2656" s="30" t="s">
        <v>439</v>
      </c>
      <c r="D2656" s="16">
        <v>7005</v>
      </c>
    </row>
    <row r="2657" spans="1:4" x14ac:dyDescent="0.3">
      <c r="A2657" s="1" t="str">
        <f>Pop[[#This Row],[State]]&amp;" "&amp;Pop[[#This Row],[County]]</f>
        <v>TN Lauderdale</v>
      </c>
      <c r="B2657" t="s">
        <v>228</v>
      </c>
      <c r="C2657" s="30" t="s">
        <v>332</v>
      </c>
      <c r="D2657" s="16">
        <v>25143</v>
      </c>
    </row>
    <row r="2658" spans="1:4" x14ac:dyDescent="0.3">
      <c r="A2658" s="1" t="str">
        <f>Pop[[#This Row],[State]]&amp;" "&amp;Pop[[#This Row],[County]]</f>
        <v>TN Lawrence</v>
      </c>
      <c r="B2658" t="s">
        <v>228</v>
      </c>
      <c r="C2658" s="30" t="s">
        <v>48</v>
      </c>
      <c r="D2658" s="16">
        <v>44159</v>
      </c>
    </row>
    <row r="2659" spans="1:4" x14ac:dyDescent="0.3">
      <c r="A2659" s="1" t="str">
        <f>Pop[[#This Row],[State]]&amp;" "&amp;Pop[[#This Row],[County]]</f>
        <v>TN Lewis</v>
      </c>
      <c r="B2659" t="s">
        <v>228</v>
      </c>
      <c r="C2659" s="30" t="s">
        <v>773</v>
      </c>
      <c r="D2659" s="16">
        <v>12582</v>
      </c>
    </row>
    <row r="2660" spans="1:4" x14ac:dyDescent="0.3">
      <c r="A2660" s="1" t="str">
        <f>Pop[[#This Row],[State]]&amp;" "&amp;Pop[[#This Row],[County]]</f>
        <v>TN Lincoln</v>
      </c>
      <c r="B2660" t="s">
        <v>228</v>
      </c>
      <c r="C2660" s="30" t="s">
        <v>378</v>
      </c>
      <c r="D2660" s="16">
        <v>35319</v>
      </c>
    </row>
    <row r="2661" spans="1:4" x14ac:dyDescent="0.3">
      <c r="A2661" s="1" t="str">
        <f>Pop[[#This Row],[State]]&amp;" "&amp;Pop[[#This Row],[County]]</f>
        <v>TN Loudon</v>
      </c>
      <c r="B2661" t="s">
        <v>228</v>
      </c>
      <c r="C2661" s="30" t="s">
        <v>1796</v>
      </c>
      <c r="D2661" s="16">
        <v>54886</v>
      </c>
    </row>
    <row r="2662" spans="1:4" x14ac:dyDescent="0.3">
      <c r="A2662" s="1" t="str">
        <f>Pop[[#This Row],[State]]&amp;" "&amp;Pop[[#This Row],[County]]</f>
        <v>TN Macon</v>
      </c>
      <c r="B2662" t="s">
        <v>228</v>
      </c>
      <c r="C2662" s="30" t="s">
        <v>336</v>
      </c>
      <c r="D2662" s="16">
        <v>25216</v>
      </c>
    </row>
    <row r="2663" spans="1:4" x14ac:dyDescent="0.3">
      <c r="A2663" s="1" t="str">
        <f>Pop[[#This Row],[State]]&amp;" "&amp;Pop[[#This Row],[County]]</f>
        <v>TN Madison</v>
      </c>
      <c r="B2663" t="s">
        <v>228</v>
      </c>
      <c r="C2663" s="30" t="s">
        <v>49</v>
      </c>
      <c r="D2663" s="16">
        <v>98823</v>
      </c>
    </row>
    <row r="2664" spans="1:4" x14ac:dyDescent="0.3">
      <c r="A2664" s="1" t="str">
        <f>Pop[[#This Row],[State]]&amp;" "&amp;Pop[[#This Row],[County]]</f>
        <v>TN Marion</v>
      </c>
      <c r="B2664" t="s">
        <v>228</v>
      </c>
      <c r="C2664" s="30" t="s">
        <v>50</v>
      </c>
      <c r="D2664" s="16">
        <v>28837</v>
      </c>
    </row>
    <row r="2665" spans="1:4" x14ac:dyDescent="0.3">
      <c r="A2665" s="1" t="str">
        <f>Pop[[#This Row],[State]]&amp;" "&amp;Pop[[#This Row],[County]]</f>
        <v>TN Marshall</v>
      </c>
      <c r="B2665" t="s">
        <v>228</v>
      </c>
      <c r="C2665" s="30" t="s">
        <v>51</v>
      </c>
      <c r="D2665" s="16">
        <v>34318</v>
      </c>
    </row>
    <row r="2666" spans="1:4" x14ac:dyDescent="0.3">
      <c r="A2666" s="1" t="str">
        <f>Pop[[#This Row],[State]]&amp;" "&amp;Pop[[#This Row],[County]]</f>
        <v>TN Maury</v>
      </c>
      <c r="B2666" t="s">
        <v>228</v>
      </c>
      <c r="C2666" s="30" t="s">
        <v>1797</v>
      </c>
      <c r="D2666" s="16">
        <v>100974</v>
      </c>
    </row>
    <row r="2667" spans="1:4" x14ac:dyDescent="0.3">
      <c r="A2667" s="1" t="str">
        <f>Pop[[#This Row],[State]]&amp;" "&amp;Pop[[#This Row],[County]]</f>
        <v>TN McMinn</v>
      </c>
      <c r="B2667" t="s">
        <v>228</v>
      </c>
      <c r="C2667" s="30" t="s">
        <v>1798</v>
      </c>
      <c r="D2667" s="16">
        <v>53276</v>
      </c>
    </row>
    <row r="2668" spans="1:4" x14ac:dyDescent="0.3">
      <c r="A2668" s="1" t="str">
        <f>Pop[[#This Row],[State]]&amp;" "&amp;Pop[[#This Row],[County]]</f>
        <v>TN McNairy</v>
      </c>
      <c r="B2668" t="s">
        <v>228</v>
      </c>
      <c r="C2668" s="30" t="s">
        <v>1799</v>
      </c>
      <c r="D2668" s="16">
        <v>25866</v>
      </c>
    </row>
    <row r="2669" spans="1:4" x14ac:dyDescent="0.3">
      <c r="A2669" s="1" t="str">
        <f>Pop[[#This Row],[State]]&amp;" "&amp;Pop[[#This Row],[County]]</f>
        <v>TN Meigs</v>
      </c>
      <c r="B2669" t="s">
        <v>228</v>
      </c>
      <c r="C2669" s="30" t="s">
        <v>1539</v>
      </c>
      <c r="D2669" s="16">
        <v>12758</v>
      </c>
    </row>
    <row r="2670" spans="1:4" x14ac:dyDescent="0.3">
      <c r="A2670" s="1" t="str">
        <f>Pop[[#This Row],[State]]&amp;" "&amp;Pop[[#This Row],[County]]</f>
        <v>TN Monroe</v>
      </c>
      <c r="B2670" t="s">
        <v>228</v>
      </c>
      <c r="C2670" s="30" t="s">
        <v>339</v>
      </c>
      <c r="D2670" s="16">
        <v>46250</v>
      </c>
    </row>
    <row r="2671" spans="1:4" x14ac:dyDescent="0.3">
      <c r="A2671" s="1" t="str">
        <f>Pop[[#This Row],[State]]&amp;" "&amp;Pop[[#This Row],[County]]</f>
        <v>TN Montgomery</v>
      </c>
      <c r="B2671" t="s">
        <v>228</v>
      </c>
      <c r="C2671" s="30" t="s">
        <v>53</v>
      </c>
      <c r="D2671" s="16">
        <v>220069</v>
      </c>
    </row>
    <row r="2672" spans="1:4" x14ac:dyDescent="0.3">
      <c r="A2672" s="1" t="str">
        <f>Pop[[#This Row],[State]]&amp;" "&amp;Pop[[#This Row],[County]]</f>
        <v>TN Moore</v>
      </c>
      <c r="B2672" t="s">
        <v>228</v>
      </c>
      <c r="C2672" s="30" t="s">
        <v>1343</v>
      </c>
      <c r="D2672" s="16">
        <v>6461</v>
      </c>
    </row>
    <row r="2673" spans="1:4" x14ac:dyDescent="0.3">
      <c r="A2673" s="1" t="str">
        <f>Pop[[#This Row],[State]]&amp;" "&amp;Pop[[#This Row],[County]]</f>
        <v>TN Morgan</v>
      </c>
      <c r="B2673" t="s">
        <v>228</v>
      </c>
      <c r="C2673" s="30" t="s">
        <v>54</v>
      </c>
      <c r="D2673" s="16">
        <v>21035</v>
      </c>
    </row>
    <row r="2674" spans="1:4" x14ac:dyDescent="0.3">
      <c r="A2674" s="1" t="str">
        <f>Pop[[#This Row],[State]]&amp;" "&amp;Pop[[#This Row],[County]]</f>
        <v>TN Obion</v>
      </c>
      <c r="B2674" t="s">
        <v>228</v>
      </c>
      <c r="C2674" s="30" t="s">
        <v>1800</v>
      </c>
      <c r="D2674" s="16">
        <v>30787</v>
      </c>
    </row>
    <row r="2675" spans="1:4" x14ac:dyDescent="0.3">
      <c r="A2675" s="1" t="str">
        <f>Pop[[#This Row],[State]]&amp;" "&amp;Pop[[#This Row],[County]]</f>
        <v>TN Overton</v>
      </c>
      <c r="B2675" t="s">
        <v>228</v>
      </c>
      <c r="C2675" s="30" t="s">
        <v>1801</v>
      </c>
      <c r="D2675" s="16">
        <v>22511</v>
      </c>
    </row>
    <row r="2676" spans="1:4" x14ac:dyDescent="0.3">
      <c r="A2676" s="1" t="str">
        <f>Pop[[#This Row],[State]]&amp;" "&amp;Pop[[#This Row],[County]]</f>
        <v>TN Perry</v>
      </c>
      <c r="B2676" t="s">
        <v>228</v>
      </c>
      <c r="C2676" s="30" t="s">
        <v>58</v>
      </c>
      <c r="D2676" s="16">
        <v>8366</v>
      </c>
    </row>
    <row r="2677" spans="1:4" x14ac:dyDescent="0.3">
      <c r="A2677" s="1" t="str">
        <f>Pop[[#This Row],[State]]&amp;" "&amp;Pop[[#This Row],[County]]</f>
        <v>TN Pickett</v>
      </c>
      <c r="B2677" t="s">
        <v>228</v>
      </c>
      <c r="C2677" s="30" t="s">
        <v>1802</v>
      </c>
      <c r="D2677" s="16">
        <v>5001</v>
      </c>
    </row>
    <row r="2678" spans="1:4" x14ac:dyDescent="0.3">
      <c r="A2678" s="1" t="str">
        <f>Pop[[#This Row],[State]]&amp;" "&amp;Pop[[#This Row],[County]]</f>
        <v>TN Polk</v>
      </c>
      <c r="B2678" t="s">
        <v>228</v>
      </c>
      <c r="C2678" s="30" t="s">
        <v>387</v>
      </c>
      <c r="D2678" s="16">
        <v>17544</v>
      </c>
    </row>
    <row r="2679" spans="1:4" x14ac:dyDescent="0.3">
      <c r="A2679" s="1" t="str">
        <f>Pop[[#This Row],[State]]&amp;" "&amp;Pop[[#This Row],[County]]</f>
        <v>TN Putnam</v>
      </c>
      <c r="B2679" t="s">
        <v>228</v>
      </c>
      <c r="C2679" s="30" t="s">
        <v>581</v>
      </c>
      <c r="D2679" s="16">
        <v>79854</v>
      </c>
    </row>
    <row r="2680" spans="1:4" x14ac:dyDescent="0.3">
      <c r="A2680" s="1" t="str">
        <f>Pop[[#This Row],[State]]&amp;" "&amp;Pop[[#This Row],[County]]</f>
        <v>TN Rhea</v>
      </c>
      <c r="B2680" t="s">
        <v>228</v>
      </c>
      <c r="C2680" s="30" t="s">
        <v>1803</v>
      </c>
      <c r="D2680" s="16">
        <v>32870</v>
      </c>
    </row>
    <row r="2681" spans="1:4" x14ac:dyDescent="0.3">
      <c r="A2681" s="1" t="str">
        <f>Pop[[#This Row],[State]]&amp;" "&amp;Pop[[#This Row],[County]]</f>
        <v>TN Roane</v>
      </c>
      <c r="B2681" t="s">
        <v>228</v>
      </c>
      <c r="C2681" s="30" t="s">
        <v>1804</v>
      </c>
      <c r="D2681" s="16">
        <v>53404</v>
      </c>
    </row>
    <row r="2682" spans="1:4" x14ac:dyDescent="0.3">
      <c r="A2682" s="1" t="str">
        <f>Pop[[#This Row],[State]]&amp;" "&amp;Pop[[#This Row],[County]]</f>
        <v>TN Robertson</v>
      </c>
      <c r="B2682" t="s">
        <v>228</v>
      </c>
      <c r="C2682" s="30" t="s">
        <v>976</v>
      </c>
      <c r="D2682" s="16">
        <v>72803</v>
      </c>
    </row>
    <row r="2683" spans="1:4" x14ac:dyDescent="0.3">
      <c r="A2683" s="1" t="str">
        <f>Pop[[#This Row],[State]]&amp;" "&amp;Pop[[#This Row],[County]]</f>
        <v>TN Rutherford</v>
      </c>
      <c r="B2683" t="s">
        <v>228</v>
      </c>
      <c r="C2683" s="30" t="s">
        <v>1356</v>
      </c>
      <c r="D2683" s="16">
        <v>341486</v>
      </c>
    </row>
    <row r="2684" spans="1:4" x14ac:dyDescent="0.3">
      <c r="A2684" s="1" t="str">
        <f>Pop[[#This Row],[State]]&amp;" "&amp;Pop[[#This Row],[County]]</f>
        <v>TN Scott</v>
      </c>
      <c r="B2684" t="s">
        <v>228</v>
      </c>
      <c r="C2684" s="30" t="s">
        <v>392</v>
      </c>
      <c r="D2684" s="16">
        <v>21850</v>
      </c>
    </row>
    <row r="2685" spans="1:4" x14ac:dyDescent="0.3">
      <c r="A2685" s="1" t="str">
        <f>Pop[[#This Row],[State]]&amp;" "&amp;Pop[[#This Row],[County]]</f>
        <v>TN Sequatchie</v>
      </c>
      <c r="B2685" t="s">
        <v>228</v>
      </c>
      <c r="C2685" s="30" t="s">
        <v>1805</v>
      </c>
      <c r="D2685" s="16">
        <v>15826</v>
      </c>
    </row>
    <row r="2686" spans="1:4" x14ac:dyDescent="0.3">
      <c r="A2686" s="1" t="str">
        <f>Pop[[#This Row],[State]]&amp;" "&amp;Pop[[#This Row],[County]]</f>
        <v>TN Sevier</v>
      </c>
      <c r="B2686" t="s">
        <v>228</v>
      </c>
      <c r="C2686" s="30" t="s">
        <v>395</v>
      </c>
      <c r="D2686" s="16">
        <v>98380</v>
      </c>
    </row>
    <row r="2687" spans="1:4" x14ac:dyDescent="0.3">
      <c r="A2687" s="1" t="str">
        <f>Pop[[#This Row],[State]]&amp;" "&amp;Pop[[#This Row],[County]]</f>
        <v>TN Shelby</v>
      </c>
      <c r="B2687" t="s">
        <v>228</v>
      </c>
      <c r="C2687" s="30" t="s">
        <v>59</v>
      </c>
      <c r="D2687" s="16">
        <v>929744</v>
      </c>
    </row>
    <row r="2688" spans="1:4" x14ac:dyDescent="0.3">
      <c r="A2688" s="1" t="str">
        <f>Pop[[#This Row],[State]]&amp;" "&amp;Pop[[#This Row],[County]]</f>
        <v>TN Smith</v>
      </c>
      <c r="B2688" t="s">
        <v>228</v>
      </c>
      <c r="C2688" s="30" t="s">
        <v>917</v>
      </c>
      <c r="D2688" s="16">
        <v>19904</v>
      </c>
    </row>
    <row r="2689" spans="1:4" x14ac:dyDescent="0.3">
      <c r="A2689" s="1" t="str">
        <f>Pop[[#This Row],[State]]&amp;" "&amp;Pop[[#This Row],[County]]</f>
        <v>TN Stewart</v>
      </c>
      <c r="B2689" t="s">
        <v>228</v>
      </c>
      <c r="C2689" s="30" t="s">
        <v>674</v>
      </c>
      <c r="D2689" s="16">
        <v>13657</v>
      </c>
    </row>
    <row r="2690" spans="1:4" x14ac:dyDescent="0.3">
      <c r="A2690" s="1" t="str">
        <f>Pop[[#This Row],[State]]&amp;" "&amp;Pop[[#This Row],[County]]</f>
        <v>TN Sullivan</v>
      </c>
      <c r="B2690" t="s">
        <v>228</v>
      </c>
      <c r="C2690" s="30" t="s">
        <v>856</v>
      </c>
      <c r="D2690" s="16">
        <v>158163</v>
      </c>
    </row>
    <row r="2691" spans="1:4" x14ac:dyDescent="0.3">
      <c r="A2691" s="1" t="str">
        <f>Pop[[#This Row],[State]]&amp;" "&amp;Pop[[#This Row],[County]]</f>
        <v>TN Sumner</v>
      </c>
      <c r="B2691" t="s">
        <v>228</v>
      </c>
      <c r="C2691" s="30" t="s">
        <v>921</v>
      </c>
      <c r="D2691" s="16">
        <v>196281</v>
      </c>
    </row>
    <row r="2692" spans="1:4" x14ac:dyDescent="0.3">
      <c r="A2692" s="1" t="str">
        <f>Pop[[#This Row],[State]]&amp;" "&amp;Pop[[#This Row],[County]]</f>
        <v>TN Tipton</v>
      </c>
      <c r="B2692" t="s">
        <v>228</v>
      </c>
      <c r="C2692" s="30" t="s">
        <v>858</v>
      </c>
      <c r="D2692" s="16">
        <v>60970</v>
      </c>
    </row>
    <row r="2693" spans="1:4" x14ac:dyDescent="0.3">
      <c r="A2693" s="1" t="str">
        <f>Pop[[#This Row],[State]]&amp;" "&amp;Pop[[#This Row],[County]]</f>
        <v>TN Trousdale</v>
      </c>
      <c r="B2693" t="s">
        <v>228</v>
      </c>
      <c r="C2693" s="30" t="s">
        <v>1806</v>
      </c>
      <c r="D2693" s="16">
        <v>11615</v>
      </c>
    </row>
    <row r="2694" spans="1:4" x14ac:dyDescent="0.3">
      <c r="A2694" s="1" t="str">
        <f>Pop[[#This Row],[State]]&amp;" "&amp;Pop[[#This Row],[County]]</f>
        <v>TN Unicoi</v>
      </c>
      <c r="B2694" t="s">
        <v>228</v>
      </c>
      <c r="C2694" s="30" t="s">
        <v>1807</v>
      </c>
      <c r="D2694" s="16">
        <v>17928</v>
      </c>
    </row>
    <row r="2695" spans="1:4" x14ac:dyDescent="0.3">
      <c r="A2695" s="1" t="str">
        <f>Pop[[#This Row],[State]]&amp;" "&amp;Pop[[#This Row],[County]]</f>
        <v>TN Union</v>
      </c>
      <c r="B2695" t="s">
        <v>228</v>
      </c>
      <c r="C2695" s="30" t="s">
        <v>399</v>
      </c>
      <c r="D2695" s="16">
        <v>19802</v>
      </c>
    </row>
    <row r="2696" spans="1:4" x14ac:dyDescent="0.3">
      <c r="A2696" s="1" t="str">
        <f>Pop[[#This Row],[State]]&amp;" "&amp;Pop[[#This Row],[County]]</f>
        <v>TN Van Buren</v>
      </c>
      <c r="B2696" t="s">
        <v>228</v>
      </c>
      <c r="C2696" s="30" t="s">
        <v>400</v>
      </c>
      <c r="D2696" s="16">
        <v>6168</v>
      </c>
    </row>
    <row r="2697" spans="1:4" x14ac:dyDescent="0.3">
      <c r="A2697" s="1" t="str">
        <f>Pop[[#This Row],[State]]&amp;" "&amp;Pop[[#This Row],[County]]</f>
        <v>TN Warren</v>
      </c>
      <c r="B2697" t="s">
        <v>228</v>
      </c>
      <c r="C2697" s="30" t="s">
        <v>690</v>
      </c>
      <c r="D2697" s="16">
        <v>40953</v>
      </c>
    </row>
    <row r="2698" spans="1:4" x14ac:dyDescent="0.3">
      <c r="A2698" s="1" t="str">
        <f>Pop[[#This Row],[State]]&amp;" "&amp;Pop[[#This Row],[County]]</f>
        <v>TN Washington</v>
      </c>
      <c r="B2698" t="s">
        <v>228</v>
      </c>
      <c r="C2698" s="30" t="s">
        <v>65</v>
      </c>
      <c r="D2698" s="16">
        <v>133001</v>
      </c>
    </row>
    <row r="2699" spans="1:4" x14ac:dyDescent="0.3">
      <c r="A2699" s="1" t="str">
        <f>Pop[[#This Row],[State]]&amp;" "&amp;Pop[[#This Row],[County]]</f>
        <v>TN Wayne</v>
      </c>
      <c r="B2699" t="s">
        <v>228</v>
      </c>
      <c r="C2699" s="30" t="s">
        <v>691</v>
      </c>
      <c r="D2699" s="16">
        <v>16232</v>
      </c>
    </row>
    <row r="2700" spans="1:4" x14ac:dyDescent="0.3">
      <c r="A2700" s="1" t="str">
        <f>Pop[[#This Row],[State]]&amp;" "&amp;Pop[[#This Row],[County]]</f>
        <v>TN Weakley</v>
      </c>
      <c r="B2700" t="s">
        <v>228</v>
      </c>
      <c r="C2700" s="30" t="s">
        <v>1808</v>
      </c>
      <c r="D2700" s="16">
        <v>32902</v>
      </c>
    </row>
    <row r="2701" spans="1:4" x14ac:dyDescent="0.3">
      <c r="A2701" s="1" t="str">
        <f>Pop[[#This Row],[State]]&amp;" "&amp;Pop[[#This Row],[County]]</f>
        <v>TN White</v>
      </c>
      <c r="B2701" t="s">
        <v>228</v>
      </c>
      <c r="C2701" s="30" t="s">
        <v>66</v>
      </c>
      <c r="D2701" s="16">
        <v>27351</v>
      </c>
    </row>
    <row r="2702" spans="1:4" x14ac:dyDescent="0.3">
      <c r="A2702" s="1" t="str">
        <f>Pop[[#This Row],[State]]&amp;" "&amp;Pop[[#This Row],[County]]</f>
        <v>TN Williamson</v>
      </c>
      <c r="B2702" t="s">
        <v>228</v>
      </c>
      <c r="C2702" s="30" t="s">
        <v>830</v>
      </c>
      <c r="D2702" s="16">
        <v>247726</v>
      </c>
    </row>
    <row r="2703" spans="1:4" x14ac:dyDescent="0.3">
      <c r="A2703" s="1" t="str">
        <f>Pop[[#This Row],[State]]&amp;" "&amp;Pop[[#This Row],[County]]</f>
        <v>TN Wilson</v>
      </c>
      <c r="B2703" t="s">
        <v>228</v>
      </c>
      <c r="C2703" s="30" t="s">
        <v>926</v>
      </c>
      <c r="D2703" s="16">
        <v>147737</v>
      </c>
    </row>
    <row r="2704" spans="1:4" x14ac:dyDescent="0.3">
      <c r="A2704" s="1" t="str">
        <f>Pop[[#This Row],[State]]&amp;" "&amp;Pop[[#This Row],[County]]</f>
        <v>TN State Agencies</v>
      </c>
      <c r="B2704" t="s">
        <v>228</v>
      </c>
      <c r="C2704" s="30" t="s">
        <v>243</v>
      </c>
      <c r="D2704" s="16" t="s">
        <v>244</v>
      </c>
    </row>
    <row r="2705" spans="1:4" x14ac:dyDescent="0.3">
      <c r="A2705" s="1" t="str">
        <f>Pop[[#This Row],[State]]&amp;" "&amp;Pop[[#This Row],[County]]</f>
        <v>TN Grand Total</v>
      </c>
      <c r="B2705" t="s">
        <v>228</v>
      </c>
      <c r="C2705" s="30" t="s">
        <v>67</v>
      </c>
      <c r="D2705" s="16">
        <v>6910840</v>
      </c>
    </row>
    <row r="2706" spans="1:4" x14ac:dyDescent="0.3">
      <c r="A2706" s="1" t="str">
        <f>Pop[[#This Row],[State]]&amp;" "&amp;Pop[[#This Row],[County]]</f>
        <v>TX Anderson</v>
      </c>
      <c r="B2706" t="s">
        <v>259</v>
      </c>
      <c r="C2706" s="30" t="s">
        <v>862</v>
      </c>
      <c r="D2706" s="16">
        <v>58458</v>
      </c>
    </row>
    <row r="2707" spans="1:4" x14ac:dyDescent="0.3">
      <c r="A2707" s="1" t="str">
        <f>Pop[[#This Row],[State]]&amp;" "&amp;Pop[[#This Row],[County]]</f>
        <v>TX Andrews</v>
      </c>
      <c r="B2707" t="s">
        <v>259</v>
      </c>
      <c r="C2707" s="30" t="s">
        <v>1809</v>
      </c>
      <c r="D2707" s="16">
        <v>14786</v>
      </c>
    </row>
    <row r="2708" spans="1:4" x14ac:dyDescent="0.3">
      <c r="A2708" s="1" t="str">
        <f>Pop[[#This Row],[State]]&amp;" "&amp;Pop[[#This Row],[County]]</f>
        <v>TX Angelina</v>
      </c>
      <c r="B2708" t="s">
        <v>259</v>
      </c>
      <c r="C2708" s="30" t="s">
        <v>1810</v>
      </c>
      <c r="D2708" s="16">
        <v>86771</v>
      </c>
    </row>
    <row r="2709" spans="1:4" x14ac:dyDescent="0.3">
      <c r="A2709" s="1" t="str">
        <f>Pop[[#This Row],[State]]&amp;" "&amp;Pop[[#This Row],[County]]</f>
        <v>TX Aransas</v>
      </c>
      <c r="B2709" t="s">
        <v>259</v>
      </c>
      <c r="C2709" s="30" t="s">
        <v>1811</v>
      </c>
      <c r="D2709" s="16">
        <v>23158</v>
      </c>
    </row>
    <row r="2710" spans="1:4" x14ac:dyDescent="0.3">
      <c r="A2710" s="1" t="str">
        <f>Pop[[#This Row],[State]]&amp;" "&amp;Pop[[#This Row],[County]]</f>
        <v>TX Archer</v>
      </c>
      <c r="B2710" t="s">
        <v>259</v>
      </c>
      <c r="C2710" s="30" t="s">
        <v>1812</v>
      </c>
      <c r="D2710" s="16">
        <v>9054</v>
      </c>
    </row>
    <row r="2711" spans="1:4" x14ac:dyDescent="0.3">
      <c r="A2711" s="1" t="str">
        <f>Pop[[#This Row],[State]]&amp;" "&amp;Pop[[#This Row],[County]]</f>
        <v>TX Armstrong</v>
      </c>
      <c r="B2711" t="s">
        <v>259</v>
      </c>
      <c r="C2711" s="30" t="s">
        <v>1611</v>
      </c>
      <c r="D2711" s="16">
        <v>1901</v>
      </c>
    </row>
    <row r="2712" spans="1:4" x14ac:dyDescent="0.3">
      <c r="A2712" s="1" t="str">
        <f>Pop[[#This Row],[State]]&amp;" "&amp;Pop[[#This Row],[County]]</f>
        <v>TX Atascosa</v>
      </c>
      <c r="B2712" t="s">
        <v>259</v>
      </c>
      <c r="C2712" s="30" t="s">
        <v>1813</v>
      </c>
      <c r="D2712" s="16">
        <v>44911</v>
      </c>
    </row>
    <row r="2713" spans="1:4" x14ac:dyDescent="0.3">
      <c r="A2713" s="1" t="str">
        <f>Pop[[#This Row],[State]]&amp;" "&amp;Pop[[#This Row],[County]]</f>
        <v>TX Austin</v>
      </c>
      <c r="B2713" t="s">
        <v>259</v>
      </c>
      <c r="C2713" s="30" t="s">
        <v>1814</v>
      </c>
      <c r="D2713" s="16">
        <v>28417</v>
      </c>
    </row>
    <row r="2714" spans="1:4" x14ac:dyDescent="0.3">
      <c r="A2714" s="1" t="str">
        <f>Pop[[#This Row],[State]]&amp;" "&amp;Pop[[#This Row],[County]]</f>
        <v>TX Bailey</v>
      </c>
      <c r="B2714" t="s">
        <v>259</v>
      </c>
      <c r="C2714" s="30" t="s">
        <v>1815</v>
      </c>
      <c r="D2714" s="16">
        <v>7165</v>
      </c>
    </row>
    <row r="2715" spans="1:4" x14ac:dyDescent="0.3">
      <c r="A2715" s="1" t="str">
        <f>Pop[[#This Row],[State]]&amp;" "&amp;Pop[[#This Row],[County]]</f>
        <v>TX Bandera</v>
      </c>
      <c r="B2715" t="s">
        <v>259</v>
      </c>
      <c r="C2715" s="30" t="s">
        <v>1816</v>
      </c>
      <c r="D2715" s="16">
        <v>20485</v>
      </c>
    </row>
    <row r="2716" spans="1:4" x14ac:dyDescent="0.3">
      <c r="A2716" s="1" t="str">
        <f>Pop[[#This Row],[State]]&amp;" "&amp;Pop[[#This Row],[County]]</f>
        <v>TX Bastrop</v>
      </c>
      <c r="B2716" t="s">
        <v>259</v>
      </c>
      <c r="C2716" s="30" t="s">
        <v>1817</v>
      </c>
      <c r="D2716" s="16">
        <v>74171</v>
      </c>
    </row>
    <row r="2717" spans="1:4" x14ac:dyDescent="0.3">
      <c r="A2717" s="1" t="str">
        <f>Pop[[#This Row],[State]]&amp;" "&amp;Pop[[#This Row],[County]]</f>
        <v>TX Baylor</v>
      </c>
      <c r="B2717" t="s">
        <v>259</v>
      </c>
      <c r="C2717" s="30" t="s">
        <v>1818</v>
      </c>
      <c r="D2717" s="16">
        <v>3726</v>
      </c>
    </row>
    <row r="2718" spans="1:4" x14ac:dyDescent="0.3">
      <c r="A2718" s="1" t="str">
        <f>Pop[[#This Row],[State]]&amp;" "&amp;Pop[[#This Row],[County]]</f>
        <v>TX Bee</v>
      </c>
      <c r="B2718" t="s">
        <v>259</v>
      </c>
      <c r="C2718" s="30" t="s">
        <v>1819</v>
      </c>
      <c r="D2718" s="16">
        <v>31861</v>
      </c>
    </row>
    <row r="2719" spans="1:4" x14ac:dyDescent="0.3">
      <c r="A2719" s="1" t="str">
        <f>Pop[[#This Row],[State]]&amp;" "&amp;Pop[[#This Row],[County]]</f>
        <v>TX Bell</v>
      </c>
      <c r="B2719" t="s">
        <v>259</v>
      </c>
      <c r="C2719" s="30" t="s">
        <v>932</v>
      </c>
      <c r="D2719" s="16">
        <v>310235</v>
      </c>
    </row>
    <row r="2720" spans="1:4" x14ac:dyDescent="0.3">
      <c r="A2720" s="1" t="str">
        <f>Pop[[#This Row],[State]]&amp;" "&amp;Pop[[#This Row],[County]]</f>
        <v>TX Bexar</v>
      </c>
      <c r="B2720" t="s">
        <v>259</v>
      </c>
      <c r="C2720" s="30" t="s">
        <v>1820</v>
      </c>
      <c r="D2720" s="16">
        <v>1714773</v>
      </c>
    </row>
    <row r="2721" spans="1:4" x14ac:dyDescent="0.3">
      <c r="A2721" s="1" t="str">
        <f>Pop[[#This Row],[State]]&amp;" "&amp;Pop[[#This Row],[County]]</f>
        <v>TX Blanco</v>
      </c>
      <c r="B2721" t="s">
        <v>259</v>
      </c>
      <c r="C2721" s="30" t="s">
        <v>1821</v>
      </c>
      <c r="D2721" s="16">
        <v>10497</v>
      </c>
    </row>
    <row r="2722" spans="1:4" x14ac:dyDescent="0.3">
      <c r="A2722" s="1" t="str">
        <f>Pop[[#This Row],[State]]&amp;" "&amp;Pop[[#This Row],[County]]</f>
        <v>TX Borden</v>
      </c>
      <c r="B2722" t="s">
        <v>259</v>
      </c>
      <c r="C2722" s="30" t="s">
        <v>1822</v>
      </c>
      <c r="D2722" s="16">
        <v>641</v>
      </c>
    </row>
    <row r="2723" spans="1:4" x14ac:dyDescent="0.3">
      <c r="A2723" s="1" t="str">
        <f>Pop[[#This Row],[State]]&amp;" "&amp;Pop[[#This Row],[County]]</f>
        <v>TX Bosque</v>
      </c>
      <c r="B2723" t="s">
        <v>259</v>
      </c>
      <c r="C2723" s="30" t="s">
        <v>1823</v>
      </c>
      <c r="D2723" s="16">
        <v>18212</v>
      </c>
    </row>
    <row r="2724" spans="1:4" x14ac:dyDescent="0.3">
      <c r="A2724" s="1" t="str">
        <f>Pop[[#This Row],[State]]&amp;" "&amp;Pop[[#This Row],[County]]</f>
        <v>TX Bowie</v>
      </c>
      <c r="B2724" t="s">
        <v>259</v>
      </c>
      <c r="C2724" s="30" t="s">
        <v>1824</v>
      </c>
      <c r="D2724" s="16">
        <v>92565</v>
      </c>
    </row>
    <row r="2725" spans="1:4" x14ac:dyDescent="0.3">
      <c r="A2725" s="1" t="str">
        <f>Pop[[#This Row],[State]]&amp;" "&amp;Pop[[#This Row],[County]]</f>
        <v>TX Brazoria</v>
      </c>
      <c r="B2725" t="s">
        <v>259</v>
      </c>
      <c r="C2725" s="30" t="s">
        <v>1825</v>
      </c>
      <c r="D2725" s="16">
        <v>313166</v>
      </c>
    </row>
    <row r="2726" spans="1:4" x14ac:dyDescent="0.3">
      <c r="A2726" s="1" t="str">
        <f>Pop[[#This Row],[State]]&amp;" "&amp;Pop[[#This Row],[County]]</f>
        <v>TX Brazos</v>
      </c>
      <c r="B2726" t="s">
        <v>259</v>
      </c>
      <c r="C2726" s="30" t="s">
        <v>1826</v>
      </c>
      <c r="D2726" s="16">
        <v>194851</v>
      </c>
    </row>
    <row r="2727" spans="1:4" x14ac:dyDescent="0.3">
      <c r="A2727" s="1" t="str">
        <f>Pop[[#This Row],[State]]&amp;" "&amp;Pop[[#This Row],[County]]</f>
        <v>TX Brewster</v>
      </c>
      <c r="B2727" t="s">
        <v>259</v>
      </c>
      <c r="C2727" s="30" t="s">
        <v>1827</v>
      </c>
      <c r="D2727" s="16">
        <v>9232</v>
      </c>
    </row>
    <row r="2728" spans="1:4" x14ac:dyDescent="0.3">
      <c r="A2728" s="1" t="str">
        <f>Pop[[#This Row],[State]]&amp;" "&amp;Pop[[#This Row],[County]]</f>
        <v>TX Briscoe</v>
      </c>
      <c r="B2728" t="s">
        <v>259</v>
      </c>
      <c r="C2728" s="30" t="s">
        <v>1828</v>
      </c>
      <c r="D2728" s="16">
        <v>1637</v>
      </c>
    </row>
    <row r="2729" spans="1:4" x14ac:dyDescent="0.3">
      <c r="A2729" s="1" t="str">
        <f>Pop[[#This Row],[State]]&amp;" "&amp;Pop[[#This Row],[County]]</f>
        <v>TX Brooks</v>
      </c>
      <c r="B2729" t="s">
        <v>259</v>
      </c>
      <c r="C2729" s="30" t="s">
        <v>602</v>
      </c>
      <c r="D2729" s="16">
        <v>7223</v>
      </c>
    </row>
    <row r="2730" spans="1:4" x14ac:dyDescent="0.3">
      <c r="A2730" s="1" t="str">
        <f>Pop[[#This Row],[State]]&amp;" "&amp;Pop[[#This Row],[County]]</f>
        <v>TX Brown</v>
      </c>
      <c r="B2730" t="s">
        <v>259</v>
      </c>
      <c r="C2730" s="30" t="s">
        <v>37</v>
      </c>
      <c r="D2730" s="16">
        <v>38106</v>
      </c>
    </row>
    <row r="2731" spans="1:4" x14ac:dyDescent="0.3">
      <c r="A2731" s="1" t="str">
        <f>Pop[[#This Row],[State]]&amp;" "&amp;Pop[[#This Row],[County]]</f>
        <v>TX Burleson</v>
      </c>
      <c r="B2731" t="s">
        <v>259</v>
      </c>
      <c r="C2731" s="30" t="s">
        <v>1829</v>
      </c>
      <c r="D2731" s="16">
        <v>17187</v>
      </c>
    </row>
    <row r="2732" spans="1:4" x14ac:dyDescent="0.3">
      <c r="A2732" s="1" t="str">
        <f>Pop[[#This Row],[State]]&amp;" "&amp;Pop[[#This Row],[County]]</f>
        <v>TX Burnet</v>
      </c>
      <c r="B2732" t="s">
        <v>259</v>
      </c>
      <c r="C2732" s="30" t="s">
        <v>1830</v>
      </c>
      <c r="D2732" s="16">
        <v>42750</v>
      </c>
    </row>
    <row r="2733" spans="1:4" x14ac:dyDescent="0.3">
      <c r="A2733" s="1" t="str">
        <f>Pop[[#This Row],[State]]&amp;" "&amp;Pop[[#This Row],[County]]</f>
        <v>TX Caldwell</v>
      </c>
      <c r="B2733" t="s">
        <v>259</v>
      </c>
      <c r="C2733" s="30" t="s">
        <v>939</v>
      </c>
      <c r="D2733" s="16">
        <v>38066</v>
      </c>
    </row>
    <row r="2734" spans="1:4" x14ac:dyDescent="0.3">
      <c r="A2734" s="1" t="str">
        <f>Pop[[#This Row],[State]]&amp;" "&amp;Pop[[#This Row],[County]]</f>
        <v>TX Calhoun</v>
      </c>
      <c r="B2734" t="s">
        <v>259</v>
      </c>
      <c r="C2734" s="30" t="s">
        <v>270</v>
      </c>
      <c r="D2734" s="16">
        <v>21381</v>
      </c>
    </row>
    <row r="2735" spans="1:4" x14ac:dyDescent="0.3">
      <c r="A2735" s="1" t="str">
        <f>Pop[[#This Row],[State]]&amp;" "&amp;Pop[[#This Row],[County]]</f>
        <v>TX Callahan</v>
      </c>
      <c r="B2735" t="s">
        <v>259</v>
      </c>
      <c r="C2735" s="30" t="s">
        <v>1831</v>
      </c>
      <c r="D2735" s="16">
        <v>13544</v>
      </c>
    </row>
    <row r="2736" spans="1:4" x14ac:dyDescent="0.3">
      <c r="A2736" s="1" t="str">
        <f>Pop[[#This Row],[State]]&amp;" "&amp;Pop[[#This Row],[County]]</f>
        <v>TX Cameron</v>
      </c>
      <c r="B2736" t="s">
        <v>259</v>
      </c>
      <c r="C2736" s="30" t="s">
        <v>993</v>
      </c>
      <c r="D2736" s="16">
        <v>406220</v>
      </c>
    </row>
    <row r="2737" spans="1:4" x14ac:dyDescent="0.3">
      <c r="A2737" s="1" t="str">
        <f>Pop[[#This Row],[State]]&amp;" "&amp;Pop[[#This Row],[County]]</f>
        <v>TX Camp</v>
      </c>
      <c r="B2737" t="s">
        <v>259</v>
      </c>
      <c r="C2737" s="30" t="s">
        <v>1832</v>
      </c>
      <c r="D2737" s="16">
        <v>12401</v>
      </c>
    </row>
    <row r="2738" spans="1:4" x14ac:dyDescent="0.3">
      <c r="A2738" s="1" t="str">
        <f>Pop[[#This Row],[State]]&amp;" "&amp;Pop[[#This Row],[County]]</f>
        <v>TX Carson</v>
      </c>
      <c r="B2738" t="s">
        <v>259</v>
      </c>
      <c r="C2738" s="30" t="s">
        <v>1833</v>
      </c>
      <c r="D2738" s="16">
        <v>6182</v>
      </c>
    </row>
    <row r="2739" spans="1:4" x14ac:dyDescent="0.3">
      <c r="A2739" s="1" t="str">
        <f>Pop[[#This Row],[State]]&amp;" "&amp;Pop[[#This Row],[County]]</f>
        <v>TX Cass</v>
      </c>
      <c r="B2739" t="s">
        <v>259</v>
      </c>
      <c r="C2739" s="30" t="s">
        <v>711</v>
      </c>
      <c r="D2739" s="16">
        <v>30464</v>
      </c>
    </row>
    <row r="2740" spans="1:4" x14ac:dyDescent="0.3">
      <c r="A2740" s="1" t="str">
        <f>Pop[[#This Row],[State]]&amp;" "&amp;Pop[[#This Row],[County]]</f>
        <v>TX Castro</v>
      </c>
      <c r="B2740" t="s">
        <v>259</v>
      </c>
      <c r="C2740" s="30" t="s">
        <v>1834</v>
      </c>
      <c r="D2740" s="16">
        <v>8062</v>
      </c>
    </row>
    <row r="2741" spans="1:4" x14ac:dyDescent="0.3">
      <c r="A2741" s="1" t="str">
        <f>Pop[[#This Row],[State]]&amp;" "&amp;Pop[[#This Row],[County]]</f>
        <v>TX Chambers</v>
      </c>
      <c r="B2741" t="s">
        <v>259</v>
      </c>
      <c r="C2741" s="30" t="s">
        <v>273</v>
      </c>
      <c r="D2741" s="16">
        <v>35096</v>
      </c>
    </row>
    <row r="2742" spans="1:4" x14ac:dyDescent="0.3">
      <c r="A2742" s="1" t="str">
        <f>Pop[[#This Row],[State]]&amp;" "&amp;Pop[[#This Row],[County]]</f>
        <v>TX Cherokee</v>
      </c>
      <c r="B2742" t="s">
        <v>259</v>
      </c>
      <c r="C2742" s="30" t="s">
        <v>276</v>
      </c>
      <c r="D2742" s="16">
        <v>50845</v>
      </c>
    </row>
    <row r="2743" spans="1:4" x14ac:dyDescent="0.3">
      <c r="A2743" s="1" t="str">
        <f>Pop[[#This Row],[State]]&amp;" "&amp;Pop[[#This Row],[County]]</f>
        <v>TX Childress</v>
      </c>
      <c r="B2743" t="s">
        <v>259</v>
      </c>
      <c r="C2743" s="30" t="s">
        <v>1835</v>
      </c>
      <c r="D2743" s="16">
        <v>7041</v>
      </c>
    </row>
    <row r="2744" spans="1:4" x14ac:dyDescent="0.3">
      <c r="A2744" s="1" t="str">
        <f>Pop[[#This Row],[State]]&amp;" "&amp;Pop[[#This Row],[County]]</f>
        <v>TX Clay</v>
      </c>
      <c r="B2744" t="s">
        <v>259</v>
      </c>
      <c r="C2744" s="30" t="s">
        <v>39</v>
      </c>
      <c r="D2744" s="16">
        <v>10752</v>
      </c>
    </row>
    <row r="2745" spans="1:4" x14ac:dyDescent="0.3">
      <c r="A2745" s="1" t="str">
        <f>Pop[[#This Row],[State]]&amp;" "&amp;Pop[[#This Row],[County]]</f>
        <v>TX Cochran</v>
      </c>
      <c r="B2745" t="s">
        <v>259</v>
      </c>
      <c r="C2745" s="30" t="s">
        <v>1836</v>
      </c>
      <c r="D2745" s="16">
        <v>3127</v>
      </c>
    </row>
    <row r="2746" spans="1:4" x14ac:dyDescent="0.3">
      <c r="A2746" s="1" t="str">
        <f>Pop[[#This Row],[State]]&amp;" "&amp;Pop[[#This Row],[County]]</f>
        <v>TX Coke</v>
      </c>
      <c r="B2746" t="s">
        <v>259</v>
      </c>
      <c r="C2746" s="30" t="s">
        <v>1837</v>
      </c>
      <c r="D2746" s="16">
        <v>3320</v>
      </c>
    </row>
    <row r="2747" spans="1:4" x14ac:dyDescent="0.3">
      <c r="A2747" s="1" t="str">
        <f>Pop[[#This Row],[State]]&amp;" "&amp;Pop[[#This Row],[County]]</f>
        <v>TX Coleman</v>
      </c>
      <c r="B2747" t="s">
        <v>259</v>
      </c>
      <c r="C2747" s="30" t="s">
        <v>1838</v>
      </c>
      <c r="D2747" s="16">
        <v>8895</v>
      </c>
    </row>
    <row r="2748" spans="1:4" x14ac:dyDescent="0.3">
      <c r="A2748" s="1" t="str">
        <f>Pop[[#This Row],[State]]&amp;" "&amp;Pop[[#This Row],[County]]</f>
        <v>TX Collin</v>
      </c>
      <c r="B2748" t="s">
        <v>259</v>
      </c>
      <c r="C2748" s="30" t="s">
        <v>1839</v>
      </c>
      <c r="D2748" s="16">
        <v>782341</v>
      </c>
    </row>
    <row r="2749" spans="1:4" x14ac:dyDescent="0.3">
      <c r="A2749" s="1" t="str">
        <f>Pop[[#This Row],[State]]&amp;" "&amp;Pop[[#This Row],[County]]</f>
        <v>TX Collingsworth</v>
      </c>
      <c r="B2749" t="s">
        <v>259</v>
      </c>
      <c r="C2749" s="30" t="s">
        <v>1840</v>
      </c>
      <c r="D2749" s="16">
        <v>3057</v>
      </c>
    </row>
    <row r="2750" spans="1:4" x14ac:dyDescent="0.3">
      <c r="A2750" s="1" t="str">
        <f>Pop[[#This Row],[State]]&amp;" "&amp;Pop[[#This Row],[County]]</f>
        <v>TX Colorado</v>
      </c>
      <c r="B2750" t="s">
        <v>259</v>
      </c>
      <c r="C2750" s="30" t="s">
        <v>275</v>
      </c>
      <c r="D2750" s="16">
        <v>20874</v>
      </c>
    </row>
    <row r="2751" spans="1:4" x14ac:dyDescent="0.3">
      <c r="A2751" s="1" t="str">
        <f>Pop[[#This Row],[State]]&amp;" "&amp;Pop[[#This Row],[County]]</f>
        <v>TX Comal</v>
      </c>
      <c r="B2751" t="s">
        <v>259</v>
      </c>
      <c r="C2751" s="30" t="s">
        <v>1841</v>
      </c>
      <c r="D2751" s="16">
        <v>108472</v>
      </c>
    </row>
    <row r="2752" spans="1:4" x14ac:dyDescent="0.3">
      <c r="A2752" s="1" t="str">
        <f>Pop[[#This Row],[State]]&amp;" "&amp;Pop[[#This Row],[County]]</f>
        <v>TX Comanche</v>
      </c>
      <c r="B2752" t="s">
        <v>259</v>
      </c>
      <c r="C2752" s="30" t="s">
        <v>871</v>
      </c>
      <c r="D2752" s="16">
        <v>13974</v>
      </c>
    </row>
    <row r="2753" spans="1:4" x14ac:dyDescent="0.3">
      <c r="A2753" s="1" t="str">
        <f>Pop[[#This Row],[State]]&amp;" "&amp;Pop[[#This Row],[County]]</f>
        <v>TX Concho</v>
      </c>
      <c r="B2753" t="s">
        <v>259</v>
      </c>
      <c r="C2753" s="30" t="s">
        <v>1842</v>
      </c>
      <c r="D2753" s="16">
        <v>4087</v>
      </c>
    </row>
    <row r="2754" spans="1:4" x14ac:dyDescent="0.3">
      <c r="A2754" s="1" t="str">
        <f>Pop[[#This Row],[State]]&amp;" "&amp;Pop[[#This Row],[County]]</f>
        <v>TX Cooke</v>
      </c>
      <c r="B2754" t="s">
        <v>259</v>
      </c>
      <c r="C2754" s="30" t="s">
        <v>1843</v>
      </c>
      <c r="D2754" s="16">
        <v>38437</v>
      </c>
    </row>
    <row r="2755" spans="1:4" x14ac:dyDescent="0.3">
      <c r="A2755" s="1" t="str">
        <f>Pop[[#This Row],[State]]&amp;" "&amp;Pop[[#This Row],[County]]</f>
        <v>TX Coryell</v>
      </c>
      <c r="B2755" t="s">
        <v>259</v>
      </c>
      <c r="C2755" s="30" t="s">
        <v>1844</v>
      </c>
      <c r="D2755" s="16">
        <v>75388</v>
      </c>
    </row>
    <row r="2756" spans="1:4" x14ac:dyDescent="0.3">
      <c r="A2756" s="1" t="str">
        <f>Pop[[#This Row],[State]]&amp;" "&amp;Pop[[#This Row],[County]]</f>
        <v>TX Cottle</v>
      </c>
      <c r="B2756" t="s">
        <v>259</v>
      </c>
      <c r="C2756" s="30" t="s">
        <v>1845</v>
      </c>
      <c r="D2756" s="16">
        <v>1505</v>
      </c>
    </row>
    <row r="2757" spans="1:4" x14ac:dyDescent="0.3">
      <c r="A2757" s="1" t="str">
        <f>Pop[[#This Row],[State]]&amp;" "&amp;Pop[[#This Row],[County]]</f>
        <v>TX Crane</v>
      </c>
      <c r="B2757" t="s">
        <v>259</v>
      </c>
      <c r="C2757" s="30" t="s">
        <v>1846</v>
      </c>
      <c r="D2757" s="16">
        <v>4375</v>
      </c>
    </row>
    <row r="2758" spans="1:4" x14ac:dyDescent="0.3">
      <c r="A2758" s="1" t="str">
        <f>Pop[[#This Row],[State]]&amp;" "&amp;Pop[[#This Row],[County]]</f>
        <v>TX Crockett</v>
      </c>
      <c r="B2758" t="s">
        <v>259</v>
      </c>
      <c r="C2758" s="30" t="s">
        <v>1787</v>
      </c>
      <c r="D2758" s="16">
        <v>3719</v>
      </c>
    </row>
    <row r="2759" spans="1:4" x14ac:dyDescent="0.3">
      <c r="A2759" s="1" t="str">
        <f>Pop[[#This Row],[State]]&amp;" "&amp;Pop[[#This Row],[County]]</f>
        <v>TX Crosby</v>
      </c>
      <c r="B2759" t="s">
        <v>259</v>
      </c>
      <c r="C2759" s="30" t="s">
        <v>1847</v>
      </c>
      <c r="D2759" s="16">
        <v>6059</v>
      </c>
    </row>
    <row r="2760" spans="1:4" x14ac:dyDescent="0.3">
      <c r="A2760" s="1" t="str">
        <f>Pop[[#This Row],[State]]&amp;" "&amp;Pop[[#This Row],[County]]</f>
        <v>TX Culberson</v>
      </c>
      <c r="B2760" t="s">
        <v>259</v>
      </c>
      <c r="C2760" s="30" t="s">
        <v>1848</v>
      </c>
      <c r="D2760" s="16">
        <v>2398</v>
      </c>
    </row>
    <row r="2761" spans="1:4" x14ac:dyDescent="0.3">
      <c r="A2761" s="1" t="str">
        <f>Pop[[#This Row],[State]]&amp;" "&amp;Pop[[#This Row],[County]]</f>
        <v>TX Dallam</v>
      </c>
      <c r="B2761" t="s">
        <v>259</v>
      </c>
      <c r="C2761" s="30" t="s">
        <v>1849</v>
      </c>
      <c r="D2761" s="16">
        <v>6703</v>
      </c>
    </row>
    <row r="2762" spans="1:4" x14ac:dyDescent="0.3">
      <c r="A2762" s="1" t="str">
        <f>Pop[[#This Row],[State]]&amp;" "&amp;Pop[[#This Row],[County]]</f>
        <v>TX Dallas</v>
      </c>
      <c r="B2762" t="s">
        <v>259</v>
      </c>
      <c r="C2762" s="30" t="s">
        <v>316</v>
      </c>
      <c r="D2762" s="16">
        <v>2368139</v>
      </c>
    </row>
    <row r="2763" spans="1:4" x14ac:dyDescent="0.3">
      <c r="A2763" s="1" t="str">
        <f>Pop[[#This Row],[State]]&amp;" "&amp;Pop[[#This Row],[County]]</f>
        <v>TX Dawson</v>
      </c>
      <c r="B2763" t="s">
        <v>259</v>
      </c>
      <c r="C2763" s="30" t="s">
        <v>622</v>
      </c>
      <c r="D2763" s="16">
        <v>13833</v>
      </c>
    </row>
    <row r="2764" spans="1:4" x14ac:dyDescent="0.3">
      <c r="A2764" s="1" t="str">
        <f>Pop[[#This Row],[State]]&amp;" "&amp;Pop[[#This Row],[County]]</f>
        <v>TX Deaf Smith</v>
      </c>
      <c r="B2764" t="s">
        <v>259</v>
      </c>
      <c r="C2764" s="30" t="s">
        <v>1850</v>
      </c>
      <c r="D2764" s="16">
        <v>19372</v>
      </c>
    </row>
    <row r="2765" spans="1:4" x14ac:dyDescent="0.3">
      <c r="A2765" s="1" t="str">
        <f>Pop[[#This Row],[State]]&amp;" "&amp;Pop[[#This Row],[County]]</f>
        <v>TX Delta</v>
      </c>
      <c r="B2765" t="s">
        <v>259</v>
      </c>
      <c r="C2765" s="30" t="s">
        <v>493</v>
      </c>
      <c r="D2765" s="16">
        <v>5231</v>
      </c>
    </row>
    <row r="2766" spans="1:4" x14ac:dyDescent="0.3">
      <c r="A2766" s="1" t="str">
        <f>Pop[[#This Row],[State]]&amp;" "&amp;Pop[[#This Row],[County]]</f>
        <v>TX Denton</v>
      </c>
      <c r="B2766" t="s">
        <v>259</v>
      </c>
      <c r="C2766" s="30" t="s">
        <v>1851</v>
      </c>
      <c r="D2766" s="16">
        <v>662614</v>
      </c>
    </row>
    <row r="2767" spans="1:4" x14ac:dyDescent="0.3">
      <c r="A2767" s="1" t="str">
        <f>Pop[[#This Row],[State]]&amp;" "&amp;Pop[[#This Row],[County]]</f>
        <v>TX DeWitt</v>
      </c>
      <c r="B2767" t="s">
        <v>259</v>
      </c>
      <c r="C2767" s="30" t="s">
        <v>1852</v>
      </c>
      <c r="D2767" s="16">
        <v>20097</v>
      </c>
    </row>
    <row r="2768" spans="1:4" x14ac:dyDescent="0.3">
      <c r="A2768" s="1" t="str">
        <f>Pop[[#This Row],[State]]&amp;" "&amp;Pop[[#This Row],[County]]</f>
        <v>TX Dickens</v>
      </c>
      <c r="B2768" t="s">
        <v>259</v>
      </c>
      <c r="C2768" s="30" t="s">
        <v>1853</v>
      </c>
      <c r="D2768" s="16">
        <v>2444</v>
      </c>
    </row>
    <row r="2769" spans="1:4" x14ac:dyDescent="0.3">
      <c r="A2769" s="1" t="str">
        <f>Pop[[#This Row],[State]]&amp;" "&amp;Pop[[#This Row],[County]]</f>
        <v>TX Dimmit</v>
      </c>
      <c r="B2769" t="s">
        <v>259</v>
      </c>
      <c r="C2769" s="30" t="s">
        <v>1854</v>
      </c>
      <c r="D2769" s="16">
        <v>9996</v>
      </c>
    </row>
    <row r="2770" spans="1:4" x14ac:dyDescent="0.3">
      <c r="A2770" s="1" t="str">
        <f>Pop[[#This Row],[State]]&amp;" "&amp;Pop[[#This Row],[County]]</f>
        <v>TX Donley</v>
      </c>
      <c r="B2770" t="s">
        <v>259</v>
      </c>
      <c r="C2770" s="30" t="s">
        <v>1855</v>
      </c>
      <c r="D2770" s="16">
        <v>3677</v>
      </c>
    </row>
    <row r="2771" spans="1:4" x14ac:dyDescent="0.3">
      <c r="A2771" s="1" t="str">
        <f>Pop[[#This Row],[State]]&amp;" "&amp;Pop[[#This Row],[County]]</f>
        <v>TX Duval</v>
      </c>
      <c r="B2771" t="s">
        <v>259</v>
      </c>
      <c r="C2771" s="30" t="s">
        <v>555</v>
      </c>
      <c r="D2771" s="16">
        <v>11782</v>
      </c>
    </row>
    <row r="2772" spans="1:4" x14ac:dyDescent="0.3">
      <c r="A2772" s="1" t="str">
        <f>Pop[[#This Row],[State]]&amp;" "&amp;Pop[[#This Row],[County]]</f>
        <v>TX Eastland</v>
      </c>
      <c r="B2772" t="s">
        <v>259</v>
      </c>
      <c r="C2772" s="30" t="s">
        <v>1856</v>
      </c>
      <c r="D2772" s="16">
        <v>18583</v>
      </c>
    </row>
    <row r="2773" spans="1:4" x14ac:dyDescent="0.3">
      <c r="A2773" s="1" t="str">
        <f>Pop[[#This Row],[State]]&amp;" "&amp;Pop[[#This Row],[County]]</f>
        <v>TX Ector</v>
      </c>
      <c r="B2773" t="s">
        <v>259</v>
      </c>
      <c r="C2773" s="30" t="s">
        <v>1857</v>
      </c>
      <c r="D2773" s="16">
        <v>137130</v>
      </c>
    </row>
    <row r="2774" spans="1:4" x14ac:dyDescent="0.3">
      <c r="A2774" s="1" t="str">
        <f>Pop[[#This Row],[State]]&amp;" "&amp;Pop[[#This Row],[County]]</f>
        <v>TX Edwards</v>
      </c>
      <c r="B2774" t="s">
        <v>259</v>
      </c>
      <c r="C2774" s="30" t="s">
        <v>794</v>
      </c>
      <c r="D2774" s="16">
        <v>2002</v>
      </c>
    </row>
    <row r="2775" spans="1:4" x14ac:dyDescent="0.3">
      <c r="A2775" s="1" t="str">
        <f>Pop[[#This Row],[State]]&amp;" "&amp;Pop[[#This Row],[County]]</f>
        <v>TX El Paso</v>
      </c>
      <c r="B2775" t="s">
        <v>259</v>
      </c>
      <c r="C2775" s="30" t="s">
        <v>498</v>
      </c>
      <c r="D2775" s="16">
        <v>800647</v>
      </c>
    </row>
    <row r="2776" spans="1:4" x14ac:dyDescent="0.3">
      <c r="A2776" s="1" t="str">
        <f>Pop[[#This Row],[State]]&amp;" "&amp;Pop[[#This Row],[County]]</f>
        <v>TX Ellis</v>
      </c>
      <c r="B2776" t="s">
        <v>259</v>
      </c>
      <c r="C2776" s="30" t="s">
        <v>875</v>
      </c>
      <c r="D2776" s="16">
        <v>149610</v>
      </c>
    </row>
    <row r="2777" spans="1:4" x14ac:dyDescent="0.3">
      <c r="A2777" s="1" t="str">
        <f>Pop[[#This Row],[State]]&amp;" "&amp;Pop[[#This Row],[County]]</f>
        <v>TX Erath</v>
      </c>
      <c r="B2777" t="s">
        <v>259</v>
      </c>
      <c r="C2777" s="30" t="s">
        <v>1858</v>
      </c>
      <c r="D2777" s="16">
        <v>37890</v>
      </c>
    </row>
    <row r="2778" spans="1:4" x14ac:dyDescent="0.3">
      <c r="A2778" s="1" t="str">
        <f>Pop[[#This Row],[State]]&amp;" "&amp;Pop[[#This Row],[County]]</f>
        <v>TX Falls</v>
      </c>
      <c r="B2778" t="s">
        <v>259</v>
      </c>
      <c r="C2778" s="30" t="s">
        <v>1859</v>
      </c>
      <c r="D2778" s="16">
        <v>17866</v>
      </c>
    </row>
    <row r="2779" spans="1:4" x14ac:dyDescent="0.3">
      <c r="A2779" s="1" t="str">
        <f>Pop[[#This Row],[State]]&amp;" "&amp;Pop[[#This Row],[County]]</f>
        <v>TX Fannin</v>
      </c>
      <c r="B2779" t="s">
        <v>259</v>
      </c>
      <c r="C2779" s="30" t="s">
        <v>631</v>
      </c>
      <c r="D2779" s="16">
        <v>33915</v>
      </c>
    </row>
    <row r="2780" spans="1:4" x14ac:dyDescent="0.3">
      <c r="A2780" s="1" t="str">
        <f>Pop[[#This Row],[State]]&amp;" "&amp;Pop[[#This Row],[County]]</f>
        <v>TX Fayette</v>
      </c>
      <c r="B2780" t="s">
        <v>259</v>
      </c>
      <c r="C2780" s="30" t="s">
        <v>326</v>
      </c>
      <c r="D2780" s="16">
        <v>24554</v>
      </c>
    </row>
    <row r="2781" spans="1:4" x14ac:dyDescent="0.3">
      <c r="A2781" s="1" t="str">
        <f>Pop[[#This Row],[State]]&amp;" "&amp;Pop[[#This Row],[County]]</f>
        <v>TX Fisher</v>
      </c>
      <c r="B2781" t="s">
        <v>259</v>
      </c>
      <c r="C2781" s="30" t="s">
        <v>1860</v>
      </c>
      <c r="D2781" s="16">
        <v>3974</v>
      </c>
    </row>
    <row r="2782" spans="1:4" x14ac:dyDescent="0.3">
      <c r="A2782" s="1" t="str">
        <f>Pop[[#This Row],[State]]&amp;" "&amp;Pop[[#This Row],[County]]</f>
        <v>TX Floyd</v>
      </c>
      <c r="B2782" t="s">
        <v>259</v>
      </c>
      <c r="C2782" s="30" t="s">
        <v>42</v>
      </c>
      <c r="D2782" s="16">
        <v>6446</v>
      </c>
    </row>
    <row r="2783" spans="1:4" x14ac:dyDescent="0.3">
      <c r="A2783" s="1" t="str">
        <f>Pop[[#This Row],[State]]&amp;" "&amp;Pop[[#This Row],[County]]</f>
        <v>TX Foard</v>
      </c>
      <c r="B2783" t="s">
        <v>259</v>
      </c>
      <c r="C2783" s="30" t="s">
        <v>1861</v>
      </c>
      <c r="D2783" s="16">
        <v>1336</v>
      </c>
    </row>
    <row r="2784" spans="1:4" x14ac:dyDescent="0.3">
      <c r="A2784" s="1" t="str">
        <f>Pop[[#This Row],[State]]&amp;" "&amp;Pop[[#This Row],[County]]</f>
        <v>TX Fort Bend</v>
      </c>
      <c r="B2784" t="s">
        <v>259</v>
      </c>
      <c r="C2784" s="30" t="s">
        <v>1862</v>
      </c>
      <c r="D2784" s="16">
        <v>585375</v>
      </c>
    </row>
    <row r="2785" spans="1:4" x14ac:dyDescent="0.3">
      <c r="A2785" s="1" t="str">
        <f>Pop[[#This Row],[State]]&amp;" "&amp;Pop[[#This Row],[County]]</f>
        <v>TX Franklin</v>
      </c>
      <c r="B2785" t="s">
        <v>259</v>
      </c>
      <c r="C2785" s="30" t="s">
        <v>43</v>
      </c>
      <c r="D2785" s="16">
        <v>10605</v>
      </c>
    </row>
    <row r="2786" spans="1:4" x14ac:dyDescent="0.3">
      <c r="A2786" s="1" t="str">
        <f>Pop[[#This Row],[State]]&amp;" "&amp;Pop[[#This Row],[County]]</f>
        <v>TX Freestone</v>
      </c>
      <c r="B2786" t="s">
        <v>259</v>
      </c>
      <c r="C2786" s="30" t="s">
        <v>1863</v>
      </c>
      <c r="D2786" s="16">
        <v>19816</v>
      </c>
    </row>
    <row r="2787" spans="1:4" x14ac:dyDescent="0.3">
      <c r="A2787" s="1" t="str">
        <f>Pop[[#This Row],[State]]&amp;" "&amp;Pop[[#This Row],[County]]</f>
        <v>TX Frio</v>
      </c>
      <c r="B2787" t="s">
        <v>259</v>
      </c>
      <c r="C2787" s="30" t="s">
        <v>1864</v>
      </c>
      <c r="D2787" s="16">
        <v>17217</v>
      </c>
    </row>
    <row r="2788" spans="1:4" x14ac:dyDescent="0.3">
      <c r="A2788" s="1" t="str">
        <f>Pop[[#This Row],[State]]&amp;" "&amp;Pop[[#This Row],[County]]</f>
        <v>TX Gaines</v>
      </c>
      <c r="B2788" t="s">
        <v>259</v>
      </c>
      <c r="C2788" s="30" t="s">
        <v>1865</v>
      </c>
      <c r="D2788" s="16">
        <v>17526</v>
      </c>
    </row>
    <row r="2789" spans="1:4" x14ac:dyDescent="0.3">
      <c r="A2789" s="1" t="str">
        <f>Pop[[#This Row],[State]]&amp;" "&amp;Pop[[#This Row],[County]]</f>
        <v>TX Galveston</v>
      </c>
      <c r="B2789" t="s">
        <v>259</v>
      </c>
      <c r="C2789" s="30" t="s">
        <v>1866</v>
      </c>
      <c r="D2789" s="16">
        <v>291309</v>
      </c>
    </row>
    <row r="2790" spans="1:4" x14ac:dyDescent="0.3">
      <c r="A2790" s="1" t="str">
        <f>Pop[[#This Row],[State]]&amp;" "&amp;Pop[[#This Row],[County]]</f>
        <v>TX Garza</v>
      </c>
      <c r="B2790" t="s">
        <v>259</v>
      </c>
      <c r="C2790" s="30" t="s">
        <v>1867</v>
      </c>
      <c r="D2790" s="16">
        <v>6461</v>
      </c>
    </row>
    <row r="2791" spans="1:4" x14ac:dyDescent="0.3">
      <c r="A2791" s="1" t="str">
        <f>Pop[[#This Row],[State]]&amp;" "&amp;Pop[[#This Row],[County]]</f>
        <v>TX Gillespie</v>
      </c>
      <c r="B2791" t="s">
        <v>259</v>
      </c>
      <c r="C2791" s="30" t="s">
        <v>1868</v>
      </c>
      <c r="D2791" s="16">
        <v>24837</v>
      </c>
    </row>
    <row r="2792" spans="1:4" x14ac:dyDescent="0.3">
      <c r="A2792" s="1" t="str">
        <f>Pop[[#This Row],[State]]&amp;" "&amp;Pop[[#This Row],[County]]</f>
        <v>TX Glasscock</v>
      </c>
      <c r="B2792" t="s">
        <v>259</v>
      </c>
      <c r="C2792" s="30" t="s">
        <v>1869</v>
      </c>
      <c r="D2792" s="16">
        <v>1226</v>
      </c>
    </row>
    <row r="2793" spans="1:4" x14ac:dyDescent="0.3">
      <c r="A2793" s="1" t="str">
        <f>Pop[[#This Row],[State]]&amp;" "&amp;Pop[[#This Row],[County]]</f>
        <v>TX Goliad</v>
      </c>
      <c r="B2793" t="s">
        <v>259</v>
      </c>
      <c r="C2793" s="30" t="s">
        <v>1870</v>
      </c>
      <c r="D2793" s="16">
        <v>7210</v>
      </c>
    </row>
    <row r="2794" spans="1:4" x14ac:dyDescent="0.3">
      <c r="A2794" s="1" t="str">
        <f>Pop[[#This Row],[State]]&amp;" "&amp;Pop[[#This Row],[County]]</f>
        <v>TX Gonzales</v>
      </c>
      <c r="B2794" t="s">
        <v>259</v>
      </c>
      <c r="C2794" s="30" t="s">
        <v>1871</v>
      </c>
      <c r="D2794" s="16">
        <v>19807</v>
      </c>
    </row>
    <row r="2795" spans="1:4" x14ac:dyDescent="0.3">
      <c r="A2795" s="1" t="str">
        <f>Pop[[#This Row],[State]]&amp;" "&amp;Pop[[#This Row],[County]]</f>
        <v>TX Gray</v>
      </c>
      <c r="B2795" t="s">
        <v>259</v>
      </c>
      <c r="C2795" s="30" t="s">
        <v>880</v>
      </c>
      <c r="D2795" s="16">
        <v>22535</v>
      </c>
    </row>
    <row r="2796" spans="1:4" x14ac:dyDescent="0.3">
      <c r="A2796" s="1" t="str">
        <f>Pop[[#This Row],[State]]&amp;" "&amp;Pop[[#This Row],[County]]</f>
        <v>TX Grayson</v>
      </c>
      <c r="B2796" t="s">
        <v>259</v>
      </c>
      <c r="C2796" s="30" t="s">
        <v>951</v>
      </c>
      <c r="D2796" s="16">
        <v>120877</v>
      </c>
    </row>
    <row r="2797" spans="1:4" x14ac:dyDescent="0.3">
      <c r="A2797" s="1" t="str">
        <f>Pop[[#This Row],[State]]&amp;" "&amp;Pop[[#This Row],[County]]</f>
        <v>TX Gregg</v>
      </c>
      <c r="B2797" t="s">
        <v>259</v>
      </c>
      <c r="C2797" s="30" t="s">
        <v>1872</v>
      </c>
      <c r="D2797" s="16">
        <v>121730</v>
      </c>
    </row>
    <row r="2798" spans="1:4" x14ac:dyDescent="0.3">
      <c r="A2798" s="1" t="str">
        <f>Pop[[#This Row],[State]]&amp;" "&amp;Pop[[#This Row],[County]]</f>
        <v>TX Grimes</v>
      </c>
      <c r="B2798" t="s">
        <v>259</v>
      </c>
      <c r="C2798" s="30" t="s">
        <v>1873</v>
      </c>
      <c r="D2798" s="16">
        <v>26604</v>
      </c>
    </row>
    <row r="2799" spans="1:4" x14ac:dyDescent="0.3">
      <c r="A2799" s="1" t="str">
        <f>Pop[[#This Row],[State]]&amp;" "&amp;Pop[[#This Row],[County]]</f>
        <v>TX Guadalupe</v>
      </c>
      <c r="B2799" t="s">
        <v>259</v>
      </c>
      <c r="C2799" s="30" t="s">
        <v>1465</v>
      </c>
      <c r="D2799" s="16">
        <v>131533</v>
      </c>
    </row>
    <row r="2800" spans="1:4" x14ac:dyDescent="0.3">
      <c r="A2800" s="1" t="str">
        <f>Pop[[#This Row],[State]]&amp;" "&amp;Pop[[#This Row],[County]]</f>
        <v>TX Hale</v>
      </c>
      <c r="B2800" t="s">
        <v>259</v>
      </c>
      <c r="C2800" s="30" t="s">
        <v>328</v>
      </c>
      <c r="D2800" s="16">
        <v>36273</v>
      </c>
    </row>
    <row r="2801" spans="1:4" x14ac:dyDescent="0.3">
      <c r="A2801" s="1" t="str">
        <f>Pop[[#This Row],[State]]&amp;" "&amp;Pop[[#This Row],[County]]</f>
        <v>TX Hall</v>
      </c>
      <c r="B2801" t="s">
        <v>259</v>
      </c>
      <c r="C2801" s="30" t="s">
        <v>640</v>
      </c>
      <c r="D2801" s="16">
        <v>3353</v>
      </c>
    </row>
    <row r="2802" spans="1:4" x14ac:dyDescent="0.3">
      <c r="A2802" s="1" t="str">
        <f>Pop[[#This Row],[State]]&amp;" "&amp;Pop[[#This Row],[County]]</f>
        <v>TX Hamilton</v>
      </c>
      <c r="B2802" t="s">
        <v>259</v>
      </c>
      <c r="C2802" s="30" t="s">
        <v>561</v>
      </c>
      <c r="D2802" s="16">
        <v>8517</v>
      </c>
    </row>
    <row r="2803" spans="1:4" x14ac:dyDescent="0.3">
      <c r="A2803" s="1" t="str">
        <f>Pop[[#This Row],[State]]&amp;" "&amp;Pop[[#This Row],[County]]</f>
        <v>TX Hansford</v>
      </c>
      <c r="B2803" t="s">
        <v>259</v>
      </c>
      <c r="C2803" s="30" t="s">
        <v>1874</v>
      </c>
      <c r="D2803" s="16">
        <v>5613</v>
      </c>
    </row>
    <row r="2804" spans="1:4" x14ac:dyDescent="0.3">
      <c r="A2804" s="1" t="str">
        <f>Pop[[#This Row],[State]]&amp;" "&amp;Pop[[#This Row],[County]]</f>
        <v>TX Hardeman</v>
      </c>
      <c r="B2804" t="s">
        <v>259</v>
      </c>
      <c r="C2804" s="30" t="s">
        <v>1794</v>
      </c>
      <c r="D2804" s="16">
        <v>4139</v>
      </c>
    </row>
    <row r="2805" spans="1:4" x14ac:dyDescent="0.3">
      <c r="A2805" s="1" t="str">
        <f>Pop[[#This Row],[State]]&amp;" "&amp;Pop[[#This Row],[County]]</f>
        <v>TX Hardin</v>
      </c>
      <c r="B2805" t="s">
        <v>259</v>
      </c>
      <c r="C2805" s="30" t="s">
        <v>723</v>
      </c>
      <c r="D2805" s="16">
        <v>54635</v>
      </c>
    </row>
    <row r="2806" spans="1:4" x14ac:dyDescent="0.3">
      <c r="A2806" s="1" t="str">
        <f>Pop[[#This Row],[State]]&amp;" "&amp;Pop[[#This Row],[County]]</f>
        <v>TX Harris</v>
      </c>
      <c r="B2806" t="s">
        <v>259</v>
      </c>
      <c r="C2806" s="30" t="s">
        <v>643</v>
      </c>
      <c r="D2806" s="16">
        <v>4092459</v>
      </c>
    </row>
    <row r="2807" spans="1:4" x14ac:dyDescent="0.3">
      <c r="A2807" s="1" t="str">
        <f>Pop[[#This Row],[State]]&amp;" "&amp;Pop[[#This Row],[County]]</f>
        <v>TX Harrison</v>
      </c>
      <c r="B2807" t="s">
        <v>259</v>
      </c>
      <c r="C2807" s="30" t="s">
        <v>45</v>
      </c>
      <c r="D2807" s="16">
        <v>65631</v>
      </c>
    </row>
    <row r="2808" spans="1:4" x14ac:dyDescent="0.3">
      <c r="A2808" s="1" t="str">
        <f>Pop[[#This Row],[State]]&amp;" "&amp;Pop[[#This Row],[County]]</f>
        <v>TX Hartley</v>
      </c>
      <c r="B2808" t="s">
        <v>259</v>
      </c>
      <c r="C2808" s="30" t="s">
        <v>1875</v>
      </c>
      <c r="D2808" s="16">
        <v>6062</v>
      </c>
    </row>
    <row r="2809" spans="1:4" x14ac:dyDescent="0.3">
      <c r="A2809" s="1" t="str">
        <f>Pop[[#This Row],[State]]&amp;" "&amp;Pop[[#This Row],[County]]</f>
        <v>TX Haskell</v>
      </c>
      <c r="B2809" t="s">
        <v>259</v>
      </c>
      <c r="C2809" s="30" t="s">
        <v>885</v>
      </c>
      <c r="D2809" s="16">
        <v>5899</v>
      </c>
    </row>
    <row r="2810" spans="1:4" x14ac:dyDescent="0.3">
      <c r="A2810" s="1" t="str">
        <f>Pop[[#This Row],[State]]&amp;" "&amp;Pop[[#This Row],[County]]</f>
        <v>TX Hays</v>
      </c>
      <c r="B2810" t="s">
        <v>259</v>
      </c>
      <c r="C2810" s="30" t="s">
        <v>1876</v>
      </c>
      <c r="D2810" s="16">
        <v>157107</v>
      </c>
    </row>
    <row r="2811" spans="1:4" x14ac:dyDescent="0.3">
      <c r="A2811" s="1" t="str">
        <f>Pop[[#This Row],[State]]&amp;" "&amp;Pop[[#This Row],[County]]</f>
        <v>TX Hemphill</v>
      </c>
      <c r="B2811" t="s">
        <v>259</v>
      </c>
      <c r="C2811" s="30" t="s">
        <v>1877</v>
      </c>
      <c r="D2811" s="16">
        <v>3807</v>
      </c>
    </row>
    <row r="2812" spans="1:4" x14ac:dyDescent="0.3">
      <c r="A2812" s="1" t="str">
        <f>Pop[[#This Row],[State]]&amp;" "&amp;Pop[[#This Row],[County]]</f>
        <v>TX Henderson</v>
      </c>
      <c r="B2812" t="s">
        <v>259</v>
      </c>
      <c r="C2812" s="30" t="s">
        <v>797</v>
      </c>
      <c r="D2812" s="16">
        <v>78532</v>
      </c>
    </row>
    <row r="2813" spans="1:4" x14ac:dyDescent="0.3">
      <c r="A2813" s="1" t="str">
        <f>Pop[[#This Row],[State]]&amp;" "&amp;Pop[[#This Row],[County]]</f>
        <v>TX Hidalgo</v>
      </c>
      <c r="B2813" t="s">
        <v>259</v>
      </c>
      <c r="C2813" s="30" t="s">
        <v>1467</v>
      </c>
      <c r="D2813" s="54">
        <v>774769</v>
      </c>
    </row>
    <row r="2814" spans="1:4" x14ac:dyDescent="0.3">
      <c r="A2814" s="1" t="str">
        <f>Pop[[#This Row],[State]]&amp;" "&amp;Pop[[#This Row],[County]]</f>
        <v>TX Hill</v>
      </c>
      <c r="B2814" t="s">
        <v>259</v>
      </c>
      <c r="C2814" s="30" t="s">
        <v>1282</v>
      </c>
      <c r="D2814" s="16">
        <v>35089</v>
      </c>
    </row>
    <row r="2815" spans="1:4" x14ac:dyDescent="0.3">
      <c r="A2815" s="1" t="str">
        <f>Pop[[#This Row],[State]]&amp;" "&amp;Pop[[#This Row],[County]]</f>
        <v>TX Hockley</v>
      </c>
      <c r="B2815" t="s">
        <v>259</v>
      </c>
      <c r="C2815" s="30" t="s">
        <v>1878</v>
      </c>
      <c r="D2815" s="16">
        <v>22935</v>
      </c>
    </row>
    <row r="2816" spans="1:4" x14ac:dyDescent="0.3">
      <c r="A2816" s="1" t="str">
        <f>Pop[[#This Row],[State]]&amp;" "&amp;Pop[[#This Row],[County]]</f>
        <v>TX Hood</v>
      </c>
      <c r="B2816" t="s">
        <v>259</v>
      </c>
      <c r="C2816" s="30" t="s">
        <v>1879</v>
      </c>
      <c r="D2816" s="16">
        <v>51182</v>
      </c>
    </row>
    <row r="2817" spans="1:4" x14ac:dyDescent="0.3">
      <c r="A2817" s="1" t="str">
        <f>Pop[[#This Row],[State]]&amp;" "&amp;Pop[[#This Row],[County]]</f>
        <v>TX Hopkins</v>
      </c>
      <c r="B2817" t="s">
        <v>259</v>
      </c>
      <c r="C2817" s="30" t="s">
        <v>956</v>
      </c>
      <c r="D2817" s="16">
        <v>35161</v>
      </c>
    </row>
    <row r="2818" spans="1:4" x14ac:dyDescent="0.3">
      <c r="A2818" s="1" t="str">
        <f>Pop[[#This Row],[State]]&amp;" "&amp;Pop[[#This Row],[County]]</f>
        <v>TX Houston</v>
      </c>
      <c r="B2818" t="s">
        <v>259</v>
      </c>
      <c r="C2818" s="30" t="s">
        <v>330</v>
      </c>
      <c r="D2818" s="16">
        <v>23732</v>
      </c>
    </row>
    <row r="2819" spans="1:4" x14ac:dyDescent="0.3">
      <c r="A2819" s="1" t="str">
        <f>Pop[[#This Row],[State]]&amp;" "&amp;Pop[[#This Row],[County]]</f>
        <v>TX Howard</v>
      </c>
      <c r="B2819" t="s">
        <v>259</v>
      </c>
      <c r="C2819" s="30" t="s">
        <v>373</v>
      </c>
      <c r="D2819" s="16">
        <v>35012</v>
      </c>
    </row>
    <row r="2820" spans="1:4" x14ac:dyDescent="0.3">
      <c r="A2820" s="1" t="str">
        <f>Pop[[#This Row],[State]]&amp;" "&amp;Pop[[#This Row],[County]]</f>
        <v>TX Hudspeth</v>
      </c>
      <c r="B2820" t="s">
        <v>259</v>
      </c>
      <c r="C2820" s="30" t="s">
        <v>1880</v>
      </c>
      <c r="D2820" s="16">
        <v>3476</v>
      </c>
    </row>
    <row r="2821" spans="1:4" x14ac:dyDescent="0.3">
      <c r="A2821" s="1" t="str">
        <f>Pop[[#This Row],[State]]&amp;" "&amp;Pop[[#This Row],[County]]</f>
        <v>TX Hunt</v>
      </c>
      <c r="B2821" t="s">
        <v>259</v>
      </c>
      <c r="C2821" s="30" t="s">
        <v>1881</v>
      </c>
      <c r="D2821" s="16">
        <v>86129</v>
      </c>
    </row>
    <row r="2822" spans="1:4" x14ac:dyDescent="0.3">
      <c r="A2822" s="1" t="str">
        <f>Pop[[#This Row],[State]]&amp;" "&amp;Pop[[#This Row],[County]]</f>
        <v>TX Hutchinson</v>
      </c>
      <c r="B2822" t="s">
        <v>259</v>
      </c>
      <c r="C2822" s="30" t="s">
        <v>1765</v>
      </c>
      <c r="D2822" s="16">
        <v>22150</v>
      </c>
    </row>
    <row r="2823" spans="1:4" x14ac:dyDescent="0.3">
      <c r="A2823" s="1" t="str">
        <f>Pop[[#This Row],[State]]&amp;" "&amp;Pop[[#This Row],[County]]</f>
        <v>TX Irion</v>
      </c>
      <c r="B2823" t="s">
        <v>259</v>
      </c>
      <c r="C2823" s="30" t="s">
        <v>1882</v>
      </c>
      <c r="D2823" s="16">
        <v>1599</v>
      </c>
    </row>
    <row r="2824" spans="1:4" x14ac:dyDescent="0.3">
      <c r="A2824" s="1" t="str">
        <f>Pop[[#This Row],[State]]&amp;" "&amp;Pop[[#This Row],[County]]</f>
        <v>TX Jack</v>
      </c>
      <c r="B2824" t="s">
        <v>259</v>
      </c>
      <c r="C2824" s="30" t="s">
        <v>1883</v>
      </c>
      <c r="D2824" s="16">
        <v>9044</v>
      </c>
    </row>
    <row r="2825" spans="1:4" x14ac:dyDescent="0.3">
      <c r="A2825" s="1" t="str">
        <f>Pop[[#This Row],[State]]&amp;" "&amp;Pop[[#This Row],[County]]</f>
        <v>TX Jackson</v>
      </c>
      <c r="B2825" t="s">
        <v>259</v>
      </c>
      <c r="C2825" s="30" t="s">
        <v>46</v>
      </c>
      <c r="D2825" s="16">
        <v>14075</v>
      </c>
    </row>
    <row r="2826" spans="1:4" x14ac:dyDescent="0.3">
      <c r="A2826" s="1" t="str">
        <f>Pop[[#This Row],[State]]&amp;" "&amp;Pop[[#This Row],[County]]</f>
        <v>TX Jasper</v>
      </c>
      <c r="B2826" t="s">
        <v>259</v>
      </c>
      <c r="C2826" s="30" t="s">
        <v>647</v>
      </c>
      <c r="D2826" s="16">
        <v>35710</v>
      </c>
    </row>
    <row r="2827" spans="1:4" x14ac:dyDescent="0.3">
      <c r="A2827" s="1" t="str">
        <f>Pop[[#This Row],[State]]&amp;" "&amp;Pop[[#This Row],[County]]</f>
        <v>TX Jeff Davis</v>
      </c>
      <c r="B2827" t="s">
        <v>259</v>
      </c>
      <c r="C2827" s="30" t="s">
        <v>648</v>
      </c>
      <c r="D2827" s="16">
        <v>2342</v>
      </c>
    </row>
    <row r="2828" spans="1:4" x14ac:dyDescent="0.3">
      <c r="A2828" s="1" t="str">
        <f>Pop[[#This Row],[State]]&amp;" "&amp;Pop[[#This Row],[County]]</f>
        <v>TX Jefferson</v>
      </c>
      <c r="B2828" t="s">
        <v>259</v>
      </c>
      <c r="C2828" s="30" t="s">
        <v>47</v>
      </c>
      <c r="D2828" s="16">
        <v>252273</v>
      </c>
    </row>
    <row r="2829" spans="1:4" x14ac:dyDescent="0.3">
      <c r="A2829" s="1" t="str">
        <f>Pop[[#This Row],[State]]&amp;" "&amp;Pop[[#This Row],[County]]</f>
        <v>TX Jim Hogg</v>
      </c>
      <c r="B2829" t="s">
        <v>259</v>
      </c>
      <c r="C2829" s="30" t="s">
        <v>1884</v>
      </c>
      <c r="D2829" s="16">
        <v>5300</v>
      </c>
    </row>
    <row r="2830" spans="1:4" x14ac:dyDescent="0.3">
      <c r="A2830" s="1" t="str">
        <f>Pop[[#This Row],[State]]&amp;" "&amp;Pop[[#This Row],[County]]</f>
        <v>TX Jim Wells</v>
      </c>
      <c r="B2830" t="s">
        <v>259</v>
      </c>
      <c r="C2830" s="30" t="s">
        <v>1885</v>
      </c>
      <c r="D2830" s="16">
        <v>40838</v>
      </c>
    </row>
    <row r="2831" spans="1:4" x14ac:dyDescent="0.3">
      <c r="A2831" s="1" t="str">
        <f>Pop[[#This Row],[State]]&amp;" "&amp;Pop[[#This Row],[County]]</f>
        <v>TX Johnson</v>
      </c>
      <c r="B2831" t="s">
        <v>259</v>
      </c>
      <c r="C2831" s="30" t="s">
        <v>376</v>
      </c>
      <c r="D2831" s="16">
        <v>150934</v>
      </c>
    </row>
    <row r="2832" spans="1:4" x14ac:dyDescent="0.3">
      <c r="A2832" s="1" t="str">
        <f>Pop[[#This Row],[State]]&amp;" "&amp;Pop[[#This Row],[County]]</f>
        <v>TX Jones</v>
      </c>
      <c r="B2832" t="s">
        <v>259</v>
      </c>
      <c r="C2832" s="30" t="s">
        <v>650</v>
      </c>
      <c r="D2832" s="16">
        <v>20202</v>
      </c>
    </row>
    <row r="2833" spans="1:4" x14ac:dyDescent="0.3">
      <c r="A2833" s="1" t="str">
        <f>Pop[[#This Row],[State]]&amp;" "&amp;Pop[[#This Row],[County]]</f>
        <v>TX Karnes</v>
      </c>
      <c r="B2833" t="s">
        <v>259</v>
      </c>
      <c r="C2833" s="30" t="s">
        <v>1886</v>
      </c>
      <c r="D2833" s="16">
        <v>14824</v>
      </c>
    </row>
    <row r="2834" spans="1:4" x14ac:dyDescent="0.3">
      <c r="A2834" s="1" t="str">
        <f>Pop[[#This Row],[State]]&amp;" "&amp;Pop[[#This Row],[County]]</f>
        <v>TX Kaufman</v>
      </c>
      <c r="B2834" t="s">
        <v>259</v>
      </c>
      <c r="C2834" s="30" t="s">
        <v>1887</v>
      </c>
      <c r="D2834" s="16">
        <v>103350</v>
      </c>
    </row>
    <row r="2835" spans="1:4" x14ac:dyDescent="0.3">
      <c r="A2835" s="1" t="str">
        <f>Pop[[#This Row],[State]]&amp;" "&amp;Pop[[#This Row],[County]]</f>
        <v>TX Kendall</v>
      </c>
      <c r="B2835" t="s">
        <v>259</v>
      </c>
      <c r="C2835" s="30" t="s">
        <v>803</v>
      </c>
      <c r="D2835" s="16">
        <v>33410</v>
      </c>
    </row>
    <row r="2836" spans="1:4" x14ac:dyDescent="0.3">
      <c r="A2836" s="1" t="str">
        <f>Pop[[#This Row],[State]]&amp;" "&amp;Pop[[#This Row],[County]]</f>
        <v>TX Kenedy</v>
      </c>
      <c r="B2836" t="s">
        <v>259</v>
      </c>
      <c r="C2836" s="30" t="s">
        <v>1888</v>
      </c>
      <c r="D2836" s="16">
        <v>416</v>
      </c>
    </row>
    <row r="2837" spans="1:4" x14ac:dyDescent="0.3">
      <c r="A2837" s="1" t="str">
        <f>Pop[[#This Row],[State]]&amp;" "&amp;Pop[[#This Row],[County]]</f>
        <v>TX Kent</v>
      </c>
      <c r="B2837" t="s">
        <v>259</v>
      </c>
      <c r="C2837" s="30" t="s">
        <v>541</v>
      </c>
      <c r="D2837" s="16">
        <v>808</v>
      </c>
    </row>
    <row r="2838" spans="1:4" x14ac:dyDescent="0.3">
      <c r="A2838" s="1" t="str">
        <f>Pop[[#This Row],[State]]&amp;" "&amp;Pop[[#This Row],[County]]</f>
        <v>TX Kerr</v>
      </c>
      <c r="B2838" t="s">
        <v>259</v>
      </c>
      <c r="C2838" s="30" t="s">
        <v>1889</v>
      </c>
      <c r="D2838" s="16">
        <v>49625</v>
      </c>
    </row>
    <row r="2839" spans="1:4" x14ac:dyDescent="0.3">
      <c r="A2839" s="1" t="str">
        <f>Pop[[#This Row],[State]]&amp;" "&amp;Pop[[#This Row],[County]]</f>
        <v>TX Kimble</v>
      </c>
      <c r="B2839" t="s">
        <v>259</v>
      </c>
      <c r="C2839" s="30" t="s">
        <v>1890</v>
      </c>
      <c r="D2839" s="16">
        <v>4607</v>
      </c>
    </row>
    <row r="2840" spans="1:4" x14ac:dyDescent="0.3">
      <c r="A2840" s="1" t="str">
        <f>Pop[[#This Row],[State]]&amp;" "&amp;Pop[[#This Row],[County]]</f>
        <v>TX King</v>
      </c>
      <c r="B2840" t="s">
        <v>259</v>
      </c>
      <c r="C2840" s="30" t="s">
        <v>1891</v>
      </c>
      <c r="D2840" s="16">
        <v>286</v>
      </c>
    </row>
    <row r="2841" spans="1:4" x14ac:dyDescent="0.3">
      <c r="A2841" s="1" t="str">
        <f>Pop[[#This Row],[State]]&amp;" "&amp;Pop[[#This Row],[County]]</f>
        <v>TX Kinney</v>
      </c>
      <c r="B2841" t="s">
        <v>259</v>
      </c>
      <c r="C2841" s="30" t="s">
        <v>1892</v>
      </c>
      <c r="D2841" s="16">
        <v>3598</v>
      </c>
    </row>
    <row r="2842" spans="1:4" x14ac:dyDescent="0.3">
      <c r="A2842" s="1" t="str">
        <f>Pop[[#This Row],[State]]&amp;" "&amp;Pop[[#This Row],[County]]</f>
        <v>TX Kleberg</v>
      </c>
      <c r="B2842" t="s">
        <v>259</v>
      </c>
      <c r="C2842" s="30" t="s">
        <v>1893</v>
      </c>
      <c r="D2842" s="16">
        <v>32061</v>
      </c>
    </row>
    <row r="2843" spans="1:4" x14ac:dyDescent="0.3">
      <c r="A2843" s="1" t="str">
        <f>Pop[[#This Row],[State]]&amp;" "&amp;Pop[[#This Row],[County]]</f>
        <v>TX Knox</v>
      </c>
      <c r="B2843" t="s">
        <v>259</v>
      </c>
      <c r="C2843" s="30" t="s">
        <v>804</v>
      </c>
      <c r="D2843" s="16">
        <v>3719</v>
      </c>
    </row>
    <row r="2844" spans="1:4" x14ac:dyDescent="0.3">
      <c r="A2844" s="1" t="str">
        <f>Pop[[#This Row],[State]]&amp;" "&amp;Pop[[#This Row],[County]]</f>
        <v>TX La Salle</v>
      </c>
      <c r="B2844" t="s">
        <v>259</v>
      </c>
      <c r="C2844" s="30" t="s">
        <v>1005</v>
      </c>
      <c r="D2844" s="16">
        <v>6886</v>
      </c>
    </row>
    <row r="2845" spans="1:4" x14ac:dyDescent="0.3">
      <c r="A2845" s="1" t="str">
        <f>Pop[[#This Row],[State]]&amp;" "&amp;Pop[[#This Row],[County]]</f>
        <v>TX Lamar</v>
      </c>
      <c r="B2845" t="s">
        <v>259</v>
      </c>
      <c r="C2845" s="30" t="s">
        <v>331</v>
      </c>
      <c r="D2845" s="16">
        <v>49793</v>
      </c>
    </row>
    <row r="2846" spans="1:4" x14ac:dyDescent="0.3">
      <c r="A2846" s="1" t="str">
        <f>Pop[[#This Row],[State]]&amp;" "&amp;Pop[[#This Row],[County]]</f>
        <v>TX Lamb</v>
      </c>
      <c r="B2846" t="s">
        <v>259</v>
      </c>
      <c r="C2846" s="30" t="s">
        <v>1894</v>
      </c>
      <c r="D2846" s="16">
        <v>13977</v>
      </c>
    </row>
    <row r="2847" spans="1:4" x14ac:dyDescent="0.3">
      <c r="A2847" s="1" t="str">
        <f>Pop[[#This Row],[State]]&amp;" "&amp;Pop[[#This Row],[County]]</f>
        <v>TX Lampasas</v>
      </c>
      <c r="B2847" t="s">
        <v>259</v>
      </c>
      <c r="C2847" s="30" t="s">
        <v>1895</v>
      </c>
      <c r="D2847" s="16">
        <v>19677</v>
      </c>
    </row>
    <row r="2848" spans="1:4" x14ac:dyDescent="0.3">
      <c r="A2848" s="1" t="str">
        <f>Pop[[#This Row],[State]]&amp;" "&amp;Pop[[#This Row],[County]]</f>
        <v>TX Lavaca</v>
      </c>
      <c r="B2848" t="s">
        <v>259</v>
      </c>
      <c r="C2848" s="30" t="s">
        <v>1896</v>
      </c>
      <c r="D2848" s="16">
        <v>19263</v>
      </c>
    </row>
    <row r="2849" spans="1:4" x14ac:dyDescent="0.3">
      <c r="A2849" s="1" t="str">
        <f>Pop[[#This Row],[State]]&amp;" "&amp;Pop[[#This Row],[County]]</f>
        <v>TX Lee</v>
      </c>
      <c r="B2849" t="s">
        <v>259</v>
      </c>
      <c r="C2849" s="30" t="s">
        <v>333</v>
      </c>
      <c r="D2849" s="16">
        <v>16612</v>
      </c>
    </row>
    <row r="2850" spans="1:4" x14ac:dyDescent="0.3">
      <c r="A2850" s="1" t="str">
        <f>Pop[[#This Row],[State]]&amp;" "&amp;Pop[[#This Row],[County]]</f>
        <v>TX Leon</v>
      </c>
      <c r="B2850" t="s">
        <v>259</v>
      </c>
      <c r="C2850" s="30" t="s">
        <v>569</v>
      </c>
      <c r="D2850" s="16">
        <v>16801</v>
      </c>
    </row>
    <row r="2851" spans="1:4" x14ac:dyDescent="0.3">
      <c r="A2851" s="1" t="str">
        <f>Pop[[#This Row],[State]]&amp;" "&amp;Pop[[#This Row],[County]]</f>
        <v>TX Liberty</v>
      </c>
      <c r="B2851" t="s">
        <v>259</v>
      </c>
      <c r="C2851" s="30" t="s">
        <v>571</v>
      </c>
      <c r="D2851" s="16">
        <v>75643</v>
      </c>
    </row>
    <row r="2852" spans="1:4" x14ac:dyDescent="0.3">
      <c r="A2852" s="1" t="str">
        <f>Pop[[#This Row],[State]]&amp;" "&amp;Pop[[#This Row],[County]]</f>
        <v>TX Limestone</v>
      </c>
      <c r="B2852" t="s">
        <v>259</v>
      </c>
      <c r="C2852" s="30" t="s">
        <v>334</v>
      </c>
      <c r="D2852" s="16">
        <v>23384</v>
      </c>
    </row>
    <row r="2853" spans="1:4" x14ac:dyDescent="0.3">
      <c r="A2853" s="1" t="str">
        <f>Pop[[#This Row],[State]]&amp;" "&amp;Pop[[#This Row],[County]]</f>
        <v>TX Lipscomb</v>
      </c>
      <c r="B2853" t="s">
        <v>259</v>
      </c>
      <c r="C2853" s="30" t="s">
        <v>1897</v>
      </c>
      <c r="D2853" s="16">
        <v>3302</v>
      </c>
    </row>
    <row r="2854" spans="1:4" x14ac:dyDescent="0.3">
      <c r="A2854" s="1" t="str">
        <f>Pop[[#This Row],[State]]&amp;" "&amp;Pop[[#This Row],[County]]</f>
        <v>TX Live Oak</v>
      </c>
      <c r="B2854" t="s">
        <v>259</v>
      </c>
      <c r="C2854" s="30" t="s">
        <v>1898</v>
      </c>
      <c r="D2854" s="16">
        <v>11531</v>
      </c>
    </row>
    <row r="2855" spans="1:4" x14ac:dyDescent="0.3">
      <c r="A2855" s="1" t="str">
        <f>Pop[[#This Row],[State]]&amp;" "&amp;Pop[[#This Row],[County]]</f>
        <v>TX Llano</v>
      </c>
      <c r="B2855" t="s">
        <v>259</v>
      </c>
      <c r="C2855" s="30" t="s">
        <v>1899</v>
      </c>
      <c r="D2855" s="16">
        <v>19301</v>
      </c>
    </row>
    <row r="2856" spans="1:4" x14ac:dyDescent="0.3">
      <c r="A2856" s="1" t="str">
        <f>Pop[[#This Row],[State]]&amp;" "&amp;Pop[[#This Row],[County]]</f>
        <v>TX Loving</v>
      </c>
      <c r="B2856" t="s">
        <v>259</v>
      </c>
      <c r="C2856" s="30" t="s">
        <v>1900</v>
      </c>
      <c r="D2856" s="16">
        <v>82</v>
      </c>
    </row>
    <row r="2857" spans="1:4" x14ac:dyDescent="0.3">
      <c r="A2857" s="1" t="str">
        <f>Pop[[#This Row],[State]]&amp;" "&amp;Pop[[#This Row],[County]]</f>
        <v>TX Lubbock</v>
      </c>
      <c r="B2857" t="s">
        <v>259</v>
      </c>
      <c r="C2857" s="30" t="s">
        <v>1901</v>
      </c>
      <c r="D2857" s="16">
        <v>278831</v>
      </c>
    </row>
    <row r="2858" spans="1:4" x14ac:dyDescent="0.3">
      <c r="A2858" s="1" t="str">
        <f>Pop[[#This Row],[State]]&amp;" "&amp;Pop[[#This Row],[County]]</f>
        <v>TX Lynn</v>
      </c>
      <c r="B2858" t="s">
        <v>259</v>
      </c>
      <c r="C2858" s="30" t="s">
        <v>1902</v>
      </c>
      <c r="D2858" s="16">
        <v>5915</v>
      </c>
    </row>
    <row r="2859" spans="1:4" x14ac:dyDescent="0.3">
      <c r="A2859" s="1" t="str">
        <f>Pop[[#This Row],[State]]&amp;" "&amp;Pop[[#This Row],[County]]</f>
        <v>TX Madison</v>
      </c>
      <c r="B2859" t="s">
        <v>259</v>
      </c>
      <c r="C2859" s="30" t="s">
        <v>49</v>
      </c>
      <c r="D2859" s="16">
        <v>13664</v>
      </c>
    </row>
    <row r="2860" spans="1:4" x14ac:dyDescent="0.3">
      <c r="A2860" s="1" t="str">
        <f>Pop[[#This Row],[State]]&amp;" "&amp;Pop[[#This Row],[County]]</f>
        <v>TX Marion</v>
      </c>
      <c r="B2860" t="s">
        <v>259</v>
      </c>
      <c r="C2860" s="30" t="s">
        <v>50</v>
      </c>
      <c r="D2860" s="16">
        <v>10546</v>
      </c>
    </row>
    <row r="2861" spans="1:4" x14ac:dyDescent="0.3">
      <c r="A2861" s="1" t="str">
        <f>Pop[[#This Row],[State]]&amp;" "&amp;Pop[[#This Row],[County]]</f>
        <v>TX Martin</v>
      </c>
      <c r="B2861" t="s">
        <v>259</v>
      </c>
      <c r="C2861" s="30" t="s">
        <v>52</v>
      </c>
      <c r="D2861" s="16">
        <v>4799</v>
      </c>
    </row>
    <row r="2862" spans="1:4" x14ac:dyDescent="0.3">
      <c r="A2862" s="1" t="str">
        <f>Pop[[#This Row],[State]]&amp;" "&amp;Pop[[#This Row],[County]]</f>
        <v>TX Mason</v>
      </c>
      <c r="B2862" t="s">
        <v>259</v>
      </c>
      <c r="C2862" s="30" t="s">
        <v>808</v>
      </c>
      <c r="D2862" s="16">
        <v>4012</v>
      </c>
    </row>
    <row r="2863" spans="1:4" x14ac:dyDescent="0.3">
      <c r="A2863" s="1" t="str">
        <f>Pop[[#This Row],[State]]&amp;" "&amp;Pop[[#This Row],[County]]</f>
        <v>TX Matagorda</v>
      </c>
      <c r="B2863" t="s">
        <v>259</v>
      </c>
      <c r="C2863" s="30" t="s">
        <v>1903</v>
      </c>
      <c r="D2863" s="16">
        <v>36702</v>
      </c>
    </row>
    <row r="2864" spans="1:4" x14ac:dyDescent="0.3">
      <c r="A2864" s="1" t="str">
        <f>Pop[[#This Row],[State]]&amp;" "&amp;Pop[[#This Row],[County]]</f>
        <v>TX Maverick</v>
      </c>
      <c r="B2864" t="s">
        <v>259</v>
      </c>
      <c r="C2864" s="30" t="s">
        <v>1904</v>
      </c>
      <c r="D2864" s="16">
        <v>54258</v>
      </c>
    </row>
    <row r="2865" spans="1:4" x14ac:dyDescent="0.3">
      <c r="A2865" s="1" t="str">
        <f>Pop[[#This Row],[State]]&amp;" "&amp;Pop[[#This Row],[County]]</f>
        <v>TX McCulloch</v>
      </c>
      <c r="B2865" t="s">
        <v>259</v>
      </c>
      <c r="C2865" s="30" t="s">
        <v>1905</v>
      </c>
      <c r="D2865" s="16">
        <v>8283</v>
      </c>
    </row>
    <row r="2866" spans="1:4" x14ac:dyDescent="0.3">
      <c r="A2866" s="1" t="str">
        <f>Pop[[#This Row],[State]]&amp;" "&amp;Pop[[#This Row],[County]]</f>
        <v>TX McLennan</v>
      </c>
      <c r="B2866" t="s">
        <v>259</v>
      </c>
      <c r="C2866" s="30" t="s">
        <v>1906</v>
      </c>
      <c r="D2866" s="16">
        <v>234906</v>
      </c>
    </row>
    <row r="2867" spans="1:4" x14ac:dyDescent="0.3">
      <c r="A2867" s="1" t="str">
        <f>Pop[[#This Row],[State]]&amp;" "&amp;Pop[[#This Row],[County]]</f>
        <v>TX McMullen</v>
      </c>
      <c r="B2867" t="s">
        <v>259</v>
      </c>
      <c r="C2867" s="30" t="s">
        <v>1907</v>
      </c>
      <c r="D2867" s="16">
        <v>707</v>
      </c>
    </row>
    <row r="2868" spans="1:4" x14ac:dyDescent="0.3">
      <c r="A2868" s="1" t="str">
        <f>Pop[[#This Row],[State]]&amp;" "&amp;Pop[[#This Row],[County]]</f>
        <v>TX Medina</v>
      </c>
      <c r="B2868" t="s">
        <v>259</v>
      </c>
      <c r="C2868" s="30" t="s">
        <v>1538</v>
      </c>
      <c r="D2868" s="16">
        <v>46006</v>
      </c>
    </row>
    <row r="2869" spans="1:4" x14ac:dyDescent="0.3">
      <c r="A2869" s="1" t="str">
        <f>Pop[[#This Row],[State]]&amp;" "&amp;Pop[[#This Row],[County]]</f>
        <v>TX Menard</v>
      </c>
      <c r="B2869" t="s">
        <v>259</v>
      </c>
      <c r="C2869" s="30" t="s">
        <v>813</v>
      </c>
      <c r="D2869" s="16">
        <v>2242</v>
      </c>
    </row>
    <row r="2870" spans="1:4" x14ac:dyDescent="0.3">
      <c r="A2870" s="1" t="str">
        <f>Pop[[#This Row],[State]]&amp;" "&amp;Pop[[#This Row],[County]]</f>
        <v>TX Midland</v>
      </c>
      <c r="B2870" t="s">
        <v>259</v>
      </c>
      <c r="C2870" s="30" t="s">
        <v>1109</v>
      </c>
      <c r="D2870" s="16">
        <v>136872</v>
      </c>
    </row>
    <row r="2871" spans="1:4" x14ac:dyDescent="0.3">
      <c r="A2871" s="1" t="str">
        <f>Pop[[#This Row],[State]]&amp;" "&amp;Pop[[#This Row],[County]]</f>
        <v>TX Milam</v>
      </c>
      <c r="B2871" t="s">
        <v>259</v>
      </c>
      <c r="C2871" s="30" t="s">
        <v>1908</v>
      </c>
      <c r="D2871" s="16">
        <v>24757</v>
      </c>
    </row>
    <row r="2872" spans="1:4" x14ac:dyDescent="0.3">
      <c r="A2872" s="1" t="str">
        <f>Pop[[#This Row],[State]]&amp;" "&amp;Pop[[#This Row],[County]]</f>
        <v>TX Mills</v>
      </c>
      <c r="B2872" t="s">
        <v>259</v>
      </c>
      <c r="C2872" s="30" t="s">
        <v>732</v>
      </c>
      <c r="D2872" s="16">
        <v>4936</v>
      </c>
    </row>
    <row r="2873" spans="1:4" x14ac:dyDescent="0.3">
      <c r="A2873" s="1" t="str">
        <f>Pop[[#This Row],[State]]&amp;" "&amp;Pop[[#This Row],[County]]</f>
        <v>TX Mitchell</v>
      </c>
      <c r="B2873" t="s">
        <v>259</v>
      </c>
      <c r="C2873" s="30" t="s">
        <v>658</v>
      </c>
      <c r="D2873" s="16">
        <v>9403</v>
      </c>
    </row>
    <row r="2874" spans="1:4" x14ac:dyDescent="0.3">
      <c r="A2874" s="1" t="str">
        <f>Pop[[#This Row],[State]]&amp;" "&amp;Pop[[#This Row],[County]]</f>
        <v>TX Montague</v>
      </c>
      <c r="B2874" t="s">
        <v>259</v>
      </c>
      <c r="C2874" s="30" t="s">
        <v>1909</v>
      </c>
      <c r="D2874" s="16">
        <v>19719</v>
      </c>
    </row>
    <row r="2875" spans="1:4" x14ac:dyDescent="0.3">
      <c r="A2875" s="1" t="str">
        <f>Pop[[#This Row],[State]]&amp;" "&amp;Pop[[#This Row],[County]]</f>
        <v>TX Montgomery</v>
      </c>
      <c r="B2875" t="s">
        <v>259</v>
      </c>
      <c r="C2875" s="30" t="s">
        <v>53</v>
      </c>
      <c r="D2875" s="16">
        <v>455746</v>
      </c>
    </row>
    <row r="2876" spans="1:4" x14ac:dyDescent="0.3">
      <c r="A2876" s="1" t="str">
        <f>Pop[[#This Row],[State]]&amp;" "&amp;Pop[[#This Row],[County]]</f>
        <v>TX Moore</v>
      </c>
      <c r="B2876" t="s">
        <v>259</v>
      </c>
      <c r="C2876" s="30" t="s">
        <v>1343</v>
      </c>
      <c r="D2876" s="16">
        <v>21904</v>
      </c>
    </row>
    <row r="2877" spans="1:4" x14ac:dyDescent="0.3">
      <c r="A2877" s="1" t="str">
        <f>Pop[[#This Row],[State]]&amp;" "&amp;Pop[[#This Row],[County]]</f>
        <v>TX Morris</v>
      </c>
      <c r="B2877" t="s">
        <v>259</v>
      </c>
      <c r="C2877" s="30" t="s">
        <v>895</v>
      </c>
      <c r="D2877" s="16">
        <v>12934</v>
      </c>
    </row>
    <row r="2878" spans="1:4" x14ac:dyDescent="0.3">
      <c r="A2878" s="1" t="str">
        <f>Pop[[#This Row],[State]]&amp;" "&amp;Pop[[#This Row],[County]]</f>
        <v>TX Motley</v>
      </c>
      <c r="B2878" t="s">
        <v>259</v>
      </c>
      <c r="C2878" s="30" t="s">
        <v>1910</v>
      </c>
      <c r="D2878" s="16">
        <v>1210</v>
      </c>
    </row>
    <row r="2879" spans="1:4" x14ac:dyDescent="0.3">
      <c r="A2879" s="1" t="str">
        <f>Pop[[#This Row],[State]]&amp;" "&amp;Pop[[#This Row],[County]]</f>
        <v>TX Nacogdoches</v>
      </c>
      <c r="B2879" t="s">
        <v>259</v>
      </c>
      <c r="C2879" s="30" t="s">
        <v>1911</v>
      </c>
      <c r="D2879" s="16">
        <v>64524</v>
      </c>
    </row>
    <row r="2880" spans="1:4" x14ac:dyDescent="0.3">
      <c r="A2880" s="1" t="str">
        <f>Pop[[#This Row],[State]]&amp;" "&amp;Pop[[#This Row],[County]]</f>
        <v>TX Navarro</v>
      </c>
      <c r="B2880" t="s">
        <v>259</v>
      </c>
      <c r="C2880" s="30" t="s">
        <v>1912</v>
      </c>
      <c r="D2880" s="16">
        <v>47735</v>
      </c>
    </row>
    <row r="2881" spans="1:4" x14ac:dyDescent="0.3">
      <c r="A2881" s="1" t="str">
        <f>Pop[[#This Row],[State]]&amp;" "&amp;Pop[[#This Row],[County]]</f>
        <v>TX Newton</v>
      </c>
      <c r="B2881" t="s">
        <v>259</v>
      </c>
      <c r="C2881" s="30" t="s">
        <v>383</v>
      </c>
      <c r="D2881" s="16">
        <v>14445</v>
      </c>
    </row>
    <row r="2882" spans="1:4" x14ac:dyDescent="0.3">
      <c r="A2882" s="1" t="str">
        <f>Pop[[#This Row],[State]]&amp;" "&amp;Pop[[#This Row],[County]]</f>
        <v>TX Nolan</v>
      </c>
      <c r="B2882" t="s">
        <v>259</v>
      </c>
      <c r="C2882" s="30" t="s">
        <v>1913</v>
      </c>
      <c r="D2882" s="16">
        <v>15216</v>
      </c>
    </row>
    <row r="2883" spans="1:4" x14ac:dyDescent="0.3">
      <c r="A2883" s="1" t="str">
        <f>Pop[[#This Row],[State]]&amp;" "&amp;Pop[[#This Row],[County]]</f>
        <v>TX Nueces</v>
      </c>
      <c r="B2883" t="s">
        <v>259</v>
      </c>
      <c r="C2883" s="30" t="s">
        <v>1914</v>
      </c>
      <c r="D2883" s="16">
        <v>340223</v>
      </c>
    </row>
    <row r="2884" spans="1:4" x14ac:dyDescent="0.3">
      <c r="A2884" s="1" t="str">
        <f>Pop[[#This Row],[State]]&amp;" "&amp;Pop[[#This Row],[County]]</f>
        <v>TX Ochiltree</v>
      </c>
      <c r="B2884" t="s">
        <v>259</v>
      </c>
      <c r="C2884" s="30" t="s">
        <v>1915</v>
      </c>
      <c r="D2884" s="16">
        <v>10223</v>
      </c>
    </row>
    <row r="2885" spans="1:4" x14ac:dyDescent="0.3">
      <c r="A2885" s="1" t="str">
        <f>Pop[[#This Row],[State]]&amp;" "&amp;Pop[[#This Row],[County]]</f>
        <v>TX Oldham</v>
      </c>
      <c r="B2885" t="s">
        <v>259</v>
      </c>
      <c r="C2885" s="30" t="s">
        <v>972</v>
      </c>
      <c r="D2885" s="16">
        <v>2052</v>
      </c>
    </row>
    <row r="2886" spans="1:4" x14ac:dyDescent="0.3">
      <c r="A2886" s="1" t="str">
        <f>Pop[[#This Row],[State]]&amp;" "&amp;Pop[[#This Row],[County]]</f>
        <v>TX Orange</v>
      </c>
      <c r="B2886" t="s">
        <v>259</v>
      </c>
      <c r="C2886" s="30" t="s">
        <v>55</v>
      </c>
      <c r="D2886" s="16">
        <v>81837</v>
      </c>
    </row>
    <row r="2887" spans="1:4" x14ac:dyDescent="0.3">
      <c r="A2887" s="1" t="str">
        <f>Pop[[#This Row],[State]]&amp;" "&amp;Pop[[#This Row],[County]]</f>
        <v>TX Palo Pinto</v>
      </c>
      <c r="B2887" t="s">
        <v>259</v>
      </c>
      <c r="C2887" s="30" t="s">
        <v>1916</v>
      </c>
      <c r="D2887" s="16">
        <v>28111</v>
      </c>
    </row>
    <row r="2888" spans="1:4" x14ac:dyDescent="0.3">
      <c r="A2888" s="1" t="str">
        <f>Pop[[#This Row],[State]]&amp;" "&amp;Pop[[#This Row],[County]]</f>
        <v>TX Panola</v>
      </c>
      <c r="B2888" t="s">
        <v>259</v>
      </c>
      <c r="C2888" s="30" t="s">
        <v>1253</v>
      </c>
      <c r="D2888" s="16">
        <v>23796</v>
      </c>
    </row>
    <row r="2889" spans="1:4" x14ac:dyDescent="0.3">
      <c r="A2889" s="1" t="str">
        <f>Pop[[#This Row],[State]]&amp;" "&amp;Pop[[#This Row],[County]]</f>
        <v>TX Parker</v>
      </c>
      <c r="B2889" t="s">
        <v>259</v>
      </c>
      <c r="C2889" s="30" t="s">
        <v>1917</v>
      </c>
      <c r="D2889" s="16">
        <v>116927</v>
      </c>
    </row>
    <row r="2890" spans="1:4" x14ac:dyDescent="0.3">
      <c r="A2890" s="1" t="str">
        <f>Pop[[#This Row],[State]]&amp;" "&amp;Pop[[#This Row],[County]]</f>
        <v>TX Parmer</v>
      </c>
      <c r="B2890" t="s">
        <v>259</v>
      </c>
      <c r="C2890" s="30" t="s">
        <v>1918</v>
      </c>
      <c r="D2890" s="16">
        <v>10269</v>
      </c>
    </row>
    <row r="2891" spans="1:4" x14ac:dyDescent="0.3">
      <c r="A2891" s="1" t="str">
        <f>Pop[[#This Row],[State]]&amp;" "&amp;Pop[[#This Row],[County]]</f>
        <v>TX Pecos</v>
      </c>
      <c r="B2891" t="s">
        <v>259</v>
      </c>
      <c r="C2891" s="30" t="s">
        <v>1919</v>
      </c>
      <c r="D2891" s="16">
        <v>15507</v>
      </c>
    </row>
    <row r="2892" spans="1:4" x14ac:dyDescent="0.3">
      <c r="A2892" s="1" t="str">
        <f>Pop[[#This Row],[State]]&amp;" "&amp;Pop[[#This Row],[County]]</f>
        <v>TX Polk</v>
      </c>
      <c r="B2892" t="s">
        <v>259</v>
      </c>
      <c r="C2892" s="30" t="s">
        <v>387</v>
      </c>
      <c r="D2892" s="16">
        <v>45413</v>
      </c>
    </row>
    <row r="2893" spans="1:4" x14ac:dyDescent="0.3">
      <c r="A2893" s="1" t="str">
        <f>Pop[[#This Row],[State]]&amp;" "&amp;Pop[[#This Row],[County]]</f>
        <v>TX Potter</v>
      </c>
      <c r="B2893" t="s">
        <v>259</v>
      </c>
      <c r="C2893" s="30" t="s">
        <v>1635</v>
      </c>
      <c r="D2893" s="16">
        <v>121073</v>
      </c>
    </row>
    <row r="2894" spans="1:4" x14ac:dyDescent="0.3">
      <c r="A2894" s="1" t="str">
        <f>Pop[[#This Row],[State]]&amp;" "&amp;Pop[[#This Row],[County]]</f>
        <v>TX Presidio</v>
      </c>
      <c r="B2894" t="s">
        <v>259</v>
      </c>
      <c r="C2894" s="30" t="s">
        <v>1920</v>
      </c>
      <c r="D2894" s="16">
        <v>7818</v>
      </c>
    </row>
    <row r="2895" spans="1:4" x14ac:dyDescent="0.3">
      <c r="A2895" s="1" t="str">
        <f>Pop[[#This Row],[State]]&amp;" "&amp;Pop[[#This Row],[County]]</f>
        <v>TX Rains</v>
      </c>
      <c r="B2895" t="s">
        <v>259</v>
      </c>
      <c r="C2895" s="30" t="s">
        <v>1921</v>
      </c>
      <c r="D2895" s="16">
        <v>10914</v>
      </c>
    </row>
    <row r="2896" spans="1:4" x14ac:dyDescent="0.3">
      <c r="A2896" s="1" t="str">
        <f>Pop[[#This Row],[State]]&amp;" "&amp;Pop[[#This Row],[County]]</f>
        <v>TX Randall</v>
      </c>
      <c r="B2896" t="s">
        <v>259</v>
      </c>
      <c r="C2896" s="30" t="s">
        <v>1922</v>
      </c>
      <c r="D2896" s="16">
        <v>120725</v>
      </c>
    </row>
    <row r="2897" spans="1:4" x14ac:dyDescent="0.3">
      <c r="A2897" s="1" t="str">
        <f>Pop[[#This Row],[State]]&amp;" "&amp;Pop[[#This Row],[County]]</f>
        <v>TX Reagan</v>
      </c>
      <c r="B2897" t="s">
        <v>259</v>
      </c>
      <c r="C2897" s="30" t="s">
        <v>1923</v>
      </c>
      <c r="D2897" s="16">
        <v>3367</v>
      </c>
    </row>
    <row r="2898" spans="1:4" x14ac:dyDescent="0.3">
      <c r="A2898" s="1" t="str">
        <f>Pop[[#This Row],[State]]&amp;" "&amp;Pop[[#This Row],[County]]</f>
        <v>TX Real</v>
      </c>
      <c r="B2898" t="s">
        <v>259</v>
      </c>
      <c r="C2898" s="30" t="s">
        <v>1924</v>
      </c>
      <c r="D2898" s="16">
        <v>3309</v>
      </c>
    </row>
    <row r="2899" spans="1:4" x14ac:dyDescent="0.3">
      <c r="A2899" s="1" t="str">
        <f>Pop[[#This Row],[State]]&amp;" "&amp;Pop[[#This Row],[County]]</f>
        <v>TX Red River</v>
      </c>
      <c r="B2899" t="s">
        <v>259</v>
      </c>
      <c r="C2899" s="30" t="s">
        <v>1013</v>
      </c>
      <c r="D2899" s="16">
        <v>12860</v>
      </c>
    </row>
    <row r="2900" spans="1:4" x14ac:dyDescent="0.3">
      <c r="A2900" s="1" t="str">
        <f>Pop[[#This Row],[State]]&amp;" "&amp;Pop[[#This Row],[County]]</f>
        <v>TX Reeves</v>
      </c>
      <c r="B2900" t="s">
        <v>259</v>
      </c>
      <c r="C2900" s="30" t="s">
        <v>1925</v>
      </c>
      <c r="D2900" s="16">
        <v>13783</v>
      </c>
    </row>
    <row r="2901" spans="1:4" x14ac:dyDescent="0.3">
      <c r="A2901" s="1" t="str">
        <f>Pop[[#This Row],[State]]&amp;" "&amp;Pop[[#This Row],[County]]</f>
        <v>TX Refugio</v>
      </c>
      <c r="B2901" t="s">
        <v>259</v>
      </c>
      <c r="C2901" s="30" t="s">
        <v>1926</v>
      </c>
      <c r="D2901" s="16">
        <v>7383</v>
      </c>
    </row>
    <row r="2902" spans="1:4" x14ac:dyDescent="0.3">
      <c r="A2902" s="1" t="str">
        <f>Pop[[#This Row],[State]]&amp;" "&amp;Pop[[#This Row],[County]]</f>
        <v>TX Roberts</v>
      </c>
      <c r="B2902" t="s">
        <v>259</v>
      </c>
      <c r="C2902" s="30" t="s">
        <v>1774</v>
      </c>
      <c r="D2902" s="16">
        <v>929</v>
      </c>
    </row>
    <row r="2903" spans="1:4" x14ac:dyDescent="0.3">
      <c r="A2903" s="1" t="str">
        <f>Pop[[#This Row],[State]]&amp;" "&amp;Pop[[#This Row],[County]]</f>
        <v>TX Robertson</v>
      </c>
      <c r="B2903" t="s">
        <v>259</v>
      </c>
      <c r="C2903" s="30" t="s">
        <v>976</v>
      </c>
      <c r="D2903" s="16">
        <v>16622</v>
      </c>
    </row>
    <row r="2904" spans="1:4" x14ac:dyDescent="0.3">
      <c r="A2904" s="1" t="str">
        <f>Pop[[#This Row],[State]]&amp;" "&amp;Pop[[#This Row],[County]]</f>
        <v>TX Rockwall</v>
      </c>
      <c r="B2904" t="s">
        <v>259</v>
      </c>
      <c r="C2904" s="30" t="s">
        <v>1927</v>
      </c>
      <c r="D2904" s="16">
        <v>78337</v>
      </c>
    </row>
    <row r="2905" spans="1:4" x14ac:dyDescent="0.3">
      <c r="A2905" s="1" t="str">
        <f>Pop[[#This Row],[State]]&amp;" "&amp;Pop[[#This Row],[County]]</f>
        <v>TX Runnels</v>
      </c>
      <c r="B2905" t="s">
        <v>259</v>
      </c>
      <c r="C2905" s="30" t="s">
        <v>1928</v>
      </c>
      <c r="D2905" s="16">
        <v>10501</v>
      </c>
    </row>
    <row r="2906" spans="1:4" x14ac:dyDescent="0.3">
      <c r="A2906" s="1" t="str">
        <f>Pop[[#This Row],[State]]&amp;" "&amp;Pop[[#This Row],[County]]</f>
        <v>TX Rusk</v>
      </c>
      <c r="B2906" t="s">
        <v>259</v>
      </c>
      <c r="C2906" s="30" t="s">
        <v>1929</v>
      </c>
      <c r="D2906" s="16">
        <v>53330</v>
      </c>
    </row>
    <row r="2907" spans="1:4" x14ac:dyDescent="0.3">
      <c r="A2907" s="1" t="str">
        <f>Pop[[#This Row],[State]]&amp;" "&amp;Pop[[#This Row],[County]]</f>
        <v>TX Sabine</v>
      </c>
      <c r="B2907" t="s">
        <v>259</v>
      </c>
      <c r="C2907" s="30" t="s">
        <v>1014</v>
      </c>
      <c r="D2907" s="16">
        <v>10834</v>
      </c>
    </row>
    <row r="2908" spans="1:4" x14ac:dyDescent="0.3">
      <c r="A2908" s="1" t="str">
        <f>Pop[[#This Row],[State]]&amp;" "&amp;Pop[[#This Row],[County]]</f>
        <v>TX San Augustine</v>
      </c>
      <c r="B2908" t="s">
        <v>259</v>
      </c>
      <c r="C2908" s="30" t="s">
        <v>1930</v>
      </c>
      <c r="D2908" s="16">
        <v>8865</v>
      </c>
    </row>
    <row r="2909" spans="1:4" x14ac:dyDescent="0.3">
      <c r="A2909" s="1" t="str">
        <f>Pop[[#This Row],[State]]&amp;" "&amp;Pop[[#This Row],[County]]</f>
        <v>TX San Jacinto</v>
      </c>
      <c r="B2909" t="s">
        <v>259</v>
      </c>
      <c r="C2909" s="30" t="s">
        <v>1931</v>
      </c>
      <c r="D2909" s="16">
        <v>26384</v>
      </c>
    </row>
    <row r="2910" spans="1:4" x14ac:dyDescent="0.3">
      <c r="A2910" s="1" t="str">
        <f>Pop[[#This Row],[State]]&amp;" "&amp;Pop[[#This Row],[County]]</f>
        <v>TX San Patricio</v>
      </c>
      <c r="B2910" t="s">
        <v>259</v>
      </c>
      <c r="C2910" s="30" t="s">
        <v>1932</v>
      </c>
      <c r="D2910" s="16">
        <v>64804</v>
      </c>
    </row>
    <row r="2911" spans="1:4" x14ac:dyDescent="0.3">
      <c r="A2911" s="1" t="str">
        <f>Pop[[#This Row],[State]]&amp;" "&amp;Pop[[#This Row],[County]]</f>
        <v>TX San Saba</v>
      </c>
      <c r="B2911" t="s">
        <v>259</v>
      </c>
      <c r="C2911" s="30" t="s">
        <v>1933</v>
      </c>
      <c r="D2911" s="16">
        <v>6131</v>
      </c>
    </row>
    <row r="2912" spans="1:4" x14ac:dyDescent="0.3">
      <c r="A2912" s="1" t="str">
        <f>Pop[[#This Row],[State]]&amp;" "&amp;Pop[[#This Row],[County]]</f>
        <v>TX Schleicher</v>
      </c>
      <c r="B2912" t="s">
        <v>259</v>
      </c>
      <c r="C2912" s="30" t="s">
        <v>1934</v>
      </c>
      <c r="D2912" s="16">
        <v>3461</v>
      </c>
    </row>
    <row r="2913" spans="1:4" x14ac:dyDescent="0.3">
      <c r="A2913" s="1" t="str">
        <f>Pop[[#This Row],[State]]&amp;" "&amp;Pop[[#This Row],[County]]</f>
        <v>TX Scurry</v>
      </c>
      <c r="B2913" t="s">
        <v>259</v>
      </c>
      <c r="C2913" s="30" t="s">
        <v>1935</v>
      </c>
      <c r="D2913" s="16">
        <v>16921</v>
      </c>
    </row>
    <row r="2914" spans="1:4" x14ac:dyDescent="0.3">
      <c r="A2914" s="1" t="str">
        <f>Pop[[#This Row],[State]]&amp;" "&amp;Pop[[#This Row],[County]]</f>
        <v>TX Shackelford</v>
      </c>
      <c r="B2914" t="s">
        <v>259</v>
      </c>
      <c r="C2914" s="30" t="s">
        <v>1936</v>
      </c>
      <c r="D2914" s="16">
        <v>3378</v>
      </c>
    </row>
    <row r="2915" spans="1:4" x14ac:dyDescent="0.3">
      <c r="A2915" s="1" t="str">
        <f>Pop[[#This Row],[State]]&amp;" "&amp;Pop[[#This Row],[County]]</f>
        <v>TX Shelby</v>
      </c>
      <c r="B2915" t="s">
        <v>259</v>
      </c>
      <c r="C2915" s="30" t="s">
        <v>59</v>
      </c>
      <c r="D2915" s="16">
        <v>25448</v>
      </c>
    </row>
    <row r="2916" spans="1:4" x14ac:dyDescent="0.3">
      <c r="A2916" s="1" t="str">
        <f>Pop[[#This Row],[State]]&amp;" "&amp;Pop[[#This Row],[County]]</f>
        <v>TX Sherman</v>
      </c>
      <c r="B2916" t="s">
        <v>259</v>
      </c>
      <c r="C2916" s="30" t="s">
        <v>916</v>
      </c>
      <c r="D2916" s="16">
        <v>3034</v>
      </c>
    </row>
    <row r="2917" spans="1:4" x14ac:dyDescent="0.3">
      <c r="A2917" s="1" t="str">
        <f>Pop[[#This Row],[State]]&amp;" "&amp;Pop[[#This Row],[County]]</f>
        <v>TX Smith</v>
      </c>
      <c r="B2917" t="s">
        <v>259</v>
      </c>
      <c r="C2917" s="30" t="s">
        <v>917</v>
      </c>
      <c r="D2917" s="16">
        <v>209714</v>
      </c>
    </row>
    <row r="2918" spans="1:4" x14ac:dyDescent="0.3">
      <c r="A2918" s="1" t="str">
        <f>Pop[[#This Row],[State]]&amp;" "&amp;Pop[[#This Row],[County]]</f>
        <v>TX Somervell</v>
      </c>
      <c r="B2918" t="s">
        <v>259</v>
      </c>
      <c r="C2918" s="30" t="s">
        <v>1937</v>
      </c>
      <c r="D2918" s="16">
        <v>8490</v>
      </c>
    </row>
    <row r="2919" spans="1:4" x14ac:dyDescent="0.3">
      <c r="A2919" s="1" t="str">
        <f>Pop[[#This Row],[State]]&amp;" "&amp;Pop[[#This Row],[County]]</f>
        <v>TX Starr</v>
      </c>
      <c r="B2919" t="s">
        <v>259</v>
      </c>
      <c r="C2919" s="30" t="s">
        <v>1938</v>
      </c>
      <c r="D2919" s="16">
        <v>60968</v>
      </c>
    </row>
    <row r="2920" spans="1:4" x14ac:dyDescent="0.3">
      <c r="A2920" s="1" t="str">
        <f>Pop[[#This Row],[State]]&amp;" "&amp;Pop[[#This Row],[County]]</f>
        <v>TX Stephens</v>
      </c>
      <c r="B2920" t="s">
        <v>259</v>
      </c>
      <c r="C2920" s="30" t="s">
        <v>673</v>
      </c>
      <c r="D2920" s="16">
        <v>9630</v>
      </c>
    </row>
    <row r="2921" spans="1:4" x14ac:dyDescent="0.3">
      <c r="A2921" s="1" t="str">
        <f>Pop[[#This Row],[State]]&amp;" "&amp;Pop[[#This Row],[County]]</f>
        <v>TX Sterling</v>
      </c>
      <c r="B2921" t="s">
        <v>259</v>
      </c>
      <c r="C2921" s="30" t="s">
        <v>1939</v>
      </c>
      <c r="D2921" s="16">
        <v>1143</v>
      </c>
    </row>
    <row r="2922" spans="1:4" x14ac:dyDescent="0.3">
      <c r="A2922" s="1" t="str">
        <f>Pop[[#This Row],[State]]&amp;" "&amp;Pop[[#This Row],[County]]</f>
        <v>TX Stonewall</v>
      </c>
      <c r="B2922" t="s">
        <v>259</v>
      </c>
      <c r="C2922" s="30" t="s">
        <v>1940</v>
      </c>
      <c r="D2922" s="16">
        <v>1490</v>
      </c>
    </row>
    <row r="2923" spans="1:4" x14ac:dyDescent="0.3">
      <c r="A2923" s="1" t="str">
        <f>Pop[[#This Row],[State]]&amp;" "&amp;Pop[[#This Row],[County]]</f>
        <v>TX Sutton</v>
      </c>
      <c r="B2923" t="s">
        <v>259</v>
      </c>
      <c r="C2923" s="30" t="s">
        <v>1941</v>
      </c>
      <c r="D2923" s="16">
        <v>4128</v>
      </c>
    </row>
    <row r="2924" spans="1:4" x14ac:dyDescent="0.3">
      <c r="A2924" s="1" t="str">
        <f>Pop[[#This Row],[State]]&amp;" "&amp;Pop[[#This Row],[County]]</f>
        <v>TX Swisher</v>
      </c>
      <c r="B2924" t="s">
        <v>259</v>
      </c>
      <c r="C2924" s="30" t="s">
        <v>1942</v>
      </c>
      <c r="D2924" s="16">
        <v>7854</v>
      </c>
    </row>
    <row r="2925" spans="1:4" x14ac:dyDescent="0.3">
      <c r="A2925" s="1" t="str">
        <f>Pop[[#This Row],[State]]&amp;" "&amp;Pop[[#This Row],[County]]</f>
        <v>TX Tarrant</v>
      </c>
      <c r="B2925" t="s">
        <v>259</v>
      </c>
      <c r="C2925" s="30" t="s">
        <v>1943</v>
      </c>
      <c r="D2925" s="16">
        <v>1809034</v>
      </c>
    </row>
    <row r="2926" spans="1:4" x14ac:dyDescent="0.3">
      <c r="A2926" s="1" t="str">
        <f>Pop[[#This Row],[State]]&amp;" "&amp;Pop[[#This Row],[County]]</f>
        <v>TX Taylor</v>
      </c>
      <c r="B2926" t="s">
        <v>259</v>
      </c>
      <c r="C2926" s="30" t="s">
        <v>588</v>
      </c>
      <c r="D2926" s="16">
        <v>131506</v>
      </c>
    </row>
    <row r="2927" spans="1:4" x14ac:dyDescent="0.3">
      <c r="A2927" s="1" t="str">
        <f>Pop[[#This Row],[State]]&amp;" "&amp;Pop[[#This Row],[County]]</f>
        <v>TX Terrell</v>
      </c>
      <c r="B2927" t="s">
        <v>259</v>
      </c>
      <c r="C2927" s="30" t="s">
        <v>679</v>
      </c>
      <c r="D2927" s="16">
        <v>984</v>
      </c>
    </row>
    <row r="2928" spans="1:4" x14ac:dyDescent="0.3">
      <c r="A2928" s="1" t="str">
        <f>Pop[[#This Row],[State]]&amp;" "&amp;Pop[[#This Row],[County]]</f>
        <v>TX Terry</v>
      </c>
      <c r="B2928" t="s">
        <v>259</v>
      </c>
      <c r="C2928" s="30" t="s">
        <v>1944</v>
      </c>
      <c r="D2928" s="16">
        <v>12651</v>
      </c>
    </row>
    <row r="2929" spans="1:4" x14ac:dyDescent="0.3">
      <c r="A2929" s="1" t="str">
        <f>Pop[[#This Row],[State]]&amp;" "&amp;Pop[[#This Row],[County]]</f>
        <v>TX Throckmorton</v>
      </c>
      <c r="B2929" t="s">
        <v>259</v>
      </c>
      <c r="C2929" s="30" t="s">
        <v>1945</v>
      </c>
      <c r="D2929" s="16">
        <v>1641</v>
      </c>
    </row>
    <row r="2930" spans="1:4" x14ac:dyDescent="0.3">
      <c r="A2930" s="1" t="str">
        <f>Pop[[#This Row],[State]]&amp;" "&amp;Pop[[#This Row],[County]]</f>
        <v>TX Titus</v>
      </c>
      <c r="B2930" t="s">
        <v>259</v>
      </c>
      <c r="C2930" s="30" t="s">
        <v>1946</v>
      </c>
      <c r="D2930" s="16">
        <v>32334</v>
      </c>
    </row>
    <row r="2931" spans="1:4" x14ac:dyDescent="0.3">
      <c r="A2931" s="1" t="str">
        <f>Pop[[#This Row],[State]]&amp;" "&amp;Pop[[#This Row],[County]]</f>
        <v>TX Tom Green</v>
      </c>
      <c r="B2931" t="s">
        <v>259</v>
      </c>
      <c r="C2931" s="30" t="s">
        <v>1947</v>
      </c>
      <c r="D2931" s="16">
        <v>110224</v>
      </c>
    </row>
    <row r="2932" spans="1:4" x14ac:dyDescent="0.3">
      <c r="A2932" s="1" t="str">
        <f>Pop[[#This Row],[State]]&amp;" "&amp;Pop[[#This Row],[County]]</f>
        <v>TX Travis</v>
      </c>
      <c r="B2932" t="s">
        <v>259</v>
      </c>
      <c r="C2932" s="30" t="s">
        <v>1948</v>
      </c>
      <c r="D2932" s="16">
        <v>1024266</v>
      </c>
    </row>
    <row r="2933" spans="1:4" x14ac:dyDescent="0.3">
      <c r="A2933" s="1" t="str">
        <f>Pop[[#This Row],[State]]&amp;" "&amp;Pop[[#This Row],[County]]</f>
        <v>TX Trinity</v>
      </c>
      <c r="B2933" t="s">
        <v>259</v>
      </c>
      <c r="C2933" s="30" t="s">
        <v>472</v>
      </c>
      <c r="D2933" s="16">
        <v>14585</v>
      </c>
    </row>
    <row r="2934" spans="1:4" x14ac:dyDescent="0.3">
      <c r="A2934" s="1" t="str">
        <f>Pop[[#This Row],[State]]&amp;" "&amp;Pop[[#This Row],[County]]</f>
        <v>TX Tyler</v>
      </c>
      <c r="B2934" t="s">
        <v>259</v>
      </c>
      <c r="C2934" s="30" t="s">
        <v>1949</v>
      </c>
      <c r="D2934" s="16">
        <v>21766</v>
      </c>
    </row>
    <row r="2935" spans="1:4" x14ac:dyDescent="0.3">
      <c r="A2935" s="1" t="str">
        <f>Pop[[#This Row],[State]]&amp;" "&amp;Pop[[#This Row],[County]]</f>
        <v>TX Upshur</v>
      </c>
      <c r="B2935" t="s">
        <v>259</v>
      </c>
      <c r="C2935" s="30" t="s">
        <v>1950</v>
      </c>
      <c r="D2935" s="16">
        <v>39309</v>
      </c>
    </row>
    <row r="2936" spans="1:4" x14ac:dyDescent="0.3">
      <c r="A2936" s="1" t="str">
        <f>Pop[[#This Row],[State]]&amp;" "&amp;Pop[[#This Row],[County]]</f>
        <v>TX Upton</v>
      </c>
      <c r="B2936" t="s">
        <v>259</v>
      </c>
      <c r="C2936" s="30" t="s">
        <v>1951</v>
      </c>
      <c r="D2936" s="16">
        <v>3355</v>
      </c>
    </row>
    <row r="2937" spans="1:4" x14ac:dyDescent="0.3">
      <c r="A2937" s="1" t="str">
        <f>Pop[[#This Row],[State]]&amp;" "&amp;Pop[[#This Row],[County]]</f>
        <v>TX Uvalde</v>
      </c>
      <c r="B2937" t="s">
        <v>259</v>
      </c>
      <c r="C2937" s="30" t="s">
        <v>1952</v>
      </c>
      <c r="D2937" s="16">
        <v>26405</v>
      </c>
    </row>
    <row r="2938" spans="1:4" x14ac:dyDescent="0.3">
      <c r="A2938" s="1" t="str">
        <f>Pop[[#This Row],[State]]&amp;" "&amp;Pop[[#This Row],[County]]</f>
        <v>TX Val Verde</v>
      </c>
      <c r="B2938" t="s">
        <v>259</v>
      </c>
      <c r="C2938" s="30" t="s">
        <v>1953</v>
      </c>
      <c r="D2938" s="16">
        <v>48879</v>
      </c>
    </row>
    <row r="2939" spans="1:4" x14ac:dyDescent="0.3">
      <c r="A2939" s="1" t="str">
        <f>Pop[[#This Row],[State]]&amp;" "&amp;Pop[[#This Row],[County]]</f>
        <v>TX Van Zandt</v>
      </c>
      <c r="B2939" t="s">
        <v>259</v>
      </c>
      <c r="C2939" s="30" t="s">
        <v>1954</v>
      </c>
      <c r="D2939" s="16">
        <v>52579</v>
      </c>
    </row>
    <row r="2940" spans="1:4" x14ac:dyDescent="0.3">
      <c r="A2940" s="1" t="str">
        <f>Pop[[#This Row],[State]]&amp;" "&amp;Pop[[#This Row],[County]]</f>
        <v>TX Victoria</v>
      </c>
      <c r="B2940" t="s">
        <v>259</v>
      </c>
      <c r="C2940" s="30" t="s">
        <v>1955</v>
      </c>
      <c r="D2940" s="16">
        <v>86793</v>
      </c>
    </row>
    <row r="2941" spans="1:4" x14ac:dyDescent="0.3">
      <c r="A2941" s="1" t="str">
        <f>Pop[[#This Row],[State]]&amp;" "&amp;Pop[[#This Row],[County]]</f>
        <v>TX Walker</v>
      </c>
      <c r="B2941" t="s">
        <v>259</v>
      </c>
      <c r="C2941" s="30" t="s">
        <v>349</v>
      </c>
      <c r="D2941" s="16">
        <v>67861</v>
      </c>
    </row>
    <row r="2942" spans="1:4" x14ac:dyDescent="0.3">
      <c r="A2942" s="1" t="str">
        <f>Pop[[#This Row],[State]]&amp;" "&amp;Pop[[#This Row],[County]]</f>
        <v>TX Waller</v>
      </c>
      <c r="B2942" t="s">
        <v>259</v>
      </c>
      <c r="C2942" s="30" t="s">
        <v>1956</v>
      </c>
      <c r="D2942" s="16">
        <v>43205</v>
      </c>
    </row>
    <row r="2943" spans="1:4" x14ac:dyDescent="0.3">
      <c r="A2943" s="1" t="str">
        <f>Pop[[#This Row],[State]]&amp;" "&amp;Pop[[#This Row],[County]]</f>
        <v>TX Ward</v>
      </c>
      <c r="B2943" t="s">
        <v>259</v>
      </c>
      <c r="C2943" s="30" t="s">
        <v>1399</v>
      </c>
      <c r="D2943" s="16">
        <v>10658</v>
      </c>
    </row>
    <row r="2944" spans="1:4" x14ac:dyDescent="0.3">
      <c r="A2944" s="1" t="str">
        <f>Pop[[#This Row],[State]]&amp;" "&amp;Pop[[#This Row],[County]]</f>
        <v>TX Washington</v>
      </c>
      <c r="B2944" t="s">
        <v>259</v>
      </c>
      <c r="C2944" s="30" t="s">
        <v>65</v>
      </c>
      <c r="D2944" s="16">
        <v>33718</v>
      </c>
    </row>
    <row r="2945" spans="1:4" x14ac:dyDescent="0.3">
      <c r="A2945" s="1" t="str">
        <f>Pop[[#This Row],[State]]&amp;" "&amp;Pop[[#This Row],[County]]</f>
        <v>TX Webb</v>
      </c>
      <c r="B2945" t="s">
        <v>259</v>
      </c>
      <c r="C2945" s="30" t="s">
        <v>1957</v>
      </c>
      <c r="D2945" s="16">
        <v>250304</v>
      </c>
    </row>
    <row r="2946" spans="1:4" x14ac:dyDescent="0.3">
      <c r="A2946" s="1" t="str">
        <f>Pop[[#This Row],[State]]&amp;" "&amp;Pop[[#This Row],[County]]</f>
        <v>TX Wharton</v>
      </c>
      <c r="B2946" t="s">
        <v>259</v>
      </c>
      <c r="C2946" s="30" t="s">
        <v>1958</v>
      </c>
      <c r="D2946" s="16">
        <v>41280</v>
      </c>
    </row>
    <row r="2947" spans="1:4" x14ac:dyDescent="0.3">
      <c r="A2947" s="1" t="str">
        <f>Pop[[#This Row],[State]]&amp;" "&amp;Pop[[#This Row],[County]]</f>
        <v>TX Wheeler</v>
      </c>
      <c r="B2947" t="s">
        <v>259</v>
      </c>
      <c r="C2947" s="30" t="s">
        <v>693</v>
      </c>
      <c r="D2947" s="16">
        <v>5410</v>
      </c>
    </row>
    <row r="2948" spans="1:4" x14ac:dyDescent="0.3">
      <c r="A2948" s="1" t="str">
        <f>Pop[[#This Row],[State]]&amp;" "&amp;Pop[[#This Row],[County]]</f>
        <v>TX Wichita</v>
      </c>
      <c r="B2948" t="s">
        <v>259</v>
      </c>
      <c r="C2948" s="30" t="s">
        <v>925</v>
      </c>
      <c r="D2948" s="16">
        <v>131500</v>
      </c>
    </row>
    <row r="2949" spans="1:4" x14ac:dyDescent="0.3">
      <c r="A2949" s="1" t="str">
        <f>Pop[[#This Row],[State]]&amp;" "&amp;Pop[[#This Row],[County]]</f>
        <v>TX Wilbarger</v>
      </c>
      <c r="B2949" t="s">
        <v>259</v>
      </c>
      <c r="C2949" s="30" t="s">
        <v>1959</v>
      </c>
      <c r="D2949" s="16">
        <v>13535</v>
      </c>
    </row>
    <row r="2950" spans="1:4" x14ac:dyDescent="0.3">
      <c r="A2950" s="1" t="str">
        <f>Pop[[#This Row],[State]]&amp;" "&amp;Pop[[#This Row],[County]]</f>
        <v>TX Willacy</v>
      </c>
      <c r="B2950" t="s">
        <v>259</v>
      </c>
      <c r="C2950" s="30" t="s">
        <v>1960</v>
      </c>
      <c r="D2950" s="16">
        <v>22134</v>
      </c>
    </row>
    <row r="2951" spans="1:4" x14ac:dyDescent="0.3">
      <c r="A2951" s="1" t="str">
        <f>Pop[[#This Row],[State]]&amp;" "&amp;Pop[[#This Row],[County]]</f>
        <v>TX Williamson</v>
      </c>
      <c r="B2951" t="s">
        <v>259</v>
      </c>
      <c r="C2951" s="30" t="s">
        <v>830</v>
      </c>
      <c r="D2951" s="16">
        <v>422679</v>
      </c>
    </row>
    <row r="2952" spans="1:4" x14ac:dyDescent="0.3">
      <c r="A2952" s="1" t="str">
        <f>Pop[[#This Row],[State]]&amp;" "&amp;Pop[[#This Row],[County]]</f>
        <v>TX Wilson</v>
      </c>
      <c r="B2952" t="s">
        <v>259</v>
      </c>
      <c r="C2952" s="30" t="s">
        <v>926</v>
      </c>
      <c r="D2952" s="16">
        <v>42918</v>
      </c>
    </row>
    <row r="2953" spans="1:4" x14ac:dyDescent="0.3">
      <c r="A2953" s="1" t="str">
        <f>Pop[[#This Row],[State]]&amp;" "&amp;Pop[[#This Row],[County]]</f>
        <v>TX Winkler</v>
      </c>
      <c r="B2953" t="s">
        <v>259</v>
      </c>
      <c r="C2953" s="30" t="s">
        <v>1961</v>
      </c>
      <c r="D2953" s="16">
        <v>7110</v>
      </c>
    </row>
    <row r="2954" spans="1:4" x14ac:dyDescent="0.3">
      <c r="A2954" s="1" t="str">
        <f>Pop[[#This Row],[State]]&amp;" "&amp;Pop[[#This Row],[County]]</f>
        <v>TX Wise</v>
      </c>
      <c r="B2954" t="s">
        <v>259</v>
      </c>
      <c r="C2954" s="30" t="s">
        <v>1962</v>
      </c>
      <c r="D2954" s="16">
        <v>59127</v>
      </c>
    </row>
    <row r="2955" spans="1:4" x14ac:dyDescent="0.3">
      <c r="A2955" s="1" t="str">
        <f>Pop[[#This Row],[State]]&amp;" "&amp;Pop[[#This Row],[County]]</f>
        <v>TX Wood</v>
      </c>
      <c r="B2955" t="s">
        <v>259</v>
      </c>
      <c r="C2955" s="30" t="s">
        <v>1552</v>
      </c>
      <c r="D2955" s="16">
        <v>41964</v>
      </c>
    </row>
    <row r="2956" spans="1:4" x14ac:dyDescent="0.3">
      <c r="A2956" s="1" t="str">
        <f>Pop[[#This Row],[State]]&amp;" "&amp;Pop[[#This Row],[County]]</f>
        <v>TX Yoakum</v>
      </c>
      <c r="B2956" t="s">
        <v>259</v>
      </c>
      <c r="C2956" s="30" t="s">
        <v>1963</v>
      </c>
      <c r="D2956" s="16">
        <v>7879</v>
      </c>
    </row>
    <row r="2957" spans="1:4" x14ac:dyDescent="0.3">
      <c r="A2957" s="1" t="str">
        <f>Pop[[#This Row],[State]]&amp;" "&amp;Pop[[#This Row],[County]]</f>
        <v>TX Young</v>
      </c>
      <c r="B2957" t="s">
        <v>259</v>
      </c>
      <c r="C2957" s="30" t="s">
        <v>1964</v>
      </c>
      <c r="D2957" s="16">
        <v>18550</v>
      </c>
    </row>
    <row r="2958" spans="1:4" x14ac:dyDescent="0.3">
      <c r="A2958" s="1" t="str">
        <f>Pop[[#This Row],[State]]&amp;" "&amp;Pop[[#This Row],[County]]</f>
        <v>TX Zapata</v>
      </c>
      <c r="B2958" t="s">
        <v>259</v>
      </c>
      <c r="C2958" s="30" t="s">
        <v>1965</v>
      </c>
      <c r="D2958" s="16">
        <v>14018</v>
      </c>
    </row>
    <row r="2959" spans="1:4" x14ac:dyDescent="0.3">
      <c r="A2959" s="1" t="str">
        <f>Pop[[#This Row],[State]]&amp;" "&amp;Pop[[#This Row],[County]]</f>
        <v>TX Zavala</v>
      </c>
      <c r="B2959" t="s">
        <v>259</v>
      </c>
      <c r="C2959" s="30" t="s">
        <v>1966</v>
      </c>
      <c r="D2959" s="16">
        <v>11677</v>
      </c>
    </row>
    <row r="2960" spans="1:4" x14ac:dyDescent="0.3">
      <c r="A2960" s="1" t="str">
        <f>Pop[[#This Row],[State]]&amp;" "&amp;Pop[[#This Row],[County]]</f>
        <v>TX State Agencies</v>
      </c>
      <c r="B2960" t="s">
        <v>259</v>
      </c>
      <c r="C2960" s="30" t="s">
        <v>243</v>
      </c>
      <c r="D2960" s="16" t="s">
        <v>244</v>
      </c>
    </row>
    <row r="2961" spans="1:4" x14ac:dyDescent="0.3">
      <c r="A2961" s="1" t="str">
        <f>Pop[[#This Row],[State]]&amp;" "&amp;Pop[[#This Row],[County]]</f>
        <v>TX Grand Total</v>
      </c>
      <c r="B2961" t="s">
        <v>259</v>
      </c>
      <c r="C2961" s="30" t="s">
        <v>67</v>
      </c>
      <c r="D2961" s="16">
        <v>25145561</v>
      </c>
    </row>
    <row r="2962" spans="1:4" x14ac:dyDescent="0.3">
      <c r="A2962" s="1" t="str">
        <f>Pop[[#This Row],[State]]&amp;" "&amp;Pop[[#This Row],[County]]</f>
        <v>UT Beaver</v>
      </c>
      <c r="B2962" t="s">
        <v>286</v>
      </c>
      <c r="C2962" s="30" t="s">
        <v>1556</v>
      </c>
      <c r="D2962" s="16">
        <v>6629</v>
      </c>
    </row>
    <row r="2963" spans="1:4" x14ac:dyDescent="0.3">
      <c r="A2963" s="1" t="str">
        <f>Pop[[#This Row],[State]]&amp;" "&amp;Pop[[#This Row],[County]]</f>
        <v>UT Box Elder</v>
      </c>
      <c r="B2963" t="s">
        <v>286</v>
      </c>
      <c r="C2963" s="30" t="s">
        <v>1967</v>
      </c>
      <c r="D2963" s="16">
        <v>49975</v>
      </c>
    </row>
    <row r="2964" spans="1:4" x14ac:dyDescent="0.3">
      <c r="A2964" s="1" t="str">
        <f>Pop[[#This Row],[State]]&amp;" "&amp;Pop[[#This Row],[County]]</f>
        <v>UT Cache</v>
      </c>
      <c r="B2964" t="s">
        <v>286</v>
      </c>
      <c r="C2964" s="30" t="s">
        <v>1968</v>
      </c>
      <c r="D2964" s="16">
        <v>112656</v>
      </c>
    </row>
    <row r="2965" spans="1:4" x14ac:dyDescent="0.3">
      <c r="A2965" s="1" t="str">
        <f>Pop[[#This Row],[State]]&amp;" "&amp;Pop[[#This Row],[County]]</f>
        <v>UT Carbon</v>
      </c>
      <c r="B2965" t="s">
        <v>286</v>
      </c>
      <c r="C2965" s="30" t="s">
        <v>1271</v>
      </c>
      <c r="D2965" s="16">
        <v>21403</v>
      </c>
    </row>
    <row r="2966" spans="1:4" x14ac:dyDescent="0.3">
      <c r="A2966" s="1" t="str">
        <f>Pop[[#This Row],[State]]&amp;" "&amp;Pop[[#This Row],[County]]</f>
        <v>UT Daggett</v>
      </c>
      <c r="B2966" t="s">
        <v>286</v>
      </c>
      <c r="C2966" s="30" t="s">
        <v>1969</v>
      </c>
      <c r="D2966" s="16">
        <v>1059</v>
      </c>
    </row>
    <row r="2967" spans="1:4" x14ac:dyDescent="0.3">
      <c r="A2967" s="1" t="str">
        <f>Pop[[#This Row],[State]]&amp;" "&amp;Pop[[#This Row],[County]]</f>
        <v>UT Davis</v>
      </c>
      <c r="B2967" t="s">
        <v>286</v>
      </c>
      <c r="C2967" s="30" t="s">
        <v>716</v>
      </c>
      <c r="D2967" s="16">
        <v>306479</v>
      </c>
    </row>
    <row r="2968" spans="1:4" x14ac:dyDescent="0.3">
      <c r="A2968" s="1" t="str">
        <f>Pop[[#This Row],[State]]&amp;" "&amp;Pop[[#This Row],[County]]</f>
        <v>UT Duchesne</v>
      </c>
      <c r="B2968" t="s">
        <v>286</v>
      </c>
      <c r="C2968" s="30" t="s">
        <v>1970</v>
      </c>
      <c r="D2968" s="16">
        <v>18607</v>
      </c>
    </row>
    <row r="2969" spans="1:4" x14ac:dyDescent="0.3">
      <c r="A2969" s="1" t="str">
        <f>Pop[[#This Row],[State]]&amp;" "&amp;Pop[[#This Row],[County]]</f>
        <v>UT Emery</v>
      </c>
      <c r="B2969" t="s">
        <v>286</v>
      </c>
      <c r="C2969" s="30" t="s">
        <v>1971</v>
      </c>
      <c r="D2969" s="16">
        <v>10976</v>
      </c>
    </row>
    <row r="2970" spans="1:4" x14ac:dyDescent="0.3">
      <c r="A2970" s="1" t="str">
        <f>Pop[[#This Row],[State]]&amp;" "&amp;Pop[[#This Row],[County]]</f>
        <v>UT Garfield</v>
      </c>
      <c r="B2970" t="s">
        <v>286</v>
      </c>
      <c r="C2970" s="30" t="s">
        <v>501</v>
      </c>
      <c r="D2970" s="16">
        <v>5172</v>
      </c>
    </row>
    <row r="2971" spans="1:4" x14ac:dyDescent="0.3">
      <c r="A2971" s="1" t="str">
        <f>Pop[[#This Row],[State]]&amp;" "&amp;Pop[[#This Row],[County]]</f>
        <v>UT Grand</v>
      </c>
      <c r="B2971" t="s">
        <v>286</v>
      </c>
      <c r="C2971" s="30" t="s">
        <v>503</v>
      </c>
      <c r="D2971" s="16">
        <v>9225</v>
      </c>
    </row>
    <row r="2972" spans="1:4" x14ac:dyDescent="0.3">
      <c r="A2972" s="1" t="str">
        <f>Pop[[#This Row],[State]]&amp;" "&amp;Pop[[#This Row],[County]]</f>
        <v>UT Iron</v>
      </c>
      <c r="B2972" t="s">
        <v>286</v>
      </c>
      <c r="C2972" s="30" t="s">
        <v>1094</v>
      </c>
      <c r="D2972" s="16">
        <v>46163</v>
      </c>
    </row>
    <row r="2973" spans="1:4" x14ac:dyDescent="0.3">
      <c r="A2973" s="1" t="str">
        <f>Pop[[#This Row],[State]]&amp;" "&amp;Pop[[#This Row],[County]]</f>
        <v>UT Juab</v>
      </c>
      <c r="B2973" t="s">
        <v>286</v>
      </c>
      <c r="C2973" s="30" t="s">
        <v>1972</v>
      </c>
      <c r="D2973" s="16">
        <v>10246</v>
      </c>
    </row>
    <row r="2974" spans="1:4" x14ac:dyDescent="0.3">
      <c r="A2974" s="1" t="str">
        <f>Pop[[#This Row],[State]]&amp;" "&amp;Pop[[#This Row],[County]]</f>
        <v>UT Kane</v>
      </c>
      <c r="B2974" t="s">
        <v>286</v>
      </c>
      <c r="C2974" s="30" t="s">
        <v>801</v>
      </c>
      <c r="D2974" s="16">
        <v>7125</v>
      </c>
    </row>
    <row r="2975" spans="1:4" x14ac:dyDescent="0.3">
      <c r="A2975" s="1" t="str">
        <f>Pop[[#This Row],[State]]&amp;" "&amp;Pop[[#This Row],[County]]</f>
        <v>UT Millard</v>
      </c>
      <c r="B2975" t="s">
        <v>286</v>
      </c>
      <c r="C2975" s="30" t="s">
        <v>1973</v>
      </c>
      <c r="D2975" s="16">
        <v>12503</v>
      </c>
    </row>
    <row r="2976" spans="1:4" x14ac:dyDescent="0.3">
      <c r="A2976" s="1" t="str">
        <f>Pop[[#This Row],[State]]&amp;" "&amp;Pop[[#This Row],[County]]</f>
        <v>UT Morgan</v>
      </c>
      <c r="B2976" t="s">
        <v>286</v>
      </c>
      <c r="C2976" s="30" t="s">
        <v>54</v>
      </c>
      <c r="D2976" s="16">
        <v>9469</v>
      </c>
    </row>
    <row r="2977" spans="1:4" x14ac:dyDescent="0.3">
      <c r="A2977" s="1" t="str">
        <f>Pop[[#This Row],[State]]&amp;" "&amp;Pop[[#This Row],[County]]</f>
        <v>UT Piute</v>
      </c>
      <c r="B2977" t="s">
        <v>286</v>
      </c>
      <c r="C2977" s="30" t="s">
        <v>1974</v>
      </c>
      <c r="D2977" s="16">
        <v>1556</v>
      </c>
    </row>
    <row r="2978" spans="1:4" x14ac:dyDescent="0.3">
      <c r="A2978" s="1" t="str">
        <f>Pop[[#This Row],[State]]&amp;" "&amp;Pop[[#This Row],[County]]</f>
        <v>UT Rich</v>
      </c>
      <c r="B2978" t="s">
        <v>286</v>
      </c>
      <c r="C2978" s="30" t="s">
        <v>1975</v>
      </c>
      <c r="D2978" s="16">
        <v>2264</v>
      </c>
    </row>
    <row r="2979" spans="1:4" x14ac:dyDescent="0.3">
      <c r="A2979" s="1" t="str">
        <f>Pop[[#This Row],[State]]&amp;" "&amp;Pop[[#This Row],[County]]</f>
        <v>UT Salt Lake</v>
      </c>
      <c r="B2979" t="s">
        <v>286</v>
      </c>
      <c r="C2979" s="30" t="s">
        <v>1976</v>
      </c>
      <c r="D2979" s="16">
        <v>1029655</v>
      </c>
    </row>
    <row r="2980" spans="1:4" x14ac:dyDescent="0.3">
      <c r="A2980" s="1" t="str">
        <f>Pop[[#This Row],[State]]&amp;" "&amp;Pop[[#This Row],[County]]</f>
        <v>UT San Juan</v>
      </c>
      <c r="B2980" t="s">
        <v>286</v>
      </c>
      <c r="C2980" s="30" t="s">
        <v>527</v>
      </c>
      <c r="D2980" s="16">
        <v>14746</v>
      </c>
    </row>
    <row r="2981" spans="1:4" x14ac:dyDescent="0.3">
      <c r="A2981" s="1" t="str">
        <f>Pop[[#This Row],[State]]&amp;" "&amp;Pop[[#This Row],[County]]</f>
        <v>UT Sanpete</v>
      </c>
      <c r="B2981" t="s">
        <v>286</v>
      </c>
      <c r="C2981" s="30" t="s">
        <v>1977</v>
      </c>
      <c r="D2981" s="16">
        <v>27822</v>
      </c>
    </row>
    <row r="2982" spans="1:4" x14ac:dyDescent="0.3">
      <c r="A2982" s="1" t="str">
        <f>Pop[[#This Row],[State]]&amp;" "&amp;Pop[[#This Row],[County]]</f>
        <v>UT Sevier</v>
      </c>
      <c r="B2982" t="s">
        <v>286</v>
      </c>
      <c r="C2982" s="30" t="s">
        <v>395</v>
      </c>
      <c r="D2982" s="16">
        <v>20802</v>
      </c>
    </row>
    <row r="2983" spans="1:4" x14ac:dyDescent="0.3">
      <c r="A2983" s="1" t="str">
        <f>Pop[[#This Row],[State]]&amp;" "&amp;Pop[[#This Row],[County]]</f>
        <v>UT Summit</v>
      </c>
      <c r="B2983" t="s">
        <v>286</v>
      </c>
      <c r="C2983" s="30" t="s">
        <v>530</v>
      </c>
      <c r="D2983" s="16">
        <v>36324</v>
      </c>
    </row>
    <row r="2984" spans="1:4" x14ac:dyDescent="0.3">
      <c r="A2984" s="1" t="str">
        <f>Pop[[#This Row],[State]]&amp;" "&amp;Pop[[#This Row],[County]]</f>
        <v>UT Tooele</v>
      </c>
      <c r="B2984" t="s">
        <v>286</v>
      </c>
      <c r="C2984" s="30" t="s">
        <v>1978</v>
      </c>
      <c r="D2984" s="16">
        <v>58218</v>
      </c>
    </row>
    <row r="2985" spans="1:4" x14ac:dyDescent="0.3">
      <c r="A2985" s="1" t="str">
        <f>Pop[[#This Row],[State]]&amp;" "&amp;Pop[[#This Row],[County]]</f>
        <v>UT Uintah</v>
      </c>
      <c r="B2985" t="s">
        <v>286</v>
      </c>
      <c r="C2985" s="30" t="s">
        <v>1979</v>
      </c>
      <c r="D2985" s="16">
        <v>32588</v>
      </c>
    </row>
    <row r="2986" spans="1:4" x14ac:dyDescent="0.3">
      <c r="A2986" s="1" t="str">
        <f>Pop[[#This Row],[State]]&amp;" "&amp;Pop[[#This Row],[County]]</f>
        <v>UT Utah</v>
      </c>
      <c r="B2986" t="s">
        <v>286</v>
      </c>
      <c r="C2986" s="30" t="s">
        <v>287</v>
      </c>
      <c r="D2986" s="16">
        <v>516564</v>
      </c>
    </row>
    <row r="2987" spans="1:4" x14ac:dyDescent="0.3">
      <c r="A2987" s="1" t="str">
        <f>Pop[[#This Row],[State]]&amp;" "&amp;Pop[[#This Row],[County]]</f>
        <v>UT Wasatch</v>
      </c>
      <c r="B2987" t="s">
        <v>286</v>
      </c>
      <c r="C2987" s="30" t="s">
        <v>1980</v>
      </c>
      <c r="D2987" s="16">
        <v>23530</v>
      </c>
    </row>
    <row r="2988" spans="1:4" x14ac:dyDescent="0.3">
      <c r="A2988" s="1" t="str">
        <f>Pop[[#This Row],[State]]&amp;" "&amp;Pop[[#This Row],[County]]</f>
        <v>UT Washington</v>
      </c>
      <c r="B2988" t="s">
        <v>286</v>
      </c>
      <c r="C2988" s="30" t="s">
        <v>65</v>
      </c>
      <c r="D2988" s="16">
        <v>138115</v>
      </c>
    </row>
    <row r="2989" spans="1:4" x14ac:dyDescent="0.3">
      <c r="A2989" s="1" t="str">
        <f>Pop[[#This Row],[State]]&amp;" "&amp;Pop[[#This Row],[County]]</f>
        <v>UT Wayne</v>
      </c>
      <c r="B2989" t="s">
        <v>286</v>
      </c>
      <c r="C2989" s="30" t="s">
        <v>691</v>
      </c>
      <c r="D2989" s="16">
        <v>2778</v>
      </c>
    </row>
    <row r="2990" spans="1:4" x14ac:dyDescent="0.3">
      <c r="A2990" s="1" t="str">
        <f>Pop[[#This Row],[State]]&amp;" "&amp;Pop[[#This Row],[County]]</f>
        <v>UT Weber</v>
      </c>
      <c r="B2990" t="s">
        <v>286</v>
      </c>
      <c r="C2990" s="30" t="s">
        <v>1981</v>
      </c>
      <c r="D2990" s="16">
        <v>231236</v>
      </c>
    </row>
    <row r="2991" spans="1:4" x14ac:dyDescent="0.3">
      <c r="A2991" s="1" t="str">
        <f>Pop[[#This Row],[State]]&amp;" "&amp;Pop[[#This Row],[County]]</f>
        <v>UT State Agencies</v>
      </c>
      <c r="B2991" t="s">
        <v>286</v>
      </c>
      <c r="C2991" s="30" t="s">
        <v>243</v>
      </c>
      <c r="D2991" s="16" t="s">
        <v>244</v>
      </c>
    </row>
    <row r="2992" spans="1:4" x14ac:dyDescent="0.3">
      <c r="A2992" s="1" t="str">
        <f>Pop[[#This Row],[State]]&amp;" "&amp;Pop[[#This Row],[County]]</f>
        <v>UT Grand Total</v>
      </c>
      <c r="B2992" t="s">
        <v>286</v>
      </c>
      <c r="C2992" s="30" t="s">
        <v>67</v>
      </c>
      <c r="D2992" s="16">
        <v>2763885</v>
      </c>
    </row>
    <row r="2993" spans="1:4" x14ac:dyDescent="0.3">
      <c r="A2993" s="1" t="str">
        <f>Pop[[#This Row],[State]]&amp;" "&amp;Pop[[#This Row],[County]]</f>
        <v>VA Accomack</v>
      </c>
      <c r="B2993" t="s">
        <v>199</v>
      </c>
      <c r="C2993" s="30" t="s">
        <v>1982</v>
      </c>
      <c r="D2993" s="16">
        <v>33164</v>
      </c>
    </row>
    <row r="2994" spans="1:4" x14ac:dyDescent="0.3">
      <c r="A2994" s="1" t="str">
        <f>Pop[[#This Row],[State]]&amp;" "&amp;Pop[[#This Row],[County]]</f>
        <v>VA Albemarle</v>
      </c>
      <c r="B2994" t="s">
        <v>199</v>
      </c>
      <c r="C2994" s="30" t="s">
        <v>1983</v>
      </c>
      <c r="D2994" s="54">
        <v>98970</v>
      </c>
    </row>
    <row r="2995" spans="1:4" x14ac:dyDescent="0.3">
      <c r="A2995" s="1" t="str">
        <f>Pop[[#This Row],[State]]&amp;" "&amp;Pop[[#This Row],[County]]</f>
        <v>VA Alleghany</v>
      </c>
      <c r="B2995" t="s">
        <v>199</v>
      </c>
      <c r="C2995" s="30" t="s">
        <v>1305</v>
      </c>
      <c r="D2995" s="16">
        <v>16250</v>
      </c>
    </row>
    <row r="2996" spans="1:4" x14ac:dyDescent="0.3">
      <c r="A2996" s="1" t="str">
        <f>Pop[[#This Row],[State]]&amp;" "&amp;Pop[[#This Row],[County]]</f>
        <v>VA Amelia</v>
      </c>
      <c r="B2996" t="s">
        <v>199</v>
      </c>
      <c r="C2996" s="30" t="s">
        <v>1984</v>
      </c>
      <c r="D2996" s="16">
        <v>12690</v>
      </c>
    </row>
    <row r="2997" spans="1:4" x14ac:dyDescent="0.3">
      <c r="A2997" s="1" t="str">
        <f>Pop[[#This Row],[State]]&amp;" "&amp;Pop[[#This Row],[County]]</f>
        <v>VA Amherst</v>
      </c>
      <c r="B2997" t="s">
        <v>199</v>
      </c>
      <c r="C2997" s="30" t="s">
        <v>1985</v>
      </c>
      <c r="D2997" s="16">
        <v>32353</v>
      </c>
    </row>
    <row r="2998" spans="1:4" x14ac:dyDescent="0.3">
      <c r="A2998" s="1" t="str">
        <f>Pop[[#This Row],[State]]&amp;" "&amp;Pop[[#This Row],[County]]</f>
        <v>VA Appomattox</v>
      </c>
      <c r="B2998" t="s">
        <v>199</v>
      </c>
      <c r="C2998" s="30" t="s">
        <v>1986</v>
      </c>
      <c r="D2998" s="16">
        <v>14973</v>
      </c>
    </row>
    <row r="2999" spans="1:4" x14ac:dyDescent="0.3">
      <c r="A2999" s="1" t="str">
        <f>Pop[[#This Row],[State]]&amp;" "&amp;Pop[[#This Row],[County]]</f>
        <v>VA Arlington</v>
      </c>
      <c r="B2999" t="s">
        <v>199</v>
      </c>
      <c r="C2999" s="30" t="s">
        <v>1987</v>
      </c>
      <c r="D2999" s="16">
        <v>207627</v>
      </c>
    </row>
    <row r="3000" spans="1:4" x14ac:dyDescent="0.3">
      <c r="A3000" s="1" t="str">
        <f>Pop[[#This Row],[State]]&amp;" "&amp;Pop[[#This Row],[County]]</f>
        <v>VA Augusta</v>
      </c>
      <c r="B3000" t="s">
        <v>199</v>
      </c>
      <c r="C3000" s="30" t="s">
        <v>1988</v>
      </c>
      <c r="D3000" s="16">
        <v>73750</v>
      </c>
    </row>
    <row r="3001" spans="1:4" x14ac:dyDescent="0.3">
      <c r="A3001" s="1" t="str">
        <f>Pop[[#This Row],[State]]&amp;" "&amp;Pop[[#This Row],[County]]</f>
        <v>VA Bath</v>
      </c>
      <c r="B3001" t="s">
        <v>199</v>
      </c>
      <c r="C3001" s="30" t="s">
        <v>931</v>
      </c>
      <c r="D3001" s="16">
        <v>4731</v>
      </c>
    </row>
    <row r="3002" spans="1:4" x14ac:dyDescent="0.3">
      <c r="A3002" s="1" t="str">
        <f>Pop[[#This Row],[State]]&amp;" "&amp;Pop[[#This Row],[County]]</f>
        <v>VA Bedford</v>
      </c>
      <c r="B3002" t="s">
        <v>199</v>
      </c>
      <c r="C3002" s="30" t="s">
        <v>1612</v>
      </c>
      <c r="D3002" s="16">
        <v>68676</v>
      </c>
    </row>
    <row r="3003" spans="1:4" x14ac:dyDescent="0.3">
      <c r="A3003" s="1" t="str">
        <f>Pop[[#This Row],[State]]&amp;" "&amp;Pop[[#This Row],[County]]</f>
        <v>VA Bland</v>
      </c>
      <c r="B3003" t="s">
        <v>199</v>
      </c>
      <c r="C3003" s="30" t="s">
        <v>1989</v>
      </c>
      <c r="D3003" s="16">
        <v>6824</v>
      </c>
    </row>
    <row r="3004" spans="1:4" x14ac:dyDescent="0.3">
      <c r="A3004" s="1" t="str">
        <f>Pop[[#This Row],[State]]&amp;" "&amp;Pop[[#This Row],[County]]</f>
        <v>VA Botetourt</v>
      </c>
      <c r="B3004" t="s">
        <v>199</v>
      </c>
      <c r="C3004" s="30" t="s">
        <v>1990</v>
      </c>
      <c r="D3004" s="16">
        <v>33148</v>
      </c>
    </row>
    <row r="3005" spans="1:4" x14ac:dyDescent="0.3">
      <c r="A3005" s="1" t="str">
        <f>Pop[[#This Row],[State]]&amp;" "&amp;Pop[[#This Row],[County]]</f>
        <v>VA Brunswick</v>
      </c>
      <c r="B3005" t="s">
        <v>199</v>
      </c>
      <c r="C3005" s="30" t="s">
        <v>1312</v>
      </c>
      <c r="D3005" s="16">
        <v>17434</v>
      </c>
    </row>
    <row r="3006" spans="1:4" x14ac:dyDescent="0.3">
      <c r="A3006" s="1" t="str">
        <f>Pop[[#This Row],[State]]&amp;" "&amp;Pop[[#This Row],[County]]</f>
        <v>VA Buchanan</v>
      </c>
      <c r="B3006" t="s">
        <v>199</v>
      </c>
      <c r="C3006" s="30" t="s">
        <v>709</v>
      </c>
      <c r="D3006" s="16">
        <v>24098</v>
      </c>
    </row>
    <row r="3007" spans="1:4" x14ac:dyDescent="0.3">
      <c r="A3007" s="1" t="str">
        <f>Pop[[#This Row],[State]]&amp;" "&amp;Pop[[#This Row],[County]]</f>
        <v>VA Buckingham</v>
      </c>
      <c r="B3007" t="s">
        <v>199</v>
      </c>
      <c r="C3007" s="30" t="s">
        <v>1991</v>
      </c>
      <c r="D3007" s="16">
        <v>17146</v>
      </c>
    </row>
    <row r="3008" spans="1:4" x14ac:dyDescent="0.3">
      <c r="A3008" s="1" t="str">
        <f>Pop[[#This Row],[State]]&amp;" "&amp;Pop[[#This Row],[County]]</f>
        <v>VA Campbell</v>
      </c>
      <c r="B3008" t="s">
        <v>199</v>
      </c>
      <c r="C3008" s="30" t="s">
        <v>941</v>
      </c>
      <c r="D3008" s="16">
        <v>54842</v>
      </c>
    </row>
    <row r="3009" spans="1:4" x14ac:dyDescent="0.3">
      <c r="A3009" s="1" t="str">
        <f>Pop[[#This Row],[State]]&amp;" "&amp;Pop[[#This Row],[County]]</f>
        <v>VA Caroline</v>
      </c>
      <c r="B3009" t="s">
        <v>199</v>
      </c>
      <c r="C3009" s="30" t="s">
        <v>1047</v>
      </c>
      <c r="D3009" s="16">
        <v>28545</v>
      </c>
    </row>
    <row r="3010" spans="1:4" x14ac:dyDescent="0.3">
      <c r="A3010" s="1" t="str">
        <f>Pop[[#This Row],[State]]&amp;" "&amp;Pop[[#This Row],[County]]</f>
        <v>VA Carroll</v>
      </c>
      <c r="B3010" t="s">
        <v>199</v>
      </c>
      <c r="C3010" s="30" t="s">
        <v>357</v>
      </c>
      <c r="D3010" s="16">
        <v>30042</v>
      </c>
    </row>
    <row r="3011" spans="1:4" x14ac:dyDescent="0.3">
      <c r="A3011" s="1" t="str">
        <f>Pop[[#This Row],[State]]&amp;" "&amp;Pop[[#This Row],[County]]</f>
        <v>VA Charles City</v>
      </c>
      <c r="B3011" t="s">
        <v>199</v>
      </c>
      <c r="C3011" s="30" t="s">
        <v>1992</v>
      </c>
      <c r="D3011" s="16">
        <v>7256</v>
      </c>
    </row>
    <row r="3012" spans="1:4" x14ac:dyDescent="0.3">
      <c r="A3012" s="1" t="str">
        <f>Pop[[#This Row],[State]]&amp;" "&amp;Pop[[#This Row],[County]]</f>
        <v>VA Charlotte</v>
      </c>
      <c r="B3012" t="s">
        <v>199</v>
      </c>
      <c r="C3012" s="30" t="s">
        <v>550</v>
      </c>
      <c r="D3012" s="16">
        <v>12586</v>
      </c>
    </row>
    <row r="3013" spans="1:4" x14ac:dyDescent="0.3">
      <c r="A3013" s="1" t="str">
        <f>Pop[[#This Row],[State]]&amp;" "&amp;Pop[[#This Row],[County]]</f>
        <v>VA Chesterfield</v>
      </c>
      <c r="B3013" t="s">
        <v>199</v>
      </c>
      <c r="C3013" s="30" t="s">
        <v>1726</v>
      </c>
      <c r="D3013" s="16">
        <v>316236</v>
      </c>
    </row>
    <row r="3014" spans="1:4" x14ac:dyDescent="0.3">
      <c r="A3014" s="1" t="str">
        <f>Pop[[#This Row],[State]]&amp;" "&amp;Pop[[#This Row],[County]]</f>
        <v>VA Clarke</v>
      </c>
      <c r="B3014" t="s">
        <v>199</v>
      </c>
      <c r="C3014" s="30" t="s">
        <v>285</v>
      </c>
      <c r="D3014" s="16">
        <v>14034</v>
      </c>
    </row>
    <row r="3015" spans="1:4" x14ac:dyDescent="0.3">
      <c r="A3015" s="1" t="str">
        <f>Pop[[#This Row],[State]]&amp;" "&amp;Pop[[#This Row],[County]]</f>
        <v>VA Craig</v>
      </c>
      <c r="B3015" t="s">
        <v>199</v>
      </c>
      <c r="C3015" s="30" t="s">
        <v>1562</v>
      </c>
      <c r="D3015" s="16">
        <v>5190</v>
      </c>
    </row>
    <row r="3016" spans="1:4" x14ac:dyDescent="0.3">
      <c r="A3016" s="1" t="str">
        <f>Pop[[#This Row],[State]]&amp;" "&amp;Pop[[#This Row],[County]]</f>
        <v>VA Culpeper</v>
      </c>
      <c r="B3016" t="s">
        <v>199</v>
      </c>
      <c r="C3016" s="30" t="s">
        <v>1993</v>
      </c>
      <c r="D3016" s="16">
        <v>46689</v>
      </c>
    </row>
    <row r="3017" spans="1:4" x14ac:dyDescent="0.3">
      <c r="A3017" s="1" t="str">
        <f>Pop[[#This Row],[State]]&amp;" "&amp;Pop[[#This Row],[County]]</f>
        <v>VA Cumberland</v>
      </c>
      <c r="B3017" t="s">
        <v>199</v>
      </c>
      <c r="C3017" s="30" t="s">
        <v>790</v>
      </c>
      <c r="D3017" s="16">
        <v>10052</v>
      </c>
    </row>
    <row r="3018" spans="1:4" x14ac:dyDescent="0.3">
      <c r="A3018" s="1" t="str">
        <f>Pop[[#This Row],[State]]&amp;" "&amp;Pop[[#This Row],[County]]</f>
        <v>VA Dickenson</v>
      </c>
      <c r="B3018" t="s">
        <v>199</v>
      </c>
      <c r="C3018" s="30" t="s">
        <v>1994</v>
      </c>
      <c r="D3018" s="16">
        <v>15903</v>
      </c>
    </row>
    <row r="3019" spans="1:4" x14ac:dyDescent="0.3">
      <c r="A3019" s="1" t="str">
        <f>Pop[[#This Row],[State]]&amp;" "&amp;Pop[[#This Row],[County]]</f>
        <v>VA Dinwiddie</v>
      </c>
      <c r="B3019" t="s">
        <v>199</v>
      </c>
      <c r="C3019" s="30" t="s">
        <v>1995</v>
      </c>
      <c r="D3019" s="16">
        <v>28001</v>
      </c>
    </row>
    <row r="3020" spans="1:4" x14ac:dyDescent="0.3">
      <c r="A3020" s="1" t="str">
        <f>Pop[[#This Row],[State]]&amp;" "&amp;Pop[[#This Row],[County]]</f>
        <v>VA Essex</v>
      </c>
      <c r="B3020" t="s">
        <v>199</v>
      </c>
      <c r="C3020" s="30" t="s">
        <v>1036</v>
      </c>
      <c r="D3020" s="16">
        <v>11151</v>
      </c>
    </row>
    <row r="3021" spans="1:4" x14ac:dyDescent="0.3">
      <c r="A3021" s="1" t="str">
        <f>Pop[[#This Row],[State]]&amp;" "&amp;Pop[[#This Row],[County]]</f>
        <v>VA Fairfax</v>
      </c>
      <c r="B3021" t="s">
        <v>199</v>
      </c>
      <c r="C3021" s="30" t="s">
        <v>1996</v>
      </c>
      <c r="D3021" s="54">
        <v>1081726</v>
      </c>
    </row>
    <row r="3022" spans="1:4" x14ac:dyDescent="0.3">
      <c r="A3022" s="1" t="str">
        <f>Pop[[#This Row],[State]]&amp;" "&amp;Pop[[#This Row],[County]]</f>
        <v>VA Fauquier</v>
      </c>
      <c r="B3022" t="s">
        <v>199</v>
      </c>
      <c r="C3022" s="30" t="s">
        <v>1997</v>
      </c>
      <c r="D3022" s="16">
        <v>65203</v>
      </c>
    </row>
    <row r="3023" spans="1:4" x14ac:dyDescent="0.3">
      <c r="A3023" s="1" t="str">
        <f>Pop[[#This Row],[State]]&amp;" "&amp;Pop[[#This Row],[County]]</f>
        <v>VA Floyd</v>
      </c>
      <c r="B3023" t="s">
        <v>199</v>
      </c>
      <c r="C3023" s="30" t="s">
        <v>42</v>
      </c>
      <c r="D3023" s="16">
        <v>15279</v>
      </c>
    </row>
    <row r="3024" spans="1:4" x14ac:dyDescent="0.3">
      <c r="A3024" s="1" t="str">
        <f>Pop[[#This Row],[State]]&amp;" "&amp;Pop[[#This Row],[County]]</f>
        <v>VA Fluvanna</v>
      </c>
      <c r="B3024" t="s">
        <v>199</v>
      </c>
      <c r="C3024" s="30" t="s">
        <v>1998</v>
      </c>
      <c r="D3024" s="16">
        <v>25691</v>
      </c>
    </row>
    <row r="3025" spans="1:4" x14ac:dyDescent="0.3">
      <c r="A3025" s="1" t="str">
        <f>Pop[[#This Row],[State]]&amp;" "&amp;Pop[[#This Row],[County]]</f>
        <v>VA Franklin</v>
      </c>
      <c r="B3025" t="s">
        <v>199</v>
      </c>
      <c r="C3025" s="30" t="s">
        <v>43</v>
      </c>
      <c r="D3025" s="16">
        <v>56159</v>
      </c>
    </row>
    <row r="3026" spans="1:4" x14ac:dyDescent="0.3">
      <c r="A3026" s="1" t="str">
        <f>Pop[[#This Row],[State]]&amp;" "&amp;Pop[[#This Row],[County]]</f>
        <v>VA Frederick</v>
      </c>
      <c r="B3026" t="s">
        <v>199</v>
      </c>
      <c r="C3026" s="30" t="s">
        <v>1051</v>
      </c>
      <c r="D3026" s="16">
        <v>78305</v>
      </c>
    </row>
    <row r="3027" spans="1:4" x14ac:dyDescent="0.3">
      <c r="A3027" s="1" t="str">
        <f>Pop[[#This Row],[State]]&amp;" "&amp;Pop[[#This Row],[County]]</f>
        <v>VA Giles</v>
      </c>
      <c r="B3027" t="s">
        <v>199</v>
      </c>
      <c r="C3027" s="30" t="s">
        <v>1791</v>
      </c>
      <c r="D3027" s="16">
        <v>17286</v>
      </c>
    </row>
    <row r="3028" spans="1:4" x14ac:dyDescent="0.3">
      <c r="A3028" s="1" t="str">
        <f>Pop[[#This Row],[State]]&amp;" "&amp;Pop[[#This Row],[County]]</f>
        <v>VA Gloucester</v>
      </c>
      <c r="B3028" t="s">
        <v>199</v>
      </c>
      <c r="C3028" s="30" t="s">
        <v>1451</v>
      </c>
      <c r="D3028" s="16">
        <v>36858</v>
      </c>
    </row>
    <row r="3029" spans="1:4" x14ac:dyDescent="0.3">
      <c r="A3029" s="1" t="str">
        <f>Pop[[#This Row],[State]]&amp;" "&amp;Pop[[#This Row],[County]]</f>
        <v>VA Goochland</v>
      </c>
      <c r="B3029" t="s">
        <v>199</v>
      </c>
      <c r="C3029" s="30" t="s">
        <v>1999</v>
      </c>
      <c r="D3029" s="16">
        <v>21717</v>
      </c>
    </row>
    <row r="3030" spans="1:4" x14ac:dyDescent="0.3">
      <c r="A3030" s="1" t="str">
        <f>Pop[[#This Row],[State]]&amp;" "&amp;Pop[[#This Row],[County]]</f>
        <v>VA Grayson</v>
      </c>
      <c r="B3030" t="s">
        <v>199</v>
      </c>
      <c r="C3030" s="30" t="s">
        <v>951</v>
      </c>
      <c r="D3030" s="16">
        <v>15533</v>
      </c>
    </row>
    <row r="3031" spans="1:4" x14ac:dyDescent="0.3">
      <c r="A3031" s="1" t="str">
        <f>Pop[[#This Row],[State]]&amp;" "&amp;Pop[[#This Row],[County]]</f>
        <v>VA Greene</v>
      </c>
      <c r="B3031" t="s">
        <v>199</v>
      </c>
      <c r="C3031" s="30" t="s">
        <v>44</v>
      </c>
      <c r="D3031" s="16">
        <v>18403</v>
      </c>
    </row>
    <row r="3032" spans="1:4" x14ac:dyDescent="0.3">
      <c r="A3032" s="1" t="str">
        <f>Pop[[#This Row],[State]]&amp;" "&amp;Pop[[#This Row],[County]]</f>
        <v>VA Greensville</v>
      </c>
      <c r="B3032" t="s">
        <v>199</v>
      </c>
      <c r="C3032" s="30" t="s">
        <v>2000</v>
      </c>
      <c r="D3032" s="16">
        <v>12243</v>
      </c>
    </row>
    <row r="3033" spans="1:4" x14ac:dyDescent="0.3">
      <c r="A3033" s="1" t="str">
        <f>Pop[[#This Row],[State]]&amp;" "&amp;Pop[[#This Row],[County]]</f>
        <v>VA Halifax</v>
      </c>
      <c r="B3033" t="s">
        <v>199</v>
      </c>
      <c r="C3033" s="30" t="s">
        <v>1332</v>
      </c>
      <c r="D3033" s="16">
        <v>36241</v>
      </c>
    </row>
    <row r="3034" spans="1:4" x14ac:dyDescent="0.3">
      <c r="A3034" s="1" t="str">
        <f>Pop[[#This Row],[State]]&amp;" "&amp;Pop[[#This Row],[County]]</f>
        <v>VA Hanover</v>
      </c>
      <c r="B3034" t="s">
        <v>199</v>
      </c>
      <c r="C3034" s="30" t="s">
        <v>2001</v>
      </c>
      <c r="D3034" s="16">
        <v>99863</v>
      </c>
    </row>
    <row r="3035" spans="1:4" x14ac:dyDescent="0.3">
      <c r="A3035" s="1" t="str">
        <f>Pop[[#This Row],[State]]&amp;" "&amp;Pop[[#This Row],[County]]</f>
        <v>VA Henrico</v>
      </c>
      <c r="B3035" t="s">
        <v>199</v>
      </c>
      <c r="C3035" s="30" t="s">
        <v>2002</v>
      </c>
      <c r="D3035" s="16">
        <v>306935</v>
      </c>
    </row>
    <row r="3036" spans="1:4" x14ac:dyDescent="0.3">
      <c r="A3036" s="1" t="str">
        <f>Pop[[#This Row],[State]]&amp;" "&amp;Pop[[#This Row],[County]]</f>
        <v>VA Henry</v>
      </c>
      <c r="B3036" t="s">
        <v>199</v>
      </c>
      <c r="C3036" s="30" t="s">
        <v>329</v>
      </c>
      <c r="D3036" s="16">
        <v>54151</v>
      </c>
    </row>
    <row r="3037" spans="1:4" x14ac:dyDescent="0.3">
      <c r="A3037" s="1" t="str">
        <f>Pop[[#This Row],[State]]&amp;" "&amp;Pop[[#This Row],[County]]</f>
        <v>VA Highland</v>
      </c>
      <c r="B3037" t="s">
        <v>199</v>
      </c>
      <c r="C3037" s="30" t="s">
        <v>1533</v>
      </c>
      <c r="D3037" s="16">
        <v>2321</v>
      </c>
    </row>
    <row r="3038" spans="1:4" x14ac:dyDescent="0.3">
      <c r="A3038" s="1" t="str">
        <f>Pop[[#This Row],[State]]&amp;" "&amp;Pop[[#This Row],[County]]</f>
        <v>VA Isle of Wight</v>
      </c>
      <c r="B3038" t="s">
        <v>199</v>
      </c>
      <c r="C3038" s="30" t="s">
        <v>2003</v>
      </c>
      <c r="D3038" s="16">
        <v>35270</v>
      </c>
    </row>
    <row r="3039" spans="1:4" x14ac:dyDescent="0.3">
      <c r="A3039" s="1" t="str">
        <f>Pop[[#This Row],[State]]&amp;" "&amp;Pop[[#This Row],[County]]</f>
        <v>VA James City</v>
      </c>
      <c r="B3039" t="s">
        <v>199</v>
      </c>
      <c r="C3039" s="30" t="s">
        <v>2004</v>
      </c>
      <c r="D3039" s="16">
        <v>67009</v>
      </c>
    </row>
    <row r="3040" spans="1:4" x14ac:dyDescent="0.3">
      <c r="A3040" s="1" t="str">
        <f>Pop[[#This Row],[State]]&amp;" "&amp;Pop[[#This Row],[County]]</f>
        <v>VA King and Queen</v>
      </c>
      <c r="B3040" t="s">
        <v>199</v>
      </c>
      <c r="C3040" s="30" t="s">
        <v>2005</v>
      </c>
      <c r="D3040" s="16">
        <v>6945</v>
      </c>
    </row>
    <row r="3041" spans="1:4" x14ac:dyDescent="0.3">
      <c r="A3041" s="1" t="str">
        <f>Pop[[#This Row],[State]]&amp;" "&amp;Pop[[#This Row],[County]]</f>
        <v>VA King George</v>
      </c>
      <c r="B3041" t="s">
        <v>199</v>
      </c>
      <c r="C3041" s="30" t="s">
        <v>2006</v>
      </c>
      <c r="D3041" s="16">
        <v>23584</v>
      </c>
    </row>
    <row r="3042" spans="1:4" x14ac:dyDescent="0.3">
      <c r="A3042" s="1" t="str">
        <f>Pop[[#This Row],[State]]&amp;" "&amp;Pop[[#This Row],[County]]</f>
        <v>VA King William</v>
      </c>
      <c r="B3042" t="s">
        <v>199</v>
      </c>
      <c r="C3042" s="30" t="s">
        <v>2007</v>
      </c>
      <c r="D3042" s="16">
        <v>15935</v>
      </c>
    </row>
    <row r="3043" spans="1:4" x14ac:dyDescent="0.3">
      <c r="A3043" s="1" t="str">
        <f>Pop[[#This Row],[State]]&amp;" "&amp;Pop[[#This Row],[County]]</f>
        <v>VA Lancaster</v>
      </c>
      <c r="B3043" t="s">
        <v>199</v>
      </c>
      <c r="C3043" s="30" t="s">
        <v>1426</v>
      </c>
      <c r="D3043" s="16">
        <v>11391</v>
      </c>
    </row>
    <row r="3044" spans="1:4" x14ac:dyDescent="0.3">
      <c r="A3044" s="1" t="str">
        <f>Pop[[#This Row],[State]]&amp;" "&amp;Pop[[#This Row],[County]]</f>
        <v>VA Lee</v>
      </c>
      <c r="B3044" t="s">
        <v>199</v>
      </c>
      <c r="C3044" s="30" t="s">
        <v>333</v>
      </c>
      <c r="D3044" s="16">
        <v>25587</v>
      </c>
    </row>
    <row r="3045" spans="1:4" x14ac:dyDescent="0.3">
      <c r="A3045" s="1" t="str">
        <f>Pop[[#This Row],[State]]&amp;" "&amp;Pop[[#This Row],[County]]</f>
        <v>VA Loudoun</v>
      </c>
      <c r="B3045" t="s">
        <v>199</v>
      </c>
      <c r="C3045" s="30" t="s">
        <v>2008</v>
      </c>
      <c r="D3045" s="16">
        <v>312311</v>
      </c>
    </row>
    <row r="3046" spans="1:4" x14ac:dyDescent="0.3">
      <c r="A3046" s="1" t="str">
        <f>Pop[[#This Row],[State]]&amp;" "&amp;Pop[[#This Row],[County]]</f>
        <v>VA Louisa</v>
      </c>
      <c r="B3046" t="s">
        <v>199</v>
      </c>
      <c r="C3046" s="30" t="s">
        <v>728</v>
      </c>
      <c r="D3046" s="16">
        <v>33153</v>
      </c>
    </row>
    <row r="3047" spans="1:4" x14ac:dyDescent="0.3">
      <c r="A3047" s="1" t="str">
        <f>Pop[[#This Row],[State]]&amp;" "&amp;Pop[[#This Row],[County]]</f>
        <v>VA Lunenburg</v>
      </c>
      <c r="B3047" t="s">
        <v>199</v>
      </c>
      <c r="C3047" s="30" t="s">
        <v>2009</v>
      </c>
      <c r="D3047" s="16">
        <v>12914</v>
      </c>
    </row>
    <row r="3048" spans="1:4" x14ac:dyDescent="0.3">
      <c r="A3048" s="1" t="str">
        <f>Pop[[#This Row],[State]]&amp;" "&amp;Pop[[#This Row],[County]]</f>
        <v>VA Madison</v>
      </c>
      <c r="B3048" t="s">
        <v>199</v>
      </c>
      <c r="C3048" s="30" t="s">
        <v>49</v>
      </c>
      <c r="D3048" s="16">
        <v>13308</v>
      </c>
    </row>
    <row r="3049" spans="1:4" x14ac:dyDescent="0.3">
      <c r="A3049" s="1" t="str">
        <f>Pop[[#This Row],[State]]&amp;" "&amp;Pop[[#This Row],[County]]</f>
        <v>VA Mathews</v>
      </c>
      <c r="B3049" t="s">
        <v>199</v>
      </c>
      <c r="C3049" s="30" t="s">
        <v>2010</v>
      </c>
      <c r="D3049" s="16">
        <v>8978</v>
      </c>
    </row>
    <row r="3050" spans="1:4" x14ac:dyDescent="0.3">
      <c r="A3050" s="1" t="str">
        <f>Pop[[#This Row],[State]]&amp;" "&amp;Pop[[#This Row],[County]]</f>
        <v>VA Mecklenburg</v>
      </c>
      <c r="B3050" t="s">
        <v>199</v>
      </c>
      <c r="C3050" s="30" t="s">
        <v>1342</v>
      </c>
      <c r="D3050" s="16">
        <v>32727</v>
      </c>
    </row>
    <row r="3051" spans="1:4" x14ac:dyDescent="0.3">
      <c r="A3051" s="1" t="str">
        <f>Pop[[#This Row],[State]]&amp;" "&amp;Pop[[#This Row],[County]]</f>
        <v>VA Middlesex</v>
      </c>
      <c r="B3051" t="s">
        <v>199</v>
      </c>
      <c r="C3051" s="30" t="s">
        <v>536</v>
      </c>
      <c r="D3051" s="16">
        <v>10959</v>
      </c>
    </row>
    <row r="3052" spans="1:4" x14ac:dyDescent="0.3">
      <c r="A3052" s="1" t="str">
        <f>Pop[[#This Row],[State]]&amp;" "&amp;Pop[[#This Row],[County]]</f>
        <v>VA Montgomery</v>
      </c>
      <c r="B3052" t="s">
        <v>199</v>
      </c>
      <c r="C3052" s="30" t="s">
        <v>53</v>
      </c>
      <c r="D3052" s="16">
        <v>94392</v>
      </c>
    </row>
    <row r="3053" spans="1:4" x14ac:dyDescent="0.3">
      <c r="A3053" s="1" t="str">
        <f>Pop[[#This Row],[State]]&amp;" "&amp;Pop[[#This Row],[County]]</f>
        <v>VA Nelson</v>
      </c>
      <c r="B3053" t="s">
        <v>199</v>
      </c>
      <c r="C3053" s="30" t="s">
        <v>970</v>
      </c>
      <c r="D3053" s="16">
        <v>15020</v>
      </c>
    </row>
    <row r="3054" spans="1:4" x14ac:dyDescent="0.3">
      <c r="A3054" s="1" t="str">
        <f>Pop[[#This Row],[State]]&amp;" "&amp;Pop[[#This Row],[County]]</f>
        <v>VA New Kent</v>
      </c>
      <c r="B3054" t="s">
        <v>199</v>
      </c>
      <c r="C3054" s="30" t="s">
        <v>2011</v>
      </c>
      <c r="D3054" s="16">
        <v>18429</v>
      </c>
    </row>
    <row r="3055" spans="1:4" x14ac:dyDescent="0.3">
      <c r="A3055" s="1" t="str">
        <f>Pop[[#This Row],[State]]&amp;" "&amp;Pop[[#This Row],[County]]</f>
        <v>VA Northampton</v>
      </c>
      <c r="B3055" t="s">
        <v>199</v>
      </c>
      <c r="C3055" s="30" t="s">
        <v>1346</v>
      </c>
      <c r="D3055" s="16">
        <v>12389</v>
      </c>
    </row>
    <row r="3056" spans="1:4" x14ac:dyDescent="0.3">
      <c r="A3056" s="1" t="str">
        <f>Pop[[#This Row],[State]]&amp;" "&amp;Pop[[#This Row],[County]]</f>
        <v>VA Northumberland</v>
      </c>
      <c r="B3056" t="s">
        <v>199</v>
      </c>
      <c r="C3056" s="30" t="s">
        <v>1633</v>
      </c>
      <c r="D3056" s="16">
        <v>12330</v>
      </c>
    </row>
    <row r="3057" spans="1:4" x14ac:dyDescent="0.3">
      <c r="A3057" s="1" t="str">
        <f>Pop[[#This Row],[State]]&amp;" "&amp;Pop[[#This Row],[County]]</f>
        <v>VA Nottoway</v>
      </c>
      <c r="B3057" t="s">
        <v>199</v>
      </c>
      <c r="C3057" s="30" t="s">
        <v>2012</v>
      </c>
      <c r="D3057" s="16">
        <v>15853</v>
      </c>
    </row>
    <row r="3058" spans="1:4" x14ac:dyDescent="0.3">
      <c r="A3058" s="1" t="str">
        <f>Pop[[#This Row],[State]]&amp;" "&amp;Pop[[#This Row],[County]]</f>
        <v>VA Orange</v>
      </c>
      <c r="B3058" t="s">
        <v>199</v>
      </c>
      <c r="C3058" s="30" t="s">
        <v>55</v>
      </c>
      <c r="D3058" s="16">
        <v>33481</v>
      </c>
    </row>
    <row r="3059" spans="1:4" x14ac:dyDescent="0.3">
      <c r="A3059" s="1" t="str">
        <f>Pop[[#This Row],[State]]&amp;" "&amp;Pop[[#This Row],[County]]</f>
        <v>VA Page</v>
      </c>
      <c r="B3059" t="s">
        <v>199</v>
      </c>
      <c r="C3059" s="30" t="s">
        <v>736</v>
      </c>
      <c r="D3059" s="16">
        <v>24042</v>
      </c>
    </row>
    <row r="3060" spans="1:4" x14ac:dyDescent="0.3">
      <c r="A3060" s="1" t="str">
        <f>Pop[[#This Row],[State]]&amp;" "&amp;Pop[[#This Row],[County]]</f>
        <v>VA Patrick</v>
      </c>
      <c r="B3060" t="s">
        <v>199</v>
      </c>
      <c r="C3060" s="30" t="s">
        <v>2013</v>
      </c>
      <c r="D3060" s="16">
        <v>18490</v>
      </c>
    </row>
    <row r="3061" spans="1:4" x14ac:dyDescent="0.3">
      <c r="A3061" s="1" t="str">
        <f>Pop[[#This Row],[State]]&amp;" "&amp;Pop[[#This Row],[County]]</f>
        <v>VA Pittsylvania</v>
      </c>
      <c r="B3061" t="s">
        <v>199</v>
      </c>
      <c r="C3061" s="30" t="s">
        <v>2014</v>
      </c>
      <c r="D3061" s="16">
        <v>63506</v>
      </c>
    </row>
    <row r="3062" spans="1:4" x14ac:dyDescent="0.3">
      <c r="A3062" s="1" t="str">
        <f>Pop[[#This Row],[State]]&amp;" "&amp;Pop[[#This Row],[County]]</f>
        <v>VA Powhatan</v>
      </c>
      <c r="B3062" t="s">
        <v>199</v>
      </c>
      <c r="C3062" s="30" t="s">
        <v>2015</v>
      </c>
      <c r="D3062" s="16">
        <v>28046</v>
      </c>
    </row>
    <row r="3063" spans="1:4" x14ac:dyDescent="0.3">
      <c r="A3063" s="1" t="str">
        <f>Pop[[#This Row],[State]]&amp;" "&amp;Pop[[#This Row],[County]]</f>
        <v>VA Prince Edward</v>
      </c>
      <c r="B3063" t="s">
        <v>199</v>
      </c>
      <c r="C3063" s="30" t="s">
        <v>2016</v>
      </c>
      <c r="D3063" s="16">
        <v>23368</v>
      </c>
    </row>
    <row r="3064" spans="1:4" x14ac:dyDescent="0.3">
      <c r="A3064" s="1" t="str">
        <f>Pop[[#This Row],[State]]&amp;" "&amp;Pop[[#This Row],[County]]</f>
        <v>VA Prince George</v>
      </c>
      <c r="B3064" t="s">
        <v>199</v>
      </c>
      <c r="C3064" s="30" t="s">
        <v>2017</v>
      </c>
      <c r="D3064" s="16">
        <v>35725</v>
      </c>
    </row>
    <row r="3065" spans="1:4" x14ac:dyDescent="0.3">
      <c r="A3065" s="1" t="str">
        <f>Pop[[#This Row],[State]]&amp;" "&amp;Pop[[#This Row],[County]]</f>
        <v>VA Prince William</v>
      </c>
      <c r="B3065" t="s">
        <v>199</v>
      </c>
      <c r="C3065" s="30" t="s">
        <v>2018</v>
      </c>
      <c r="D3065" s="16">
        <v>402002</v>
      </c>
    </row>
    <row r="3066" spans="1:4" x14ac:dyDescent="0.3">
      <c r="A3066" s="1" t="str">
        <f>Pop[[#This Row],[State]]&amp;" "&amp;Pop[[#This Row],[County]]</f>
        <v>VA Pulaski</v>
      </c>
      <c r="B3066" t="s">
        <v>199</v>
      </c>
      <c r="C3066" s="30" t="s">
        <v>390</v>
      </c>
      <c r="D3066" s="16">
        <v>34872</v>
      </c>
    </row>
    <row r="3067" spans="1:4" x14ac:dyDescent="0.3">
      <c r="A3067" s="1" t="str">
        <f>Pop[[#This Row],[State]]&amp;" "&amp;Pop[[#This Row],[County]]</f>
        <v>VA Rappahannock</v>
      </c>
      <c r="B3067" t="s">
        <v>199</v>
      </c>
      <c r="C3067" s="30" t="s">
        <v>2019</v>
      </c>
      <c r="D3067" s="16">
        <v>7373</v>
      </c>
    </row>
    <row r="3068" spans="1:4" x14ac:dyDescent="0.3">
      <c r="A3068" s="1" t="str">
        <f>Pop[[#This Row],[State]]&amp;" "&amp;Pop[[#This Row],[County]]</f>
        <v>VA Richmond</v>
      </c>
      <c r="B3068" t="s">
        <v>199</v>
      </c>
      <c r="C3068" s="30" t="s">
        <v>668</v>
      </c>
      <c r="D3068" s="16">
        <v>9254</v>
      </c>
    </row>
    <row r="3069" spans="1:4" x14ac:dyDescent="0.3">
      <c r="A3069" s="1" t="str">
        <f>Pop[[#This Row],[State]]&amp;" "&amp;Pop[[#This Row],[County]]</f>
        <v>VA Roanoke</v>
      </c>
      <c r="B3069" t="s">
        <v>199</v>
      </c>
      <c r="C3069" s="30" t="s">
        <v>2020</v>
      </c>
      <c r="D3069" s="16">
        <v>92376</v>
      </c>
    </row>
    <row r="3070" spans="1:4" x14ac:dyDescent="0.3">
      <c r="A3070" s="1" t="str">
        <f>Pop[[#This Row],[State]]&amp;" "&amp;Pop[[#This Row],[County]]</f>
        <v>VA Rockbridge</v>
      </c>
      <c r="B3070" t="s">
        <v>199</v>
      </c>
      <c r="C3070" s="30" t="s">
        <v>2021</v>
      </c>
      <c r="D3070" s="16">
        <v>22307</v>
      </c>
    </row>
    <row r="3071" spans="1:4" x14ac:dyDescent="0.3">
      <c r="A3071" s="1" t="str">
        <f>Pop[[#This Row],[State]]&amp;" "&amp;Pop[[#This Row],[County]]</f>
        <v>VA Rockingham</v>
      </c>
      <c r="B3071" t="s">
        <v>199</v>
      </c>
      <c r="C3071" s="30" t="s">
        <v>1355</v>
      </c>
      <c r="D3071" s="16">
        <v>76314</v>
      </c>
    </row>
    <row r="3072" spans="1:4" x14ac:dyDescent="0.3">
      <c r="A3072" s="1" t="str">
        <f>Pop[[#This Row],[State]]&amp;" "&amp;Pop[[#This Row],[County]]</f>
        <v>VA Russell</v>
      </c>
      <c r="B3072" t="s">
        <v>199</v>
      </c>
      <c r="C3072" s="30" t="s">
        <v>343</v>
      </c>
      <c r="D3072" s="16">
        <v>28897</v>
      </c>
    </row>
    <row r="3073" spans="1:4" x14ac:dyDescent="0.3">
      <c r="A3073" s="1" t="str">
        <f>Pop[[#This Row],[State]]&amp;" "&amp;Pop[[#This Row],[County]]</f>
        <v>VA Scott</v>
      </c>
      <c r="B3073" t="s">
        <v>199</v>
      </c>
      <c r="C3073" s="30" t="s">
        <v>392</v>
      </c>
      <c r="D3073" s="16">
        <v>23177</v>
      </c>
    </row>
    <row r="3074" spans="1:4" x14ac:dyDescent="0.3">
      <c r="A3074" s="1" t="str">
        <f>Pop[[#This Row],[State]]&amp;" "&amp;Pop[[#This Row],[County]]</f>
        <v>VA Shenandoah</v>
      </c>
      <c r="B3074" t="s">
        <v>199</v>
      </c>
      <c r="C3074" s="30" t="s">
        <v>2022</v>
      </c>
      <c r="D3074" s="16">
        <v>41993</v>
      </c>
    </row>
    <row r="3075" spans="1:4" x14ac:dyDescent="0.3">
      <c r="A3075" s="1" t="str">
        <f>Pop[[#This Row],[State]]&amp;" "&amp;Pop[[#This Row],[County]]</f>
        <v>VA Smyth</v>
      </c>
      <c r="B3075" t="s">
        <v>199</v>
      </c>
      <c r="C3075" s="30" t="s">
        <v>2023</v>
      </c>
      <c r="D3075" s="16">
        <v>32208</v>
      </c>
    </row>
    <row r="3076" spans="1:4" x14ac:dyDescent="0.3">
      <c r="A3076" s="1" t="str">
        <f>Pop[[#This Row],[State]]&amp;" "&amp;Pop[[#This Row],[County]]</f>
        <v>VA Southampton</v>
      </c>
      <c r="B3076" t="s">
        <v>199</v>
      </c>
      <c r="C3076" s="30" t="s">
        <v>2024</v>
      </c>
      <c r="D3076" s="16">
        <v>18570</v>
      </c>
    </row>
    <row r="3077" spans="1:4" x14ac:dyDescent="0.3">
      <c r="A3077" s="1" t="str">
        <f>Pop[[#This Row],[State]]&amp;" "&amp;Pop[[#This Row],[County]]</f>
        <v>VA Spotsylvania</v>
      </c>
      <c r="B3077" t="s">
        <v>199</v>
      </c>
      <c r="C3077" s="30" t="s">
        <v>2025</v>
      </c>
      <c r="D3077" s="16">
        <v>122397</v>
      </c>
    </row>
    <row r="3078" spans="1:4" x14ac:dyDescent="0.3">
      <c r="A3078" s="1" t="str">
        <f>Pop[[#This Row],[State]]&amp;" "&amp;Pop[[#This Row],[County]]</f>
        <v>VA Stafford</v>
      </c>
      <c r="B3078" t="s">
        <v>199</v>
      </c>
      <c r="C3078" s="30" t="s">
        <v>918</v>
      </c>
      <c r="D3078" s="16">
        <v>128961</v>
      </c>
    </row>
    <row r="3079" spans="1:4" x14ac:dyDescent="0.3">
      <c r="A3079" s="1" t="str">
        <f>Pop[[#This Row],[State]]&amp;" "&amp;Pop[[#This Row],[County]]</f>
        <v>VA Surry</v>
      </c>
      <c r="B3079" t="s">
        <v>199</v>
      </c>
      <c r="C3079" s="30" t="s">
        <v>1360</v>
      </c>
      <c r="D3079" s="16">
        <v>7058</v>
      </c>
    </row>
    <row r="3080" spans="1:4" x14ac:dyDescent="0.3">
      <c r="A3080" s="1" t="str">
        <f>Pop[[#This Row],[State]]&amp;" "&amp;Pop[[#This Row],[County]]</f>
        <v>VA Sussex</v>
      </c>
      <c r="B3080" t="s">
        <v>199</v>
      </c>
      <c r="C3080" s="30" t="s">
        <v>543</v>
      </c>
      <c r="D3080" s="16">
        <v>12087</v>
      </c>
    </row>
    <row r="3081" spans="1:4" x14ac:dyDescent="0.3">
      <c r="A3081" s="1" t="str">
        <f>Pop[[#This Row],[State]]&amp;" "&amp;Pop[[#This Row],[County]]</f>
        <v>VA Tazewell</v>
      </c>
      <c r="B3081" t="s">
        <v>199</v>
      </c>
      <c r="C3081" s="30" t="s">
        <v>825</v>
      </c>
      <c r="D3081" s="16">
        <v>45078</v>
      </c>
    </row>
    <row r="3082" spans="1:4" x14ac:dyDescent="0.3">
      <c r="A3082" s="1" t="str">
        <f>Pop[[#This Row],[State]]&amp;" "&amp;Pop[[#This Row],[County]]</f>
        <v>VA Warren</v>
      </c>
      <c r="B3082" t="s">
        <v>199</v>
      </c>
      <c r="C3082" s="30" t="s">
        <v>690</v>
      </c>
      <c r="D3082" s="16">
        <v>37575</v>
      </c>
    </row>
    <row r="3083" spans="1:4" x14ac:dyDescent="0.3">
      <c r="A3083" s="1" t="str">
        <f>Pop[[#This Row],[State]]&amp;" "&amp;Pop[[#This Row],[County]]</f>
        <v>VA Washington</v>
      </c>
      <c r="B3083" t="s">
        <v>199</v>
      </c>
      <c r="C3083" s="30" t="s">
        <v>65</v>
      </c>
      <c r="D3083" s="16">
        <v>54876</v>
      </c>
    </row>
    <row r="3084" spans="1:4" x14ac:dyDescent="0.3">
      <c r="A3084" s="1" t="str">
        <f>Pop[[#This Row],[State]]&amp;" "&amp;Pop[[#This Row],[County]]</f>
        <v>VA Westmoreland</v>
      </c>
      <c r="B3084" t="s">
        <v>199</v>
      </c>
      <c r="C3084" s="30" t="s">
        <v>1640</v>
      </c>
      <c r="D3084" s="16">
        <v>17454</v>
      </c>
    </row>
    <row r="3085" spans="1:4" x14ac:dyDescent="0.3">
      <c r="A3085" s="1" t="str">
        <f>Pop[[#This Row],[State]]&amp;" "&amp;Pop[[#This Row],[County]]</f>
        <v>VA Wise</v>
      </c>
      <c r="B3085" t="s">
        <v>199</v>
      </c>
      <c r="C3085" s="30" t="s">
        <v>1962</v>
      </c>
      <c r="D3085" s="16">
        <v>41452</v>
      </c>
    </row>
    <row r="3086" spans="1:4" x14ac:dyDescent="0.3">
      <c r="A3086" s="1" t="str">
        <f>Pop[[#This Row],[State]]&amp;" "&amp;Pop[[#This Row],[County]]</f>
        <v>VA Wythe</v>
      </c>
      <c r="B3086" t="s">
        <v>199</v>
      </c>
      <c r="C3086" s="30" t="s">
        <v>2026</v>
      </c>
      <c r="D3086" s="16">
        <v>29235</v>
      </c>
    </row>
    <row r="3087" spans="1:4" x14ac:dyDescent="0.3">
      <c r="A3087" s="1" t="str">
        <f>Pop[[#This Row],[State]]&amp;" "&amp;Pop[[#This Row],[County]]</f>
        <v>VA York</v>
      </c>
      <c r="B3087" t="s">
        <v>199</v>
      </c>
      <c r="C3087" s="30" t="s">
        <v>1067</v>
      </c>
      <c r="D3087" s="54">
        <v>65464</v>
      </c>
    </row>
    <row r="3088" spans="1:4" x14ac:dyDescent="0.3">
      <c r="A3088" s="1" t="str">
        <f>Pop[[#This Row],[State]]&amp;" "&amp;Pop[[#This Row],[County]]</f>
        <v>VA State Agencies</v>
      </c>
      <c r="B3088" t="s">
        <v>199</v>
      </c>
      <c r="C3088" s="30" t="s">
        <v>243</v>
      </c>
      <c r="D3088" s="16" t="s">
        <v>244</v>
      </c>
    </row>
    <row r="3089" spans="1:7" x14ac:dyDescent="0.3">
      <c r="A3089" s="1" t="str">
        <f>Pop[[#This Row],[State]]&amp;" "&amp;Pop[[#This Row],[County]]</f>
        <v>VA Grand Total</v>
      </c>
      <c r="B3089" t="s">
        <v>199</v>
      </c>
      <c r="C3089" s="30" t="s">
        <v>67</v>
      </c>
      <c r="D3089" s="16">
        <v>8001024</v>
      </c>
    </row>
    <row r="3090" spans="1:7" x14ac:dyDescent="0.3">
      <c r="A3090" s="1" t="str">
        <f>Pop[[#This Row],[State]]&amp;" "&amp;Pop[[#This Row],[County]]</f>
        <v>VI St. Croix</v>
      </c>
      <c r="B3090" t="s">
        <v>183</v>
      </c>
      <c r="C3090" s="30" t="s">
        <v>2027</v>
      </c>
      <c r="D3090" s="16">
        <v>50601</v>
      </c>
    </row>
    <row r="3091" spans="1:7" x14ac:dyDescent="0.3">
      <c r="A3091" s="1" t="str">
        <f>Pop[[#This Row],[State]]&amp;" "&amp;Pop[[#This Row],[County]]</f>
        <v>VI St. John</v>
      </c>
      <c r="B3091" t="s">
        <v>183</v>
      </c>
      <c r="C3091" s="30" t="s">
        <v>2028</v>
      </c>
      <c r="D3091" s="16">
        <v>4170</v>
      </c>
      <c r="G3091" s="14"/>
    </row>
    <row r="3092" spans="1:7" x14ac:dyDescent="0.3">
      <c r="A3092" s="1" t="str">
        <f>Pop[[#This Row],[State]]&amp;" "&amp;Pop[[#This Row],[County]]</f>
        <v>VI St. Thomas</v>
      </c>
      <c r="B3092" t="s">
        <v>183</v>
      </c>
      <c r="C3092" s="30" t="s">
        <v>2029</v>
      </c>
      <c r="D3092" s="16">
        <v>51634</v>
      </c>
    </row>
    <row r="3093" spans="1:7" x14ac:dyDescent="0.3">
      <c r="A3093" s="1" t="str">
        <f>Pop[[#This Row],[State]]&amp;" "&amp;Pop[[#This Row],[County]]</f>
        <v>VI State Agencies</v>
      </c>
      <c r="B3093" t="s">
        <v>183</v>
      </c>
      <c r="C3093" s="30" t="s">
        <v>243</v>
      </c>
      <c r="D3093" s="16" t="s">
        <v>244</v>
      </c>
    </row>
    <row r="3094" spans="1:7" x14ac:dyDescent="0.3">
      <c r="A3094" s="1" t="str">
        <f>Pop[[#This Row],[State]]&amp;" "&amp;Pop[[#This Row],[County]]</f>
        <v>VI Grand Total</v>
      </c>
      <c r="B3094" t="s">
        <v>183</v>
      </c>
      <c r="C3094" s="30" t="s">
        <v>67</v>
      </c>
      <c r="D3094" s="16">
        <v>106405</v>
      </c>
    </row>
    <row r="3095" spans="1:7" x14ac:dyDescent="0.3">
      <c r="A3095" s="1" t="str">
        <f>Pop[[#This Row],[State]]&amp;" "&amp;Pop[[#This Row],[County]]</f>
        <v>VT Addison</v>
      </c>
      <c r="B3095" t="s">
        <v>169</v>
      </c>
      <c r="C3095" s="30" t="s">
        <v>2030</v>
      </c>
      <c r="D3095" s="16">
        <v>36821</v>
      </c>
    </row>
    <row r="3096" spans="1:7" x14ac:dyDescent="0.3">
      <c r="A3096" s="1" t="str">
        <f>Pop[[#This Row],[State]]&amp;" "&amp;Pop[[#This Row],[County]]</f>
        <v>VT Bennington</v>
      </c>
      <c r="B3096" t="s">
        <v>169</v>
      </c>
      <c r="C3096" s="30" t="s">
        <v>2031</v>
      </c>
      <c r="D3096" s="16">
        <v>37125</v>
      </c>
    </row>
    <row r="3097" spans="1:7" x14ac:dyDescent="0.3">
      <c r="A3097" s="1" t="str">
        <f>Pop[[#This Row],[State]]&amp;" "&amp;Pop[[#This Row],[County]]</f>
        <v>VT Caledonia</v>
      </c>
      <c r="B3097" t="s">
        <v>169</v>
      </c>
      <c r="C3097" s="30" t="s">
        <v>2032</v>
      </c>
      <c r="D3097" s="16">
        <v>31227</v>
      </c>
    </row>
    <row r="3098" spans="1:7" x14ac:dyDescent="0.3">
      <c r="A3098" s="1" t="str">
        <f>Pop[[#This Row],[State]]&amp;" "&amp;Pop[[#This Row],[County]]</f>
        <v>VT Chittenden</v>
      </c>
      <c r="B3098" t="s">
        <v>169</v>
      </c>
      <c r="C3098" s="30" t="s">
        <v>2033</v>
      </c>
      <c r="D3098" s="16">
        <v>156545</v>
      </c>
    </row>
    <row r="3099" spans="1:7" x14ac:dyDescent="0.3">
      <c r="A3099" s="1" t="str">
        <f>Pop[[#This Row],[State]]&amp;" "&amp;Pop[[#This Row],[County]]</f>
        <v>VT Essex</v>
      </c>
      <c r="B3099" t="s">
        <v>169</v>
      </c>
      <c r="C3099" s="30" t="s">
        <v>1036</v>
      </c>
      <c r="D3099" s="16">
        <v>6306</v>
      </c>
    </row>
    <row r="3100" spans="1:7" x14ac:dyDescent="0.3">
      <c r="A3100" s="1" t="str">
        <f>Pop[[#This Row],[State]]&amp;" "&amp;Pop[[#This Row],[County]]</f>
        <v>VT Franklin</v>
      </c>
      <c r="B3100" t="s">
        <v>169</v>
      </c>
      <c r="C3100" s="30" t="s">
        <v>43</v>
      </c>
      <c r="D3100" s="16">
        <v>47746</v>
      </c>
    </row>
    <row r="3101" spans="1:7" x14ac:dyDescent="0.3">
      <c r="A3101" s="1" t="str">
        <f>Pop[[#This Row],[State]]&amp;" "&amp;Pop[[#This Row],[County]]</f>
        <v>VT Grand Isle</v>
      </c>
      <c r="B3101" t="s">
        <v>169</v>
      </c>
      <c r="C3101" s="30" t="s">
        <v>2034</v>
      </c>
      <c r="D3101" s="16">
        <v>6970</v>
      </c>
    </row>
    <row r="3102" spans="1:7" x14ac:dyDescent="0.3">
      <c r="A3102" s="1" t="str">
        <f>Pop[[#This Row],[State]]&amp;" "&amp;Pop[[#This Row],[County]]</f>
        <v>VT Lamoille</v>
      </c>
      <c r="B3102" t="s">
        <v>169</v>
      </c>
      <c r="C3102" s="30" t="s">
        <v>2035</v>
      </c>
      <c r="D3102" s="16">
        <v>24475</v>
      </c>
    </row>
    <row r="3103" spans="1:7" x14ac:dyDescent="0.3">
      <c r="A3103" s="1" t="str">
        <f>Pop[[#This Row],[State]]&amp;" "&amp;Pop[[#This Row],[County]]</f>
        <v>VT Orange</v>
      </c>
      <c r="B3103" t="s">
        <v>169</v>
      </c>
      <c r="C3103" s="30" t="s">
        <v>55</v>
      </c>
      <c r="D3103" s="16">
        <v>28936</v>
      </c>
    </row>
    <row r="3104" spans="1:7" x14ac:dyDescent="0.3">
      <c r="A3104" s="1" t="str">
        <f>Pop[[#This Row],[State]]&amp;" "&amp;Pop[[#This Row],[County]]</f>
        <v>VT Orleans</v>
      </c>
      <c r="B3104" t="s">
        <v>169</v>
      </c>
      <c r="C3104" s="30" t="s">
        <v>1009</v>
      </c>
      <c r="D3104" s="16">
        <v>27231</v>
      </c>
    </row>
    <row r="3105" spans="1:4" x14ac:dyDescent="0.3">
      <c r="A3105" s="1" t="str">
        <f>Pop[[#This Row],[State]]&amp;" "&amp;Pop[[#This Row],[County]]</f>
        <v>VT Rutland</v>
      </c>
      <c r="B3105" t="s">
        <v>169</v>
      </c>
      <c r="C3105" s="30" t="s">
        <v>2036</v>
      </c>
      <c r="D3105" s="16">
        <v>61642</v>
      </c>
    </row>
    <row r="3106" spans="1:4" x14ac:dyDescent="0.3">
      <c r="A3106" s="1" t="str">
        <f>Pop[[#This Row],[State]]&amp;" "&amp;Pop[[#This Row],[County]]</f>
        <v>VT Washington</v>
      </c>
      <c r="B3106" t="s">
        <v>169</v>
      </c>
      <c r="C3106" s="30" t="s">
        <v>65</v>
      </c>
      <c r="D3106" s="16">
        <v>59534</v>
      </c>
    </row>
    <row r="3107" spans="1:4" x14ac:dyDescent="0.3">
      <c r="A3107" s="1" t="str">
        <f>Pop[[#This Row],[State]]&amp;" "&amp;Pop[[#This Row],[County]]</f>
        <v>VT Windham</v>
      </c>
      <c r="B3107" t="s">
        <v>169</v>
      </c>
      <c r="C3107" s="30" t="s">
        <v>540</v>
      </c>
      <c r="D3107" s="16">
        <v>44513</v>
      </c>
    </row>
    <row r="3108" spans="1:4" x14ac:dyDescent="0.3">
      <c r="A3108" s="1" t="str">
        <f>Pop[[#This Row],[State]]&amp;" "&amp;Pop[[#This Row],[County]]</f>
        <v>VT Windsor</v>
      </c>
      <c r="B3108" t="s">
        <v>169</v>
      </c>
      <c r="C3108" s="30" t="s">
        <v>2037</v>
      </c>
      <c r="D3108" s="16">
        <v>56670</v>
      </c>
    </row>
    <row r="3109" spans="1:4" x14ac:dyDescent="0.3">
      <c r="A3109" s="1" t="str">
        <f>Pop[[#This Row],[State]]&amp;" "&amp;Pop[[#This Row],[County]]</f>
        <v>VT State Agencies</v>
      </c>
      <c r="B3109" t="s">
        <v>169</v>
      </c>
      <c r="C3109" s="30" t="s">
        <v>243</v>
      </c>
      <c r="D3109" s="16" t="s">
        <v>244</v>
      </c>
    </row>
    <row r="3110" spans="1:4" x14ac:dyDescent="0.3">
      <c r="A3110" s="1" t="str">
        <f>Pop[[#This Row],[State]]&amp;" "&amp;Pop[[#This Row],[County]]</f>
        <v>VT Grand Total</v>
      </c>
      <c r="B3110" t="s">
        <v>169</v>
      </c>
      <c r="C3110" s="30" t="s">
        <v>67</v>
      </c>
      <c r="D3110" s="16">
        <v>625741</v>
      </c>
    </row>
    <row r="3111" spans="1:4" x14ac:dyDescent="0.3">
      <c r="A3111" s="1" t="str">
        <f>Pop[[#This Row],[State]]&amp;" "&amp;Pop[[#This Row],[County]]</f>
        <v>WA Adams</v>
      </c>
      <c r="B3111" t="s">
        <v>323</v>
      </c>
      <c r="C3111" s="30" t="s">
        <v>478</v>
      </c>
      <c r="D3111" s="16">
        <v>18728</v>
      </c>
    </row>
    <row r="3112" spans="1:4" x14ac:dyDescent="0.3">
      <c r="A3112" s="1" t="str">
        <f>Pop[[#This Row],[State]]&amp;" "&amp;Pop[[#This Row],[County]]</f>
        <v>WA Asotin</v>
      </c>
      <c r="B3112" t="s">
        <v>323</v>
      </c>
      <c r="C3112" s="30" t="s">
        <v>2038</v>
      </c>
      <c r="D3112" s="16">
        <v>21623</v>
      </c>
    </row>
    <row r="3113" spans="1:4" x14ac:dyDescent="0.3">
      <c r="A3113" s="1" t="str">
        <f>Pop[[#This Row],[State]]&amp;" "&amp;Pop[[#This Row],[County]]</f>
        <v>WA Benton</v>
      </c>
      <c r="B3113" t="s">
        <v>323</v>
      </c>
      <c r="C3113" s="30" t="s">
        <v>354</v>
      </c>
      <c r="D3113" s="16">
        <v>175177</v>
      </c>
    </row>
    <row r="3114" spans="1:4" x14ac:dyDescent="0.3">
      <c r="A3114" s="1" t="str">
        <f>Pop[[#This Row],[State]]&amp;" "&amp;Pop[[#This Row],[County]]</f>
        <v>WA Chelan</v>
      </c>
      <c r="B3114" t="s">
        <v>323</v>
      </c>
      <c r="C3114" s="30" t="s">
        <v>2039</v>
      </c>
      <c r="D3114" s="16">
        <v>72453</v>
      </c>
    </row>
    <row r="3115" spans="1:4" x14ac:dyDescent="0.3">
      <c r="A3115" s="1" t="str">
        <f>Pop[[#This Row],[State]]&amp;" "&amp;Pop[[#This Row],[County]]</f>
        <v>WA Clallam</v>
      </c>
      <c r="B3115" t="s">
        <v>323</v>
      </c>
      <c r="C3115" s="30" t="s">
        <v>2040</v>
      </c>
      <c r="D3115" s="16">
        <v>71404</v>
      </c>
    </row>
    <row r="3116" spans="1:4" x14ac:dyDescent="0.3">
      <c r="A3116" s="1" t="str">
        <f>Pop[[#This Row],[State]]&amp;" "&amp;Pop[[#This Row],[County]]</f>
        <v>WA Clark</v>
      </c>
      <c r="B3116" t="s">
        <v>323</v>
      </c>
      <c r="C3116" s="30" t="s">
        <v>38</v>
      </c>
      <c r="D3116" s="16">
        <v>425363</v>
      </c>
    </row>
    <row r="3117" spans="1:4" x14ac:dyDescent="0.3">
      <c r="A3117" s="1" t="str">
        <f>Pop[[#This Row],[State]]&amp;" "&amp;Pop[[#This Row],[County]]</f>
        <v>WA Columbia</v>
      </c>
      <c r="B3117" t="s">
        <v>323</v>
      </c>
      <c r="C3117" s="30" t="s">
        <v>360</v>
      </c>
      <c r="D3117" s="16">
        <v>4078</v>
      </c>
    </row>
    <row r="3118" spans="1:4" x14ac:dyDescent="0.3">
      <c r="A3118" s="1" t="str">
        <f>Pop[[#This Row],[State]]&amp;" "&amp;Pop[[#This Row],[County]]</f>
        <v>WA Cowlitz</v>
      </c>
      <c r="B3118" t="s">
        <v>323</v>
      </c>
      <c r="C3118" s="30" t="s">
        <v>2041</v>
      </c>
      <c r="D3118" s="16">
        <v>102410</v>
      </c>
    </row>
    <row r="3119" spans="1:4" x14ac:dyDescent="0.3">
      <c r="A3119" s="1" t="str">
        <f>Pop[[#This Row],[State]]&amp;" "&amp;Pop[[#This Row],[County]]</f>
        <v>WA Douglas</v>
      </c>
      <c r="B3119" t="s">
        <v>323</v>
      </c>
      <c r="C3119" s="30" t="s">
        <v>496</v>
      </c>
      <c r="D3119" s="16">
        <v>38431</v>
      </c>
    </row>
    <row r="3120" spans="1:4" x14ac:dyDescent="0.3">
      <c r="A3120" s="1" t="str">
        <f>Pop[[#This Row],[State]]&amp;" "&amp;Pop[[#This Row],[County]]</f>
        <v>WA Ferry</v>
      </c>
      <c r="B3120" t="s">
        <v>323</v>
      </c>
      <c r="C3120" s="30" t="s">
        <v>2042</v>
      </c>
      <c r="D3120" s="16">
        <v>7551</v>
      </c>
    </row>
    <row r="3121" spans="1:4" x14ac:dyDescent="0.3">
      <c r="A3121" s="1" t="str">
        <f>Pop[[#This Row],[State]]&amp;" "&amp;Pop[[#This Row],[County]]</f>
        <v>WA Franklin</v>
      </c>
      <c r="B3121" t="s">
        <v>323</v>
      </c>
      <c r="C3121" s="30" t="s">
        <v>43</v>
      </c>
      <c r="D3121" s="16">
        <v>78163</v>
      </c>
    </row>
    <row r="3122" spans="1:4" x14ac:dyDescent="0.3">
      <c r="A3122" s="1" t="str">
        <f>Pop[[#This Row],[State]]&amp;" "&amp;Pop[[#This Row],[County]]</f>
        <v>WA Garfield</v>
      </c>
      <c r="B3122" t="s">
        <v>323</v>
      </c>
      <c r="C3122" s="30" t="s">
        <v>501</v>
      </c>
      <c r="D3122" s="16">
        <v>2266</v>
      </c>
    </row>
    <row r="3123" spans="1:4" x14ac:dyDescent="0.3">
      <c r="A3123" s="1" t="str">
        <f>Pop[[#This Row],[State]]&amp;" "&amp;Pop[[#This Row],[County]]</f>
        <v>WA Grant</v>
      </c>
      <c r="B3123" t="s">
        <v>323</v>
      </c>
      <c r="C3123" s="30" t="s">
        <v>370</v>
      </c>
      <c r="D3123" s="16">
        <v>89120</v>
      </c>
    </row>
    <row r="3124" spans="1:4" x14ac:dyDescent="0.3">
      <c r="A3124" s="1" t="str">
        <f>Pop[[#This Row],[State]]&amp;" "&amp;Pop[[#This Row],[County]]</f>
        <v>WA Grays Harbor</v>
      </c>
      <c r="B3124" t="s">
        <v>323</v>
      </c>
      <c r="C3124" s="30" t="s">
        <v>2043</v>
      </c>
      <c r="D3124" s="16">
        <v>72797</v>
      </c>
    </row>
    <row r="3125" spans="1:4" x14ac:dyDescent="0.3">
      <c r="A3125" s="1" t="str">
        <f>Pop[[#This Row],[State]]&amp;" "&amp;Pop[[#This Row],[County]]</f>
        <v>WA Island</v>
      </c>
      <c r="B3125" t="s">
        <v>323</v>
      </c>
      <c r="C3125" s="30" t="s">
        <v>2044</v>
      </c>
      <c r="D3125" s="16">
        <v>78506</v>
      </c>
    </row>
    <row r="3126" spans="1:4" x14ac:dyDescent="0.3">
      <c r="A3126" s="1" t="str">
        <f>Pop[[#This Row],[State]]&amp;" "&amp;Pop[[#This Row],[County]]</f>
        <v>WA Jefferson</v>
      </c>
      <c r="B3126" t="s">
        <v>323</v>
      </c>
      <c r="C3126" s="30" t="s">
        <v>47</v>
      </c>
      <c r="D3126" s="16">
        <v>29872</v>
      </c>
    </row>
    <row r="3127" spans="1:4" x14ac:dyDescent="0.3">
      <c r="A3127" s="1" t="str">
        <f>Pop[[#This Row],[State]]&amp;" "&amp;Pop[[#This Row],[County]]</f>
        <v>WA King</v>
      </c>
      <c r="B3127" t="s">
        <v>323</v>
      </c>
      <c r="C3127" s="30" t="s">
        <v>1891</v>
      </c>
      <c r="D3127" s="16">
        <v>1931249</v>
      </c>
    </row>
    <row r="3128" spans="1:4" x14ac:dyDescent="0.3">
      <c r="A3128" s="1" t="str">
        <f>Pop[[#This Row],[State]]&amp;" "&amp;Pop[[#This Row],[County]]</f>
        <v>WA Kitsap</v>
      </c>
      <c r="B3128" t="s">
        <v>323</v>
      </c>
      <c r="C3128" s="30" t="s">
        <v>2045</v>
      </c>
      <c r="D3128" s="16">
        <v>251133</v>
      </c>
    </row>
    <row r="3129" spans="1:4" x14ac:dyDescent="0.3">
      <c r="A3129" s="1" t="str">
        <f>Pop[[#This Row],[State]]&amp;" "&amp;Pop[[#This Row],[County]]</f>
        <v>WA Kittitas</v>
      </c>
      <c r="B3129" t="s">
        <v>323</v>
      </c>
      <c r="C3129" s="30" t="s">
        <v>2046</v>
      </c>
      <c r="D3129" s="16">
        <v>40915</v>
      </c>
    </row>
    <row r="3130" spans="1:4" x14ac:dyDescent="0.3">
      <c r="A3130" s="1" t="str">
        <f>Pop[[#This Row],[State]]&amp;" "&amp;Pop[[#This Row],[County]]</f>
        <v>WA Klickitat</v>
      </c>
      <c r="B3130" t="s">
        <v>323</v>
      </c>
      <c r="C3130" s="30" t="s">
        <v>2047</v>
      </c>
      <c r="D3130" s="16">
        <v>20318</v>
      </c>
    </row>
    <row r="3131" spans="1:4" x14ac:dyDescent="0.3">
      <c r="A3131" s="1" t="str">
        <f>Pop[[#This Row],[State]]&amp;" "&amp;Pop[[#This Row],[County]]</f>
        <v>WA Lewis</v>
      </c>
      <c r="B3131" t="s">
        <v>323</v>
      </c>
      <c r="C3131" s="30" t="s">
        <v>773</v>
      </c>
      <c r="D3131" s="16">
        <v>75455</v>
      </c>
    </row>
    <row r="3132" spans="1:4" x14ac:dyDescent="0.3">
      <c r="A3132" s="1" t="str">
        <f>Pop[[#This Row],[State]]&amp;" "&amp;Pop[[#This Row],[County]]</f>
        <v>WA Lincoln</v>
      </c>
      <c r="B3132" t="s">
        <v>323</v>
      </c>
      <c r="C3132" s="30" t="s">
        <v>378</v>
      </c>
      <c r="D3132" s="16">
        <v>10570</v>
      </c>
    </row>
    <row r="3133" spans="1:4" x14ac:dyDescent="0.3">
      <c r="A3133" s="1" t="str">
        <f>Pop[[#This Row],[State]]&amp;" "&amp;Pop[[#This Row],[County]]</f>
        <v>WA Mason</v>
      </c>
      <c r="B3133" t="s">
        <v>323</v>
      </c>
      <c r="C3133" s="30" t="s">
        <v>808</v>
      </c>
      <c r="D3133" s="16">
        <v>60699</v>
      </c>
    </row>
    <row r="3134" spans="1:4" x14ac:dyDescent="0.3">
      <c r="A3134" s="1" t="str">
        <f>Pop[[#This Row],[State]]&amp;" "&amp;Pop[[#This Row],[County]]</f>
        <v>WA Okanogan</v>
      </c>
      <c r="B3134" t="s">
        <v>323</v>
      </c>
      <c r="C3134" s="30" t="s">
        <v>2048</v>
      </c>
      <c r="D3134" s="16">
        <v>41120</v>
      </c>
    </row>
    <row r="3135" spans="1:4" x14ac:dyDescent="0.3">
      <c r="A3135" s="1" t="str">
        <f>Pop[[#This Row],[State]]&amp;" "&amp;Pop[[#This Row],[County]]</f>
        <v>WA Pacific</v>
      </c>
      <c r="B3135" t="s">
        <v>323</v>
      </c>
      <c r="C3135" s="30" t="s">
        <v>2049</v>
      </c>
      <c r="D3135" s="16">
        <v>20920</v>
      </c>
    </row>
    <row r="3136" spans="1:4" x14ac:dyDescent="0.3">
      <c r="A3136" s="1" t="str">
        <f>Pop[[#This Row],[State]]&amp;" "&amp;Pop[[#This Row],[County]]</f>
        <v>WA Pend Oreille</v>
      </c>
      <c r="B3136" t="s">
        <v>323</v>
      </c>
      <c r="C3136" s="30" t="s">
        <v>2050</v>
      </c>
      <c r="D3136" s="16">
        <v>13001</v>
      </c>
    </row>
    <row r="3137" spans="1:4" x14ac:dyDescent="0.3">
      <c r="A3137" s="1" t="str">
        <f>Pop[[#This Row],[State]]&amp;" "&amp;Pop[[#This Row],[County]]</f>
        <v>WA Pierce</v>
      </c>
      <c r="B3137" t="s">
        <v>323</v>
      </c>
      <c r="C3137" s="30" t="s">
        <v>665</v>
      </c>
      <c r="D3137" s="16">
        <v>795225</v>
      </c>
    </row>
    <row r="3138" spans="1:4" x14ac:dyDescent="0.3">
      <c r="A3138" s="1" t="str">
        <f>Pop[[#This Row],[State]]&amp;" "&amp;Pop[[#This Row],[County]]</f>
        <v>WA San Juan</v>
      </c>
      <c r="B3138" t="s">
        <v>323</v>
      </c>
      <c r="C3138" s="30" t="s">
        <v>527</v>
      </c>
      <c r="D3138" s="16">
        <v>15769</v>
      </c>
    </row>
    <row r="3139" spans="1:4" x14ac:dyDescent="0.3">
      <c r="A3139" s="1" t="str">
        <f>Pop[[#This Row],[State]]&amp;" "&amp;Pop[[#This Row],[County]]</f>
        <v>WA Skagit</v>
      </c>
      <c r="B3139" t="s">
        <v>323</v>
      </c>
      <c r="C3139" s="30" t="s">
        <v>2051</v>
      </c>
      <c r="D3139" s="16">
        <v>116901</v>
      </c>
    </row>
    <row r="3140" spans="1:4" x14ac:dyDescent="0.3">
      <c r="A3140" s="1" t="str">
        <f>Pop[[#This Row],[State]]&amp;" "&amp;Pop[[#This Row],[County]]</f>
        <v>WA Skamania</v>
      </c>
      <c r="B3140" t="s">
        <v>323</v>
      </c>
      <c r="C3140" s="30" t="s">
        <v>2052</v>
      </c>
      <c r="D3140" s="16">
        <v>11066</v>
      </c>
    </row>
    <row r="3141" spans="1:4" x14ac:dyDescent="0.3">
      <c r="A3141" s="1" t="str">
        <f>Pop[[#This Row],[State]]&amp;" "&amp;Pop[[#This Row],[County]]</f>
        <v>WA Snohomish</v>
      </c>
      <c r="B3141" t="s">
        <v>323</v>
      </c>
      <c r="C3141" s="30" t="s">
        <v>2053</v>
      </c>
      <c r="D3141" s="16">
        <v>713335</v>
      </c>
    </row>
    <row r="3142" spans="1:4" x14ac:dyDescent="0.3">
      <c r="A3142" s="1" t="str">
        <f>Pop[[#This Row],[State]]&amp;" "&amp;Pop[[#This Row],[County]]</f>
        <v>WA Spokane</v>
      </c>
      <c r="B3142" t="s">
        <v>323</v>
      </c>
      <c r="C3142" s="30" t="s">
        <v>2054</v>
      </c>
      <c r="D3142" s="16">
        <v>471221</v>
      </c>
    </row>
    <row r="3143" spans="1:4" x14ac:dyDescent="0.3">
      <c r="A3143" s="1" t="str">
        <f>Pop[[#This Row],[State]]&amp;" "&amp;Pop[[#This Row],[County]]</f>
        <v>WA Stevens</v>
      </c>
      <c r="B3143" t="s">
        <v>323</v>
      </c>
      <c r="C3143" s="30" t="s">
        <v>920</v>
      </c>
      <c r="D3143" s="16">
        <v>43531</v>
      </c>
    </row>
    <row r="3144" spans="1:4" x14ac:dyDescent="0.3">
      <c r="A3144" s="1" t="str">
        <f>Pop[[#This Row],[State]]&amp;" "&amp;Pop[[#This Row],[County]]</f>
        <v>WA Thurston</v>
      </c>
      <c r="B3144" t="s">
        <v>323</v>
      </c>
      <c r="C3144" s="30" t="s">
        <v>1440</v>
      </c>
      <c r="D3144" s="16">
        <v>252264</v>
      </c>
    </row>
    <row r="3145" spans="1:4" x14ac:dyDescent="0.3">
      <c r="A3145" s="1" t="str">
        <f>Pop[[#This Row],[State]]&amp;" "&amp;Pop[[#This Row],[County]]</f>
        <v>WA Wahkiakum</v>
      </c>
      <c r="B3145" t="s">
        <v>323</v>
      </c>
      <c r="C3145" s="30" t="s">
        <v>2055</v>
      </c>
      <c r="D3145" s="16">
        <v>3978</v>
      </c>
    </row>
    <row r="3146" spans="1:4" x14ac:dyDescent="0.3">
      <c r="A3146" s="1" t="str">
        <f>Pop[[#This Row],[State]]&amp;" "&amp;Pop[[#This Row],[County]]</f>
        <v>WA Walla Walla</v>
      </c>
      <c r="B3146" t="s">
        <v>323</v>
      </c>
      <c r="C3146" s="30" t="s">
        <v>2056</v>
      </c>
      <c r="D3146" s="16">
        <v>58781</v>
      </c>
    </row>
    <row r="3147" spans="1:4" x14ac:dyDescent="0.3">
      <c r="A3147" s="1" t="str">
        <f>Pop[[#This Row],[State]]&amp;" "&amp;Pop[[#This Row],[County]]</f>
        <v>WA Whatcom</v>
      </c>
      <c r="B3147" t="s">
        <v>323</v>
      </c>
      <c r="C3147" s="30" t="s">
        <v>2057</v>
      </c>
      <c r="D3147" s="16">
        <v>201140</v>
      </c>
    </row>
    <row r="3148" spans="1:4" x14ac:dyDescent="0.3">
      <c r="A3148" s="1" t="str">
        <f>Pop[[#This Row],[State]]&amp;" "&amp;Pop[[#This Row],[County]]</f>
        <v>WA Whitman</v>
      </c>
      <c r="B3148" t="s">
        <v>323</v>
      </c>
      <c r="C3148" s="30" t="s">
        <v>2058</v>
      </c>
      <c r="D3148" s="16">
        <v>44776</v>
      </c>
    </row>
    <row r="3149" spans="1:4" x14ac:dyDescent="0.3">
      <c r="A3149" s="1" t="str">
        <f>Pop[[#This Row],[State]]&amp;" "&amp;Pop[[#This Row],[County]]</f>
        <v>WA Yakima</v>
      </c>
      <c r="B3149" t="s">
        <v>323</v>
      </c>
      <c r="C3149" s="30" t="s">
        <v>2059</v>
      </c>
      <c r="D3149" s="16">
        <v>243231</v>
      </c>
    </row>
    <row r="3150" spans="1:4" x14ac:dyDescent="0.3">
      <c r="A3150" s="1" t="str">
        <f>Pop[[#This Row],[State]]&amp;" "&amp;Pop[[#This Row],[County]]</f>
        <v>WA State Agencies</v>
      </c>
      <c r="B3150" t="s">
        <v>323</v>
      </c>
      <c r="C3150" s="30" t="s">
        <v>243</v>
      </c>
      <c r="D3150" s="16" t="s">
        <v>244</v>
      </c>
    </row>
    <row r="3151" spans="1:4" x14ac:dyDescent="0.3">
      <c r="A3151" s="1" t="str">
        <f>Pop[[#This Row],[State]]&amp;" "&amp;Pop[[#This Row],[County]]</f>
        <v>WA Grand Total</v>
      </c>
      <c r="B3151" t="s">
        <v>323</v>
      </c>
      <c r="C3151" s="30" t="s">
        <v>67</v>
      </c>
      <c r="D3151" s="16">
        <v>6724540</v>
      </c>
    </row>
    <row r="3152" spans="1:4" x14ac:dyDescent="0.3">
      <c r="A3152" s="1" t="str">
        <f>Pop[[#This Row],[State]]&amp;" "&amp;Pop[[#This Row],[County]]</f>
        <v>WI Adams</v>
      </c>
      <c r="B3152" t="s">
        <v>245</v>
      </c>
      <c r="C3152" s="30" t="s">
        <v>478</v>
      </c>
      <c r="D3152" s="16">
        <v>20654</v>
      </c>
    </row>
    <row r="3153" spans="1:4" x14ac:dyDescent="0.3">
      <c r="A3153" s="1" t="str">
        <f>Pop[[#This Row],[State]]&amp;" "&amp;Pop[[#This Row],[County]]</f>
        <v>WI Ashland</v>
      </c>
      <c r="B3153" t="s">
        <v>245</v>
      </c>
      <c r="C3153" s="30" t="s">
        <v>1519</v>
      </c>
      <c r="D3153" s="16">
        <v>16027</v>
      </c>
    </row>
    <row r="3154" spans="1:4" x14ac:dyDescent="0.3">
      <c r="A3154" s="1" t="str">
        <f>Pop[[#This Row],[State]]&amp;" "&amp;Pop[[#This Row],[County]]</f>
        <v>WI Barron</v>
      </c>
      <c r="B3154" t="s">
        <v>245</v>
      </c>
      <c r="C3154" s="30" t="s">
        <v>2060</v>
      </c>
      <c r="D3154" s="16">
        <v>46711</v>
      </c>
    </row>
    <row r="3155" spans="1:4" x14ac:dyDescent="0.3">
      <c r="A3155" s="1" t="str">
        <f>Pop[[#This Row],[State]]&amp;" "&amp;Pop[[#This Row],[County]]</f>
        <v>WI Bayfield</v>
      </c>
      <c r="B3155" t="s">
        <v>245</v>
      </c>
      <c r="C3155" s="30" t="s">
        <v>2061</v>
      </c>
      <c r="D3155" s="16">
        <v>16220</v>
      </c>
    </row>
    <row r="3156" spans="1:4" x14ac:dyDescent="0.3">
      <c r="A3156" s="1" t="str">
        <f>Pop[[#This Row],[State]]&amp;" "&amp;Pop[[#This Row],[County]]</f>
        <v>WI Brown</v>
      </c>
      <c r="B3156" t="s">
        <v>245</v>
      </c>
      <c r="C3156" s="30" t="s">
        <v>37</v>
      </c>
      <c r="D3156" s="16">
        <v>268740</v>
      </c>
    </row>
    <row r="3157" spans="1:4" x14ac:dyDescent="0.3">
      <c r="A3157" s="1" t="str">
        <f>Pop[[#This Row],[State]]&amp;" "&amp;Pop[[#This Row],[County]]</f>
        <v>WI Buffalo</v>
      </c>
      <c r="B3157" t="s">
        <v>245</v>
      </c>
      <c r="C3157" s="30" t="s">
        <v>1405</v>
      </c>
      <c r="D3157" s="16">
        <v>13317</v>
      </c>
    </row>
    <row r="3158" spans="1:4" x14ac:dyDescent="0.3">
      <c r="A3158" s="1" t="str">
        <f>Pop[[#This Row],[State]]&amp;" "&amp;Pop[[#This Row],[County]]</f>
        <v>WI Burnett</v>
      </c>
      <c r="B3158" t="s">
        <v>245</v>
      </c>
      <c r="C3158" s="30" t="s">
        <v>2062</v>
      </c>
      <c r="D3158" s="16">
        <v>16526</v>
      </c>
    </row>
    <row r="3159" spans="1:4" x14ac:dyDescent="0.3">
      <c r="A3159" s="1" t="str">
        <f>Pop[[#This Row],[State]]&amp;" "&amp;Pop[[#This Row],[County]]</f>
        <v>WI Calumet</v>
      </c>
      <c r="B3159" t="s">
        <v>245</v>
      </c>
      <c r="C3159" s="30" t="s">
        <v>2063</v>
      </c>
      <c r="D3159" s="16">
        <v>52442</v>
      </c>
    </row>
    <row r="3160" spans="1:4" x14ac:dyDescent="0.3">
      <c r="A3160" s="1" t="str">
        <f>Pop[[#This Row],[State]]&amp;" "&amp;Pop[[#This Row],[County]]</f>
        <v>WI Chippewa</v>
      </c>
      <c r="B3160" t="s">
        <v>245</v>
      </c>
      <c r="C3160" s="30" t="s">
        <v>1080</v>
      </c>
      <c r="D3160" s="16">
        <v>66297</v>
      </c>
    </row>
    <row r="3161" spans="1:4" x14ac:dyDescent="0.3">
      <c r="A3161" s="1" t="str">
        <f>Pop[[#This Row],[State]]&amp;" "&amp;Pop[[#This Row],[County]]</f>
        <v>WI Clark</v>
      </c>
      <c r="B3161" t="s">
        <v>245</v>
      </c>
      <c r="C3161" s="30" t="s">
        <v>38</v>
      </c>
      <c r="D3161" s="16">
        <v>34659</v>
      </c>
    </row>
    <row r="3162" spans="1:4" x14ac:dyDescent="0.3">
      <c r="A3162" s="1" t="str">
        <f>Pop[[#This Row],[State]]&amp;" "&amp;Pop[[#This Row],[County]]</f>
        <v>WI Columbia</v>
      </c>
      <c r="B3162" t="s">
        <v>245</v>
      </c>
      <c r="C3162" s="30" t="s">
        <v>360</v>
      </c>
      <c r="D3162" s="16">
        <v>58490</v>
      </c>
    </row>
    <row r="3163" spans="1:4" x14ac:dyDescent="0.3">
      <c r="A3163" s="1" t="str">
        <f>Pop[[#This Row],[State]]&amp;" "&amp;Pop[[#This Row],[County]]</f>
        <v>WI Crawford</v>
      </c>
      <c r="B3163" t="s">
        <v>245</v>
      </c>
      <c r="C3163" s="30" t="s">
        <v>40</v>
      </c>
      <c r="D3163" s="16">
        <v>16113</v>
      </c>
    </row>
    <row r="3164" spans="1:4" x14ac:dyDescent="0.3">
      <c r="A3164" s="1" t="str">
        <f>Pop[[#This Row],[State]]&amp;" "&amp;Pop[[#This Row],[County]]</f>
        <v>WI Dane</v>
      </c>
      <c r="B3164" t="s">
        <v>245</v>
      </c>
      <c r="C3164" s="30" t="s">
        <v>2064</v>
      </c>
      <c r="D3164" s="16">
        <v>561504</v>
      </c>
    </row>
    <row r="3165" spans="1:4" x14ac:dyDescent="0.3">
      <c r="A3165" s="1" t="str">
        <f>Pop[[#This Row],[State]]&amp;" "&amp;Pop[[#This Row],[County]]</f>
        <v>WI Dodge</v>
      </c>
      <c r="B3165" t="s">
        <v>245</v>
      </c>
      <c r="C3165" s="30" t="s">
        <v>623</v>
      </c>
      <c r="D3165" s="16">
        <v>89396</v>
      </c>
    </row>
    <row r="3166" spans="1:4" x14ac:dyDescent="0.3">
      <c r="A3166" s="1" t="str">
        <f>Pop[[#This Row],[State]]&amp;" "&amp;Pop[[#This Row],[County]]</f>
        <v>WI Door</v>
      </c>
      <c r="B3166" t="s">
        <v>245</v>
      </c>
      <c r="C3166" s="30" t="s">
        <v>2065</v>
      </c>
      <c r="D3166" s="16">
        <v>30066</v>
      </c>
    </row>
    <row r="3167" spans="1:4" x14ac:dyDescent="0.3">
      <c r="A3167" s="1" t="str">
        <f>Pop[[#This Row],[State]]&amp;" "&amp;Pop[[#This Row],[County]]</f>
        <v>WI Douglas</v>
      </c>
      <c r="B3167" t="s">
        <v>245</v>
      </c>
      <c r="C3167" s="30" t="s">
        <v>496</v>
      </c>
      <c r="D3167" s="16">
        <v>44295</v>
      </c>
    </row>
    <row r="3168" spans="1:4" x14ac:dyDescent="0.3">
      <c r="A3168" s="1" t="str">
        <f>Pop[[#This Row],[State]]&amp;" "&amp;Pop[[#This Row],[County]]</f>
        <v>WI Dunn</v>
      </c>
      <c r="B3168" t="s">
        <v>245</v>
      </c>
      <c r="C3168" s="30" t="s">
        <v>1378</v>
      </c>
      <c r="D3168" s="16">
        <v>45440</v>
      </c>
    </row>
    <row r="3169" spans="1:4" x14ac:dyDescent="0.3">
      <c r="A3169" s="1" t="str">
        <f>Pop[[#This Row],[State]]&amp;" "&amp;Pop[[#This Row],[County]]</f>
        <v>WI Eau Claire</v>
      </c>
      <c r="B3169" t="s">
        <v>245</v>
      </c>
      <c r="C3169" s="30" t="s">
        <v>2066</v>
      </c>
      <c r="D3169" s="16">
        <v>105710</v>
      </c>
    </row>
    <row r="3170" spans="1:4" x14ac:dyDescent="0.3">
      <c r="A3170" s="1" t="str">
        <f>Pop[[#This Row],[State]]&amp;" "&amp;Pop[[#This Row],[County]]</f>
        <v>WI Florence</v>
      </c>
      <c r="B3170" t="s">
        <v>245</v>
      </c>
      <c r="C3170" s="30" t="s">
        <v>1732</v>
      </c>
      <c r="D3170" s="16">
        <v>4558</v>
      </c>
    </row>
    <row r="3171" spans="1:4" x14ac:dyDescent="0.3">
      <c r="A3171" s="1" t="str">
        <f>Pop[[#This Row],[State]]&amp;" "&amp;Pop[[#This Row],[County]]</f>
        <v>WI Fond du Lac</v>
      </c>
      <c r="B3171" t="s">
        <v>245</v>
      </c>
      <c r="C3171" s="30" t="s">
        <v>2067</v>
      </c>
      <c r="D3171" s="16">
        <v>104154</v>
      </c>
    </row>
    <row r="3172" spans="1:4" x14ac:dyDescent="0.3">
      <c r="A3172" s="1" t="str">
        <f>Pop[[#This Row],[State]]&amp;" "&amp;Pop[[#This Row],[County]]</f>
        <v>WI Forest</v>
      </c>
      <c r="B3172" t="s">
        <v>245</v>
      </c>
      <c r="C3172" s="30" t="s">
        <v>1622</v>
      </c>
      <c r="D3172" s="16">
        <v>9179</v>
      </c>
    </row>
    <row r="3173" spans="1:4" x14ac:dyDescent="0.3">
      <c r="A3173" s="1" t="str">
        <f>Pop[[#This Row],[State]]&amp;" "&amp;Pop[[#This Row],[County]]</f>
        <v>WI Grant</v>
      </c>
      <c r="B3173" t="s">
        <v>245</v>
      </c>
      <c r="C3173" s="30" t="s">
        <v>370</v>
      </c>
      <c r="D3173" s="16">
        <v>51938</v>
      </c>
    </row>
    <row r="3174" spans="1:4" x14ac:dyDescent="0.3">
      <c r="A3174" s="1" t="str">
        <f>Pop[[#This Row],[State]]&amp;" "&amp;Pop[[#This Row],[County]]</f>
        <v>WI Green</v>
      </c>
      <c r="B3174" t="s">
        <v>245</v>
      </c>
      <c r="C3174" s="30" t="s">
        <v>952</v>
      </c>
      <c r="D3174" s="16">
        <v>37093</v>
      </c>
    </row>
    <row r="3175" spans="1:4" x14ac:dyDescent="0.3">
      <c r="A3175" s="1" t="str">
        <f>Pop[[#This Row],[State]]&amp;" "&amp;Pop[[#This Row],[County]]</f>
        <v>WI Green Lake</v>
      </c>
      <c r="B3175" t="s">
        <v>245</v>
      </c>
      <c r="C3175" s="30" t="s">
        <v>2068</v>
      </c>
      <c r="D3175" s="16">
        <v>19018</v>
      </c>
    </row>
    <row r="3176" spans="1:4" x14ac:dyDescent="0.3">
      <c r="A3176" s="1" t="str">
        <f>Pop[[#This Row],[State]]&amp;" "&amp;Pop[[#This Row],[County]]</f>
        <v>WI Iowa</v>
      </c>
      <c r="B3176" t="s">
        <v>245</v>
      </c>
      <c r="C3176" s="30" t="s">
        <v>263</v>
      </c>
      <c r="D3176" s="16">
        <v>23709</v>
      </c>
    </row>
    <row r="3177" spans="1:4" x14ac:dyDescent="0.3">
      <c r="A3177" s="1" t="str">
        <f>Pop[[#This Row],[State]]&amp;" "&amp;Pop[[#This Row],[County]]</f>
        <v>WI Iron</v>
      </c>
      <c r="B3177" t="s">
        <v>245</v>
      </c>
      <c r="C3177" s="30" t="s">
        <v>1094</v>
      </c>
      <c r="D3177" s="16">
        <v>6137</v>
      </c>
    </row>
    <row r="3178" spans="1:4" x14ac:dyDescent="0.3">
      <c r="A3178" s="1" t="str">
        <f>Pop[[#This Row],[State]]&amp;" "&amp;Pop[[#This Row],[County]]</f>
        <v>WI Jackson</v>
      </c>
      <c r="B3178" t="s">
        <v>245</v>
      </c>
      <c r="C3178" s="30" t="s">
        <v>46</v>
      </c>
      <c r="D3178" s="16">
        <v>21145</v>
      </c>
    </row>
    <row r="3179" spans="1:4" x14ac:dyDescent="0.3">
      <c r="A3179" s="1" t="str">
        <f>Pop[[#This Row],[State]]&amp;" "&amp;Pop[[#This Row],[County]]</f>
        <v>WI Jefferson</v>
      </c>
      <c r="B3179" t="s">
        <v>245</v>
      </c>
      <c r="C3179" s="30" t="s">
        <v>47</v>
      </c>
      <c r="D3179" s="16">
        <v>84900</v>
      </c>
    </row>
    <row r="3180" spans="1:4" x14ac:dyDescent="0.3">
      <c r="A3180" s="1" t="str">
        <f>Pop[[#This Row],[State]]&amp;" "&amp;Pop[[#This Row],[County]]</f>
        <v>WI Juneau</v>
      </c>
      <c r="B3180" t="s">
        <v>245</v>
      </c>
      <c r="C3180" s="30" t="s">
        <v>2069</v>
      </c>
      <c r="D3180" s="16">
        <v>26718</v>
      </c>
    </row>
    <row r="3181" spans="1:4" x14ac:dyDescent="0.3">
      <c r="A3181" s="1" t="str">
        <f>Pop[[#This Row],[State]]&amp;" "&amp;Pop[[#This Row],[County]]</f>
        <v>WI Kenosha</v>
      </c>
      <c r="B3181" t="s">
        <v>245</v>
      </c>
      <c r="C3181" s="30" t="s">
        <v>2070</v>
      </c>
      <c r="D3181" s="16">
        <v>169151</v>
      </c>
    </row>
    <row r="3182" spans="1:4" x14ac:dyDescent="0.3">
      <c r="A3182" s="1" t="str">
        <f>Pop[[#This Row],[State]]&amp;" "&amp;Pop[[#This Row],[County]]</f>
        <v>WI Kewaunee</v>
      </c>
      <c r="B3182" t="s">
        <v>245</v>
      </c>
      <c r="C3182" s="30" t="s">
        <v>2071</v>
      </c>
      <c r="D3182" s="16">
        <v>20563</v>
      </c>
    </row>
    <row r="3183" spans="1:4" x14ac:dyDescent="0.3">
      <c r="A3183" s="1" t="str">
        <f>Pop[[#This Row],[State]]&amp;" "&amp;Pop[[#This Row],[County]]</f>
        <v>WI La Crosse</v>
      </c>
      <c r="B3183" t="s">
        <v>245</v>
      </c>
      <c r="C3183" s="30" t="s">
        <v>2072</v>
      </c>
      <c r="D3183" s="16">
        <v>120784</v>
      </c>
    </row>
    <row r="3184" spans="1:4" x14ac:dyDescent="0.3">
      <c r="A3184" s="1" t="str">
        <f>Pop[[#This Row],[State]]&amp;" "&amp;Pop[[#This Row],[County]]</f>
        <v>WI Lafayette</v>
      </c>
      <c r="B3184" t="s">
        <v>245</v>
      </c>
      <c r="C3184" s="30" t="s">
        <v>377</v>
      </c>
      <c r="D3184" s="16">
        <v>16611</v>
      </c>
    </row>
    <row r="3185" spans="1:4" x14ac:dyDescent="0.3">
      <c r="A3185" s="1" t="str">
        <f>Pop[[#This Row],[State]]&amp;" "&amp;Pop[[#This Row],[County]]</f>
        <v>WI Langlade</v>
      </c>
      <c r="B3185" t="s">
        <v>245</v>
      </c>
      <c r="C3185" s="30" t="s">
        <v>2073</v>
      </c>
      <c r="D3185" s="16">
        <v>19491</v>
      </c>
    </row>
    <row r="3186" spans="1:4" x14ac:dyDescent="0.3">
      <c r="A3186" s="1" t="str">
        <f>Pop[[#This Row],[State]]&amp;" "&amp;Pop[[#This Row],[County]]</f>
        <v>WI Lincoln</v>
      </c>
      <c r="B3186" t="s">
        <v>245</v>
      </c>
      <c r="C3186" s="30" t="s">
        <v>378</v>
      </c>
      <c r="D3186" s="16">
        <v>28415</v>
      </c>
    </row>
    <row r="3187" spans="1:4" x14ac:dyDescent="0.3">
      <c r="A3187" s="1" t="str">
        <f>Pop[[#This Row],[State]]&amp;" "&amp;Pop[[#This Row],[County]]</f>
        <v>WI Manitowoc</v>
      </c>
      <c r="B3187" t="s">
        <v>245</v>
      </c>
      <c r="C3187" s="30" t="s">
        <v>2074</v>
      </c>
      <c r="D3187" s="16">
        <v>81359</v>
      </c>
    </row>
    <row r="3188" spans="1:4" x14ac:dyDescent="0.3">
      <c r="A3188" s="1" t="str">
        <f>Pop[[#This Row],[State]]&amp;" "&amp;Pop[[#This Row],[County]]</f>
        <v>WI Marathon</v>
      </c>
      <c r="B3188" t="s">
        <v>245</v>
      </c>
      <c r="C3188" s="30" t="s">
        <v>2075</v>
      </c>
      <c r="D3188" s="16">
        <v>138013</v>
      </c>
    </row>
    <row r="3189" spans="1:4" x14ac:dyDescent="0.3">
      <c r="A3189" s="1" t="str">
        <f>Pop[[#This Row],[State]]&amp;" "&amp;Pop[[#This Row],[County]]</f>
        <v>WI Marinette</v>
      </c>
      <c r="B3189" t="s">
        <v>245</v>
      </c>
      <c r="C3189" s="30" t="s">
        <v>2076</v>
      </c>
      <c r="D3189" s="16">
        <v>41872</v>
      </c>
    </row>
    <row r="3190" spans="1:4" x14ac:dyDescent="0.3">
      <c r="A3190" s="1" t="str">
        <f>Pop[[#This Row],[State]]&amp;" "&amp;Pop[[#This Row],[County]]</f>
        <v>WI Marquette</v>
      </c>
      <c r="B3190" t="s">
        <v>245</v>
      </c>
      <c r="C3190" s="30" t="s">
        <v>1106</v>
      </c>
      <c r="D3190" s="16">
        <v>15592</v>
      </c>
    </row>
    <row r="3191" spans="1:4" x14ac:dyDescent="0.3">
      <c r="A3191" s="1" t="str">
        <f>Pop[[#This Row],[State]]&amp;" "&amp;Pop[[#This Row],[County]]</f>
        <v>WI Menominee</v>
      </c>
      <c r="B3191" t="s">
        <v>245</v>
      </c>
      <c r="C3191" s="30" t="s">
        <v>1108</v>
      </c>
      <c r="D3191" s="16">
        <v>4255</v>
      </c>
    </row>
    <row r="3192" spans="1:4" x14ac:dyDescent="0.3">
      <c r="A3192" s="1" t="str">
        <f>Pop[[#This Row],[State]]&amp;" "&amp;Pop[[#This Row],[County]]</f>
        <v>WI Milwaukee</v>
      </c>
      <c r="B3192" t="s">
        <v>245</v>
      </c>
      <c r="C3192" s="30" t="s">
        <v>2077</v>
      </c>
      <c r="D3192" s="16">
        <v>939489</v>
      </c>
    </row>
    <row r="3193" spans="1:4" x14ac:dyDescent="0.3">
      <c r="A3193" s="1" t="str">
        <f>Pop[[#This Row],[State]]&amp;" "&amp;Pop[[#This Row],[County]]</f>
        <v>WI Monroe</v>
      </c>
      <c r="B3193" t="s">
        <v>245</v>
      </c>
      <c r="C3193" s="30" t="s">
        <v>339</v>
      </c>
      <c r="D3193" s="16">
        <v>46274</v>
      </c>
    </row>
    <row r="3194" spans="1:4" x14ac:dyDescent="0.3">
      <c r="A3194" s="1" t="str">
        <f>Pop[[#This Row],[State]]&amp;" "&amp;Pop[[#This Row],[County]]</f>
        <v>WI Oconto</v>
      </c>
      <c r="B3194" t="s">
        <v>245</v>
      </c>
      <c r="C3194" s="30" t="s">
        <v>2078</v>
      </c>
      <c r="D3194" s="16">
        <v>38965</v>
      </c>
    </row>
    <row r="3195" spans="1:4" x14ac:dyDescent="0.3">
      <c r="A3195" s="1" t="str">
        <f>Pop[[#This Row],[State]]&amp;" "&amp;Pop[[#This Row],[County]]</f>
        <v>WI Oneida</v>
      </c>
      <c r="B3195" t="s">
        <v>245</v>
      </c>
      <c r="C3195" s="30" t="s">
        <v>776</v>
      </c>
      <c r="D3195" s="16">
        <v>37845</v>
      </c>
    </row>
    <row r="3196" spans="1:4" x14ac:dyDescent="0.3">
      <c r="A3196" s="1" t="str">
        <f>Pop[[#This Row],[State]]&amp;" "&amp;Pop[[#This Row],[County]]</f>
        <v>WI Outagamie</v>
      </c>
      <c r="B3196" t="s">
        <v>245</v>
      </c>
      <c r="C3196" s="30" t="s">
        <v>2079</v>
      </c>
      <c r="D3196" s="16">
        <v>190705</v>
      </c>
    </row>
    <row r="3197" spans="1:4" x14ac:dyDescent="0.3">
      <c r="A3197" s="1" t="str">
        <f>Pop[[#This Row],[State]]&amp;" "&amp;Pop[[#This Row],[County]]</f>
        <v>WI Ozaukee</v>
      </c>
      <c r="B3197" t="s">
        <v>245</v>
      </c>
      <c r="C3197" s="30" t="s">
        <v>2080</v>
      </c>
      <c r="D3197" s="16">
        <v>91503</v>
      </c>
    </row>
    <row r="3198" spans="1:4" x14ac:dyDescent="0.3">
      <c r="A3198" s="1" t="str">
        <f>Pop[[#This Row],[State]]&amp;" "&amp;Pop[[#This Row],[County]]</f>
        <v>WI Pepin</v>
      </c>
      <c r="B3198" t="s">
        <v>245</v>
      </c>
      <c r="C3198" s="30" t="s">
        <v>2081</v>
      </c>
      <c r="D3198" s="16">
        <v>7318</v>
      </c>
    </row>
    <row r="3199" spans="1:4" x14ac:dyDescent="0.3">
      <c r="A3199" s="1" t="str">
        <f>Pop[[#This Row],[State]]&amp;" "&amp;Pop[[#This Row],[County]]</f>
        <v>WI Pierce</v>
      </c>
      <c r="B3199" t="s">
        <v>245</v>
      </c>
      <c r="C3199" s="30" t="s">
        <v>665</v>
      </c>
      <c r="D3199" s="16">
        <v>42212</v>
      </c>
    </row>
    <row r="3200" spans="1:4" x14ac:dyDescent="0.3">
      <c r="A3200" s="1" t="str">
        <f>Pop[[#This Row],[State]]&amp;" "&amp;Pop[[#This Row],[County]]</f>
        <v>WI Polk</v>
      </c>
      <c r="B3200" t="s">
        <v>245</v>
      </c>
      <c r="C3200" s="30" t="s">
        <v>387</v>
      </c>
      <c r="D3200" s="16">
        <v>44977</v>
      </c>
    </row>
    <row r="3201" spans="1:4" x14ac:dyDescent="0.3">
      <c r="A3201" s="1" t="str">
        <f>Pop[[#This Row],[State]]&amp;" "&amp;Pop[[#This Row],[County]]</f>
        <v>WI Portage</v>
      </c>
      <c r="B3201" t="s">
        <v>245</v>
      </c>
      <c r="C3201" s="30" t="s">
        <v>1543</v>
      </c>
      <c r="D3201" s="16">
        <v>70377</v>
      </c>
    </row>
    <row r="3202" spans="1:4" x14ac:dyDescent="0.3">
      <c r="A3202" s="1" t="str">
        <f>Pop[[#This Row],[State]]&amp;" "&amp;Pop[[#This Row],[County]]</f>
        <v>WI Price</v>
      </c>
      <c r="B3202" t="s">
        <v>245</v>
      </c>
      <c r="C3202" s="30" t="s">
        <v>2082</v>
      </c>
      <c r="D3202" s="16">
        <v>14054</v>
      </c>
    </row>
    <row r="3203" spans="1:4" x14ac:dyDescent="0.3">
      <c r="A3203" s="1" t="str">
        <f>Pop[[#This Row],[State]]&amp;" "&amp;Pop[[#This Row],[County]]</f>
        <v>WI Racine</v>
      </c>
      <c r="B3203" t="s">
        <v>245</v>
      </c>
      <c r="C3203" s="30" t="s">
        <v>2083</v>
      </c>
      <c r="D3203" s="16">
        <v>197727</v>
      </c>
    </row>
    <row r="3204" spans="1:4" x14ac:dyDescent="0.3">
      <c r="A3204" s="1" t="str">
        <f>Pop[[#This Row],[State]]&amp;" "&amp;Pop[[#This Row],[County]]</f>
        <v>WI Richland</v>
      </c>
      <c r="B3204" t="s">
        <v>245</v>
      </c>
      <c r="C3204" s="30" t="s">
        <v>819</v>
      </c>
      <c r="D3204" s="16">
        <v>17304</v>
      </c>
    </row>
    <row r="3205" spans="1:4" x14ac:dyDescent="0.3">
      <c r="A3205" s="1" t="str">
        <f>Pop[[#This Row],[State]]&amp;" "&amp;Pop[[#This Row],[County]]</f>
        <v>WI Rock</v>
      </c>
      <c r="B3205" t="s">
        <v>245</v>
      </c>
      <c r="C3205" s="30" t="s">
        <v>1177</v>
      </c>
      <c r="D3205" s="16">
        <v>163687</v>
      </c>
    </row>
    <row r="3206" spans="1:4" x14ac:dyDescent="0.3">
      <c r="A3206" s="1" t="str">
        <f>Pop[[#This Row],[State]]&amp;" "&amp;Pop[[#This Row],[County]]</f>
        <v>WI Rusk</v>
      </c>
      <c r="B3206" t="s">
        <v>245</v>
      </c>
      <c r="C3206" s="30" t="s">
        <v>1929</v>
      </c>
      <c r="D3206" s="16">
        <v>14188</v>
      </c>
    </row>
    <row r="3207" spans="1:4" x14ac:dyDescent="0.3">
      <c r="A3207" s="1" t="str">
        <f>Pop[[#This Row],[State]]&amp;" "&amp;Pop[[#This Row],[County]]</f>
        <v>WI Sauk</v>
      </c>
      <c r="B3207" t="s">
        <v>245</v>
      </c>
      <c r="C3207" s="30" t="s">
        <v>2084</v>
      </c>
      <c r="D3207" s="16">
        <v>65763</v>
      </c>
    </row>
    <row r="3208" spans="1:4" x14ac:dyDescent="0.3">
      <c r="A3208" s="1" t="str">
        <f>Pop[[#This Row],[State]]&amp;" "&amp;Pop[[#This Row],[County]]</f>
        <v>WI Sawyer</v>
      </c>
      <c r="B3208" t="s">
        <v>245</v>
      </c>
      <c r="C3208" s="30" t="s">
        <v>2085</v>
      </c>
      <c r="D3208" s="16">
        <v>18074</v>
      </c>
    </row>
    <row r="3209" spans="1:4" x14ac:dyDescent="0.3">
      <c r="A3209" s="1" t="str">
        <f>Pop[[#This Row],[State]]&amp;" "&amp;Pop[[#This Row],[County]]</f>
        <v>WI Shawano</v>
      </c>
      <c r="B3209" t="s">
        <v>245</v>
      </c>
      <c r="C3209" s="30" t="s">
        <v>2086</v>
      </c>
      <c r="D3209" s="16">
        <v>40881</v>
      </c>
    </row>
    <row r="3210" spans="1:4" x14ac:dyDescent="0.3">
      <c r="A3210" s="1" t="str">
        <f>Pop[[#This Row],[State]]&amp;" "&amp;Pop[[#This Row],[County]]</f>
        <v>WI Sheboygan</v>
      </c>
      <c r="B3210" t="s">
        <v>245</v>
      </c>
      <c r="C3210" s="30" t="s">
        <v>2087</v>
      </c>
      <c r="D3210" s="16">
        <v>118034</v>
      </c>
    </row>
    <row r="3211" spans="1:4" x14ac:dyDescent="0.3">
      <c r="A3211" s="1" t="str">
        <f>Pop[[#This Row],[State]]&amp;" "&amp;Pop[[#This Row],[County]]</f>
        <v>WI St. Croix</v>
      </c>
      <c r="B3211" t="s">
        <v>245</v>
      </c>
      <c r="C3211" s="30" t="s">
        <v>2027</v>
      </c>
      <c r="D3211" s="16">
        <v>93536</v>
      </c>
    </row>
    <row r="3212" spans="1:4" x14ac:dyDescent="0.3">
      <c r="A3212" s="1" t="str">
        <f>Pop[[#This Row],[State]]&amp;" "&amp;Pop[[#This Row],[County]]</f>
        <v>WI Taylor</v>
      </c>
      <c r="B3212" t="s">
        <v>245</v>
      </c>
      <c r="C3212" s="30" t="s">
        <v>588</v>
      </c>
      <c r="D3212" s="16">
        <v>19913</v>
      </c>
    </row>
    <row r="3213" spans="1:4" x14ac:dyDescent="0.3">
      <c r="A3213" s="1" t="str">
        <f>Pop[[#This Row],[State]]&amp;" "&amp;Pop[[#This Row],[County]]</f>
        <v>WI Trempealeau</v>
      </c>
      <c r="B3213" t="s">
        <v>245</v>
      </c>
      <c r="C3213" s="30" t="s">
        <v>2088</v>
      </c>
      <c r="D3213" s="16">
        <v>30760</v>
      </c>
    </row>
    <row r="3214" spans="1:4" x14ac:dyDescent="0.3">
      <c r="A3214" s="1" t="str">
        <f>Pop[[#This Row],[State]]&amp;" "&amp;Pop[[#This Row],[County]]</f>
        <v>WI Vernon</v>
      </c>
      <c r="B3214" t="s">
        <v>245</v>
      </c>
      <c r="C3214" s="30" t="s">
        <v>1027</v>
      </c>
      <c r="D3214" s="16">
        <v>30714</v>
      </c>
    </row>
    <row r="3215" spans="1:4" x14ac:dyDescent="0.3">
      <c r="A3215" s="1" t="str">
        <f>Pop[[#This Row],[State]]&amp;" "&amp;Pop[[#This Row],[County]]</f>
        <v>WI Vilas</v>
      </c>
      <c r="B3215" t="s">
        <v>245</v>
      </c>
      <c r="C3215" s="30" t="s">
        <v>2089</v>
      </c>
      <c r="D3215" s="16">
        <v>23047</v>
      </c>
    </row>
    <row r="3216" spans="1:4" x14ac:dyDescent="0.3">
      <c r="A3216" s="1" t="str">
        <f>Pop[[#This Row],[State]]&amp;" "&amp;Pop[[#This Row],[County]]</f>
        <v>WI Walworth</v>
      </c>
      <c r="B3216" t="s">
        <v>245</v>
      </c>
      <c r="C3216" s="30" t="s">
        <v>1780</v>
      </c>
      <c r="D3216" s="16">
        <v>106478</v>
      </c>
    </row>
    <row r="3217" spans="1:4" x14ac:dyDescent="0.3">
      <c r="A3217" s="1" t="str">
        <f>Pop[[#This Row],[State]]&amp;" "&amp;Pop[[#This Row],[County]]</f>
        <v>WI Washburn</v>
      </c>
      <c r="B3217" t="s">
        <v>245</v>
      </c>
      <c r="C3217" s="30" t="s">
        <v>2090</v>
      </c>
      <c r="D3217" s="16">
        <v>16623</v>
      </c>
    </row>
    <row r="3218" spans="1:4" x14ac:dyDescent="0.3">
      <c r="A3218" s="1" t="str">
        <f>Pop[[#This Row],[State]]&amp;" "&amp;Pop[[#This Row],[County]]</f>
        <v>WI Washington</v>
      </c>
      <c r="B3218" t="s">
        <v>245</v>
      </c>
      <c r="C3218" s="30" t="s">
        <v>65</v>
      </c>
      <c r="D3218" s="16">
        <v>136761</v>
      </c>
    </row>
    <row r="3219" spans="1:4" x14ac:dyDescent="0.3">
      <c r="A3219" s="1" t="str">
        <f>Pop[[#This Row],[State]]&amp;" "&amp;Pop[[#This Row],[County]]</f>
        <v>WI Waukesha</v>
      </c>
      <c r="B3219" t="s">
        <v>245</v>
      </c>
      <c r="C3219" s="30" t="s">
        <v>2091</v>
      </c>
      <c r="D3219" s="16">
        <v>406978</v>
      </c>
    </row>
    <row r="3220" spans="1:4" x14ac:dyDescent="0.3">
      <c r="A3220" s="1" t="str">
        <f>Pop[[#This Row],[State]]&amp;" "&amp;Pop[[#This Row],[County]]</f>
        <v>WI Waupaca</v>
      </c>
      <c r="B3220" t="s">
        <v>245</v>
      </c>
      <c r="C3220" s="30" t="s">
        <v>2092</v>
      </c>
      <c r="D3220" s="16">
        <v>51812</v>
      </c>
    </row>
    <row r="3221" spans="1:4" x14ac:dyDescent="0.3">
      <c r="A3221" s="1" t="str">
        <f>Pop[[#This Row],[State]]&amp;" "&amp;Pop[[#This Row],[County]]</f>
        <v>WI Waushara</v>
      </c>
      <c r="B3221" t="s">
        <v>245</v>
      </c>
      <c r="C3221" s="30" t="s">
        <v>2093</v>
      </c>
      <c r="D3221" s="16">
        <v>24520</v>
      </c>
    </row>
    <row r="3222" spans="1:4" x14ac:dyDescent="0.3">
      <c r="A3222" s="1" t="str">
        <f>Pop[[#This Row],[State]]&amp;" "&amp;Pop[[#This Row],[County]]</f>
        <v>WI Winnebago</v>
      </c>
      <c r="B3222" t="s">
        <v>245</v>
      </c>
      <c r="C3222" s="30" t="s">
        <v>748</v>
      </c>
      <c r="D3222" s="16">
        <v>171730</v>
      </c>
    </row>
    <row r="3223" spans="1:4" x14ac:dyDescent="0.3">
      <c r="A3223" s="1" t="str">
        <f>Pop[[#This Row],[State]]&amp;" "&amp;Pop[[#This Row],[County]]</f>
        <v>WI Wood</v>
      </c>
      <c r="B3223" t="s">
        <v>245</v>
      </c>
      <c r="C3223" s="30" t="s">
        <v>1552</v>
      </c>
      <c r="D3223" s="16">
        <v>74207</v>
      </c>
    </row>
    <row r="3224" spans="1:4" x14ac:dyDescent="0.3">
      <c r="A3224" s="1" t="str">
        <f>Pop[[#This Row],[State]]&amp;" "&amp;Pop[[#This Row],[County]]</f>
        <v>WI State Agencies</v>
      </c>
      <c r="B3224" t="s">
        <v>245</v>
      </c>
      <c r="C3224" s="30" t="s">
        <v>243</v>
      </c>
      <c r="D3224" s="16" t="s">
        <v>244</v>
      </c>
    </row>
    <row r="3225" spans="1:4" x14ac:dyDescent="0.3">
      <c r="A3225" s="1" t="str">
        <f>Pop[[#This Row],[State]]&amp;" "&amp;Pop[[#This Row],[County]]</f>
        <v>WI Grand Total</v>
      </c>
      <c r="B3225" t="s">
        <v>245</v>
      </c>
      <c r="C3225" s="30" t="s">
        <v>67</v>
      </c>
      <c r="D3225" s="16">
        <v>5893718</v>
      </c>
    </row>
    <row r="3226" spans="1:4" x14ac:dyDescent="0.3">
      <c r="A3226" s="1" t="str">
        <f>Pop[[#This Row],[State]]&amp;" "&amp;Pop[[#This Row],[County]]</f>
        <v>WV Barbour</v>
      </c>
      <c r="B3226" t="s">
        <v>203</v>
      </c>
      <c r="C3226" s="30" t="s">
        <v>255</v>
      </c>
      <c r="D3226" s="16">
        <v>16589</v>
      </c>
    </row>
    <row r="3227" spans="1:4" x14ac:dyDescent="0.3">
      <c r="A3227" s="1" t="str">
        <f>Pop[[#This Row],[State]]&amp;" "&amp;Pop[[#This Row],[County]]</f>
        <v>WV Berkeley</v>
      </c>
      <c r="B3227" t="s">
        <v>203</v>
      </c>
      <c r="C3227" s="30" t="s">
        <v>1724</v>
      </c>
      <c r="D3227" s="16">
        <v>104169</v>
      </c>
    </row>
    <row r="3228" spans="1:4" x14ac:dyDescent="0.3">
      <c r="A3228" s="1" t="str">
        <f>Pop[[#This Row],[State]]&amp;" "&amp;Pop[[#This Row],[County]]</f>
        <v>WV Boone</v>
      </c>
      <c r="B3228" t="s">
        <v>203</v>
      </c>
      <c r="C3228" s="30" t="s">
        <v>355</v>
      </c>
      <c r="D3228" s="16">
        <v>24629</v>
      </c>
    </row>
    <row r="3229" spans="1:4" x14ac:dyDescent="0.3">
      <c r="A3229" s="1" t="str">
        <f>Pop[[#This Row],[State]]&amp;" "&amp;Pop[[#This Row],[County]]</f>
        <v>WV Braxton</v>
      </c>
      <c r="B3229" t="s">
        <v>203</v>
      </c>
      <c r="C3229" s="30" t="s">
        <v>2094</v>
      </c>
      <c r="D3229" s="16">
        <v>14523</v>
      </c>
    </row>
    <row r="3230" spans="1:4" x14ac:dyDescent="0.3">
      <c r="A3230" s="1" t="str">
        <f>Pop[[#This Row],[State]]&amp;" "&amp;Pop[[#This Row],[County]]</f>
        <v>WV Brooke</v>
      </c>
      <c r="B3230" t="s">
        <v>203</v>
      </c>
      <c r="C3230" s="30" t="s">
        <v>2095</v>
      </c>
      <c r="D3230" s="16">
        <v>24069</v>
      </c>
    </row>
    <row r="3231" spans="1:4" x14ac:dyDescent="0.3">
      <c r="A3231" s="1" t="str">
        <f>Pop[[#This Row],[State]]&amp;" "&amp;Pop[[#This Row],[County]]</f>
        <v>WV Cabell</v>
      </c>
      <c r="B3231" t="s">
        <v>203</v>
      </c>
      <c r="C3231" s="30" t="s">
        <v>2096</v>
      </c>
      <c r="D3231" s="16">
        <v>96319</v>
      </c>
    </row>
    <row r="3232" spans="1:4" x14ac:dyDescent="0.3">
      <c r="A3232" s="1" t="str">
        <f>Pop[[#This Row],[State]]&amp;" "&amp;Pop[[#This Row],[County]]</f>
        <v>WV Calhoun</v>
      </c>
      <c r="B3232" t="s">
        <v>203</v>
      </c>
      <c r="C3232" s="30" t="s">
        <v>270</v>
      </c>
      <c r="D3232" s="16">
        <v>7627</v>
      </c>
    </row>
    <row r="3233" spans="1:4" x14ac:dyDescent="0.3">
      <c r="A3233" s="1" t="str">
        <f>Pop[[#This Row],[State]]&amp;" "&amp;Pop[[#This Row],[County]]</f>
        <v>WV Clay</v>
      </c>
      <c r="B3233" t="s">
        <v>203</v>
      </c>
      <c r="C3233" s="30" t="s">
        <v>39</v>
      </c>
      <c r="D3233" s="16">
        <v>9386</v>
      </c>
    </row>
    <row r="3234" spans="1:4" x14ac:dyDescent="0.3">
      <c r="A3234" s="1" t="str">
        <f>Pop[[#This Row],[State]]&amp;" "&amp;Pop[[#This Row],[County]]</f>
        <v>WV Doddridge</v>
      </c>
      <c r="B3234" t="s">
        <v>203</v>
      </c>
      <c r="C3234" s="30" t="s">
        <v>2097</v>
      </c>
      <c r="D3234" s="16">
        <v>8202</v>
      </c>
    </row>
    <row r="3235" spans="1:4" x14ac:dyDescent="0.3">
      <c r="A3235" s="1" t="str">
        <f>Pop[[#This Row],[State]]&amp;" "&amp;Pop[[#This Row],[County]]</f>
        <v>WV Fayette</v>
      </c>
      <c r="B3235" t="s">
        <v>203</v>
      </c>
      <c r="C3235" s="30" t="s">
        <v>326</v>
      </c>
      <c r="D3235" s="16">
        <v>46039</v>
      </c>
    </row>
    <row r="3236" spans="1:4" x14ac:dyDescent="0.3">
      <c r="A3236" s="1" t="str">
        <f>Pop[[#This Row],[State]]&amp;" "&amp;Pop[[#This Row],[County]]</f>
        <v>WV Gilmer</v>
      </c>
      <c r="B3236" t="s">
        <v>203</v>
      </c>
      <c r="C3236" s="30" t="s">
        <v>633</v>
      </c>
      <c r="D3236" s="16">
        <v>8693</v>
      </c>
    </row>
    <row r="3237" spans="1:4" x14ac:dyDescent="0.3">
      <c r="A3237" s="1" t="str">
        <f>Pop[[#This Row],[State]]&amp;" "&amp;Pop[[#This Row],[County]]</f>
        <v>WV Grant</v>
      </c>
      <c r="B3237" t="s">
        <v>203</v>
      </c>
      <c r="C3237" s="30" t="s">
        <v>370</v>
      </c>
      <c r="D3237" s="16">
        <v>11937</v>
      </c>
    </row>
    <row r="3238" spans="1:4" x14ac:dyDescent="0.3">
      <c r="A3238" s="1" t="str">
        <f>Pop[[#This Row],[State]]&amp;" "&amp;Pop[[#This Row],[County]]</f>
        <v>WV Greenbrier</v>
      </c>
      <c r="B3238" t="s">
        <v>203</v>
      </c>
      <c r="C3238" s="30" t="s">
        <v>2098</v>
      </c>
      <c r="D3238" s="16">
        <v>35480</v>
      </c>
    </row>
    <row r="3239" spans="1:4" x14ac:dyDescent="0.3">
      <c r="A3239" s="1" t="str">
        <f>Pop[[#This Row],[State]]&amp;" "&amp;Pop[[#This Row],[County]]</f>
        <v>WV Hampshire</v>
      </c>
      <c r="B3239" t="s">
        <v>203</v>
      </c>
      <c r="C3239" s="30" t="s">
        <v>1038</v>
      </c>
      <c r="D3239" s="16">
        <v>23964</v>
      </c>
    </row>
    <row r="3240" spans="1:4" x14ac:dyDescent="0.3">
      <c r="A3240" s="1" t="str">
        <f>Pop[[#This Row],[State]]&amp;" "&amp;Pop[[#This Row],[County]]</f>
        <v>WV Hancock</v>
      </c>
      <c r="B3240" t="s">
        <v>203</v>
      </c>
      <c r="C3240" s="30" t="s">
        <v>641</v>
      </c>
      <c r="D3240" s="16">
        <v>30676</v>
      </c>
    </row>
    <row r="3241" spans="1:4" x14ac:dyDescent="0.3">
      <c r="A3241" s="1" t="str">
        <f>Pop[[#This Row],[State]]&amp;" "&amp;Pop[[#This Row],[County]]</f>
        <v>WV Hardy</v>
      </c>
      <c r="B3241" t="s">
        <v>203</v>
      </c>
      <c r="C3241" s="30" t="s">
        <v>2099</v>
      </c>
      <c r="D3241" s="16">
        <v>14025</v>
      </c>
    </row>
    <row r="3242" spans="1:4" x14ac:dyDescent="0.3">
      <c r="A3242" s="1" t="str">
        <f>Pop[[#This Row],[State]]&amp;" "&amp;Pop[[#This Row],[County]]</f>
        <v>WV Harrison</v>
      </c>
      <c r="B3242" t="s">
        <v>203</v>
      </c>
      <c r="C3242" s="30" t="s">
        <v>45</v>
      </c>
      <c r="D3242" s="16">
        <v>69099</v>
      </c>
    </row>
    <row r="3243" spans="1:4" x14ac:dyDescent="0.3">
      <c r="A3243" s="1" t="str">
        <f>Pop[[#This Row],[State]]&amp;" "&amp;Pop[[#This Row],[County]]</f>
        <v>WV Jackson</v>
      </c>
      <c r="B3243" t="s">
        <v>203</v>
      </c>
      <c r="C3243" s="30" t="s">
        <v>46</v>
      </c>
      <c r="D3243" s="16">
        <v>29211</v>
      </c>
    </row>
    <row r="3244" spans="1:4" x14ac:dyDescent="0.3">
      <c r="A3244" s="1" t="str">
        <f>Pop[[#This Row],[State]]&amp;" "&amp;Pop[[#This Row],[County]]</f>
        <v>WV Jefferson</v>
      </c>
      <c r="B3244" t="s">
        <v>203</v>
      </c>
      <c r="C3244" s="30" t="s">
        <v>47</v>
      </c>
      <c r="D3244" s="16">
        <v>53498</v>
      </c>
    </row>
    <row r="3245" spans="1:4" x14ac:dyDescent="0.3">
      <c r="A3245" s="1" t="str">
        <f>Pop[[#This Row],[State]]&amp;" "&amp;Pop[[#This Row],[County]]</f>
        <v>WV Kanawha</v>
      </c>
      <c r="B3245" t="s">
        <v>203</v>
      </c>
      <c r="C3245" s="30" t="s">
        <v>2100</v>
      </c>
      <c r="D3245" s="16">
        <v>193063</v>
      </c>
    </row>
    <row r="3246" spans="1:4" x14ac:dyDescent="0.3">
      <c r="A3246" s="1" t="str">
        <f>Pop[[#This Row],[State]]&amp;" "&amp;Pop[[#This Row],[County]]</f>
        <v>WV Lewis</v>
      </c>
      <c r="B3246" t="s">
        <v>203</v>
      </c>
      <c r="C3246" s="30" t="s">
        <v>773</v>
      </c>
      <c r="D3246" s="16">
        <v>16372</v>
      </c>
    </row>
    <row r="3247" spans="1:4" x14ac:dyDescent="0.3">
      <c r="A3247" s="1" t="str">
        <f>Pop[[#This Row],[State]]&amp;" "&amp;Pop[[#This Row],[County]]</f>
        <v>WV Lincoln</v>
      </c>
      <c r="B3247" t="s">
        <v>203</v>
      </c>
      <c r="C3247" s="30" t="s">
        <v>378</v>
      </c>
      <c r="D3247" s="16">
        <v>21720</v>
      </c>
    </row>
    <row r="3248" spans="1:4" x14ac:dyDescent="0.3">
      <c r="A3248" s="1" t="str">
        <f>Pop[[#This Row],[State]]&amp;" "&amp;Pop[[#This Row],[County]]</f>
        <v>WV Logan</v>
      </c>
      <c r="B3248" t="s">
        <v>203</v>
      </c>
      <c r="C3248" s="30" t="s">
        <v>380</v>
      </c>
      <c r="D3248" s="16">
        <v>36743</v>
      </c>
    </row>
    <row r="3249" spans="1:4" x14ac:dyDescent="0.3">
      <c r="A3249" s="1" t="str">
        <f>Pop[[#This Row],[State]]&amp;" "&amp;Pop[[#This Row],[County]]</f>
        <v>WV Marion</v>
      </c>
      <c r="B3249" t="s">
        <v>203</v>
      </c>
      <c r="C3249" s="30" t="s">
        <v>50</v>
      </c>
      <c r="D3249" s="16">
        <v>56418</v>
      </c>
    </row>
    <row r="3250" spans="1:4" x14ac:dyDescent="0.3">
      <c r="A3250" s="1" t="str">
        <f>Pop[[#This Row],[State]]&amp;" "&amp;Pop[[#This Row],[County]]</f>
        <v>WV Marshall</v>
      </c>
      <c r="B3250" t="s">
        <v>203</v>
      </c>
      <c r="C3250" s="30" t="s">
        <v>51</v>
      </c>
      <c r="D3250" s="16">
        <v>33107</v>
      </c>
    </row>
    <row r="3251" spans="1:4" x14ac:dyDescent="0.3">
      <c r="A3251" s="1" t="str">
        <f>Pop[[#This Row],[State]]&amp;" "&amp;Pop[[#This Row],[County]]</f>
        <v>WV Mason</v>
      </c>
      <c r="B3251" t="s">
        <v>203</v>
      </c>
      <c r="C3251" s="30" t="s">
        <v>808</v>
      </c>
      <c r="D3251" s="16">
        <v>27324</v>
      </c>
    </row>
    <row r="3252" spans="1:4" x14ac:dyDescent="0.3">
      <c r="A3252" s="1" t="str">
        <f>Pop[[#This Row],[State]]&amp;" "&amp;Pop[[#This Row],[County]]</f>
        <v>WV McDowell</v>
      </c>
      <c r="B3252" t="s">
        <v>203</v>
      </c>
      <c r="C3252" s="30" t="s">
        <v>1341</v>
      </c>
      <c r="D3252" s="16">
        <v>22113</v>
      </c>
    </row>
    <row r="3253" spans="1:4" x14ac:dyDescent="0.3">
      <c r="A3253" s="1" t="str">
        <f>Pop[[#This Row],[State]]&amp;" "&amp;Pop[[#This Row],[County]]</f>
        <v>WV Mercer</v>
      </c>
      <c r="B3253" t="s">
        <v>203</v>
      </c>
      <c r="C3253" s="30" t="s">
        <v>814</v>
      </c>
      <c r="D3253" s="16">
        <v>62264</v>
      </c>
    </row>
    <row r="3254" spans="1:4" x14ac:dyDescent="0.3">
      <c r="A3254" s="1" t="str">
        <f>Pop[[#This Row],[State]]&amp;" "&amp;Pop[[#This Row],[County]]</f>
        <v>WV Mineral</v>
      </c>
      <c r="B3254" t="s">
        <v>203</v>
      </c>
      <c r="C3254" s="30" t="s">
        <v>513</v>
      </c>
      <c r="D3254" s="16">
        <v>28212</v>
      </c>
    </row>
    <row r="3255" spans="1:4" x14ac:dyDescent="0.3">
      <c r="A3255" s="1" t="str">
        <f>Pop[[#This Row],[State]]&amp;" "&amp;Pop[[#This Row],[County]]</f>
        <v>WV Mingo</v>
      </c>
      <c r="B3255" t="s">
        <v>203</v>
      </c>
      <c r="C3255" s="30" t="s">
        <v>2101</v>
      </c>
      <c r="D3255" s="16">
        <v>26839</v>
      </c>
    </row>
    <row r="3256" spans="1:4" x14ac:dyDescent="0.3">
      <c r="A3256" s="1" t="str">
        <f>Pop[[#This Row],[State]]&amp;" "&amp;Pop[[#This Row],[County]]</f>
        <v>WV Monongalia</v>
      </c>
      <c r="B3256" t="s">
        <v>203</v>
      </c>
      <c r="C3256" s="30" t="s">
        <v>2102</v>
      </c>
      <c r="D3256" s="16">
        <v>96189</v>
      </c>
    </row>
    <row r="3257" spans="1:4" x14ac:dyDescent="0.3">
      <c r="A3257" s="1" t="str">
        <f>Pop[[#This Row],[State]]&amp;" "&amp;Pop[[#This Row],[County]]</f>
        <v>WV Monroe</v>
      </c>
      <c r="B3257" t="s">
        <v>203</v>
      </c>
      <c r="C3257" s="30" t="s">
        <v>339</v>
      </c>
      <c r="D3257" s="16">
        <v>13502</v>
      </c>
    </row>
    <row r="3258" spans="1:4" x14ac:dyDescent="0.3">
      <c r="A3258" s="1" t="str">
        <f>Pop[[#This Row],[State]]&amp;" "&amp;Pop[[#This Row],[County]]</f>
        <v>WV Morgan</v>
      </c>
      <c r="B3258" t="s">
        <v>203</v>
      </c>
      <c r="C3258" s="30" t="s">
        <v>54</v>
      </c>
      <c r="D3258" s="16">
        <v>17541</v>
      </c>
    </row>
    <row r="3259" spans="1:4" x14ac:dyDescent="0.3">
      <c r="A3259" s="1" t="str">
        <f>Pop[[#This Row],[State]]&amp;" "&amp;Pop[[#This Row],[County]]</f>
        <v>WV Nicholas</v>
      </c>
      <c r="B3259" t="s">
        <v>203</v>
      </c>
      <c r="C3259" s="30" t="s">
        <v>971</v>
      </c>
      <c r="D3259" s="16">
        <v>26233</v>
      </c>
    </row>
    <row r="3260" spans="1:4" x14ac:dyDescent="0.3">
      <c r="A3260" s="1" t="str">
        <f>Pop[[#This Row],[State]]&amp;" "&amp;Pop[[#This Row],[County]]</f>
        <v>WV Ohio</v>
      </c>
      <c r="B3260" t="s">
        <v>203</v>
      </c>
      <c r="C3260" s="30" t="s">
        <v>242</v>
      </c>
      <c r="D3260" s="16">
        <v>44443</v>
      </c>
    </row>
    <row r="3261" spans="1:4" x14ac:dyDescent="0.3">
      <c r="A3261" s="1" t="str">
        <f>Pop[[#This Row],[State]]&amp;" "&amp;Pop[[#This Row],[County]]</f>
        <v>WV Pendleton</v>
      </c>
      <c r="B3261" t="s">
        <v>203</v>
      </c>
      <c r="C3261" s="30" t="s">
        <v>974</v>
      </c>
      <c r="D3261" s="16">
        <v>7695</v>
      </c>
    </row>
    <row r="3262" spans="1:4" x14ac:dyDescent="0.3">
      <c r="A3262" s="1" t="str">
        <f>Pop[[#This Row],[State]]&amp;" "&amp;Pop[[#This Row],[County]]</f>
        <v>WV Pleasants</v>
      </c>
      <c r="B3262" t="s">
        <v>203</v>
      </c>
      <c r="C3262" s="30" t="s">
        <v>2103</v>
      </c>
      <c r="D3262" s="16">
        <v>7605</v>
      </c>
    </row>
    <row r="3263" spans="1:4" x14ac:dyDescent="0.3">
      <c r="A3263" s="1" t="str">
        <f>Pop[[#This Row],[State]]&amp;" "&amp;Pop[[#This Row],[County]]</f>
        <v>WV Pocahontas</v>
      </c>
      <c r="B3263" t="s">
        <v>203</v>
      </c>
      <c r="C3263" s="30" t="s">
        <v>739</v>
      </c>
      <c r="D3263" s="16">
        <v>8719</v>
      </c>
    </row>
    <row r="3264" spans="1:4" x14ac:dyDescent="0.3">
      <c r="A3264" s="1" t="str">
        <f>Pop[[#This Row],[State]]&amp;" "&amp;Pop[[#This Row],[County]]</f>
        <v>WV Preston</v>
      </c>
      <c r="B3264" t="s">
        <v>203</v>
      </c>
      <c r="C3264" s="30" t="s">
        <v>2104</v>
      </c>
      <c r="D3264" s="16">
        <v>33520</v>
      </c>
    </row>
    <row r="3265" spans="1:4" x14ac:dyDescent="0.3">
      <c r="A3265" s="1" t="str">
        <f>Pop[[#This Row],[State]]&amp;" "&amp;Pop[[#This Row],[County]]</f>
        <v>WV Putnam</v>
      </c>
      <c r="B3265" t="s">
        <v>203</v>
      </c>
      <c r="C3265" s="30" t="s">
        <v>581</v>
      </c>
      <c r="D3265" s="16">
        <v>55486</v>
      </c>
    </row>
    <row r="3266" spans="1:4" x14ac:dyDescent="0.3">
      <c r="A3266" s="1" t="str">
        <f>Pop[[#This Row],[State]]&amp;" "&amp;Pop[[#This Row],[County]]</f>
        <v>WV Raleigh</v>
      </c>
      <c r="B3266" t="s">
        <v>203</v>
      </c>
      <c r="C3266" s="30" t="s">
        <v>2105</v>
      </c>
      <c r="D3266" s="16">
        <v>78859</v>
      </c>
    </row>
    <row r="3267" spans="1:4" x14ac:dyDescent="0.3">
      <c r="A3267" s="1" t="str">
        <f>Pop[[#This Row],[State]]&amp;" "&amp;Pop[[#This Row],[County]]</f>
        <v>WV Randolph</v>
      </c>
      <c r="B3267" t="s">
        <v>203</v>
      </c>
      <c r="C3267" s="30" t="s">
        <v>342</v>
      </c>
      <c r="D3267" s="16">
        <v>29405</v>
      </c>
    </row>
    <row r="3268" spans="1:4" x14ac:dyDescent="0.3">
      <c r="A3268" s="1" t="str">
        <f>Pop[[#This Row],[State]]&amp;" "&amp;Pop[[#This Row],[County]]</f>
        <v>WV Ritchie</v>
      </c>
      <c r="B3268" t="s">
        <v>203</v>
      </c>
      <c r="C3268" s="30" t="s">
        <v>2106</v>
      </c>
      <c r="D3268" s="16">
        <v>10449</v>
      </c>
    </row>
    <row r="3269" spans="1:4" x14ac:dyDescent="0.3">
      <c r="A3269" s="1" t="str">
        <f>Pop[[#This Row],[State]]&amp;" "&amp;Pop[[#This Row],[County]]</f>
        <v>WV Roane</v>
      </c>
      <c r="B3269" t="s">
        <v>203</v>
      </c>
      <c r="C3269" s="30" t="s">
        <v>1804</v>
      </c>
      <c r="D3269" s="16">
        <v>14926</v>
      </c>
    </row>
    <row r="3270" spans="1:4" x14ac:dyDescent="0.3">
      <c r="A3270" s="1" t="str">
        <f>Pop[[#This Row],[State]]&amp;" "&amp;Pop[[#This Row],[County]]</f>
        <v>WV Summers</v>
      </c>
      <c r="B3270" t="s">
        <v>203</v>
      </c>
      <c r="C3270" s="30" t="s">
        <v>2107</v>
      </c>
      <c r="D3270" s="16">
        <v>13927</v>
      </c>
    </row>
    <row r="3271" spans="1:4" x14ac:dyDescent="0.3">
      <c r="A3271" s="1" t="str">
        <f>Pop[[#This Row],[State]]&amp;" "&amp;Pop[[#This Row],[County]]</f>
        <v>WV Taylor</v>
      </c>
      <c r="B3271" t="s">
        <v>203</v>
      </c>
      <c r="C3271" s="30" t="s">
        <v>588</v>
      </c>
      <c r="D3271" s="16">
        <v>16895</v>
      </c>
    </row>
    <row r="3272" spans="1:4" x14ac:dyDescent="0.3">
      <c r="A3272" s="1" t="str">
        <f>Pop[[#This Row],[State]]&amp;" "&amp;Pop[[#This Row],[County]]</f>
        <v>WV Tucker</v>
      </c>
      <c r="B3272" t="s">
        <v>203</v>
      </c>
      <c r="C3272" s="30" t="s">
        <v>2108</v>
      </c>
      <c r="D3272" s="16">
        <v>7141</v>
      </c>
    </row>
    <row r="3273" spans="1:4" x14ac:dyDescent="0.3">
      <c r="A3273" s="1" t="str">
        <f>Pop[[#This Row],[State]]&amp;" "&amp;Pop[[#This Row],[County]]</f>
        <v>WV Tyler</v>
      </c>
      <c r="B3273" t="s">
        <v>203</v>
      </c>
      <c r="C3273" s="30" t="s">
        <v>1949</v>
      </c>
      <c r="D3273" s="16">
        <v>9208</v>
      </c>
    </row>
    <row r="3274" spans="1:4" x14ac:dyDescent="0.3">
      <c r="A3274" s="1" t="str">
        <f>Pop[[#This Row],[State]]&amp;" "&amp;Pop[[#This Row],[County]]</f>
        <v>WV Upshur</v>
      </c>
      <c r="B3274" t="s">
        <v>203</v>
      </c>
      <c r="C3274" s="30" t="s">
        <v>1950</v>
      </c>
      <c r="D3274" s="16">
        <v>24254</v>
      </c>
    </row>
    <row r="3275" spans="1:4" x14ac:dyDescent="0.3">
      <c r="A3275" s="1" t="str">
        <f>Pop[[#This Row],[State]]&amp;" "&amp;Pop[[#This Row],[County]]</f>
        <v>WV Wayne</v>
      </c>
      <c r="B3275" t="s">
        <v>203</v>
      </c>
      <c r="C3275" s="30" t="s">
        <v>691</v>
      </c>
      <c r="D3275" s="16">
        <v>42481</v>
      </c>
    </row>
    <row r="3276" spans="1:4" x14ac:dyDescent="0.3">
      <c r="A3276" s="1" t="str">
        <f>Pop[[#This Row],[State]]&amp;" "&amp;Pop[[#This Row],[County]]</f>
        <v>WV Webster</v>
      </c>
      <c r="B3276" t="s">
        <v>203</v>
      </c>
      <c r="C3276" s="30" t="s">
        <v>692</v>
      </c>
      <c r="D3276" s="16">
        <v>9154</v>
      </c>
    </row>
    <row r="3277" spans="1:4" x14ac:dyDescent="0.3">
      <c r="A3277" s="1" t="str">
        <f>Pop[[#This Row],[State]]&amp;" "&amp;Pop[[#This Row],[County]]</f>
        <v>WV Wetzel</v>
      </c>
      <c r="B3277" t="s">
        <v>203</v>
      </c>
      <c r="C3277" s="30" t="s">
        <v>2109</v>
      </c>
      <c r="D3277" s="16">
        <v>16583</v>
      </c>
    </row>
    <row r="3278" spans="1:4" x14ac:dyDescent="0.3">
      <c r="A3278" s="1" t="str">
        <f>Pop[[#This Row],[State]]&amp;" "&amp;Pop[[#This Row],[County]]</f>
        <v>WV Wirt</v>
      </c>
      <c r="B3278" t="s">
        <v>203</v>
      </c>
      <c r="C3278" s="30" t="s">
        <v>2110</v>
      </c>
      <c r="D3278" s="16">
        <v>5717</v>
      </c>
    </row>
    <row r="3279" spans="1:4" x14ac:dyDescent="0.3">
      <c r="A3279" s="1" t="str">
        <f>Pop[[#This Row],[State]]&amp;" "&amp;Pop[[#This Row],[County]]</f>
        <v>WV Wood</v>
      </c>
      <c r="B3279" t="s">
        <v>203</v>
      </c>
      <c r="C3279" s="30" t="s">
        <v>1552</v>
      </c>
      <c r="D3279" s="16">
        <v>86956</v>
      </c>
    </row>
    <row r="3280" spans="1:4" x14ac:dyDescent="0.3">
      <c r="A3280" s="1" t="str">
        <f>Pop[[#This Row],[State]]&amp;" "&amp;Pop[[#This Row],[County]]</f>
        <v>WV Wyoming</v>
      </c>
      <c r="B3280" t="s">
        <v>203</v>
      </c>
      <c r="C3280" s="30" t="s">
        <v>289</v>
      </c>
      <c r="D3280" s="16">
        <v>23796</v>
      </c>
    </row>
    <row r="3281" spans="1:4" x14ac:dyDescent="0.3">
      <c r="A3281" s="1" t="str">
        <f>Pop[[#This Row],[State]]&amp;" "&amp;Pop[[#This Row],[County]]</f>
        <v>WV State Agencies</v>
      </c>
      <c r="B3281" t="s">
        <v>203</v>
      </c>
      <c r="C3281" s="30" t="s">
        <v>243</v>
      </c>
      <c r="D3281" s="16" t="s">
        <v>244</v>
      </c>
    </row>
    <row r="3282" spans="1:4" x14ac:dyDescent="0.3">
      <c r="A3282" s="1" t="str">
        <f>Pop[[#This Row],[State]]&amp;" "&amp;Pop[[#This Row],[County]]</f>
        <v>WV Grand Total</v>
      </c>
      <c r="B3282" t="s">
        <v>203</v>
      </c>
      <c r="C3282" s="30" t="s">
        <v>67</v>
      </c>
      <c r="D3282" s="16">
        <v>1852994</v>
      </c>
    </row>
    <row r="3283" spans="1:4" x14ac:dyDescent="0.3">
      <c r="A3283" s="1" t="str">
        <f>Pop[[#This Row],[State]]&amp;" "&amp;Pop[[#This Row],[County]]</f>
        <v>WY Albany</v>
      </c>
      <c r="B3283" t="s">
        <v>288</v>
      </c>
      <c r="C3283" s="30" t="s">
        <v>1491</v>
      </c>
      <c r="D3283" s="16">
        <v>36299</v>
      </c>
    </row>
    <row r="3284" spans="1:4" x14ac:dyDescent="0.3">
      <c r="A3284" s="1" t="str">
        <f>Pop[[#This Row],[State]]&amp;" "&amp;Pop[[#This Row],[County]]</f>
        <v>WY Big Horn</v>
      </c>
      <c r="B3284" t="s">
        <v>288</v>
      </c>
      <c r="C3284" s="30" t="s">
        <v>1269</v>
      </c>
      <c r="D3284" s="16">
        <v>11668</v>
      </c>
    </row>
    <row r="3285" spans="1:4" x14ac:dyDescent="0.3">
      <c r="A3285" s="1" t="str">
        <f>Pop[[#This Row],[State]]&amp;" "&amp;Pop[[#This Row],[County]]</f>
        <v>WY Campbell</v>
      </c>
      <c r="B3285" t="s">
        <v>288</v>
      </c>
      <c r="C3285" s="30" t="s">
        <v>941</v>
      </c>
      <c r="D3285" s="16">
        <v>46133</v>
      </c>
    </row>
    <row r="3286" spans="1:4" x14ac:dyDescent="0.3">
      <c r="A3286" s="1" t="str">
        <f>Pop[[#This Row],[State]]&amp;" "&amp;Pop[[#This Row],[County]]</f>
        <v>WY Carbon</v>
      </c>
      <c r="B3286" t="s">
        <v>288</v>
      </c>
      <c r="C3286" s="30" t="s">
        <v>1271</v>
      </c>
      <c r="D3286" s="16">
        <v>15885</v>
      </c>
    </row>
    <row r="3287" spans="1:4" x14ac:dyDescent="0.3">
      <c r="A3287" s="1" t="str">
        <f>Pop[[#This Row],[State]]&amp;" "&amp;Pop[[#This Row],[County]]</f>
        <v>WY Converse</v>
      </c>
      <c r="B3287" t="s">
        <v>288</v>
      </c>
      <c r="C3287" s="30" t="s">
        <v>2111</v>
      </c>
      <c r="D3287" s="16">
        <v>13833</v>
      </c>
    </row>
    <row r="3288" spans="1:4" x14ac:dyDescent="0.3">
      <c r="A3288" s="1" t="str">
        <f>Pop[[#This Row],[State]]&amp;" "&amp;Pop[[#This Row],[County]]</f>
        <v>WY Crook</v>
      </c>
      <c r="B3288" t="s">
        <v>288</v>
      </c>
      <c r="C3288" s="30" t="s">
        <v>1596</v>
      </c>
      <c r="D3288" s="16">
        <v>7083</v>
      </c>
    </row>
    <row r="3289" spans="1:4" x14ac:dyDescent="0.3">
      <c r="A3289" s="1" t="str">
        <f>Pop[[#This Row],[State]]&amp;" "&amp;Pop[[#This Row],[County]]</f>
        <v>WY Fremont</v>
      </c>
      <c r="B3289" t="s">
        <v>288</v>
      </c>
      <c r="C3289" s="30" t="s">
        <v>500</v>
      </c>
      <c r="D3289" s="16">
        <v>40123</v>
      </c>
    </row>
    <row r="3290" spans="1:4" x14ac:dyDescent="0.3">
      <c r="A3290" s="1" t="str">
        <f>Pop[[#This Row],[State]]&amp;" "&amp;Pop[[#This Row],[County]]</f>
        <v>WY Goshen</v>
      </c>
      <c r="B3290" t="s">
        <v>288</v>
      </c>
      <c r="C3290" s="30" t="s">
        <v>2112</v>
      </c>
      <c r="D3290" s="16">
        <v>13249</v>
      </c>
    </row>
    <row r="3291" spans="1:4" x14ac:dyDescent="0.3">
      <c r="A3291" s="1" t="str">
        <f>Pop[[#This Row],[State]]&amp;" "&amp;Pop[[#This Row],[County]]</f>
        <v>WY Hot Springs</v>
      </c>
      <c r="B3291" t="s">
        <v>288</v>
      </c>
      <c r="C3291" s="30" t="s">
        <v>2113</v>
      </c>
      <c r="D3291" s="16">
        <v>4812</v>
      </c>
    </row>
    <row r="3292" spans="1:4" x14ac:dyDescent="0.3">
      <c r="A3292" s="1" t="str">
        <f>Pop[[#This Row],[State]]&amp;" "&amp;Pop[[#This Row],[County]]</f>
        <v>WY Johnson</v>
      </c>
      <c r="B3292" t="s">
        <v>288</v>
      </c>
      <c r="C3292" s="30" t="s">
        <v>376</v>
      </c>
      <c r="D3292" s="16">
        <v>8569</v>
      </c>
    </row>
    <row r="3293" spans="1:4" x14ac:dyDescent="0.3">
      <c r="A3293" s="1" t="str">
        <f>Pop[[#This Row],[State]]&amp;" "&amp;Pop[[#This Row],[County]]</f>
        <v>WY Laramie</v>
      </c>
      <c r="B3293" t="s">
        <v>288</v>
      </c>
      <c r="C3293" s="30" t="s">
        <v>2114</v>
      </c>
      <c r="D3293" s="16">
        <v>91738</v>
      </c>
    </row>
    <row r="3294" spans="1:4" x14ac:dyDescent="0.3">
      <c r="A3294" s="1" t="str">
        <f>Pop[[#This Row],[State]]&amp;" "&amp;Pop[[#This Row],[County]]</f>
        <v>WY Lincoln</v>
      </c>
      <c r="B3294" t="s">
        <v>288</v>
      </c>
      <c r="C3294" s="30" t="s">
        <v>378</v>
      </c>
      <c r="D3294" s="16">
        <v>18106</v>
      </c>
    </row>
    <row r="3295" spans="1:4" x14ac:dyDescent="0.3">
      <c r="A3295" s="1" t="str">
        <f>Pop[[#This Row],[State]]&amp;" "&amp;Pop[[#This Row],[County]]</f>
        <v>WY Natrona</v>
      </c>
      <c r="B3295" t="s">
        <v>288</v>
      </c>
      <c r="C3295" s="30" t="s">
        <v>2115</v>
      </c>
      <c r="D3295" s="16">
        <v>75450</v>
      </c>
    </row>
    <row r="3296" spans="1:4" x14ac:dyDescent="0.3">
      <c r="A3296" s="1" t="str">
        <f>Pop[[#This Row],[State]]&amp;" "&amp;Pop[[#This Row],[County]]</f>
        <v>WY Niobrara</v>
      </c>
      <c r="B3296" t="s">
        <v>288</v>
      </c>
      <c r="C3296" s="30" t="s">
        <v>2116</v>
      </c>
      <c r="D3296" s="16">
        <v>2484</v>
      </c>
    </row>
    <row r="3297" spans="1:4" x14ac:dyDescent="0.3">
      <c r="A3297" s="1" t="str">
        <f>Pop[[#This Row],[State]]&amp;" "&amp;Pop[[#This Row],[County]]</f>
        <v>WY Park</v>
      </c>
      <c r="B3297" t="s">
        <v>288</v>
      </c>
      <c r="C3297" s="30" t="s">
        <v>519</v>
      </c>
      <c r="D3297" s="16">
        <v>28205</v>
      </c>
    </row>
    <row r="3298" spans="1:4" x14ac:dyDescent="0.3">
      <c r="A3298" s="1" t="str">
        <f>Pop[[#This Row],[State]]&amp;" "&amp;Pop[[#This Row],[County]]</f>
        <v>WY Platte</v>
      </c>
      <c r="B3298" t="s">
        <v>288</v>
      </c>
      <c r="C3298" s="30" t="s">
        <v>1220</v>
      </c>
      <c r="D3298" s="16">
        <v>8667</v>
      </c>
    </row>
    <row r="3299" spans="1:4" x14ac:dyDescent="0.3">
      <c r="A3299" s="1" t="str">
        <f>Pop[[#This Row],[State]]&amp;" "&amp;Pop[[#This Row],[County]]</f>
        <v>WY Sheridan</v>
      </c>
      <c r="B3299" t="s">
        <v>288</v>
      </c>
      <c r="C3299" s="30" t="s">
        <v>915</v>
      </c>
      <c r="D3299" s="16">
        <v>29116</v>
      </c>
    </row>
    <row r="3300" spans="1:4" x14ac:dyDescent="0.3">
      <c r="A3300" s="1" t="str">
        <f>Pop[[#This Row],[State]]&amp;" "&amp;Pop[[#This Row],[County]]</f>
        <v>WY Sublette</v>
      </c>
      <c r="B3300" t="s">
        <v>288</v>
      </c>
      <c r="C3300" s="30" t="s">
        <v>2117</v>
      </c>
      <c r="D3300" s="16">
        <v>10247</v>
      </c>
    </row>
    <row r="3301" spans="1:4" x14ac:dyDescent="0.3">
      <c r="A3301" s="1" t="str">
        <f>Pop[[#This Row],[State]]&amp;" "&amp;Pop[[#This Row],[County]]</f>
        <v>WY Sweetwater</v>
      </c>
      <c r="B3301" t="s">
        <v>288</v>
      </c>
      <c r="C3301" s="30" t="s">
        <v>2118</v>
      </c>
      <c r="D3301" s="16">
        <v>43806</v>
      </c>
    </row>
    <row r="3302" spans="1:4" x14ac:dyDescent="0.3">
      <c r="A3302" s="1" t="str">
        <f>Pop[[#This Row],[State]]&amp;" "&amp;Pop[[#This Row],[County]]</f>
        <v>WY Teton</v>
      </c>
      <c r="B3302" t="s">
        <v>288</v>
      </c>
      <c r="C3302" s="30" t="s">
        <v>781</v>
      </c>
      <c r="D3302" s="16">
        <v>21294</v>
      </c>
    </row>
    <row r="3303" spans="1:4" x14ac:dyDescent="0.3">
      <c r="A3303" s="1" t="str">
        <f>Pop[[#This Row],[State]]&amp;" "&amp;Pop[[#This Row],[County]]</f>
        <v>WY Uinta</v>
      </c>
      <c r="B3303" t="s">
        <v>288</v>
      </c>
      <c r="C3303" s="30" t="s">
        <v>2119</v>
      </c>
      <c r="D3303" s="16">
        <v>21118</v>
      </c>
    </row>
    <row r="3304" spans="1:4" x14ac:dyDescent="0.3">
      <c r="A3304" s="1" t="str">
        <f>Pop[[#This Row],[State]]&amp;" "&amp;Pop[[#This Row],[County]]</f>
        <v>WY Washakie</v>
      </c>
      <c r="B3304" t="s">
        <v>288</v>
      </c>
      <c r="C3304" s="30" t="s">
        <v>2120</v>
      </c>
      <c r="D3304" s="16">
        <v>8533</v>
      </c>
    </row>
    <row r="3305" spans="1:4" x14ac:dyDescent="0.3">
      <c r="A3305" s="1" t="str">
        <f>Pop[[#This Row],[State]]&amp;" "&amp;Pop[[#This Row],[County]]</f>
        <v>WY Weston</v>
      </c>
      <c r="B3305" t="s">
        <v>288</v>
      </c>
      <c r="C3305" s="30" t="s">
        <v>2121</v>
      </c>
      <c r="D3305" s="16">
        <v>7208</v>
      </c>
    </row>
    <row r="3306" spans="1:4" x14ac:dyDescent="0.3">
      <c r="A3306" s="1" t="str">
        <f>Pop[[#This Row],[State]]&amp;" "&amp;Pop[[#This Row],[County]]</f>
        <v>WY State Agencies</v>
      </c>
      <c r="B3306" t="s">
        <v>288</v>
      </c>
      <c r="C3306" s="30" t="s">
        <v>243</v>
      </c>
      <c r="D3306" s="16" t="s">
        <v>244</v>
      </c>
    </row>
    <row r="3307" spans="1:4" x14ac:dyDescent="0.3">
      <c r="A3307" s="1" t="str">
        <f>Pop[[#This Row],[State]]&amp;" "&amp;Pop[[#This Row],[County]]</f>
        <v>WY Grand Total</v>
      </c>
      <c r="B3307" t="s">
        <v>288</v>
      </c>
      <c r="C3307" s="30" t="s">
        <v>67</v>
      </c>
      <c r="D3307" s="16">
        <v>563626</v>
      </c>
    </row>
    <row r="3308" spans="1:4" x14ac:dyDescent="0.3">
      <c r="A3308" s="1" t="str">
        <f>Pop[[#This Row],[State]]&amp;" "&amp;Pop[[#This Row],[County]]</f>
        <v>UM Baker Island</v>
      </c>
      <c r="B3308" t="s">
        <v>312</v>
      </c>
      <c r="C3308" s="56" t="s">
        <v>2122</v>
      </c>
      <c r="D3308" s="57">
        <v>0</v>
      </c>
    </row>
    <row r="3309" spans="1:4" x14ac:dyDescent="0.3">
      <c r="A3309" s="1" t="str">
        <f>Pop[[#This Row],[State]]&amp;" "&amp;Pop[[#This Row],[County]]</f>
        <v>UM Howland Island</v>
      </c>
      <c r="B3309" t="s">
        <v>312</v>
      </c>
      <c r="C3309" s="56" t="s">
        <v>2123</v>
      </c>
      <c r="D3309" s="57">
        <v>0</v>
      </c>
    </row>
    <row r="3310" spans="1:4" x14ac:dyDescent="0.3">
      <c r="A3310" s="1" t="str">
        <f>Pop[[#This Row],[State]]&amp;" "&amp;Pop[[#This Row],[County]]</f>
        <v>UM Jarvis Island</v>
      </c>
      <c r="B3310" t="s">
        <v>312</v>
      </c>
      <c r="C3310" s="56" t="s">
        <v>2124</v>
      </c>
      <c r="D3310" s="57">
        <v>0</v>
      </c>
    </row>
    <row r="3311" spans="1:4" x14ac:dyDescent="0.3">
      <c r="A3311" s="1" t="str">
        <f>Pop[[#This Row],[State]]&amp;" "&amp;Pop[[#This Row],[County]]</f>
        <v>UM Johnston Atoll</v>
      </c>
      <c r="B3311" t="s">
        <v>312</v>
      </c>
      <c r="C3311" s="56" t="s">
        <v>2125</v>
      </c>
      <c r="D3311" s="57">
        <v>0</v>
      </c>
    </row>
    <row r="3312" spans="1:4" x14ac:dyDescent="0.3">
      <c r="A3312" s="1" t="str">
        <f>Pop[[#This Row],[State]]&amp;" "&amp;Pop[[#This Row],[County]]</f>
        <v>UM Kingman Reef</v>
      </c>
      <c r="B3312" t="s">
        <v>312</v>
      </c>
      <c r="C3312" s="56" t="s">
        <v>2126</v>
      </c>
      <c r="D3312" s="57">
        <v>0</v>
      </c>
    </row>
    <row r="3313" spans="1:4" x14ac:dyDescent="0.3">
      <c r="A3313" s="1" t="str">
        <f>Pop[[#This Row],[State]]&amp;" "&amp;Pop[[#This Row],[County]]</f>
        <v>UM Midway Islands</v>
      </c>
      <c r="B3313" t="s">
        <v>312</v>
      </c>
      <c r="C3313" s="56" t="s">
        <v>2127</v>
      </c>
      <c r="D3313" s="57">
        <v>40</v>
      </c>
    </row>
    <row r="3314" spans="1:4" x14ac:dyDescent="0.3">
      <c r="A3314" s="1" t="str">
        <f>Pop[[#This Row],[State]]&amp;" "&amp;Pop[[#This Row],[County]]</f>
        <v>UM Navassa Island</v>
      </c>
      <c r="B3314" t="s">
        <v>312</v>
      </c>
      <c r="C3314" s="56" t="s">
        <v>2128</v>
      </c>
      <c r="D3314" s="57">
        <v>0</v>
      </c>
    </row>
    <row r="3315" spans="1:4" x14ac:dyDescent="0.3">
      <c r="A3315" s="1" t="str">
        <f>Pop[[#This Row],[State]]&amp;" "&amp;Pop[[#This Row],[County]]</f>
        <v>UM Palmyra Atoll</v>
      </c>
      <c r="B3315" t="s">
        <v>312</v>
      </c>
      <c r="C3315" s="56" t="s">
        <v>2129</v>
      </c>
      <c r="D3315" s="57">
        <v>0</v>
      </c>
    </row>
    <row r="3316" spans="1:4" x14ac:dyDescent="0.3">
      <c r="A3316" s="1" t="str">
        <f>Pop[[#This Row],[State]]&amp;" "&amp;Pop[[#This Row],[County]]</f>
        <v>UM Wake Island</v>
      </c>
      <c r="B3316" t="s">
        <v>312</v>
      </c>
      <c r="C3316" s="56" t="s">
        <v>2130</v>
      </c>
      <c r="D3316" s="57">
        <v>150</v>
      </c>
    </row>
    <row r="3317" spans="1:4" x14ac:dyDescent="0.3">
      <c r="A3317" s="1" t="str">
        <f>Pop[[#This Row],[State]]&amp;" "&amp;Pop[[#This Row],[County]]</f>
        <v>UM Grand Total</v>
      </c>
      <c r="B3317" t="s">
        <v>312</v>
      </c>
      <c r="C3317" s="30" t="s">
        <v>67</v>
      </c>
      <c r="D3317" s="16">
        <v>190</v>
      </c>
    </row>
  </sheetData>
  <sheetProtection selectLockedCells="1" selectUnlockedCells="1"/>
  <sortState xmlns:xlrd2="http://schemas.microsoft.com/office/spreadsheetml/2017/richdata2" ref="I54:J73">
    <sortCondition ref="I54"/>
  </sortState>
  <mergeCells count="3">
    <mergeCell ref="L1:M1"/>
    <mergeCell ref="L8:M8"/>
    <mergeCell ref="L11:M11"/>
  </mergeCells>
  <dataValidations count="1">
    <dataValidation type="list" allowBlank="1" showInputMessage="1" showErrorMessage="1" sqref="N10" xr:uid="{00000000-0002-0000-0300-000000000000}">
      <formula1>OFFSET(G2,M3-1,0,M4-M3,1)</formula1>
    </dataValidation>
  </dataValidations>
  <pageMargins left="0.7" right="0.7" top="0.75" bottom="0.75" header="0.3" footer="0.3"/>
  <pageSetup orientation="portrait" r:id="rId1"/>
  <ignoredErrors>
    <ignoredError sqref="A1432" calculatedColumn="1"/>
  </ignoredErrors>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1"/>
  <sheetViews>
    <sheetView workbookViewId="0">
      <selection activeCell="C415" sqref="C415"/>
    </sheetView>
  </sheetViews>
  <sheetFormatPr defaultRowHeight="14.4" x14ac:dyDescent="0.3"/>
  <cols>
    <col min="1" max="1" width="98.33203125" style="60" customWidth="1"/>
  </cols>
  <sheetData>
    <row r="1" spans="1:1" x14ac:dyDescent="0.3">
      <c r="A1" s="60" t="s">
        <v>2131</v>
      </c>
    </row>
    <row r="2" spans="1:1" x14ac:dyDescent="0.3">
      <c r="A2" s="61" t="s">
        <v>2132</v>
      </c>
    </row>
    <row r="3" spans="1:1" ht="28.8" x14ac:dyDescent="0.3">
      <c r="A3" s="60" t="s">
        <v>2133</v>
      </c>
    </row>
    <row r="5" spans="1:1" x14ac:dyDescent="0.3">
      <c r="A5" s="61" t="s">
        <v>2134</v>
      </c>
    </row>
    <row r="6" spans="1:1" ht="28.8" x14ac:dyDescent="0.3">
      <c r="A6" s="60" t="s">
        <v>2135</v>
      </c>
    </row>
    <row r="8" spans="1:1" ht="43.2" x14ac:dyDescent="0.3">
      <c r="A8" s="60" t="s">
        <v>2136</v>
      </c>
    </row>
    <row r="9" spans="1:1" x14ac:dyDescent="0.3">
      <c r="A9" s="60" t="s">
        <v>2137</v>
      </c>
    </row>
    <row r="10" spans="1:1" x14ac:dyDescent="0.3">
      <c r="A10" s="60" t="s">
        <v>2138</v>
      </c>
    </row>
    <row r="11" spans="1:1" ht="86.4" x14ac:dyDescent="0.3">
      <c r="A11" s="60" t="s">
        <v>2139</v>
      </c>
    </row>
    <row r="13" spans="1:1" ht="43.2" x14ac:dyDescent="0.3">
      <c r="A13" s="60" t="s">
        <v>2140</v>
      </c>
    </row>
    <row r="14" spans="1:1" x14ac:dyDescent="0.3">
      <c r="A14" s="62" t="s">
        <v>2141</v>
      </c>
    </row>
    <row r="15" spans="1:1" x14ac:dyDescent="0.3">
      <c r="A15" s="62" t="s">
        <v>2142</v>
      </c>
    </row>
    <row r="16" spans="1:1" x14ac:dyDescent="0.3">
      <c r="A16" s="62" t="s">
        <v>2143</v>
      </c>
    </row>
    <row r="19" spans="1:1" x14ac:dyDescent="0.3">
      <c r="A19" s="60" t="s">
        <v>2144</v>
      </c>
    </row>
    <row r="20" spans="1:1" ht="28.8" x14ac:dyDescent="0.3">
      <c r="A20" s="60" t="s">
        <v>2145</v>
      </c>
    </row>
    <row r="21" spans="1:1" ht="28.8" x14ac:dyDescent="0.3">
      <c r="A21" s="60" t="s">
        <v>2146</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7" ma:contentTypeDescription="Create a new document." ma:contentTypeScope="" ma:versionID="d9375f57b5fac38115eae6006807f70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57A679-8D21-49C6-B8DC-5E22C1406B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A35234-6B01-401F-B955-C6B912219AB5}">
  <ds:schemaRefs>
    <ds:schemaRef ds:uri="http://schemas.microsoft.com/office/2006/metadata/properties"/>
    <ds:schemaRef ds:uri="4f1a833c-a938-4a5e-81e3-99cd1b92e526"/>
    <ds:schemaRef ds:uri="http://www.w3.org/XML/1998/namespace"/>
    <ds:schemaRef ds:uri="http://schemas.microsoft.com/office/2006/documentManagement/types"/>
    <ds:schemaRef ds:uri="http://purl.org/dc/dcmitype/"/>
    <ds:schemaRef ds:uri="http://purl.org/dc/terms/"/>
    <ds:schemaRef ds:uri="538c035d-569c-47ab-a864-fdd8ae3d4516"/>
    <ds:schemaRef ds:uri="http://schemas.microsoft.com/office/infopath/2007/PartnerControl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CC826326-E684-43F8-9A1E-4FFA6871B60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SummaryPage</vt:lpstr>
      <vt:lpstr>Input Sheet</vt:lpstr>
      <vt:lpstr>Applicants</vt:lpstr>
      <vt:lpstr>Reductions</vt:lpstr>
      <vt:lpstr>Summary</vt:lpstr>
      <vt:lpstr>PCI Indicator</vt:lpstr>
      <vt:lpstr>County Populations</vt:lpstr>
      <vt:lpstr>Programming Notes</vt:lpstr>
      <vt:lpstr>SummaryPage!Print_Titles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Saidat</dc:creator>
  <cp:keywords/>
  <dc:description/>
  <cp:lastModifiedBy>Walsh, Delaney</cp:lastModifiedBy>
  <cp:revision/>
  <dcterms:created xsi:type="dcterms:W3CDTF">2015-04-14T19:24:53Z</dcterms:created>
  <dcterms:modified xsi:type="dcterms:W3CDTF">2026-07-17T15:53:42Z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