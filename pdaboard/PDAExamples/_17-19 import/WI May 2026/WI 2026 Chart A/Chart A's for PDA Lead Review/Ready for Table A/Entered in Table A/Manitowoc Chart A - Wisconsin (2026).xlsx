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WI PDA May 2026 🧀/Damage Data/Chart A's for PDA Lead Review/Ready for Table A/"/>
    </mc:Choice>
  </mc:AlternateContent>
  <xr:revisionPtr revIDLastSave="116" documentId="13_ncr:1_{8E083EAB-3749-4216-906A-8A0C9AD27406}" xr6:coauthVersionLast="47" xr6:coauthVersionMax="47" xr10:uidLastSave="{E0E01D4E-628F-48DF-A2AE-742961D0CE08}"/>
  <bookViews>
    <workbookView xWindow="-28920" yWindow="1860" windowWidth="29040" windowHeight="16440" xr2:uid="{00000000-000D-0000-FFFF-FFFF00000000}"/>
  </bookViews>
  <sheets>
    <sheet name="County Summary" sheetId="4" r:id="rId1"/>
    <sheet name="Deduction Comments" sheetId="10" r:id="rId2"/>
    <sheet name="Notes" sheetId="11" state="hidden" r:id="rId3"/>
    <sheet name="County Population and Threshold" sheetId="9" state="hidden" r:id="rId4"/>
  </sheets>
  <externalReferences>
    <externalReference r:id="rId5"/>
  </externalReferences>
  <definedNames>
    <definedName name="_xlnm._FilterDatabase" localSheetId="3" hidden="1">'County Population and Threshold'!$C$3:$C$21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9" l="1"/>
  <c r="G4" i="9"/>
  <c r="A3" i="10"/>
  <c r="A2" i="10"/>
  <c r="H24" i="9" l="1"/>
  <c r="A24" i="9" s="1"/>
  <c r="H25" i="9"/>
  <c r="A25" i="9" s="1"/>
  <c r="H26" i="9"/>
  <c r="A26" i="9" s="1"/>
  <c r="H27" i="9"/>
  <c r="A27" i="9" s="1"/>
  <c r="H28" i="9"/>
  <c r="A28" i="9" s="1"/>
  <c r="H29" i="9"/>
  <c r="A29" i="9" s="1"/>
  <c r="H30" i="9"/>
  <c r="A30" i="9" s="1"/>
  <c r="H31" i="9"/>
  <c r="A31" i="9" s="1"/>
  <c r="H40" i="9"/>
  <c r="H41" i="9"/>
  <c r="A41" i="9" s="1"/>
  <c r="H42" i="9"/>
  <c r="A42" i="9" s="1"/>
  <c r="H43" i="9"/>
  <c r="A43" i="9" s="1"/>
  <c r="H44" i="9"/>
  <c r="A44" i="9" s="1"/>
  <c r="H45" i="9"/>
  <c r="A45" i="9" s="1"/>
  <c r="H46" i="9"/>
  <c r="A46" i="9" s="1"/>
  <c r="H47" i="9"/>
  <c r="A47" i="9" s="1"/>
  <c r="H56" i="9"/>
  <c r="H57" i="9"/>
  <c r="H58" i="9"/>
  <c r="A58" i="9" s="1"/>
  <c r="H59" i="9"/>
  <c r="A59" i="9" s="1"/>
  <c r="H60" i="9"/>
  <c r="A60" i="9" s="1"/>
  <c r="H61" i="9"/>
  <c r="A61" i="9" s="1"/>
  <c r="H62" i="9"/>
  <c r="H63" i="9"/>
  <c r="A63" i="9" s="1"/>
  <c r="H72" i="9"/>
  <c r="A72" i="9" s="1"/>
  <c r="H73" i="9"/>
  <c r="A73" i="9" s="1"/>
  <c r="H74" i="9"/>
  <c r="A74" i="9" s="1"/>
  <c r="H75" i="9"/>
  <c r="A75" i="9" s="1"/>
  <c r="A4" i="9"/>
  <c r="G5" i="9"/>
  <c r="H5" i="9" s="1"/>
  <c r="A5" i="9" s="1"/>
  <c r="G6" i="9"/>
  <c r="H6" i="9" s="1"/>
  <c r="A6" i="9" s="1"/>
  <c r="G7" i="9"/>
  <c r="H7" i="9" s="1"/>
  <c r="A7" i="9" s="1"/>
  <c r="G8" i="9"/>
  <c r="H8" i="9" s="1"/>
  <c r="A8" i="9" s="1"/>
  <c r="G9" i="9"/>
  <c r="H9" i="9" s="1"/>
  <c r="A9" i="9" s="1"/>
  <c r="G10" i="9"/>
  <c r="H10" i="9" s="1"/>
  <c r="A10" i="9" s="1"/>
  <c r="G11" i="9"/>
  <c r="H11" i="9" s="1"/>
  <c r="A11" i="9" s="1"/>
  <c r="G12" i="9"/>
  <c r="H12" i="9" s="1"/>
  <c r="A12" i="9" s="1"/>
  <c r="G13" i="9"/>
  <c r="H13" i="9" s="1"/>
  <c r="A13" i="9" s="1"/>
  <c r="G14" i="9"/>
  <c r="H14" i="9" s="1"/>
  <c r="A14" i="9" s="1"/>
  <c r="G15" i="9"/>
  <c r="H15" i="9" s="1"/>
  <c r="A15" i="9" s="1"/>
  <c r="G16" i="9"/>
  <c r="H16" i="9" s="1"/>
  <c r="A16" i="9" s="1"/>
  <c r="G17" i="9"/>
  <c r="H17" i="9" s="1"/>
  <c r="A17" i="9" s="1"/>
  <c r="G18" i="9"/>
  <c r="H18" i="9" s="1"/>
  <c r="A18" i="9" s="1"/>
  <c r="G19" i="9"/>
  <c r="H19" i="9" s="1"/>
  <c r="A19" i="9" s="1"/>
  <c r="G20" i="9"/>
  <c r="H20" i="9" s="1"/>
  <c r="A20" i="9" s="1"/>
  <c r="G21" i="9"/>
  <c r="H21" i="9" s="1"/>
  <c r="A21" i="9" s="1"/>
  <c r="G22" i="9"/>
  <c r="H22" i="9" s="1"/>
  <c r="A22" i="9" s="1"/>
  <c r="G23" i="9"/>
  <c r="H23" i="9" s="1"/>
  <c r="A23" i="9" s="1"/>
  <c r="G24" i="9"/>
  <c r="G25" i="9"/>
  <c r="G26" i="9"/>
  <c r="G27" i="9"/>
  <c r="G28" i="9"/>
  <c r="G29" i="9"/>
  <c r="G30" i="9"/>
  <c r="G31" i="9"/>
  <c r="G32" i="9"/>
  <c r="H32" i="9" s="1"/>
  <c r="A32" i="9" s="1"/>
  <c r="G33" i="9"/>
  <c r="H33" i="9" s="1"/>
  <c r="A33" i="9" s="1"/>
  <c r="G34" i="9"/>
  <c r="H34" i="9" s="1"/>
  <c r="A34" i="9" s="1"/>
  <c r="G35" i="9"/>
  <c r="H35" i="9" s="1"/>
  <c r="A35" i="9" s="1"/>
  <c r="G36" i="9"/>
  <c r="H36" i="9" s="1"/>
  <c r="A36" i="9" s="1"/>
  <c r="G37" i="9"/>
  <c r="H37" i="9" s="1"/>
  <c r="A37" i="9" s="1"/>
  <c r="G38" i="9"/>
  <c r="H38" i="9" s="1"/>
  <c r="A38" i="9" s="1"/>
  <c r="G39" i="9"/>
  <c r="H39" i="9" s="1"/>
  <c r="A39" i="9" s="1"/>
  <c r="G40" i="9"/>
  <c r="G41" i="9"/>
  <c r="G42" i="9"/>
  <c r="G43" i="9"/>
  <c r="G44" i="9"/>
  <c r="G45" i="9"/>
  <c r="G46" i="9"/>
  <c r="G47" i="9"/>
  <c r="G48" i="9"/>
  <c r="H48" i="9" s="1"/>
  <c r="A48" i="9" s="1"/>
  <c r="G49" i="9"/>
  <c r="H49" i="9" s="1"/>
  <c r="A49" i="9" s="1"/>
  <c r="G50" i="9"/>
  <c r="H50" i="9" s="1"/>
  <c r="A50" i="9" s="1"/>
  <c r="G51" i="9"/>
  <c r="H51" i="9" s="1"/>
  <c r="A51" i="9" s="1"/>
  <c r="G52" i="9"/>
  <c r="H52" i="9" s="1"/>
  <c r="A52" i="9" s="1"/>
  <c r="G53" i="9"/>
  <c r="H53" i="9" s="1"/>
  <c r="A53" i="9" s="1"/>
  <c r="G54" i="9"/>
  <c r="H54" i="9" s="1"/>
  <c r="A54" i="9" s="1"/>
  <c r="G55" i="9"/>
  <c r="H55" i="9" s="1"/>
  <c r="A55" i="9" s="1"/>
  <c r="G56" i="9"/>
  <c r="G57" i="9"/>
  <c r="G58" i="9"/>
  <c r="G59" i="9"/>
  <c r="G60" i="9"/>
  <c r="G61" i="9"/>
  <c r="G62" i="9"/>
  <c r="G63" i="9"/>
  <c r="G64" i="9"/>
  <c r="H64" i="9" s="1"/>
  <c r="A64" i="9" s="1"/>
  <c r="G65" i="9"/>
  <c r="H65" i="9" s="1"/>
  <c r="A65" i="9" s="1"/>
  <c r="G66" i="9"/>
  <c r="H66" i="9" s="1"/>
  <c r="A66" i="9" s="1"/>
  <c r="G67" i="9"/>
  <c r="H67" i="9" s="1"/>
  <c r="A67" i="9" s="1"/>
  <c r="G68" i="9"/>
  <c r="H68" i="9" s="1"/>
  <c r="A68" i="9" s="1"/>
  <c r="G69" i="9"/>
  <c r="H69" i="9" s="1"/>
  <c r="A69" i="9" s="1"/>
  <c r="G70" i="9"/>
  <c r="H70" i="9" s="1"/>
  <c r="A70" i="9" s="1"/>
  <c r="G71" i="9"/>
  <c r="H71" i="9" s="1"/>
  <c r="A71" i="9" s="1"/>
  <c r="G72" i="9"/>
  <c r="G73" i="9"/>
  <c r="G74" i="9"/>
  <c r="G75" i="9"/>
  <c r="A40" i="9"/>
  <c r="A56" i="9"/>
  <c r="A57" i="9"/>
  <c r="A62" i="9"/>
  <c r="A6" i="10" l="1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6" i="4"/>
  <c r="E3" i="4"/>
  <c r="G3" i="4"/>
  <c r="L3" i="4" l="1"/>
</calcChain>
</file>

<file path=xl/sharedStrings.xml><?xml version="1.0" encoding="utf-8"?>
<sst xmlns="http://schemas.openxmlformats.org/spreadsheetml/2006/main" count="201" uniqueCount="192">
  <si>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</si>
  <si>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</si>
  <si>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</si>
  <si>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</si>
  <si>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</si>
  <si>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</si>
  <si>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</si>
  <si>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</si>
  <si>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</si>
  <si>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</si>
  <si>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</si>
  <si>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</si>
  <si>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</si>
  <si>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</si>
  <si>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</si>
  <si>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</si>
  <si>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</si>
  <si>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</si>
  <si>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</si>
  <si>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Brown County</t>
  </si>
  <si>
    <t>Jackson County</t>
  </si>
  <si>
    <t>Washington County</t>
  </si>
  <si>
    <t>Adams County</t>
  </si>
  <si>
    <t>Clark County</t>
  </si>
  <si>
    <t>Crawford County</t>
  </si>
  <si>
    <t>Jefferson County</t>
  </si>
  <si>
    <t>Monroe County</t>
  </si>
  <si>
    <t>Richland County</t>
  </si>
  <si>
    <t>Douglas County</t>
  </si>
  <si>
    <t>Winnebago County</t>
  </si>
  <si>
    <t>20,654</t>
  </si>
  <si>
    <t>46,711</t>
  </si>
  <si>
    <t>16,220</t>
  </si>
  <si>
    <t>268,740</t>
  </si>
  <si>
    <t>13,317</t>
  </si>
  <si>
    <t>16,526</t>
  </si>
  <si>
    <t>52,442</t>
  </si>
  <si>
    <t>66,297</t>
  </si>
  <si>
    <t>34,659</t>
  </si>
  <si>
    <t>58,490</t>
  </si>
  <si>
    <t>16,113</t>
  </si>
  <si>
    <t>561,504</t>
  </si>
  <si>
    <t>89,396</t>
  </si>
  <si>
    <t>30,066</t>
  </si>
  <si>
    <t>44,295</t>
  </si>
  <si>
    <t>45,440</t>
  </si>
  <si>
    <t>105,710</t>
  </si>
  <si>
    <t>4,558</t>
  </si>
  <si>
    <t>104,154</t>
  </si>
  <si>
    <t>9,179</t>
  </si>
  <si>
    <t>51,938</t>
  </si>
  <si>
    <t>37,093</t>
  </si>
  <si>
    <t>19,018</t>
  </si>
  <si>
    <t>23,709</t>
  </si>
  <si>
    <t>6,137</t>
  </si>
  <si>
    <t>21,145</t>
  </si>
  <si>
    <t>84,900</t>
  </si>
  <si>
    <t>26,718</t>
  </si>
  <si>
    <t>169,151</t>
  </si>
  <si>
    <t>20,563</t>
  </si>
  <si>
    <t>120,784</t>
  </si>
  <si>
    <t>16,611</t>
  </si>
  <si>
    <t>19,491</t>
  </si>
  <si>
    <t>28,415</t>
  </si>
  <si>
    <t>81,359</t>
  </si>
  <si>
    <t>138,013</t>
  </si>
  <si>
    <t>41,872</t>
  </si>
  <si>
    <t>16,027</t>
  </si>
  <si>
    <t>15,592</t>
  </si>
  <si>
    <t>4,255</t>
  </si>
  <si>
    <t>939,489</t>
  </si>
  <si>
    <t>46,274</t>
  </si>
  <si>
    <t>38,965</t>
  </si>
  <si>
    <t>37,845</t>
  </si>
  <si>
    <t>190,705</t>
  </si>
  <si>
    <t>91,503</t>
  </si>
  <si>
    <t>7,318</t>
  </si>
  <si>
    <t>42,212</t>
  </si>
  <si>
    <t>44,977</t>
  </si>
  <si>
    <t>70,377</t>
  </si>
  <si>
    <t>14,054</t>
  </si>
  <si>
    <t>197,727</t>
  </si>
  <si>
    <t>17,304</t>
  </si>
  <si>
    <t>163,687</t>
  </si>
  <si>
    <t>14,188</t>
  </si>
  <si>
    <t>93,536</t>
  </si>
  <si>
    <t>65,763</t>
  </si>
  <si>
    <t>18,074</t>
  </si>
  <si>
    <t>40,881</t>
  </si>
  <si>
    <t>118,034</t>
  </si>
  <si>
    <t>19,913</t>
  </si>
  <si>
    <t>30,760</t>
  </si>
  <si>
    <t>30,714</t>
  </si>
  <si>
    <t>23,047</t>
  </si>
  <si>
    <t>106,478</t>
  </si>
  <si>
    <t>16,623</t>
  </si>
  <si>
    <t>136,761</t>
  </si>
  <si>
    <t>406,978</t>
  </si>
  <si>
    <t>51,812</t>
  </si>
  <si>
    <t>24,520</t>
  </si>
  <si>
    <t>171,730</t>
  </si>
  <si>
    <t>74,207</t>
  </si>
  <si>
    <t>Ashland County</t>
  </si>
  <si>
    <t>Barron County</t>
  </si>
  <si>
    <t>Bayfield County</t>
  </si>
  <si>
    <t>Buffalo County</t>
  </si>
  <si>
    <t>Burnett County</t>
  </si>
  <si>
    <t>Calumet County</t>
  </si>
  <si>
    <t>Chippewa County</t>
  </si>
  <si>
    <t>Columbia County</t>
  </si>
  <si>
    <t>Dane County</t>
  </si>
  <si>
    <t>Dodge County</t>
  </si>
  <si>
    <t>Door County</t>
  </si>
  <si>
    <t>Dunn County</t>
  </si>
  <si>
    <t>Florence County</t>
  </si>
  <si>
    <t>Forest County</t>
  </si>
  <si>
    <t>Grant County</t>
  </si>
  <si>
    <t>Green County</t>
  </si>
  <si>
    <t>Iowa County</t>
  </si>
  <si>
    <t>Iron County</t>
  </si>
  <si>
    <t>Juneau County</t>
  </si>
  <si>
    <t>Kenosha County</t>
  </si>
  <si>
    <t>Kewaunee County</t>
  </si>
  <si>
    <t>Lafayette County</t>
  </si>
  <si>
    <t>Langlade County</t>
  </si>
  <si>
    <t>Lincoln County</t>
  </si>
  <si>
    <t>Manitowoc County</t>
  </si>
  <si>
    <t>Marathon County</t>
  </si>
  <si>
    <t>Marinette County</t>
  </si>
  <si>
    <t>Marquette County</t>
  </si>
  <si>
    <t>Menominee County</t>
  </si>
  <si>
    <t>Milwaukee County</t>
  </si>
  <si>
    <t>Oconto County</t>
  </si>
  <si>
    <t>Oneida County</t>
  </si>
  <si>
    <t>Outagamie County</t>
  </si>
  <si>
    <t>Ozaukee County</t>
  </si>
  <si>
    <t>Pepin County</t>
  </si>
  <si>
    <t>Pierce County</t>
  </si>
  <si>
    <t>Polk County</t>
  </si>
  <si>
    <t>Portage County</t>
  </si>
  <si>
    <t>Price County</t>
  </si>
  <si>
    <t>Racine County</t>
  </si>
  <si>
    <t>Rock County</t>
  </si>
  <si>
    <t>Rusk County</t>
  </si>
  <si>
    <t>Sauk County</t>
  </si>
  <si>
    <t>Sawyer County</t>
  </si>
  <si>
    <t>Shawano County</t>
  </si>
  <si>
    <t>Sheboygan County</t>
  </si>
  <si>
    <t>Taylor County</t>
  </si>
  <si>
    <t>Trempealeau County</t>
  </si>
  <si>
    <t>Vernon County</t>
  </si>
  <si>
    <t>Vilas County</t>
  </si>
  <si>
    <t>Walworth County</t>
  </si>
  <si>
    <t>Washburn County</t>
  </si>
  <si>
    <t>Waukesha County</t>
  </si>
  <si>
    <t>Waupaca County</t>
  </si>
  <si>
    <t>Waushara County</t>
  </si>
  <si>
    <t>Wood County</t>
  </si>
  <si>
    <t>Fond Du Loc County</t>
  </si>
  <si>
    <t>Eau Claire County</t>
  </si>
  <si>
    <t>Green Lake County</t>
  </si>
  <si>
    <t>La Cross County</t>
  </si>
  <si>
    <t>St.Croix County</t>
  </si>
  <si>
    <t>Type</t>
  </si>
  <si>
    <t>Wisconsin (5,893,718) - $11,433,813</t>
  </si>
  <si>
    <t>Anessa Jones</t>
  </si>
  <si>
    <t>Angel Felix</t>
  </si>
  <si>
    <t>Connor Blevins</t>
  </si>
  <si>
    <t>James Cathey</t>
  </si>
  <si>
    <t>Javon Cotton</t>
  </si>
  <si>
    <t>Lindsay LaMarca</t>
  </si>
  <si>
    <t>Richard Chiarello</t>
  </si>
  <si>
    <t>Seth Crawford</t>
  </si>
  <si>
    <t>Shawana Thomas</t>
  </si>
  <si>
    <t>Tracie Smith</t>
  </si>
  <si>
    <t>Maxwell Novoselac</t>
  </si>
  <si>
    <t>Jessica Price</t>
  </si>
  <si>
    <t>Natalie Schrader</t>
  </si>
  <si>
    <t>Bassam Efein</t>
  </si>
  <si>
    <t>Roopak Hanna</t>
  </si>
  <si>
    <t>Catherine Warren</t>
  </si>
  <si>
    <t>Francis Creek</t>
  </si>
  <si>
    <t>Municipality</t>
  </si>
  <si>
    <t>Complete</t>
  </si>
  <si>
    <t>No documents in folders</t>
  </si>
  <si>
    <t>Town of Mishicot</t>
  </si>
  <si>
    <t>Two Rivers</t>
  </si>
  <si>
    <t>Village of Mishicot</t>
  </si>
  <si>
    <t>Manitowoc County (81,359) - $395,404.74</t>
  </si>
  <si>
    <r>
      <rPr>
        <b/>
        <sz val="10"/>
        <rFont val="Arial"/>
        <family val="2"/>
      </rPr>
      <t>Cat C: Estimated $51,978.41:</t>
    </r>
    <r>
      <rPr>
        <sz val="10"/>
        <rFont val="Arial"/>
        <family val="2"/>
      </rPr>
      <t xml:space="preserve"> Storm damage to Culverts, associated road, road shoulders, and driveway shoulders to main road throughout the City of Two Rivers. </t>
    </r>
    <r>
      <rPr>
        <b/>
        <sz val="10"/>
        <rFont val="Arial"/>
        <family val="2"/>
      </rPr>
      <t>Reduced $0: Validated $51,978.41:</t>
    </r>
    <r>
      <rPr>
        <sz val="10"/>
        <rFont val="Arial"/>
        <family val="2"/>
      </rPr>
      <t xml:space="preserve"> with applicant supplied cost estimate. </t>
    </r>
  </si>
  <si>
    <r>
      <rPr>
        <b/>
        <sz val="10"/>
        <rFont val="Arial"/>
        <family val="2"/>
      </rPr>
      <t>Cat A: Estimated $929.62:</t>
    </r>
    <r>
      <rPr>
        <sz val="10"/>
        <rFont val="Arial"/>
        <family val="2"/>
      </rPr>
      <t xml:space="preserve"> Vegetative debris removal operations due to storm damage to roads thoughout the town of Mishicot</t>
    </r>
    <r>
      <rPr>
        <b/>
        <sz val="10"/>
        <rFont val="Arial"/>
        <family val="2"/>
      </rPr>
      <t xml:space="preserve">. Reduced $929.62: </t>
    </r>
    <r>
      <rPr>
        <sz val="10"/>
        <rFont val="Arial"/>
        <family val="2"/>
      </rPr>
      <t>below project minimum</t>
    </r>
    <r>
      <rPr>
        <b/>
        <sz val="10"/>
        <rFont val="Arial"/>
        <family val="2"/>
      </rPr>
      <t xml:space="preserve"> Validated $0 </t>
    </r>
    <r>
      <rPr>
        <sz val="10"/>
        <rFont val="Arial"/>
        <family val="2"/>
      </rPr>
      <t>due to costing below the $4100 minimun project theshold</t>
    </r>
    <r>
      <rPr>
        <b/>
        <sz val="10"/>
        <rFont val="Arial"/>
        <family val="2"/>
      </rPr>
      <t xml:space="preserve"> 
Cat B: Estimated $666.87 </t>
    </r>
    <r>
      <rPr>
        <sz val="10"/>
        <rFont val="Arial"/>
        <family val="2"/>
      </rPr>
      <t>Police barricaded storm damaged roads throughout the Town of Mishicot.</t>
    </r>
    <r>
      <rPr>
        <b/>
        <sz val="10"/>
        <rFont val="Arial"/>
        <family val="2"/>
      </rPr>
      <t xml:space="preserve"> Reduced 666.87: Validated $0 </t>
    </r>
    <r>
      <rPr>
        <sz val="10"/>
        <rFont val="Arial"/>
        <family val="2"/>
      </rPr>
      <t>due to costing below the $4100 minimum project threshold</t>
    </r>
    <r>
      <rPr>
        <b/>
        <sz val="10"/>
        <rFont val="Arial"/>
        <family val="2"/>
      </rPr>
      <t>. 
Cat C: Estimated $23,847.15:</t>
    </r>
    <r>
      <rPr>
        <sz val="10"/>
        <rFont val="Arial"/>
        <family val="2"/>
      </rPr>
      <t xml:space="preserve"> Storm damage to Culverts, associated road, and road shoulders throughout the Town of Mshicot. </t>
    </r>
    <r>
      <rPr>
        <b/>
        <sz val="10"/>
        <rFont val="Arial"/>
        <family val="2"/>
      </rPr>
      <t>Reduced $0: Validated $23,847.15:</t>
    </r>
    <r>
      <rPr>
        <sz val="10"/>
        <rFont val="Arial"/>
        <family val="2"/>
      </rPr>
      <t xml:space="preserve"> with applicant supplied cost estimate.</t>
    </r>
  </si>
  <si>
    <r>
      <rPr>
        <b/>
        <sz val="10"/>
        <rFont val="Arial"/>
        <family val="2"/>
      </rPr>
      <t>Cat C: Estimated $81,772.50:</t>
    </r>
    <r>
      <rPr>
        <sz val="10"/>
        <rFont val="Arial"/>
        <family val="2"/>
      </rPr>
      <t xml:space="preserve"> Storm damage to Culvert and associated road.</t>
    </r>
    <r>
      <rPr>
        <b/>
        <sz val="10"/>
        <rFont val="Arial"/>
        <family val="2"/>
      </rPr>
      <t xml:space="preserve"> Reduced $0: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Validated $81,772.50:</t>
    </r>
    <r>
      <rPr>
        <sz val="10"/>
        <rFont val="Arial"/>
        <family val="2"/>
      </rPr>
      <t xml:space="preserve"> with applicant supplied cost estimate. 
</t>
    </r>
    <r>
      <rPr>
        <b/>
        <sz val="10"/>
        <rFont val="Arial"/>
        <family val="2"/>
      </rPr>
      <t>Cat F: Estimated $4,672.20</t>
    </r>
    <r>
      <rPr>
        <sz val="10"/>
        <rFont val="Arial"/>
        <family val="2"/>
      </rPr>
      <t xml:space="preserve">: Storm damage to lift station pump that caused sewage backups. </t>
    </r>
    <r>
      <rPr>
        <b/>
        <sz val="10"/>
        <rFont val="Arial"/>
        <family val="2"/>
      </rPr>
      <t>Reduced $0: Validated $4,672.20:</t>
    </r>
    <r>
      <rPr>
        <sz val="10"/>
        <rFont val="Arial"/>
        <family val="2"/>
      </rPr>
      <t xml:space="preserve"> with applicant supplied cost estimante.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</si>
</sst>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0" fontId="6" fillId="5" borderId="3" xfId="0" applyFont="1" applyFill="1" applyBorder="1" applyAlignment="1" applyProtection="1">
      <alignment horizontal="center"/>
    </xf>
    <xf numFmtId="0" fontId="2" fillId="0" borderId="0" xfId="0" applyFont="1" applyAlignment="1" applyProtection="1">
      <alignment wrapText="1"/>
      <protection locked="0"/>
    </xf>
    <xf numFmtId="0" fontId="15" fillId="0" borderId="0" xfId="0" applyFont="1"/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23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708661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708661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708661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670560</xdr:colOff>
      <xdr:row>1</xdr:row>
      <xdr:rowOff>0</xdr:rowOff>
    </xdr:from>
    <xdr:to>
      <xdr:col>5</xdr:col>
      <xdr:colOff>902228</xdr:colOff>
      <xdr:row>1</xdr:row>
      <xdr:rowOff>237765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9B8853-A1CE-A906-D957-9BE07BEA7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9</xdr:col>
      <xdr:colOff>83820</xdr:colOff>
      <xdr:row>1</xdr:row>
      <xdr:rowOff>0</xdr:rowOff>
    </xdr:from>
    <xdr:to>
      <xdr:col>9</xdr:col>
      <xdr:colOff>315488</xdr:colOff>
      <xdr:row>1</xdr:row>
      <xdr:rowOff>237765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66FDF3-E4C2-810F-CDA6-80E40B961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984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11</xdr:col>
      <xdr:colOff>1150620</xdr:colOff>
      <xdr:row>1</xdr:row>
      <xdr:rowOff>0</xdr:rowOff>
    </xdr:from>
    <xdr:to>
      <xdr:col>11</xdr:col>
      <xdr:colOff>1382288</xdr:colOff>
      <xdr:row>1</xdr:row>
      <xdr:rowOff>237765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24117A-5352-C27F-B00B-158F78FBE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788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11</xdr:col>
      <xdr:colOff>1386840</xdr:colOff>
      <xdr:row>3</xdr:row>
      <xdr:rowOff>167641</xdr:rowOff>
    </xdr:from>
    <xdr:to>
      <xdr:col>11</xdr:col>
      <xdr:colOff>1579880</xdr:colOff>
      <xdr:row>5</xdr:row>
      <xdr:rowOff>7621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142D369-A9AD-E6AE-33FC-B4DA3EBE5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4100" y="982981"/>
          <a:ext cx="193040" cy="1981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22" headerRowBorderDxfId="21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73CBDA3F-3CCD-40E9-A1D6-EDEAC3094AD9}" name="Type" dataDxfId="20"/>
    <tableColumn id="2" xr3:uid="{CEF0DEE3-5FBC-4431-8D20-44ADFA086565}" name="Status"/>
    <tableColumn id="3" xr3:uid="{6AE4775A-6962-48E5-A1C4-9FCA9AB9D84E}" name="A" dataDxfId="19"/>
    <tableColumn id="4" xr3:uid="{95329002-0451-4E1E-945B-2C92D7F26AE1}" name="B" dataDxfId="18"/>
    <tableColumn id="5" xr3:uid="{C9970892-8DCE-47CB-869D-F16FA0BD7E06}" name="C" dataDxfId="17"/>
    <tableColumn id="6" xr3:uid="{F0DCACBD-52FF-4FE4-84B1-2D6B25D65311}" name="D" dataDxfId="16"/>
    <tableColumn id="7" xr3:uid="{205919F4-D5DE-486C-90D6-F5D967AC39EC}" name="E" dataDxfId="15"/>
    <tableColumn id="8" xr3:uid="{F9D328E0-74CC-4868-B431-49B3E35EFE9D}" name="F" dataDxfId="14"/>
    <tableColumn id="9" xr3:uid="{03019066-5B79-4995-97FF-5CAED36BB984}" name="G" dataDxfId="13"/>
    <tableColumn id="10" xr3:uid="{1D74BABD-09F2-423C-A7DE-83A1A9B01B7A}" name="Applicant Total" dataDxfId="12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75" totalsRowShown="0" headerRowDxfId="7" headerRowBorderDxfId="6">
  <autoFilter ref="A3:A75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3" sqref="B3:C3"/>
    </sheetView>
  </sheetViews>
  <sheetFormatPr defaultColWidth="16.6640625" defaultRowHeight="13.2" x14ac:dyDescent="0.25"/>
  <cols>
    <col min="1" max="1" width="0.6640625" style="43" customWidth="1"/>
    <col min="2" max="2" width="31.6640625" customWidth="1"/>
    <col min="3" max="3" width="13.6640625" customWidth="1"/>
    <col min="4" max="4" width="16.6640625" customWidth="1"/>
    <col min="12" max="12" width="26.33203125" customWidth="1"/>
  </cols>
  <sheetData>
    <row r="1" spans="1:12" ht="13.2" customHeight="1" thickBot="1" x14ac:dyDescent="0.3"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s="1" customFormat="1" ht="20.100000000000001" customHeight="1" thickTop="1" thickBot="1" x14ac:dyDescent="0.3">
      <c r="A2" s="43"/>
      <c r="B2" s="57" t="s">
        <v>15</v>
      </c>
      <c r="C2" s="58"/>
      <c r="D2" s="5" t="s">
        <v>7</v>
      </c>
      <c r="E2" s="53" t="s">
        <v>9</v>
      </c>
      <c r="F2" s="54"/>
      <c r="G2" s="44" t="s">
        <v>13</v>
      </c>
      <c r="H2" s="45"/>
      <c r="I2" s="45"/>
      <c r="J2" s="45"/>
      <c r="K2" s="46"/>
      <c r="L2" s="6" t="s">
        <v>11</v>
      </c>
    </row>
    <row r="3" spans="1:12" s="1" customFormat="1" ht="31.2" customHeight="1" thickTop="1" thickBot="1" x14ac:dyDescent="0.3">
      <c r="A3" s="43"/>
      <c r="B3" s="59" t="s">
        <v>188</v>
      </c>
      <c r="C3" s="60"/>
      <c r="D3" s="14" t="s">
        <v>168</v>
      </c>
      <c r="E3" s="55">
        <f>SUM(Table6[[A]:[B]])</f>
        <v>0</v>
      </c>
      <c r="F3" s="56"/>
      <c r="G3" s="47">
        <f>SUM(Table6[[C]:[G]])</f>
        <v>162270.26</v>
      </c>
      <c r="H3" s="48"/>
      <c r="I3" s="48"/>
      <c r="J3" s="48"/>
      <c r="K3" s="49"/>
      <c r="L3" s="9">
        <f>SUM(Table6[Applicant Total])</f>
        <v>162270.26</v>
      </c>
    </row>
    <row r="4" spans="1:12" ht="14.4" thickTop="1" thickBot="1" x14ac:dyDescent="0.3">
      <c r="B4" s="50"/>
      <c r="C4" s="51"/>
      <c r="D4" s="51"/>
      <c r="E4" s="51"/>
      <c r="F4" s="51"/>
      <c r="G4" s="51"/>
      <c r="H4" s="51"/>
      <c r="I4" s="51"/>
      <c r="J4" s="51"/>
      <c r="K4" s="51"/>
      <c r="L4" s="52"/>
    </row>
    <row r="5" spans="1:12" ht="13.8" thickBot="1" x14ac:dyDescent="0.3">
      <c r="B5" s="16" t="s">
        <v>12</v>
      </c>
      <c r="C5" s="39" t="s">
        <v>163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181</v>
      </c>
      <c r="C6" s="10" t="s">
        <v>182</v>
      </c>
      <c r="D6" s="11" t="s">
        <v>183</v>
      </c>
      <c r="E6" s="13"/>
      <c r="F6" s="12"/>
      <c r="G6" s="12"/>
      <c r="H6" s="13"/>
      <c r="I6" s="13"/>
      <c r="J6" s="13"/>
      <c r="K6" s="13"/>
      <c r="L6" s="15">
        <f>SUM(Table6[[#This Row],[A]:[G]])</f>
        <v>0</v>
      </c>
    </row>
    <row r="7" spans="1:12" x14ac:dyDescent="0.25">
      <c r="B7" s="10" t="s">
        <v>185</v>
      </c>
      <c r="C7" s="10" t="s">
        <v>182</v>
      </c>
      <c r="D7" s="11" t="s">
        <v>183</v>
      </c>
      <c r="E7" s="13"/>
      <c r="F7" s="13"/>
      <c r="G7" s="12">
        <v>23847.15</v>
      </c>
      <c r="H7" s="12"/>
      <c r="I7" s="13"/>
      <c r="J7" s="13"/>
      <c r="K7" s="13"/>
      <c r="L7" s="15">
        <f>SUM(Table6[[#This Row],[A]:[G]])</f>
        <v>23847.15</v>
      </c>
    </row>
    <row r="8" spans="1:12" x14ac:dyDescent="0.25">
      <c r="B8" s="10" t="s">
        <v>186</v>
      </c>
      <c r="C8" s="10" t="s">
        <v>182</v>
      </c>
      <c r="D8" s="11" t="s">
        <v>183</v>
      </c>
      <c r="E8" s="13"/>
      <c r="F8" s="13"/>
      <c r="G8" s="13">
        <v>51978.41</v>
      </c>
      <c r="H8" s="13"/>
      <c r="I8" s="13"/>
      <c r="J8" s="13"/>
      <c r="K8" s="13"/>
      <c r="L8" s="15">
        <f>SUM(Table6[[#This Row],[A]:[G]])</f>
        <v>51978.41</v>
      </c>
    </row>
    <row r="9" spans="1:12" x14ac:dyDescent="0.25">
      <c r="B9" s="10" t="s">
        <v>187</v>
      </c>
      <c r="C9" s="10" t="s">
        <v>182</v>
      </c>
      <c r="D9" s="11" t="s">
        <v>183</v>
      </c>
      <c r="E9" s="13"/>
      <c r="F9" s="13"/>
      <c r="G9" s="13">
        <v>81772.5</v>
      </c>
      <c r="H9" s="13"/>
      <c r="I9" s="13"/>
      <c r="J9" s="13">
        <v>4672.2</v>
      </c>
      <c r="K9" s="13"/>
      <c r="L9" s="15">
        <f>SUM(Table6[[#This Row],[A]:[G]])</f>
        <v>86444.7</v>
      </c>
    </row>
    <row r="10" spans="1:12" ht="14.4" x14ac:dyDescent="0.3">
      <c r="B10" s="41"/>
      <c r="C10" s="10"/>
      <c r="D10" s="11"/>
      <c r="E10" s="13"/>
      <c r="F10" s="13"/>
      <c r="G10" s="13"/>
      <c r="H10" s="13"/>
      <c r="I10" s="13"/>
      <c r="J10" s="13"/>
      <c r="K10" s="13"/>
      <c r="L10" s="15">
        <f>SUM(Table6[[#This Row],[A]:[G]])</f>
        <v>0</v>
      </c>
    </row>
    <row r="11" spans="1:12" x14ac:dyDescent="0.25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5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5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5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5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5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5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5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5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0toJ2XzlI4mEpXL+zpwQXa7Ke3OfONzMKQ6iDRTB5oZepaabnYCtDd2tIeY5lfSOvjZhk6C2/tLewoZba79qMQ==" saltValue="Rf62SbYzeaPEtMMgDmRzbQ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A6:XFD6 A7:K100 M7:XFD100 L7:L101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03C5FD72-F0F2-4C3B-8AD9-9DFABE154267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3F447B8-57C0-45EC-B2E4-405629C8DBF8}">
          <x14:formula1>
            <xm:f>'County Population and Threshold'!$A$4:$A$75</xm:f>
          </x14:formula1>
          <xm:sqref>B3</xm:sqref>
        </x14:dataValidation>
        <x14:dataValidation type="list" allowBlank="1" showInputMessage="1" showErrorMessage="1" xr:uid="{4C6248B3-592C-4AD2-B25B-C2E1E253C9FF}">
          <x14:formula1>
            <xm:f>'County Population and Threshold'!$C$4:$C$23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workbookViewId="0">
      <pane ySplit="1" topLeftCell="A2" activePane="bottomLeft" state="frozen"/>
      <selection pane="bottomLeft" activeCell="B3" sqref="B3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45" customHeight="1" x14ac:dyDescent="0.25">
      <c r="A2" s="28" t="str">
        <f>'County Summary'!B6</f>
        <v>Francis Creek</v>
      </c>
      <c r="B2" s="11" t="s">
        <v>184</v>
      </c>
    </row>
    <row r="3" spans="1:2" ht="91.2" customHeight="1" x14ac:dyDescent="0.25">
      <c r="A3" s="28" t="str">
        <f>'County Summary'!B7</f>
        <v>Town of Mishicot</v>
      </c>
      <c r="B3" s="40" t="s">
        <v>190</v>
      </c>
    </row>
    <row r="4" spans="1:2" ht="59.4" customHeight="1" x14ac:dyDescent="0.25">
      <c r="A4" s="28" t="str">
        <f>'County Summary'!B8</f>
        <v>Two Rivers</v>
      </c>
      <c r="B4" s="40" t="s">
        <v>189</v>
      </c>
    </row>
    <row r="5" spans="1:2" ht="63.6" customHeight="1" x14ac:dyDescent="0.25">
      <c r="A5" s="28" t="str">
        <f>'County Summary'!B9</f>
        <v>Village of Mishicot</v>
      </c>
      <c r="B5" s="40" t="s">
        <v>191</v>
      </c>
    </row>
    <row r="6" spans="1:2" ht="45" customHeight="1" x14ac:dyDescent="0.25">
      <c r="A6" s="28">
        <f>'County Summary'!B10</f>
        <v>0</v>
      </c>
      <c r="B6" s="11"/>
    </row>
    <row r="7" spans="1:2" ht="45" customHeight="1" x14ac:dyDescent="0.25">
      <c r="A7" s="28">
        <f>'County Summary'!B11</f>
        <v>0</v>
      </c>
      <c r="B7" s="11"/>
    </row>
    <row r="8" spans="1:2" ht="45" customHeight="1" x14ac:dyDescent="0.25">
      <c r="A8" s="28">
        <f>'County Summary'!B12</f>
        <v>0</v>
      </c>
      <c r="B8" s="11"/>
    </row>
    <row r="9" spans="1:2" ht="45" customHeight="1" x14ac:dyDescent="0.25">
      <c r="A9" s="28">
        <f>'County Summary'!B13</f>
        <v>0</v>
      </c>
      <c r="B9" s="11"/>
    </row>
    <row r="10" spans="1:2" ht="45" customHeight="1" x14ac:dyDescent="0.25">
      <c r="A10" s="28">
        <f>'County Summary'!B14</f>
        <v>0</v>
      </c>
      <c r="B10" s="11"/>
    </row>
    <row r="11" spans="1:2" ht="45" customHeight="1" x14ac:dyDescent="0.25">
      <c r="A11" s="28">
        <f>'County Summary'!B15</f>
        <v>0</v>
      </c>
      <c r="B11" s="11"/>
    </row>
    <row r="12" spans="1:2" ht="45" customHeight="1" x14ac:dyDescent="0.25">
      <c r="A12" s="28">
        <f>'County Summary'!B16</f>
        <v>0</v>
      </c>
      <c r="B12" s="11"/>
    </row>
    <row r="13" spans="1:2" ht="45" customHeight="1" x14ac:dyDescent="0.25">
      <c r="A13" s="28">
        <f>'County Summary'!B17</f>
        <v>0</v>
      </c>
      <c r="B13" s="11"/>
    </row>
    <row r="14" spans="1:2" ht="45" customHeight="1" x14ac:dyDescent="0.25">
      <c r="A14" s="28">
        <f>'County Summary'!B18</f>
        <v>0</v>
      </c>
      <c r="B14" s="11"/>
    </row>
    <row r="15" spans="1:2" ht="45" customHeight="1" x14ac:dyDescent="0.25">
      <c r="A15" s="28">
        <f>'County Summary'!B19</f>
        <v>0</v>
      </c>
      <c r="B15" s="11"/>
    </row>
    <row r="16" spans="1:2" ht="45" customHeight="1" x14ac:dyDescent="0.25">
      <c r="A16" s="28">
        <f>'County Summary'!B20</f>
        <v>0</v>
      </c>
      <c r="B16" s="11"/>
    </row>
    <row r="17" spans="1:2" ht="45" customHeight="1" x14ac:dyDescent="0.25">
      <c r="A17" s="28">
        <f>'County Summary'!B21</f>
        <v>0</v>
      </c>
      <c r="B17" s="11"/>
    </row>
    <row r="18" spans="1:2" ht="45" customHeight="1" x14ac:dyDescent="0.25">
      <c r="A18" s="28">
        <f>'County Summary'!B22</f>
        <v>0</v>
      </c>
      <c r="B18" s="11"/>
    </row>
    <row r="19" spans="1:2" ht="45" customHeight="1" x14ac:dyDescent="0.25">
      <c r="A19" s="28">
        <f>'County Summary'!B23</f>
        <v>0</v>
      </c>
      <c r="B19" s="11"/>
    </row>
    <row r="20" spans="1:2" ht="45" customHeight="1" x14ac:dyDescent="0.25">
      <c r="A20" s="28">
        <f>'County Summary'!B24</f>
        <v>0</v>
      </c>
      <c r="B20" s="11"/>
    </row>
    <row r="21" spans="1:2" ht="45" customHeight="1" x14ac:dyDescent="0.25">
      <c r="A21" s="28">
        <f>'County Summary'!B25</f>
        <v>0</v>
      </c>
      <c r="B21" s="11"/>
    </row>
    <row r="22" spans="1:2" ht="45" customHeight="1" x14ac:dyDescent="0.25">
      <c r="A22" s="28">
        <f>'County Summary'!B26</f>
        <v>0</v>
      </c>
      <c r="B22" s="11"/>
    </row>
    <row r="23" spans="1:2" ht="45" customHeight="1" x14ac:dyDescent="0.25">
      <c r="A23" s="28">
        <f>'County Summary'!B27</f>
        <v>0</v>
      </c>
      <c r="B23" s="11"/>
    </row>
    <row r="24" spans="1:2" ht="45" customHeight="1" x14ac:dyDescent="0.25">
      <c r="A24" s="28">
        <f>'County Summary'!B28</f>
        <v>0</v>
      </c>
      <c r="B24" s="11"/>
    </row>
    <row r="25" spans="1:2" ht="45" customHeight="1" x14ac:dyDescent="0.25">
      <c r="A25" s="28">
        <f>'County Summary'!B29</f>
        <v>0</v>
      </c>
      <c r="B25" s="11"/>
    </row>
    <row r="26" spans="1:2" ht="45" customHeight="1" x14ac:dyDescent="0.25">
      <c r="A26" s="28">
        <f>'County Summary'!B30</f>
        <v>0</v>
      </c>
      <c r="B26" s="11"/>
    </row>
    <row r="27" spans="1:2" ht="45" customHeight="1" x14ac:dyDescent="0.25">
      <c r="A27" s="28">
        <f>'County Summary'!B31</f>
        <v>0</v>
      </c>
      <c r="B27" s="11"/>
    </row>
    <row r="28" spans="1:2" ht="45" customHeight="1" x14ac:dyDescent="0.25">
      <c r="A28" s="28">
        <f>'County Summary'!B32</f>
        <v>0</v>
      </c>
      <c r="B28" s="11"/>
    </row>
    <row r="29" spans="1:2" ht="45" customHeight="1" x14ac:dyDescent="0.25">
      <c r="A29" s="28">
        <f>'County Summary'!B33</f>
        <v>0</v>
      </c>
      <c r="B29" s="11"/>
    </row>
    <row r="30" spans="1:2" ht="45" customHeight="1" x14ac:dyDescent="0.25">
      <c r="A30" s="28">
        <f>'County Summary'!B34</f>
        <v>0</v>
      </c>
      <c r="B30" s="11"/>
    </row>
    <row r="31" spans="1:2" ht="45" customHeight="1" x14ac:dyDescent="0.25">
      <c r="A31" s="28">
        <f>'County Summary'!B35</f>
        <v>0</v>
      </c>
      <c r="B31" s="11"/>
    </row>
    <row r="32" spans="1:2" ht="45" customHeight="1" x14ac:dyDescent="0.25">
      <c r="A32" s="28">
        <f>'County Summary'!B36</f>
        <v>0</v>
      </c>
      <c r="B32" s="11"/>
    </row>
    <row r="33" spans="1:2" ht="45" customHeight="1" x14ac:dyDescent="0.25">
      <c r="A33" s="28">
        <f>'County Summary'!B37</f>
        <v>0</v>
      </c>
      <c r="B33" s="11"/>
    </row>
    <row r="34" spans="1:2" ht="45" customHeight="1" x14ac:dyDescent="0.25">
      <c r="A34" s="28">
        <f>'County Summary'!B38</f>
        <v>0</v>
      </c>
      <c r="B34" s="11"/>
    </row>
    <row r="35" spans="1:2" ht="45" customHeight="1" x14ac:dyDescent="0.25">
      <c r="A35" s="28">
        <f>'County Summary'!B39</f>
        <v>0</v>
      </c>
      <c r="B35" s="11"/>
    </row>
    <row r="36" spans="1:2" ht="45" customHeight="1" x14ac:dyDescent="0.25">
      <c r="A36" s="28">
        <f>'County Summary'!B40</f>
        <v>0</v>
      </c>
      <c r="B36" s="11"/>
    </row>
    <row r="37" spans="1:2" ht="45" customHeight="1" x14ac:dyDescent="0.25">
      <c r="A37" s="28">
        <f>'County Summary'!B41</f>
        <v>0</v>
      </c>
      <c r="B37" s="11"/>
    </row>
    <row r="38" spans="1:2" ht="45" customHeight="1" x14ac:dyDescent="0.25">
      <c r="A38" s="28">
        <f>'County Summary'!B42</f>
        <v>0</v>
      </c>
      <c r="B38" s="11"/>
    </row>
    <row r="39" spans="1:2" ht="45" customHeight="1" x14ac:dyDescent="0.25">
      <c r="A39" s="28">
        <f>'County Summary'!B43</f>
        <v>0</v>
      </c>
      <c r="B39" s="11"/>
    </row>
    <row r="40" spans="1:2" ht="45" customHeight="1" x14ac:dyDescent="0.25">
      <c r="A40" s="28">
        <f>'County Summary'!B44</f>
        <v>0</v>
      </c>
      <c r="B40" s="11"/>
    </row>
    <row r="41" spans="1:2" ht="45" customHeight="1" x14ac:dyDescent="0.25">
      <c r="A41" s="28">
        <f>'County Summary'!B45</f>
        <v>0</v>
      </c>
      <c r="B41" s="11"/>
    </row>
    <row r="42" spans="1:2" ht="45" customHeight="1" x14ac:dyDescent="0.25">
      <c r="A42" s="28">
        <f>'County Summary'!B46</f>
        <v>0</v>
      </c>
      <c r="B42" s="11"/>
    </row>
    <row r="43" spans="1:2" ht="45" customHeight="1" x14ac:dyDescent="0.25">
      <c r="A43" s="28">
        <f>'County Summary'!B47</f>
        <v>0</v>
      </c>
      <c r="B43" s="11"/>
    </row>
    <row r="44" spans="1:2" ht="45" customHeight="1" x14ac:dyDescent="0.25">
      <c r="A44" s="28">
        <f>'County Summary'!B48</f>
        <v>0</v>
      </c>
      <c r="B44" s="11"/>
    </row>
    <row r="45" spans="1:2" ht="45" customHeight="1" x14ac:dyDescent="0.25">
      <c r="A45" s="28">
        <f>'County Summary'!B49</f>
        <v>0</v>
      </c>
      <c r="B45" s="11"/>
    </row>
    <row r="46" spans="1:2" ht="45" customHeight="1" x14ac:dyDescent="0.25">
      <c r="A46" s="28">
        <f>'County Summary'!B50</f>
        <v>0</v>
      </c>
      <c r="B46" s="11"/>
    </row>
    <row r="47" spans="1:2" ht="45" customHeight="1" x14ac:dyDescent="0.25">
      <c r="A47" s="28">
        <f>'County Summary'!B51</f>
        <v>0</v>
      </c>
      <c r="B47" s="11"/>
    </row>
    <row r="48" spans="1:2" ht="45" customHeight="1" x14ac:dyDescent="0.25">
      <c r="A48" s="28">
        <f>'County Summary'!B52</f>
        <v>0</v>
      </c>
      <c r="B48" s="11"/>
    </row>
    <row r="49" spans="1:2" ht="45" customHeight="1" x14ac:dyDescent="0.25">
      <c r="A49" s="28">
        <f>'County Summary'!B53</f>
        <v>0</v>
      </c>
      <c r="B49" s="11"/>
    </row>
    <row r="50" spans="1:2" ht="45" customHeight="1" x14ac:dyDescent="0.25">
      <c r="A50" s="28">
        <f>'County Summary'!B54</f>
        <v>0</v>
      </c>
      <c r="B50" s="11"/>
    </row>
    <row r="51" spans="1:2" ht="45" customHeight="1" x14ac:dyDescent="0.25">
      <c r="A51" s="28">
        <f>'County Summary'!B55</f>
        <v>0</v>
      </c>
      <c r="B51" s="11"/>
    </row>
    <row r="52" spans="1:2" ht="45" customHeight="1" x14ac:dyDescent="0.25">
      <c r="A52" s="28">
        <f>'County Summary'!B56</f>
        <v>0</v>
      </c>
      <c r="B52" s="11"/>
    </row>
    <row r="53" spans="1:2" ht="45" customHeight="1" x14ac:dyDescent="0.25">
      <c r="A53" s="28">
        <f>'County Summary'!B57</f>
        <v>0</v>
      </c>
      <c r="B53" s="11"/>
    </row>
    <row r="54" spans="1:2" ht="45" customHeight="1" x14ac:dyDescent="0.25">
      <c r="A54" s="28">
        <f>'County Summary'!B58</f>
        <v>0</v>
      </c>
      <c r="B54" s="11"/>
    </row>
    <row r="55" spans="1:2" ht="45" customHeight="1" x14ac:dyDescent="0.25">
      <c r="A55" s="28">
        <f>'County Summary'!B59</f>
        <v>0</v>
      </c>
      <c r="B55" s="11"/>
    </row>
    <row r="56" spans="1:2" ht="45" customHeight="1" x14ac:dyDescent="0.25">
      <c r="A56" s="28">
        <f>'County Summary'!B60</f>
        <v>0</v>
      </c>
      <c r="B56" s="11"/>
    </row>
    <row r="57" spans="1:2" ht="45" customHeight="1" x14ac:dyDescent="0.25">
      <c r="A57" s="28">
        <f>'County Summary'!B61</f>
        <v>0</v>
      </c>
      <c r="B57" s="11"/>
    </row>
    <row r="58" spans="1:2" ht="45" customHeight="1" x14ac:dyDescent="0.25">
      <c r="A58" s="28">
        <f>'County Summary'!B62</f>
        <v>0</v>
      </c>
      <c r="B58" s="11"/>
    </row>
    <row r="59" spans="1:2" ht="45" customHeight="1" x14ac:dyDescent="0.25">
      <c r="A59" s="28">
        <f>'County Summary'!B63</f>
        <v>0</v>
      </c>
      <c r="B59" s="11"/>
    </row>
    <row r="60" spans="1:2" ht="45" customHeight="1" x14ac:dyDescent="0.25">
      <c r="A60" s="28">
        <f>'County Summary'!B64</f>
        <v>0</v>
      </c>
      <c r="B60" s="11"/>
    </row>
    <row r="61" spans="1:2" ht="45" customHeight="1" x14ac:dyDescent="0.25">
      <c r="A61" s="28">
        <f>'County Summary'!B65</f>
        <v>0</v>
      </c>
      <c r="B61" s="11"/>
    </row>
    <row r="62" spans="1:2" ht="45" customHeight="1" x14ac:dyDescent="0.25">
      <c r="A62" s="28">
        <f>'County Summary'!B66</f>
        <v>0</v>
      </c>
      <c r="B62" s="11"/>
    </row>
    <row r="63" spans="1:2" ht="45" customHeight="1" x14ac:dyDescent="0.25">
      <c r="A63" s="28">
        <f>'County Summary'!B67</f>
        <v>0</v>
      </c>
      <c r="B63" s="11"/>
    </row>
    <row r="64" spans="1:2" ht="45" customHeight="1" x14ac:dyDescent="0.25">
      <c r="A64" s="28">
        <f>'County Summary'!B68</f>
        <v>0</v>
      </c>
      <c r="B64" s="11"/>
    </row>
    <row r="65" spans="1:2" ht="45" customHeight="1" x14ac:dyDescent="0.25">
      <c r="A65" s="28">
        <f>'County Summary'!B69</f>
        <v>0</v>
      </c>
      <c r="B65" s="11"/>
    </row>
    <row r="66" spans="1:2" ht="45" customHeight="1" x14ac:dyDescent="0.25">
      <c r="A66" s="28">
        <f>'County Summary'!B70</f>
        <v>0</v>
      </c>
      <c r="B66" s="11"/>
    </row>
    <row r="67" spans="1:2" ht="45" customHeight="1" x14ac:dyDescent="0.25">
      <c r="A67" s="28">
        <f>'County Summary'!B71</f>
        <v>0</v>
      </c>
      <c r="B67" s="11"/>
    </row>
    <row r="68" spans="1:2" ht="45" customHeight="1" x14ac:dyDescent="0.25">
      <c r="A68" s="28">
        <f>'County Summary'!B72</f>
        <v>0</v>
      </c>
      <c r="B68" s="11"/>
    </row>
    <row r="69" spans="1:2" ht="45" customHeight="1" x14ac:dyDescent="0.25">
      <c r="A69" s="28">
        <f>'County Summary'!B73</f>
        <v>0</v>
      </c>
      <c r="B69" s="11"/>
    </row>
    <row r="70" spans="1:2" ht="45" customHeight="1" x14ac:dyDescent="0.25">
      <c r="A70" s="28">
        <f>'County Summary'!B74</f>
        <v>0</v>
      </c>
      <c r="B70" s="11"/>
    </row>
    <row r="71" spans="1:2" ht="45" customHeight="1" x14ac:dyDescent="0.25">
      <c r="A71" s="28">
        <f>'County Summary'!B75</f>
        <v>0</v>
      </c>
      <c r="B71" s="11"/>
    </row>
    <row r="72" spans="1:2" ht="45" customHeight="1" x14ac:dyDescent="0.25">
      <c r="A72" s="28">
        <f>'County Summary'!B76</f>
        <v>0</v>
      </c>
      <c r="B72" s="11"/>
    </row>
    <row r="73" spans="1:2" ht="45" customHeight="1" x14ac:dyDescent="0.25">
      <c r="A73" s="28">
        <f>'County Summary'!B77</f>
        <v>0</v>
      </c>
      <c r="B73" s="11"/>
    </row>
    <row r="74" spans="1:2" ht="45" customHeight="1" x14ac:dyDescent="0.25">
      <c r="A74" s="28">
        <f>'County Summary'!B78</f>
        <v>0</v>
      </c>
      <c r="B74" s="11"/>
    </row>
    <row r="75" spans="1:2" ht="45" customHeight="1" x14ac:dyDescent="0.25">
      <c r="A75" s="28">
        <f>'County Summary'!B79</f>
        <v>0</v>
      </c>
      <c r="B75" s="11"/>
    </row>
    <row r="76" spans="1:2" ht="45" customHeight="1" x14ac:dyDescent="0.25">
      <c r="A76" s="28">
        <f>'County Summary'!B80</f>
        <v>0</v>
      </c>
      <c r="B76" s="11"/>
    </row>
    <row r="77" spans="1:2" ht="45" customHeight="1" x14ac:dyDescent="0.25">
      <c r="A77" s="28">
        <f>'County Summary'!B81</f>
        <v>0</v>
      </c>
      <c r="B77" s="11"/>
    </row>
    <row r="78" spans="1:2" ht="45" customHeight="1" x14ac:dyDescent="0.25">
      <c r="A78" s="28">
        <f>'County Summary'!B82</f>
        <v>0</v>
      </c>
      <c r="B78" s="11"/>
    </row>
    <row r="79" spans="1:2" ht="45" customHeight="1" x14ac:dyDescent="0.25">
      <c r="A79" s="28">
        <f>'County Summary'!B83</f>
        <v>0</v>
      </c>
      <c r="B79" s="11"/>
    </row>
    <row r="80" spans="1:2" ht="45" customHeight="1" x14ac:dyDescent="0.25">
      <c r="A80" s="28">
        <f>'County Summary'!B84</f>
        <v>0</v>
      </c>
      <c r="B80" s="11"/>
    </row>
    <row r="81" spans="1:2" ht="45" customHeight="1" x14ac:dyDescent="0.25">
      <c r="A81" s="28">
        <f>'County Summary'!B85</f>
        <v>0</v>
      </c>
      <c r="B81" s="11"/>
    </row>
    <row r="82" spans="1:2" ht="45" customHeight="1" x14ac:dyDescent="0.25">
      <c r="A82" s="28">
        <f>'County Summary'!B86</f>
        <v>0</v>
      </c>
      <c r="B82" s="11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algorithmName="SHA-512" hashValue="EtK2+3fLCxYD0Dihzxfhp1Tt2jZvhhOZR573KCHG+QwJhAtX1XP7l9mR94ooMxvC6ytDe2bTmNiUbz4Fz33kkg==" saltValue="ptlZPMn9mbBerYhXgQoBgA==" spinCount="100000"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D25" sqref="D25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H75"/>
  <sheetViews>
    <sheetView workbookViewId="0">
      <selection activeCell="C23" sqref="C23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5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11" width="8.88671875" customWidth="1"/>
  </cols>
  <sheetData>
    <row r="1" spans="1:8" x14ac:dyDescent="0.25">
      <c r="A1" s="8" t="s">
        <v>164</v>
      </c>
    </row>
    <row r="2" spans="1:8" ht="15" customHeight="1" thickBot="1" x14ac:dyDescent="0.3">
      <c r="A2" s="23"/>
    </row>
    <row r="3" spans="1:8" ht="13.8" thickBot="1" x14ac:dyDescent="0.3">
      <c r="A3" s="7" t="s">
        <v>15</v>
      </c>
      <c r="C3" s="24" t="s">
        <v>16</v>
      </c>
    </row>
    <row r="4" spans="1:8" ht="14.4" x14ac:dyDescent="0.3">
      <c r="A4" s="3" t="str">
        <f>D4 &amp; " (" &amp;F4&amp; ")" &amp; " - " &amp;H4</f>
        <v>Adams County (20,654) - $100,378.44</v>
      </c>
      <c r="C4" t="s">
        <v>165</v>
      </c>
      <c r="D4" s="33" t="s">
        <v>22</v>
      </c>
      <c r="E4" s="31">
        <v>20654</v>
      </c>
      <c r="F4" s="36" t="s">
        <v>30</v>
      </c>
      <c r="G4" s="37">
        <f>E4*4.86</f>
        <v>100378.44</v>
      </c>
      <c r="H4" s="38" t="str">
        <f>TEXT(G4,"$#,##0.00")</f>
        <v>$100,378.44</v>
      </c>
    </row>
    <row r="5" spans="1:8" ht="14.4" x14ac:dyDescent="0.3">
      <c r="A5" s="3" t="str">
        <f t="shared" ref="A5:A68" si="0">D5 &amp; " (" &amp;F5&amp; ")" &amp; " - " &amp;H5</f>
        <v>Ashland County (16,027) - $77,891.22</v>
      </c>
      <c r="C5" t="s">
        <v>166</v>
      </c>
      <c r="D5" s="33" t="s">
        <v>102</v>
      </c>
      <c r="E5" s="31">
        <v>16027</v>
      </c>
      <c r="F5" s="36" t="s">
        <v>67</v>
      </c>
      <c r="G5" s="37">
        <f t="shared" ref="G5:G68" si="1">E5*4.86</f>
        <v>77891.22</v>
      </c>
      <c r="H5" s="38" t="str">
        <f t="shared" ref="H5:H68" si="2">TEXT(G5,"$#,##0.00")</f>
        <v>$77,891.22</v>
      </c>
    </row>
    <row r="6" spans="1:8" ht="14.4" x14ac:dyDescent="0.3">
      <c r="A6" s="3" t="str">
        <f t="shared" si="0"/>
        <v>Barron County (46,711) - $227,015.46</v>
      </c>
      <c r="C6" t="s">
        <v>178</v>
      </c>
      <c r="D6" s="33" t="s">
        <v>103</v>
      </c>
      <c r="E6" s="31">
        <v>46711</v>
      </c>
      <c r="F6" s="36" t="s">
        <v>31</v>
      </c>
      <c r="G6" s="37">
        <f t="shared" si="1"/>
        <v>227015.46000000002</v>
      </c>
      <c r="H6" s="38" t="str">
        <f t="shared" si="2"/>
        <v>$227,015.46</v>
      </c>
    </row>
    <row r="7" spans="1:8" ht="14.4" x14ac:dyDescent="0.3">
      <c r="A7" s="3" t="str">
        <f t="shared" si="0"/>
        <v>Bayfield County (16,220) - $78,829.20</v>
      </c>
      <c r="C7" t="s">
        <v>180</v>
      </c>
      <c r="D7" s="33" t="s">
        <v>104</v>
      </c>
      <c r="E7" s="31">
        <v>16220</v>
      </c>
      <c r="F7" s="36" t="s">
        <v>32</v>
      </c>
      <c r="G7" s="37">
        <f t="shared" si="1"/>
        <v>78829.200000000012</v>
      </c>
      <c r="H7" s="38" t="str">
        <f t="shared" si="2"/>
        <v>$78,829.20</v>
      </c>
    </row>
    <row r="8" spans="1:8" ht="14.4" x14ac:dyDescent="0.3">
      <c r="A8" s="3" t="str">
        <f t="shared" si="0"/>
        <v>Brown County (268,740) - $1,306,076.40</v>
      </c>
      <c r="C8" t="s">
        <v>167</v>
      </c>
      <c r="D8" s="33" t="s">
        <v>19</v>
      </c>
      <c r="E8" s="31">
        <v>268740</v>
      </c>
      <c r="F8" s="36" t="s">
        <v>33</v>
      </c>
      <c r="G8" s="37">
        <f t="shared" si="1"/>
        <v>1306076.4000000001</v>
      </c>
      <c r="H8" s="38" t="str">
        <f t="shared" si="2"/>
        <v>$1,306,076.40</v>
      </c>
    </row>
    <row r="9" spans="1:8" ht="14.4" x14ac:dyDescent="0.3">
      <c r="A9" s="3" t="str">
        <f t="shared" si="0"/>
        <v>Buffalo County (13,317) - $64,720.62</v>
      </c>
      <c r="C9" t="s">
        <v>168</v>
      </c>
      <c r="D9" s="33" t="s">
        <v>105</v>
      </c>
      <c r="E9" s="31">
        <v>13317</v>
      </c>
      <c r="F9" s="36" t="s">
        <v>34</v>
      </c>
      <c r="G9" s="37">
        <f t="shared" si="1"/>
        <v>64720.62</v>
      </c>
      <c r="H9" s="38" t="str">
        <f t="shared" si="2"/>
        <v>$64,720.62</v>
      </c>
    </row>
    <row r="10" spans="1:8" ht="14.4" x14ac:dyDescent="0.3">
      <c r="A10" s="3" t="str">
        <f t="shared" si="0"/>
        <v>Burnett County (16,526) - $80,316.36</v>
      </c>
      <c r="C10" t="s">
        <v>169</v>
      </c>
      <c r="D10" s="33" t="s">
        <v>106</v>
      </c>
      <c r="E10" s="31">
        <v>16526</v>
      </c>
      <c r="F10" s="36" t="s">
        <v>35</v>
      </c>
      <c r="G10" s="37">
        <f t="shared" si="1"/>
        <v>80316.36</v>
      </c>
      <c r="H10" s="38" t="str">
        <f t="shared" si="2"/>
        <v>$80,316.36</v>
      </c>
    </row>
    <row r="11" spans="1:8" ht="14.4" x14ac:dyDescent="0.3">
      <c r="A11" s="3" t="str">
        <f t="shared" si="0"/>
        <v>Calumet County (52,442) - $254,868.12</v>
      </c>
      <c r="C11" t="s">
        <v>176</v>
      </c>
      <c r="D11" s="33" t="s">
        <v>107</v>
      </c>
      <c r="E11" s="31">
        <v>52442</v>
      </c>
      <c r="F11" s="36" t="s">
        <v>36</v>
      </c>
      <c r="G11" s="37">
        <f t="shared" si="1"/>
        <v>254868.12000000002</v>
      </c>
      <c r="H11" s="38" t="str">
        <f t="shared" si="2"/>
        <v>$254,868.12</v>
      </c>
    </row>
    <row r="12" spans="1:8" ht="14.4" x14ac:dyDescent="0.3">
      <c r="A12" s="3" t="str">
        <f t="shared" si="0"/>
        <v>Chippewa County (66,297) - $322,203.42</v>
      </c>
      <c r="C12" t="s">
        <v>170</v>
      </c>
      <c r="D12" s="33" t="s">
        <v>108</v>
      </c>
      <c r="E12" s="31">
        <v>66297</v>
      </c>
      <c r="F12" s="36" t="s">
        <v>37</v>
      </c>
      <c r="G12" s="37">
        <f t="shared" si="1"/>
        <v>322203.42000000004</v>
      </c>
      <c r="H12" s="38" t="str">
        <f t="shared" si="2"/>
        <v>$322,203.42</v>
      </c>
    </row>
    <row r="13" spans="1:8" ht="14.4" x14ac:dyDescent="0.3">
      <c r="A13" s="3" t="str">
        <f t="shared" si="0"/>
        <v>Clark County (34,659) - $168,442.74</v>
      </c>
      <c r="C13" t="s">
        <v>175</v>
      </c>
      <c r="D13" s="33" t="s">
        <v>23</v>
      </c>
      <c r="E13" s="31">
        <v>34659</v>
      </c>
      <c r="F13" s="36" t="s">
        <v>38</v>
      </c>
      <c r="G13" s="37">
        <f t="shared" si="1"/>
        <v>168442.74000000002</v>
      </c>
      <c r="H13" s="38" t="str">
        <f t="shared" si="2"/>
        <v>$168,442.74</v>
      </c>
    </row>
    <row r="14" spans="1:8" ht="14.4" x14ac:dyDescent="0.3">
      <c r="A14" s="3" t="str">
        <f t="shared" si="0"/>
        <v>Columbia County (58,490) - $284,261.40</v>
      </c>
      <c r="C14" t="s">
        <v>177</v>
      </c>
      <c r="D14" s="33" t="s">
        <v>109</v>
      </c>
      <c r="E14" s="31">
        <v>58490</v>
      </c>
      <c r="F14" s="36" t="s">
        <v>39</v>
      </c>
      <c r="G14" s="37">
        <f t="shared" si="1"/>
        <v>284261.40000000002</v>
      </c>
      <c r="H14" s="38" t="str">
        <f t="shared" si="2"/>
        <v>$284,261.40</v>
      </c>
    </row>
    <row r="15" spans="1:8" ht="14.4" x14ac:dyDescent="0.3">
      <c r="A15" s="3" t="str">
        <f t="shared" si="0"/>
        <v>Crawford County (16,113) - $78,309.18</v>
      </c>
      <c r="C15" t="s">
        <v>171</v>
      </c>
      <c r="D15" s="33" t="s">
        <v>24</v>
      </c>
      <c r="E15" s="31">
        <v>16113</v>
      </c>
      <c r="F15" s="36" t="s">
        <v>40</v>
      </c>
      <c r="G15" s="37">
        <f t="shared" si="1"/>
        <v>78309.180000000008</v>
      </c>
      <c r="H15" s="38" t="str">
        <f t="shared" si="2"/>
        <v>$78,309.18</v>
      </c>
    </row>
    <row r="16" spans="1:8" ht="14.4" x14ac:dyDescent="0.3">
      <c r="A16" s="3" t="str">
        <f t="shared" si="0"/>
        <v>Dane County (561,504) - $2,728,909.44</v>
      </c>
      <c r="C16" t="s">
        <v>179</v>
      </c>
      <c r="D16" s="33" t="s">
        <v>110</v>
      </c>
      <c r="E16" s="31">
        <v>561504</v>
      </c>
      <c r="F16" s="36" t="s">
        <v>41</v>
      </c>
      <c r="G16" s="37">
        <f t="shared" si="1"/>
        <v>2728909.4400000004</v>
      </c>
      <c r="H16" s="38" t="str">
        <f t="shared" si="2"/>
        <v>$2,728,909.44</v>
      </c>
    </row>
    <row r="17" spans="1:8" ht="14.4" x14ac:dyDescent="0.3">
      <c r="A17" s="3" t="str">
        <f t="shared" si="0"/>
        <v>Dodge County (89,396) - $434,464.56</v>
      </c>
      <c r="C17" t="s">
        <v>172</v>
      </c>
      <c r="D17" s="33" t="s">
        <v>111</v>
      </c>
      <c r="E17" s="31">
        <v>89396</v>
      </c>
      <c r="F17" s="36" t="s">
        <v>42</v>
      </c>
      <c r="G17" s="37">
        <f t="shared" si="1"/>
        <v>434464.56000000006</v>
      </c>
      <c r="H17" s="38" t="str">
        <f t="shared" si="2"/>
        <v>$434,464.56</v>
      </c>
    </row>
    <row r="18" spans="1:8" ht="14.4" x14ac:dyDescent="0.3">
      <c r="A18" s="3" t="str">
        <f t="shared" si="0"/>
        <v>Door County (30,066) - $146,120.76</v>
      </c>
      <c r="C18" t="s">
        <v>173</v>
      </c>
      <c r="D18" s="33" t="s">
        <v>112</v>
      </c>
      <c r="E18" s="31">
        <v>30066</v>
      </c>
      <c r="F18" s="36" t="s">
        <v>43</v>
      </c>
      <c r="G18" s="37">
        <f t="shared" si="1"/>
        <v>146120.76</v>
      </c>
      <c r="H18" s="38" t="str">
        <f t="shared" si="2"/>
        <v>$146,120.76</v>
      </c>
    </row>
    <row r="19" spans="1:8" ht="14.4" x14ac:dyDescent="0.3">
      <c r="A19" s="3" t="str">
        <f t="shared" si="0"/>
        <v>Douglas County (44,295) - $215,273.70</v>
      </c>
      <c r="C19" t="s">
        <v>174</v>
      </c>
      <c r="D19" s="33" t="s">
        <v>28</v>
      </c>
      <c r="E19" s="31">
        <v>44295</v>
      </c>
      <c r="F19" s="36" t="s">
        <v>44</v>
      </c>
      <c r="G19" s="37">
        <f t="shared" si="1"/>
        <v>215273.7</v>
      </c>
      <c r="H19" s="38" t="str">
        <f t="shared" si="2"/>
        <v>$215,273.70</v>
      </c>
    </row>
    <row r="20" spans="1:8" ht="14.4" x14ac:dyDescent="0.3">
      <c r="A20" s="3" t="str">
        <f t="shared" si="0"/>
        <v>Dunn County (45,440) - $220,838.40</v>
      </c>
      <c r="C20" s="2"/>
      <c r="D20" s="33" t="s">
        <v>113</v>
      </c>
      <c r="E20" s="31">
        <v>45440</v>
      </c>
      <c r="F20" s="36" t="s">
        <v>45</v>
      </c>
      <c r="G20" s="37">
        <f t="shared" si="1"/>
        <v>220838.40000000002</v>
      </c>
      <c r="H20" s="38" t="str">
        <f t="shared" si="2"/>
        <v>$220,838.40</v>
      </c>
    </row>
    <row r="21" spans="1:8" ht="14.4" x14ac:dyDescent="0.3">
      <c r="A21" s="3" t="str">
        <f t="shared" si="0"/>
        <v>Eau Claire County (105,710) - $513,750.60</v>
      </c>
      <c r="C21" s="25"/>
      <c r="D21" s="33" t="s">
        <v>159</v>
      </c>
      <c r="E21" s="31">
        <v>105710</v>
      </c>
      <c r="F21" s="36" t="s">
        <v>46</v>
      </c>
      <c r="G21" s="37">
        <f t="shared" si="1"/>
        <v>513750.60000000003</v>
      </c>
      <c r="H21" s="38" t="str">
        <f t="shared" si="2"/>
        <v>$513,750.60</v>
      </c>
    </row>
    <row r="22" spans="1:8" ht="14.4" x14ac:dyDescent="0.3">
      <c r="A22" s="3" t="str">
        <f t="shared" si="0"/>
        <v>Florence County (4,558) - $22,151.88</v>
      </c>
      <c r="D22" s="33" t="s">
        <v>114</v>
      </c>
      <c r="E22" s="31">
        <v>4558</v>
      </c>
      <c r="F22" s="36" t="s">
        <v>47</v>
      </c>
      <c r="G22" s="37">
        <f t="shared" si="1"/>
        <v>22151.88</v>
      </c>
      <c r="H22" s="38" t="str">
        <f t="shared" si="2"/>
        <v>$22,151.88</v>
      </c>
    </row>
    <row r="23" spans="1:8" ht="14.4" x14ac:dyDescent="0.3">
      <c r="A23" s="3" t="str">
        <f t="shared" si="0"/>
        <v>Fond Du Loc County (104,154) - $506,188.44</v>
      </c>
      <c r="D23" s="33" t="s">
        <v>158</v>
      </c>
      <c r="E23" s="31">
        <v>104154</v>
      </c>
      <c r="F23" s="36" t="s">
        <v>48</v>
      </c>
      <c r="G23" s="37">
        <f t="shared" si="1"/>
        <v>506188.44000000006</v>
      </c>
      <c r="H23" s="38" t="str">
        <f t="shared" si="2"/>
        <v>$506,188.44</v>
      </c>
    </row>
    <row r="24" spans="1:8" ht="14.4" x14ac:dyDescent="0.3">
      <c r="A24" s="3" t="str">
        <f t="shared" si="0"/>
        <v>Forest County (9,179) - $44,609.94</v>
      </c>
      <c r="D24" s="33" t="s">
        <v>115</v>
      </c>
      <c r="E24" s="31">
        <v>9179</v>
      </c>
      <c r="F24" s="36" t="s">
        <v>49</v>
      </c>
      <c r="G24" s="37">
        <f t="shared" si="1"/>
        <v>44609.94</v>
      </c>
      <c r="H24" s="38" t="str">
        <f t="shared" si="2"/>
        <v>$44,609.94</v>
      </c>
    </row>
    <row r="25" spans="1:8" ht="14.4" x14ac:dyDescent="0.3">
      <c r="A25" s="3" t="str">
        <f t="shared" si="0"/>
        <v>Grant County (51,938) - $252,418.68</v>
      </c>
      <c r="D25" s="33" t="s">
        <v>116</v>
      </c>
      <c r="E25" s="31">
        <v>51938</v>
      </c>
      <c r="F25" s="36" t="s">
        <v>50</v>
      </c>
      <c r="G25" s="37">
        <f t="shared" si="1"/>
        <v>252418.68000000002</v>
      </c>
      <c r="H25" s="38" t="str">
        <f t="shared" si="2"/>
        <v>$252,418.68</v>
      </c>
    </row>
    <row r="26" spans="1:8" ht="14.4" x14ac:dyDescent="0.3">
      <c r="A26" s="3" t="str">
        <f t="shared" si="0"/>
        <v>Green County (37,093) - $180,271.98</v>
      </c>
      <c r="D26" s="33" t="s">
        <v>117</v>
      </c>
      <c r="E26" s="31">
        <v>37093</v>
      </c>
      <c r="F26" s="36" t="s">
        <v>51</v>
      </c>
      <c r="G26" s="37">
        <f t="shared" si="1"/>
        <v>180271.98</v>
      </c>
      <c r="H26" s="38" t="str">
        <f t="shared" si="2"/>
        <v>$180,271.98</v>
      </c>
    </row>
    <row r="27" spans="1:8" ht="14.4" x14ac:dyDescent="0.3">
      <c r="A27" s="3" t="str">
        <f t="shared" si="0"/>
        <v>Green Lake County (19,018) - $92,427.48</v>
      </c>
      <c r="D27" s="33" t="s">
        <v>160</v>
      </c>
      <c r="E27" s="31">
        <v>19018</v>
      </c>
      <c r="F27" s="36" t="s">
        <v>52</v>
      </c>
      <c r="G27" s="37">
        <f t="shared" si="1"/>
        <v>92427.48000000001</v>
      </c>
      <c r="H27" s="38" t="str">
        <f t="shared" si="2"/>
        <v>$92,427.48</v>
      </c>
    </row>
    <row r="28" spans="1:8" ht="14.4" x14ac:dyDescent="0.3">
      <c r="A28" s="3" t="str">
        <f t="shared" si="0"/>
        <v>Iowa County (23,709) - $115,225.74</v>
      </c>
      <c r="D28" s="33" t="s">
        <v>118</v>
      </c>
      <c r="E28" s="31">
        <v>23709</v>
      </c>
      <c r="F28" s="36" t="s">
        <v>53</v>
      </c>
      <c r="G28" s="37">
        <f t="shared" si="1"/>
        <v>115225.74</v>
      </c>
      <c r="H28" s="38" t="str">
        <f t="shared" si="2"/>
        <v>$115,225.74</v>
      </c>
    </row>
    <row r="29" spans="1:8" ht="14.4" x14ac:dyDescent="0.3">
      <c r="A29" s="3" t="str">
        <f t="shared" si="0"/>
        <v>Iron County (6,137) - $29,825.82</v>
      </c>
      <c r="D29" s="33" t="s">
        <v>119</v>
      </c>
      <c r="E29" s="31">
        <v>6137</v>
      </c>
      <c r="F29" s="36" t="s">
        <v>54</v>
      </c>
      <c r="G29" s="37">
        <f t="shared" si="1"/>
        <v>29825.820000000003</v>
      </c>
      <c r="H29" s="38" t="str">
        <f t="shared" si="2"/>
        <v>$29,825.82</v>
      </c>
    </row>
    <row r="30" spans="1:8" ht="14.4" x14ac:dyDescent="0.3">
      <c r="A30" s="3" t="str">
        <f t="shared" si="0"/>
        <v>Jackson County (21,145) - $102,764.70</v>
      </c>
      <c r="D30" s="33" t="s">
        <v>20</v>
      </c>
      <c r="E30" s="31">
        <v>21145</v>
      </c>
      <c r="F30" s="36" t="s">
        <v>55</v>
      </c>
      <c r="G30" s="37">
        <f t="shared" si="1"/>
        <v>102764.70000000001</v>
      </c>
      <c r="H30" s="38" t="str">
        <f t="shared" si="2"/>
        <v>$102,764.70</v>
      </c>
    </row>
    <row r="31" spans="1:8" ht="14.4" x14ac:dyDescent="0.3">
      <c r="A31" s="3" t="str">
        <f t="shared" si="0"/>
        <v>Jefferson County (84,900) - $412,614.00</v>
      </c>
      <c r="D31" s="33" t="s">
        <v>25</v>
      </c>
      <c r="E31" s="31">
        <v>84900</v>
      </c>
      <c r="F31" s="36" t="s">
        <v>56</v>
      </c>
      <c r="G31" s="37">
        <f t="shared" si="1"/>
        <v>412614</v>
      </c>
      <c r="H31" s="38" t="str">
        <f t="shared" si="2"/>
        <v>$412,614.00</v>
      </c>
    </row>
    <row r="32" spans="1:8" ht="14.4" x14ac:dyDescent="0.3">
      <c r="A32" s="3" t="str">
        <f t="shared" si="0"/>
        <v>Juneau County (26,718) - $129,849.48</v>
      </c>
      <c r="D32" s="33" t="s">
        <v>120</v>
      </c>
      <c r="E32" s="31">
        <v>26718</v>
      </c>
      <c r="F32" s="36" t="s">
        <v>57</v>
      </c>
      <c r="G32" s="37">
        <f t="shared" si="1"/>
        <v>129849.48000000001</v>
      </c>
      <c r="H32" s="38" t="str">
        <f t="shared" si="2"/>
        <v>$129,849.48</v>
      </c>
    </row>
    <row r="33" spans="1:8" ht="14.4" x14ac:dyDescent="0.3">
      <c r="A33" s="3" t="str">
        <f t="shared" si="0"/>
        <v>Kenosha County (169,151) - $822,073.86</v>
      </c>
      <c r="D33" s="33" t="s">
        <v>121</v>
      </c>
      <c r="E33" s="31">
        <v>169151</v>
      </c>
      <c r="F33" s="36" t="s">
        <v>58</v>
      </c>
      <c r="G33" s="37">
        <f t="shared" si="1"/>
        <v>822073.8600000001</v>
      </c>
      <c r="H33" s="38" t="str">
        <f t="shared" si="2"/>
        <v>$822,073.86</v>
      </c>
    </row>
    <row r="34" spans="1:8" ht="14.4" x14ac:dyDescent="0.3">
      <c r="A34" s="3" t="str">
        <f t="shared" si="0"/>
        <v>Kewaunee County (20,563) - $99,936.18</v>
      </c>
      <c r="D34" s="33" t="s">
        <v>122</v>
      </c>
      <c r="E34" s="31">
        <v>20563</v>
      </c>
      <c r="F34" s="36" t="s">
        <v>59</v>
      </c>
      <c r="G34" s="37">
        <f t="shared" si="1"/>
        <v>99936.180000000008</v>
      </c>
      <c r="H34" s="38" t="str">
        <f t="shared" si="2"/>
        <v>$99,936.18</v>
      </c>
    </row>
    <row r="35" spans="1:8" ht="14.4" x14ac:dyDescent="0.3">
      <c r="A35" s="3" t="str">
        <f t="shared" si="0"/>
        <v>La Cross County (120,784) - $587,010.24</v>
      </c>
      <c r="D35" s="33" t="s">
        <v>161</v>
      </c>
      <c r="E35" s="31">
        <v>120784</v>
      </c>
      <c r="F35" s="36" t="s">
        <v>60</v>
      </c>
      <c r="G35" s="37">
        <f t="shared" si="1"/>
        <v>587010.24</v>
      </c>
      <c r="H35" s="38" t="str">
        <f t="shared" si="2"/>
        <v>$587,010.24</v>
      </c>
    </row>
    <row r="36" spans="1:8" ht="14.4" x14ac:dyDescent="0.3">
      <c r="A36" s="3" t="str">
        <f t="shared" si="0"/>
        <v>Lafayette County (16,611) - $80,729.46</v>
      </c>
      <c r="D36" s="33" t="s">
        <v>123</v>
      </c>
      <c r="E36" s="31">
        <v>16611</v>
      </c>
      <c r="F36" s="36" t="s">
        <v>61</v>
      </c>
      <c r="G36" s="37">
        <f t="shared" si="1"/>
        <v>80729.460000000006</v>
      </c>
      <c r="H36" s="38" t="str">
        <f t="shared" si="2"/>
        <v>$80,729.46</v>
      </c>
    </row>
    <row r="37" spans="1:8" ht="14.4" x14ac:dyDescent="0.3">
      <c r="A37" s="3" t="str">
        <f t="shared" si="0"/>
        <v>Langlade County (19,491) - $94,726.26</v>
      </c>
      <c r="D37" s="33" t="s">
        <v>124</v>
      </c>
      <c r="E37" s="31">
        <v>19491</v>
      </c>
      <c r="F37" s="36" t="s">
        <v>62</v>
      </c>
      <c r="G37" s="37">
        <f t="shared" si="1"/>
        <v>94726.260000000009</v>
      </c>
      <c r="H37" s="38" t="str">
        <f t="shared" si="2"/>
        <v>$94,726.26</v>
      </c>
    </row>
    <row r="38" spans="1:8" ht="14.4" x14ac:dyDescent="0.3">
      <c r="A38" s="3" t="str">
        <f t="shared" si="0"/>
        <v>Lincoln County (28,415) - $138,096.90</v>
      </c>
      <c r="D38" s="33" t="s">
        <v>125</v>
      </c>
      <c r="E38" s="31">
        <v>28415</v>
      </c>
      <c r="F38" s="36" t="s">
        <v>63</v>
      </c>
      <c r="G38" s="37">
        <f t="shared" si="1"/>
        <v>138096.90000000002</v>
      </c>
      <c r="H38" s="38" t="str">
        <f t="shared" si="2"/>
        <v>$138,096.90</v>
      </c>
    </row>
    <row r="39" spans="1:8" ht="14.4" x14ac:dyDescent="0.3">
      <c r="A39" s="3" t="str">
        <f t="shared" si="0"/>
        <v>Manitowoc County (81,359) - $395,404.74</v>
      </c>
      <c r="D39" s="33" t="s">
        <v>126</v>
      </c>
      <c r="E39" s="31">
        <v>81359</v>
      </c>
      <c r="F39" s="36" t="s">
        <v>64</v>
      </c>
      <c r="G39" s="37">
        <f t="shared" si="1"/>
        <v>395404.74000000005</v>
      </c>
      <c r="H39" s="38" t="str">
        <f t="shared" si="2"/>
        <v>$395,404.74</v>
      </c>
    </row>
    <row r="40" spans="1:8" ht="14.4" x14ac:dyDescent="0.3">
      <c r="A40" s="3" t="str">
        <f t="shared" si="0"/>
        <v>Marathon County (138,013) - $670,743.18</v>
      </c>
      <c r="D40" s="33" t="s">
        <v>127</v>
      </c>
      <c r="E40" s="31">
        <v>138013</v>
      </c>
      <c r="F40" s="36" t="s">
        <v>65</v>
      </c>
      <c r="G40" s="37">
        <f t="shared" si="1"/>
        <v>670743.18000000005</v>
      </c>
      <c r="H40" s="38" t="str">
        <f t="shared" si="2"/>
        <v>$670,743.18</v>
      </c>
    </row>
    <row r="41" spans="1:8" ht="14.4" x14ac:dyDescent="0.3">
      <c r="A41" s="3" t="str">
        <f t="shared" si="0"/>
        <v>Marinette County (41,872) - $203,497.92</v>
      </c>
      <c r="D41" s="33" t="s">
        <v>128</v>
      </c>
      <c r="E41" s="31">
        <v>41872</v>
      </c>
      <c r="F41" s="36" t="s">
        <v>66</v>
      </c>
      <c r="G41" s="37">
        <f t="shared" si="1"/>
        <v>203497.92</v>
      </c>
      <c r="H41" s="38" t="str">
        <f t="shared" si="2"/>
        <v>$203,497.92</v>
      </c>
    </row>
    <row r="42" spans="1:8" ht="14.4" x14ac:dyDescent="0.3">
      <c r="A42" s="3" t="str">
        <f t="shared" si="0"/>
        <v>Marquette County (15,592) - $75,777.12</v>
      </c>
      <c r="D42" s="33" t="s">
        <v>129</v>
      </c>
      <c r="E42" s="31">
        <v>15592</v>
      </c>
      <c r="F42" s="36" t="s">
        <v>68</v>
      </c>
      <c r="G42" s="37">
        <f t="shared" si="1"/>
        <v>75777.12000000001</v>
      </c>
      <c r="H42" s="38" t="str">
        <f t="shared" si="2"/>
        <v>$75,777.12</v>
      </c>
    </row>
    <row r="43" spans="1:8" ht="14.4" x14ac:dyDescent="0.3">
      <c r="A43" s="3" t="str">
        <f t="shared" si="0"/>
        <v>Menominee County (4,255) - $20,679.30</v>
      </c>
      <c r="D43" s="33" t="s">
        <v>130</v>
      </c>
      <c r="E43" s="31">
        <v>4255</v>
      </c>
      <c r="F43" s="36" t="s">
        <v>69</v>
      </c>
      <c r="G43" s="37">
        <f t="shared" si="1"/>
        <v>20679.300000000003</v>
      </c>
      <c r="H43" s="38" t="str">
        <f t="shared" si="2"/>
        <v>$20,679.30</v>
      </c>
    </row>
    <row r="44" spans="1:8" ht="14.4" x14ac:dyDescent="0.3">
      <c r="A44" s="3" t="str">
        <f t="shared" si="0"/>
        <v>Milwaukee County (939,489) - $4,565,916.54</v>
      </c>
      <c r="D44" s="33" t="s">
        <v>131</v>
      </c>
      <c r="E44" s="31">
        <v>939489</v>
      </c>
      <c r="F44" s="36" t="s">
        <v>70</v>
      </c>
      <c r="G44" s="37">
        <f t="shared" si="1"/>
        <v>4565916.54</v>
      </c>
      <c r="H44" s="38" t="str">
        <f t="shared" si="2"/>
        <v>$4,565,916.54</v>
      </c>
    </row>
    <row r="45" spans="1:8" ht="14.4" x14ac:dyDescent="0.3">
      <c r="A45" s="3" t="str">
        <f t="shared" si="0"/>
        <v>Monroe County (46,274) - $224,891.64</v>
      </c>
      <c r="D45" s="33" t="s">
        <v>26</v>
      </c>
      <c r="E45" s="31">
        <v>46274</v>
      </c>
      <c r="F45" s="36" t="s">
        <v>71</v>
      </c>
      <c r="G45" s="37">
        <f t="shared" si="1"/>
        <v>224891.64</v>
      </c>
      <c r="H45" s="38" t="str">
        <f t="shared" si="2"/>
        <v>$224,891.64</v>
      </c>
    </row>
    <row r="46" spans="1:8" ht="14.4" x14ac:dyDescent="0.3">
      <c r="A46" s="3" t="str">
        <f t="shared" si="0"/>
        <v>Oconto County (38,965) - $189,369.90</v>
      </c>
      <c r="D46" s="33" t="s">
        <v>132</v>
      </c>
      <c r="E46" s="31">
        <v>38965</v>
      </c>
      <c r="F46" s="36" t="s">
        <v>72</v>
      </c>
      <c r="G46" s="37">
        <f t="shared" si="1"/>
        <v>189369.90000000002</v>
      </c>
      <c r="H46" s="38" t="str">
        <f t="shared" si="2"/>
        <v>$189,369.90</v>
      </c>
    </row>
    <row r="47" spans="1:8" ht="14.4" x14ac:dyDescent="0.3">
      <c r="A47" s="3" t="str">
        <f t="shared" si="0"/>
        <v>Oneida County (37,845) - $183,926.70</v>
      </c>
      <c r="D47" s="33" t="s">
        <v>133</v>
      </c>
      <c r="E47" s="31">
        <v>37845</v>
      </c>
      <c r="F47" s="36" t="s">
        <v>73</v>
      </c>
      <c r="G47" s="37">
        <f t="shared" si="1"/>
        <v>183926.7</v>
      </c>
      <c r="H47" s="38" t="str">
        <f t="shared" si="2"/>
        <v>$183,926.70</v>
      </c>
    </row>
    <row r="48" spans="1:8" ht="14.4" x14ac:dyDescent="0.3">
      <c r="A48" s="3" t="str">
        <f t="shared" si="0"/>
        <v>Outagamie County (190,705) - $926,826.30</v>
      </c>
      <c r="D48" s="33" t="s">
        <v>134</v>
      </c>
      <c r="E48" s="31">
        <v>190705</v>
      </c>
      <c r="F48" s="36" t="s">
        <v>74</v>
      </c>
      <c r="G48" s="37">
        <f t="shared" si="1"/>
        <v>926826.3</v>
      </c>
      <c r="H48" s="38" t="str">
        <f t="shared" si="2"/>
        <v>$926,826.30</v>
      </c>
    </row>
    <row r="49" spans="1:8" ht="14.4" x14ac:dyDescent="0.3">
      <c r="A49" s="3" t="str">
        <f t="shared" si="0"/>
        <v>Ozaukee County (91,503) - $444,704.58</v>
      </c>
      <c r="D49" s="33" t="s">
        <v>135</v>
      </c>
      <c r="E49" s="31">
        <v>91503</v>
      </c>
      <c r="F49" s="36" t="s">
        <v>75</v>
      </c>
      <c r="G49" s="37">
        <f t="shared" si="1"/>
        <v>444704.58</v>
      </c>
      <c r="H49" s="38" t="str">
        <f t="shared" si="2"/>
        <v>$444,704.58</v>
      </c>
    </row>
    <row r="50" spans="1:8" ht="14.4" x14ac:dyDescent="0.3">
      <c r="A50" s="3" t="str">
        <f t="shared" si="0"/>
        <v>Pepin County (7,318) - $35,565.48</v>
      </c>
      <c r="D50" s="33" t="s">
        <v>136</v>
      </c>
      <c r="E50" s="31">
        <v>7318</v>
      </c>
      <c r="F50" s="36" t="s">
        <v>76</v>
      </c>
      <c r="G50" s="37">
        <f t="shared" si="1"/>
        <v>35565.480000000003</v>
      </c>
      <c r="H50" s="38" t="str">
        <f t="shared" si="2"/>
        <v>$35,565.48</v>
      </c>
    </row>
    <row r="51" spans="1:8" ht="14.4" x14ac:dyDescent="0.3">
      <c r="A51" s="3" t="str">
        <f t="shared" si="0"/>
        <v>Pierce County (42,212) - $205,150.32</v>
      </c>
      <c r="D51" s="33" t="s">
        <v>137</v>
      </c>
      <c r="E51" s="31">
        <v>42212</v>
      </c>
      <c r="F51" s="36" t="s">
        <v>77</v>
      </c>
      <c r="G51" s="37">
        <f t="shared" si="1"/>
        <v>205150.32</v>
      </c>
      <c r="H51" s="38" t="str">
        <f t="shared" si="2"/>
        <v>$205,150.32</v>
      </c>
    </row>
    <row r="52" spans="1:8" ht="14.4" x14ac:dyDescent="0.3">
      <c r="A52" s="3" t="str">
        <f t="shared" si="0"/>
        <v>Polk County (44,977) - $218,588.22</v>
      </c>
      <c r="D52" s="33" t="s">
        <v>138</v>
      </c>
      <c r="E52" s="31">
        <v>44977</v>
      </c>
      <c r="F52" s="36" t="s">
        <v>78</v>
      </c>
      <c r="G52" s="37">
        <f t="shared" si="1"/>
        <v>218588.22</v>
      </c>
      <c r="H52" s="38" t="str">
        <f t="shared" si="2"/>
        <v>$218,588.22</v>
      </c>
    </row>
    <row r="53" spans="1:8" ht="14.4" x14ac:dyDescent="0.3">
      <c r="A53" s="3" t="str">
        <f t="shared" si="0"/>
        <v>Portage County (70,377) - $342,032.22</v>
      </c>
      <c r="D53" s="33" t="s">
        <v>139</v>
      </c>
      <c r="E53" s="31">
        <v>70377</v>
      </c>
      <c r="F53" s="36" t="s">
        <v>79</v>
      </c>
      <c r="G53" s="37">
        <f t="shared" si="1"/>
        <v>342032.22000000003</v>
      </c>
      <c r="H53" s="38" t="str">
        <f t="shared" si="2"/>
        <v>$342,032.22</v>
      </c>
    </row>
    <row r="54" spans="1:8" ht="14.4" x14ac:dyDescent="0.3">
      <c r="A54" s="3" t="str">
        <f t="shared" si="0"/>
        <v>Price County (14,054) - $68,302.44</v>
      </c>
      <c r="D54" s="33" t="s">
        <v>140</v>
      </c>
      <c r="E54" s="31">
        <v>14054</v>
      </c>
      <c r="F54" s="36" t="s">
        <v>80</v>
      </c>
      <c r="G54" s="37">
        <f t="shared" si="1"/>
        <v>68302.44</v>
      </c>
      <c r="H54" s="38" t="str">
        <f t="shared" si="2"/>
        <v>$68,302.44</v>
      </c>
    </row>
    <row r="55" spans="1:8" ht="14.4" x14ac:dyDescent="0.3">
      <c r="A55" s="3" t="str">
        <f t="shared" si="0"/>
        <v>Racine County (197,727) - $960,953.22</v>
      </c>
      <c r="D55" s="33" t="s">
        <v>141</v>
      </c>
      <c r="E55" s="31">
        <v>197727</v>
      </c>
      <c r="F55" s="36" t="s">
        <v>81</v>
      </c>
      <c r="G55" s="37">
        <f t="shared" si="1"/>
        <v>960953.22000000009</v>
      </c>
      <c r="H55" s="38" t="str">
        <f t="shared" si="2"/>
        <v>$960,953.22</v>
      </c>
    </row>
    <row r="56" spans="1:8" ht="14.4" x14ac:dyDescent="0.3">
      <c r="A56" s="3" t="str">
        <f t="shared" si="0"/>
        <v>Richland County (17,304) - $84,097.44</v>
      </c>
      <c r="D56" s="33" t="s">
        <v>27</v>
      </c>
      <c r="E56" s="31">
        <v>17304</v>
      </c>
      <c r="F56" s="36" t="s">
        <v>82</v>
      </c>
      <c r="G56" s="37">
        <f t="shared" si="1"/>
        <v>84097.44</v>
      </c>
      <c r="H56" s="38" t="str">
        <f t="shared" si="2"/>
        <v>$84,097.44</v>
      </c>
    </row>
    <row r="57" spans="1:8" ht="14.4" x14ac:dyDescent="0.3">
      <c r="A57" s="3" t="str">
        <f t="shared" si="0"/>
        <v>Rock County (163,687) - $795,518.82</v>
      </c>
      <c r="D57" s="33" t="s">
        <v>142</v>
      </c>
      <c r="E57" s="31">
        <v>163687</v>
      </c>
      <c r="F57" s="36" t="s">
        <v>83</v>
      </c>
      <c r="G57" s="37">
        <f t="shared" si="1"/>
        <v>795518.82000000007</v>
      </c>
      <c r="H57" s="38" t="str">
        <f t="shared" si="2"/>
        <v>$795,518.82</v>
      </c>
    </row>
    <row r="58" spans="1:8" ht="14.4" x14ac:dyDescent="0.3">
      <c r="A58" s="3" t="str">
        <f t="shared" si="0"/>
        <v>Rusk County (14,188) - $68,953.68</v>
      </c>
      <c r="D58" s="33" t="s">
        <v>143</v>
      </c>
      <c r="E58" s="31">
        <v>14188</v>
      </c>
      <c r="F58" s="36" t="s">
        <v>84</v>
      </c>
      <c r="G58" s="37">
        <f t="shared" si="1"/>
        <v>68953.680000000008</v>
      </c>
      <c r="H58" s="38" t="str">
        <f t="shared" si="2"/>
        <v>$68,953.68</v>
      </c>
    </row>
    <row r="59" spans="1:8" ht="14.4" x14ac:dyDescent="0.3">
      <c r="A59" s="3" t="str">
        <f t="shared" si="0"/>
        <v>St.Croix County (93,536) - $454,584.96</v>
      </c>
      <c r="D59" s="33" t="s">
        <v>162</v>
      </c>
      <c r="E59" s="31">
        <v>93536</v>
      </c>
      <c r="F59" s="36" t="s">
        <v>85</v>
      </c>
      <c r="G59" s="37">
        <f t="shared" si="1"/>
        <v>454584.96</v>
      </c>
      <c r="H59" s="38" t="str">
        <f t="shared" si="2"/>
        <v>$454,584.96</v>
      </c>
    </row>
    <row r="60" spans="1:8" ht="14.4" x14ac:dyDescent="0.3">
      <c r="A60" s="3" t="str">
        <f t="shared" si="0"/>
        <v>Sauk County (65,763) - $319,608.18</v>
      </c>
      <c r="D60" s="33" t="s">
        <v>144</v>
      </c>
      <c r="E60" s="31">
        <v>65763</v>
      </c>
      <c r="F60" s="36" t="s">
        <v>86</v>
      </c>
      <c r="G60" s="37">
        <f t="shared" si="1"/>
        <v>319608.18</v>
      </c>
      <c r="H60" s="38" t="str">
        <f t="shared" si="2"/>
        <v>$319,608.18</v>
      </c>
    </row>
    <row r="61" spans="1:8" ht="14.4" x14ac:dyDescent="0.3">
      <c r="A61" s="3" t="str">
        <f t="shared" si="0"/>
        <v>Sawyer County (18,074) - $87,839.64</v>
      </c>
      <c r="D61" s="33" t="s">
        <v>145</v>
      </c>
      <c r="E61" s="31">
        <v>18074</v>
      </c>
      <c r="F61" s="36" t="s">
        <v>87</v>
      </c>
      <c r="G61" s="37">
        <f t="shared" si="1"/>
        <v>87839.64</v>
      </c>
      <c r="H61" s="38" t="str">
        <f t="shared" si="2"/>
        <v>$87,839.64</v>
      </c>
    </row>
    <row r="62" spans="1:8" ht="14.4" x14ac:dyDescent="0.3">
      <c r="A62" s="3" t="str">
        <f t="shared" si="0"/>
        <v>Shawano County (40,881) - $198,681.66</v>
      </c>
      <c r="D62" s="33" t="s">
        <v>146</v>
      </c>
      <c r="E62" s="31">
        <v>40881</v>
      </c>
      <c r="F62" s="36" t="s">
        <v>88</v>
      </c>
      <c r="G62" s="37">
        <f t="shared" si="1"/>
        <v>198681.66</v>
      </c>
      <c r="H62" s="38" t="str">
        <f t="shared" si="2"/>
        <v>$198,681.66</v>
      </c>
    </row>
    <row r="63" spans="1:8" ht="14.4" x14ac:dyDescent="0.3">
      <c r="A63" s="3" t="str">
        <f t="shared" si="0"/>
        <v>Sheboygan County (118,034) - $573,645.24</v>
      </c>
      <c r="D63" s="33" t="s">
        <v>147</v>
      </c>
      <c r="E63" s="31">
        <v>118034</v>
      </c>
      <c r="F63" s="36" t="s">
        <v>89</v>
      </c>
      <c r="G63" s="37">
        <f t="shared" si="1"/>
        <v>573645.24</v>
      </c>
      <c r="H63" s="38" t="str">
        <f t="shared" si="2"/>
        <v>$573,645.24</v>
      </c>
    </row>
    <row r="64" spans="1:8" ht="14.4" x14ac:dyDescent="0.3">
      <c r="A64" s="3" t="str">
        <f t="shared" si="0"/>
        <v>Taylor County (19,913) - $96,777.18</v>
      </c>
      <c r="D64" s="33" t="s">
        <v>148</v>
      </c>
      <c r="E64" s="31">
        <v>19913</v>
      </c>
      <c r="F64" s="36" t="s">
        <v>90</v>
      </c>
      <c r="G64" s="37">
        <f t="shared" si="1"/>
        <v>96777.180000000008</v>
      </c>
      <c r="H64" s="38" t="str">
        <f t="shared" si="2"/>
        <v>$96,777.18</v>
      </c>
    </row>
    <row r="65" spans="1:8" ht="14.4" x14ac:dyDescent="0.3">
      <c r="A65" s="3" t="str">
        <f t="shared" si="0"/>
        <v>Trempealeau County (30,760) - $149,493.60</v>
      </c>
      <c r="D65" s="33" t="s">
        <v>149</v>
      </c>
      <c r="E65" s="31">
        <v>30760</v>
      </c>
      <c r="F65" s="36" t="s">
        <v>91</v>
      </c>
      <c r="G65" s="37">
        <f t="shared" si="1"/>
        <v>149493.6</v>
      </c>
      <c r="H65" s="38" t="str">
        <f t="shared" si="2"/>
        <v>$149,493.60</v>
      </c>
    </row>
    <row r="66" spans="1:8" ht="14.4" x14ac:dyDescent="0.3">
      <c r="A66" s="3" t="str">
        <f t="shared" si="0"/>
        <v>Vernon County (30,714) - $149,270.04</v>
      </c>
      <c r="D66" s="33" t="s">
        <v>150</v>
      </c>
      <c r="E66" s="31">
        <v>30714</v>
      </c>
      <c r="F66" s="36" t="s">
        <v>92</v>
      </c>
      <c r="G66" s="37">
        <f t="shared" si="1"/>
        <v>149270.04</v>
      </c>
      <c r="H66" s="38" t="str">
        <f t="shared" si="2"/>
        <v>$149,270.04</v>
      </c>
    </row>
    <row r="67" spans="1:8" ht="14.4" x14ac:dyDescent="0.3">
      <c r="A67" s="3" t="str">
        <f t="shared" si="0"/>
        <v>Vilas County (23,047) - $112,008.42</v>
      </c>
      <c r="D67" s="33" t="s">
        <v>151</v>
      </c>
      <c r="E67" s="31">
        <v>23047</v>
      </c>
      <c r="F67" s="36" t="s">
        <v>93</v>
      </c>
      <c r="G67" s="37">
        <f t="shared" si="1"/>
        <v>112008.42000000001</v>
      </c>
      <c r="H67" s="38" t="str">
        <f t="shared" si="2"/>
        <v>$112,008.42</v>
      </c>
    </row>
    <row r="68" spans="1:8" ht="14.4" x14ac:dyDescent="0.3">
      <c r="A68" s="3" t="str">
        <f t="shared" si="0"/>
        <v>Walworth County (106,478) - $517,483.08</v>
      </c>
      <c r="D68" s="33" t="s">
        <v>152</v>
      </c>
      <c r="E68" s="31">
        <v>106478</v>
      </c>
      <c r="F68" s="36" t="s">
        <v>94</v>
      </c>
      <c r="G68" s="37">
        <f t="shared" si="1"/>
        <v>517483.08</v>
      </c>
      <c r="H68" s="38" t="str">
        <f t="shared" si="2"/>
        <v>$517,483.08</v>
      </c>
    </row>
    <row r="69" spans="1:8" ht="14.4" x14ac:dyDescent="0.3">
      <c r="A69" s="3" t="str">
        <f t="shared" ref="A69:A75" si="3">D69 &amp; " (" &amp;F69&amp; ")" &amp; " - " &amp;H69</f>
        <v>Washburn County (16,623) - $80,787.78</v>
      </c>
      <c r="D69" s="33" t="s">
        <v>153</v>
      </c>
      <c r="E69" s="31">
        <v>16623</v>
      </c>
      <c r="F69" s="36" t="s">
        <v>95</v>
      </c>
      <c r="G69" s="37">
        <f t="shared" ref="G69:G75" si="4">E69*4.86</f>
        <v>80787.78</v>
      </c>
      <c r="H69" s="38" t="str">
        <f t="shared" ref="H69:H75" si="5">TEXT(G69,"$#,##0.00")</f>
        <v>$80,787.78</v>
      </c>
    </row>
    <row r="70" spans="1:8" ht="14.4" x14ac:dyDescent="0.3">
      <c r="A70" s="3" t="str">
        <f t="shared" si="3"/>
        <v>Washington County (136,761) - $664,658.46</v>
      </c>
      <c r="D70" s="33" t="s">
        <v>21</v>
      </c>
      <c r="E70" s="31">
        <v>136761</v>
      </c>
      <c r="F70" s="36" t="s">
        <v>96</v>
      </c>
      <c r="G70" s="37">
        <f t="shared" si="4"/>
        <v>664658.46000000008</v>
      </c>
      <c r="H70" s="38" t="str">
        <f t="shared" si="5"/>
        <v>$664,658.46</v>
      </c>
    </row>
    <row r="71" spans="1:8" ht="14.4" x14ac:dyDescent="0.3">
      <c r="A71" s="3" t="str">
        <f t="shared" si="3"/>
        <v>Waukesha County (406,978) - $1,977,913.08</v>
      </c>
      <c r="D71" s="33" t="s">
        <v>154</v>
      </c>
      <c r="E71" s="31">
        <v>406978</v>
      </c>
      <c r="F71" s="36" t="s">
        <v>97</v>
      </c>
      <c r="G71" s="37">
        <f t="shared" si="4"/>
        <v>1977913.08</v>
      </c>
      <c r="H71" s="38" t="str">
        <f t="shared" si="5"/>
        <v>$1,977,913.08</v>
      </c>
    </row>
    <row r="72" spans="1:8" ht="14.4" x14ac:dyDescent="0.3">
      <c r="A72" s="3" t="str">
        <f t="shared" si="3"/>
        <v>Waupaca County (51,812) - $251,806.32</v>
      </c>
      <c r="D72" s="33" t="s">
        <v>155</v>
      </c>
      <c r="E72" s="31">
        <v>51812</v>
      </c>
      <c r="F72" s="36" t="s">
        <v>98</v>
      </c>
      <c r="G72" s="37">
        <f t="shared" si="4"/>
        <v>251806.32</v>
      </c>
      <c r="H72" s="38" t="str">
        <f t="shared" si="5"/>
        <v>$251,806.32</v>
      </c>
    </row>
    <row r="73" spans="1:8" ht="14.4" x14ac:dyDescent="0.3">
      <c r="A73" s="3" t="str">
        <f t="shared" si="3"/>
        <v>Waushara County (24,520) - $119,167.20</v>
      </c>
      <c r="D73" s="33" t="s">
        <v>156</v>
      </c>
      <c r="E73" s="31">
        <v>24520</v>
      </c>
      <c r="F73" s="36" t="s">
        <v>99</v>
      </c>
      <c r="G73" s="37">
        <f t="shared" si="4"/>
        <v>119167.20000000001</v>
      </c>
      <c r="H73" s="38" t="str">
        <f t="shared" si="5"/>
        <v>$119,167.20</v>
      </c>
    </row>
    <row r="74" spans="1:8" ht="14.4" x14ac:dyDescent="0.3">
      <c r="A74" s="3" t="str">
        <f t="shared" si="3"/>
        <v>Winnebago County (171,730) - $834,607.80</v>
      </c>
      <c r="D74" s="33" t="s">
        <v>29</v>
      </c>
      <c r="E74" s="31">
        <v>171730</v>
      </c>
      <c r="F74" s="36" t="s">
        <v>100</v>
      </c>
      <c r="G74" s="37">
        <f t="shared" si="4"/>
        <v>834607.8</v>
      </c>
      <c r="H74" s="38" t="str">
        <f t="shared" si="5"/>
        <v>$834,607.80</v>
      </c>
    </row>
    <row r="75" spans="1:8" ht="14.4" x14ac:dyDescent="0.3">
      <c r="A75" s="3" t="str">
        <f t="shared" si="3"/>
        <v>Wood County (74,207) - $360,646.02</v>
      </c>
      <c r="D75" s="34" t="s">
        <v>157</v>
      </c>
      <c r="E75" s="32">
        <v>74207</v>
      </c>
      <c r="F75" s="36" t="s">
        <v>101</v>
      </c>
      <c r="G75" s="37">
        <f t="shared" si="4"/>
        <v>360646.02</v>
      </c>
      <c r="H75" s="38" t="str">
        <f t="shared" si="5"/>
        <v>$360,646.02</v>
      </c>
    </row>
  </sheetData>
  <autoFilter ref="C3:C21" xr:uid="{39375668-CE9B-46F3-A62C-31156637A2D1}">
    <sortState xmlns:xlrd2="http://schemas.microsoft.com/office/spreadsheetml/2017/richdata2" ref="C4:C23">
      <sortCondition ref="C3:C21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6" ma:contentTypeDescription="Create a new document." ma:contentTypeScope="" ma:versionID="11514c1dd0e6706ed2cee04bea3bc3f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E09B12-88B8-4B32-98EB-0D4B068C1E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951337-8392-4D46-B1EE-43F2B42A9FDC}">
  <ds:schemaRefs>
    <ds:schemaRef ds:uri="538c035d-569c-47ab-a864-fdd8ae3d4516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4f1a833c-a938-4a5e-81e3-99cd1b92e52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B4A9E63-9AC4-49CD-A09F-CFB5005F6F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 Summary</vt:lpstr>
      <vt:lpstr>Deduction 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Annerino, Charles</cp:lastModifiedBy>
  <cp:lastPrinted>2021-08-11T17:13:15Z</cp:lastPrinted>
  <dcterms:created xsi:type="dcterms:W3CDTF">2000-06-27T13:20:49Z</dcterms:created>
  <dcterms:modified xsi:type="dcterms:W3CDTF">2026-05-13T17:54:00Z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