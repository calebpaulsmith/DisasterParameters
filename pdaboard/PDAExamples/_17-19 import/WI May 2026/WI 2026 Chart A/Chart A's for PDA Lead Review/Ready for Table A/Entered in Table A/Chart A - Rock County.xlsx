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ttps://usfema.sharepoint.com/teams/R5/org/recoveryd/public/PA Yellow Pages/3. PDAs/Ongoing PDA's/WI PDA May 2026/Damage Data/Chart A's for PDA Lead Review/Ready for Table A/Entered in Table A/"/>
    </mc:Choice>
  </mc:AlternateContent>
  <xr:revisionPtr revIDLastSave="415" documentId="13_ncr:1_{8E083EAB-3749-4216-906A-8A0C9AD27406}" xr6:coauthVersionLast="47" xr6:coauthVersionMax="47" xr10:uidLastSave="{4DAA295D-2473-4CDF-845F-FE397E3DD00B}"/>
  <bookViews>
    <workbookView xWindow="-120" yWindow="-120" windowWidth="29040" windowHeight="15720" activeTab="1" xr2:uid="{00000000-000D-0000-FFFF-FFFF00000000}"/>
  </bookViews>
  <sheets>
    <sheet name="County Summary" sheetId="4" r:id="rId1"/>
    <sheet name="Deduction Comments" sheetId="10" r:id="rId2"/>
    <sheet name="Notes" sheetId="11" state="hidden" r:id="rId3"/>
    <sheet name="County Population and Threshold" sheetId="9" state="hidden" r:id="rId4"/>
  </sheets>
  <externalReferences>
    <externalReference r:id="rId5"/>
  </externalReferences>
  <definedNames>
    <definedName name="_xlnm._FilterDatabase" localSheetId="3" hidden="1">'County Population and Threshold'!$C$3:$C$21</definedName>
    <definedName name="SelCounty">OFFSET('[1]County Populations'!$C$2,'[1]County Populations'!$M$6-1,0,'[1]County Populations'!$M$7-'[1]County Populations'!$M$6+1,1)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4" i="9" l="1"/>
  <c r="G4" i="9"/>
  <c r="A3" i="10"/>
  <c r="A2" i="10"/>
  <c r="H24" i="9" l="1"/>
  <c r="A24" i="9" s="1"/>
  <c r="H25" i="9"/>
  <c r="A25" i="9" s="1"/>
  <c r="H26" i="9"/>
  <c r="A26" i="9" s="1"/>
  <c r="H27" i="9"/>
  <c r="A27" i="9" s="1"/>
  <c r="H28" i="9"/>
  <c r="A28" i="9" s="1"/>
  <c r="H29" i="9"/>
  <c r="A29" i="9" s="1"/>
  <c r="H30" i="9"/>
  <c r="A30" i="9" s="1"/>
  <c r="H31" i="9"/>
  <c r="A31" i="9" s="1"/>
  <c r="H40" i="9"/>
  <c r="H41" i="9"/>
  <c r="A41" i="9" s="1"/>
  <c r="H42" i="9"/>
  <c r="A42" i="9" s="1"/>
  <c r="H43" i="9"/>
  <c r="A43" i="9" s="1"/>
  <c r="H44" i="9"/>
  <c r="A44" i="9" s="1"/>
  <c r="H45" i="9"/>
  <c r="A45" i="9" s="1"/>
  <c r="H46" i="9"/>
  <c r="A46" i="9" s="1"/>
  <c r="H47" i="9"/>
  <c r="A47" i="9" s="1"/>
  <c r="H56" i="9"/>
  <c r="H57" i="9"/>
  <c r="H58" i="9"/>
  <c r="A58" i="9" s="1"/>
  <c r="H59" i="9"/>
  <c r="A59" i="9" s="1"/>
  <c r="H60" i="9"/>
  <c r="A60" i="9" s="1"/>
  <c r="H61" i="9"/>
  <c r="A61" i="9" s="1"/>
  <c r="H62" i="9"/>
  <c r="H63" i="9"/>
  <c r="A63" i="9" s="1"/>
  <c r="H72" i="9"/>
  <c r="A72" i="9" s="1"/>
  <c r="H73" i="9"/>
  <c r="A73" i="9" s="1"/>
  <c r="H74" i="9"/>
  <c r="A74" i="9" s="1"/>
  <c r="H75" i="9"/>
  <c r="A75" i="9" s="1"/>
  <c r="A4" i="9"/>
  <c r="G5" i="9"/>
  <c r="H5" i="9" s="1"/>
  <c r="A5" i="9" s="1"/>
  <c r="G6" i="9"/>
  <c r="H6" i="9" s="1"/>
  <c r="A6" i="9" s="1"/>
  <c r="G7" i="9"/>
  <c r="H7" i="9" s="1"/>
  <c r="A7" i="9" s="1"/>
  <c r="G8" i="9"/>
  <c r="H8" i="9" s="1"/>
  <c r="A8" i="9" s="1"/>
  <c r="G9" i="9"/>
  <c r="H9" i="9" s="1"/>
  <c r="A9" i="9" s="1"/>
  <c r="G10" i="9"/>
  <c r="H10" i="9" s="1"/>
  <c r="A10" i="9" s="1"/>
  <c r="G11" i="9"/>
  <c r="H11" i="9" s="1"/>
  <c r="A11" i="9" s="1"/>
  <c r="G12" i="9"/>
  <c r="H12" i="9" s="1"/>
  <c r="A12" i="9" s="1"/>
  <c r="G13" i="9"/>
  <c r="H13" i="9" s="1"/>
  <c r="A13" i="9" s="1"/>
  <c r="G14" i="9"/>
  <c r="H14" i="9" s="1"/>
  <c r="A14" i="9" s="1"/>
  <c r="G15" i="9"/>
  <c r="H15" i="9" s="1"/>
  <c r="A15" i="9" s="1"/>
  <c r="G16" i="9"/>
  <c r="H16" i="9" s="1"/>
  <c r="A16" i="9" s="1"/>
  <c r="G17" i="9"/>
  <c r="H17" i="9" s="1"/>
  <c r="A17" i="9" s="1"/>
  <c r="G18" i="9"/>
  <c r="H18" i="9" s="1"/>
  <c r="A18" i="9" s="1"/>
  <c r="G19" i="9"/>
  <c r="H19" i="9" s="1"/>
  <c r="A19" i="9" s="1"/>
  <c r="G20" i="9"/>
  <c r="H20" i="9" s="1"/>
  <c r="A20" i="9" s="1"/>
  <c r="G21" i="9"/>
  <c r="H21" i="9" s="1"/>
  <c r="A21" i="9" s="1"/>
  <c r="G22" i="9"/>
  <c r="H22" i="9" s="1"/>
  <c r="A22" i="9" s="1"/>
  <c r="G23" i="9"/>
  <c r="H23" i="9" s="1"/>
  <c r="A23" i="9" s="1"/>
  <c r="G24" i="9"/>
  <c r="G25" i="9"/>
  <c r="G26" i="9"/>
  <c r="G27" i="9"/>
  <c r="G28" i="9"/>
  <c r="G29" i="9"/>
  <c r="G30" i="9"/>
  <c r="G31" i="9"/>
  <c r="G32" i="9"/>
  <c r="H32" i="9" s="1"/>
  <c r="A32" i="9" s="1"/>
  <c r="G33" i="9"/>
  <c r="H33" i="9" s="1"/>
  <c r="A33" i="9" s="1"/>
  <c r="G34" i="9"/>
  <c r="H34" i="9" s="1"/>
  <c r="A34" i="9" s="1"/>
  <c r="G35" i="9"/>
  <c r="H35" i="9" s="1"/>
  <c r="A35" i="9" s="1"/>
  <c r="G36" i="9"/>
  <c r="H36" i="9" s="1"/>
  <c r="A36" i="9" s="1"/>
  <c r="G37" i="9"/>
  <c r="H37" i="9" s="1"/>
  <c r="A37" i="9" s="1"/>
  <c r="G38" i="9"/>
  <c r="H38" i="9" s="1"/>
  <c r="A38" i="9" s="1"/>
  <c r="G39" i="9"/>
  <c r="H39" i="9" s="1"/>
  <c r="A39" i="9" s="1"/>
  <c r="G40" i="9"/>
  <c r="G41" i="9"/>
  <c r="G42" i="9"/>
  <c r="G43" i="9"/>
  <c r="G44" i="9"/>
  <c r="G45" i="9"/>
  <c r="G46" i="9"/>
  <c r="G47" i="9"/>
  <c r="G48" i="9"/>
  <c r="H48" i="9" s="1"/>
  <c r="A48" i="9" s="1"/>
  <c r="G49" i="9"/>
  <c r="H49" i="9" s="1"/>
  <c r="A49" i="9" s="1"/>
  <c r="G50" i="9"/>
  <c r="H50" i="9" s="1"/>
  <c r="A50" i="9" s="1"/>
  <c r="G51" i="9"/>
  <c r="H51" i="9" s="1"/>
  <c r="A51" i="9" s="1"/>
  <c r="G52" i="9"/>
  <c r="H52" i="9" s="1"/>
  <c r="A52" i="9" s="1"/>
  <c r="G53" i="9"/>
  <c r="H53" i="9" s="1"/>
  <c r="A53" i="9" s="1"/>
  <c r="G54" i="9"/>
  <c r="H54" i="9" s="1"/>
  <c r="A54" i="9" s="1"/>
  <c r="G55" i="9"/>
  <c r="H55" i="9" s="1"/>
  <c r="A55" i="9" s="1"/>
  <c r="G56" i="9"/>
  <c r="G57" i="9"/>
  <c r="G58" i="9"/>
  <c r="G59" i="9"/>
  <c r="G60" i="9"/>
  <c r="G61" i="9"/>
  <c r="G62" i="9"/>
  <c r="G63" i="9"/>
  <c r="G64" i="9"/>
  <c r="H64" i="9" s="1"/>
  <c r="A64" i="9" s="1"/>
  <c r="G65" i="9"/>
  <c r="H65" i="9" s="1"/>
  <c r="A65" i="9" s="1"/>
  <c r="G66" i="9"/>
  <c r="H66" i="9" s="1"/>
  <c r="A66" i="9" s="1"/>
  <c r="G67" i="9"/>
  <c r="H67" i="9" s="1"/>
  <c r="A67" i="9" s="1"/>
  <c r="G68" i="9"/>
  <c r="H68" i="9" s="1"/>
  <c r="A68" i="9" s="1"/>
  <c r="G69" i="9"/>
  <c r="H69" i="9" s="1"/>
  <c r="A69" i="9" s="1"/>
  <c r="G70" i="9"/>
  <c r="H70" i="9" s="1"/>
  <c r="A70" i="9" s="1"/>
  <c r="G71" i="9"/>
  <c r="H71" i="9" s="1"/>
  <c r="A71" i="9" s="1"/>
  <c r="G72" i="9"/>
  <c r="G73" i="9"/>
  <c r="G74" i="9"/>
  <c r="G75" i="9"/>
  <c r="A40" i="9"/>
  <c r="A56" i="9"/>
  <c r="A57" i="9"/>
  <c r="A62" i="9"/>
  <c r="A6" i="10" l="1"/>
  <c r="A4" i="10"/>
  <c r="A5"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6" i="4"/>
  <c r="E3" i="4"/>
  <c r="G3" i="4"/>
  <c r="L3" i="4" l="1"/>
</calcChain>
</file>

<file path=xl/sharedStrings.xml><?xml version="1.0" encoding="utf-8"?>
<sst xmlns="http://schemas.openxmlformats.org/spreadsheetml/2006/main" count="269" uniqueCount="230">
  <si>
    <t>A</t>
  </si>
  <si>
    <t>B</t>
  </si>
  <si>
    <t>C</t>
  </si>
  <si>
    <t>D</t>
  </si>
  <si>
    <t>E</t>
  </si>
  <si>
    <t>F</t>
  </si>
  <si>
    <t>G</t>
  </si>
  <si>
    <t>FEMA Inspector</t>
  </si>
  <si>
    <t>Comments</t>
  </si>
  <si>
    <t>Emergency Work</t>
  </si>
  <si>
    <t>Status</t>
  </si>
  <si>
    <t>Total</t>
  </si>
  <si>
    <t>Applicant</t>
  </si>
  <si>
    <t>Permanent Work</t>
  </si>
  <si>
    <t>Applicant Total</t>
  </si>
  <si>
    <t>County (Population) - Threshold</t>
  </si>
  <si>
    <t>Team Leads</t>
  </si>
  <si>
    <t>Created by Charles Annerino</t>
  </si>
  <si>
    <t>Charles.Annerino@fema.dhs.gov</t>
  </si>
  <si>
    <t>Brown County</t>
  </si>
  <si>
    <t>Jackson County</t>
  </si>
  <si>
    <t>Washington County</t>
  </si>
  <si>
    <t>Adams County</t>
  </si>
  <si>
    <t>Clark County</t>
  </si>
  <si>
    <t>Crawford County</t>
  </si>
  <si>
    <t>Jefferson County</t>
  </si>
  <si>
    <t>Monroe County</t>
  </si>
  <si>
    <t>Richland County</t>
  </si>
  <si>
    <t>Douglas County</t>
  </si>
  <si>
    <t>Winnebago County</t>
  </si>
  <si>
    <t>20,654</t>
  </si>
  <si>
    <t>46,711</t>
  </si>
  <si>
    <t>16,220</t>
  </si>
  <si>
    <t>268,740</t>
  </si>
  <si>
    <t>13,317</t>
  </si>
  <si>
    <t>16,526</t>
  </si>
  <si>
    <t>52,442</t>
  </si>
  <si>
    <t>66,297</t>
  </si>
  <si>
    <t>34,659</t>
  </si>
  <si>
    <t>58,490</t>
  </si>
  <si>
    <t>16,113</t>
  </si>
  <si>
    <t>561,504</t>
  </si>
  <si>
    <t>89,396</t>
  </si>
  <si>
    <t>30,066</t>
  </si>
  <si>
    <t>44,295</t>
  </si>
  <si>
    <t>45,440</t>
  </si>
  <si>
    <t>105,710</t>
  </si>
  <si>
    <t>4,558</t>
  </si>
  <si>
    <t>104,154</t>
  </si>
  <si>
    <t>9,179</t>
  </si>
  <si>
    <t>51,938</t>
  </si>
  <si>
    <t>37,093</t>
  </si>
  <si>
    <t>19,018</t>
  </si>
  <si>
    <t>23,709</t>
  </si>
  <si>
    <t>6,137</t>
  </si>
  <si>
    <t>21,145</t>
  </si>
  <si>
    <t>84,900</t>
  </si>
  <si>
    <t>26,718</t>
  </si>
  <si>
    <t>169,151</t>
  </si>
  <si>
    <t>20,563</t>
  </si>
  <si>
    <t>120,784</t>
  </si>
  <si>
    <t>16,611</t>
  </si>
  <si>
    <t>19,491</t>
  </si>
  <si>
    <t>28,415</t>
  </si>
  <si>
    <t>81,359</t>
  </si>
  <si>
    <t>138,013</t>
  </si>
  <si>
    <t>41,872</t>
  </si>
  <si>
    <t>16,027</t>
  </si>
  <si>
    <t>15,592</t>
  </si>
  <si>
    <t>4,255</t>
  </si>
  <si>
    <t>939,489</t>
  </si>
  <si>
    <t>46,274</t>
  </si>
  <si>
    <t>38,965</t>
  </si>
  <si>
    <t>37,845</t>
  </si>
  <si>
    <t>190,705</t>
  </si>
  <si>
    <t>91,503</t>
  </si>
  <si>
    <t>7,318</t>
  </si>
  <si>
    <t>42,212</t>
  </si>
  <si>
    <t>44,977</t>
  </si>
  <si>
    <t>70,377</t>
  </si>
  <si>
    <t>14,054</t>
  </si>
  <si>
    <t>197,727</t>
  </si>
  <si>
    <t>17,304</t>
  </si>
  <si>
    <t>163,687</t>
  </si>
  <si>
    <t>14,188</t>
  </si>
  <si>
    <t>93,536</t>
  </si>
  <si>
    <t>65,763</t>
  </si>
  <si>
    <t>18,074</t>
  </si>
  <si>
    <t>40,881</t>
  </si>
  <si>
    <t>118,034</t>
  </si>
  <si>
    <t>19,913</t>
  </si>
  <si>
    <t>30,760</t>
  </si>
  <si>
    <t>30,714</t>
  </si>
  <si>
    <t>23,047</t>
  </si>
  <si>
    <t>106,478</t>
  </si>
  <si>
    <t>16,623</t>
  </si>
  <si>
    <t>136,761</t>
  </si>
  <si>
    <t>406,978</t>
  </si>
  <si>
    <t>51,812</t>
  </si>
  <si>
    <t>24,520</t>
  </si>
  <si>
    <t>171,730</t>
  </si>
  <si>
    <t>74,207</t>
  </si>
  <si>
    <t>Ashland County</t>
  </si>
  <si>
    <t>Barron County</t>
  </si>
  <si>
    <t>Bayfield County</t>
  </si>
  <si>
    <t>Buffalo County</t>
  </si>
  <si>
    <t>Burnett County</t>
  </si>
  <si>
    <t>Calumet County</t>
  </si>
  <si>
    <t>Chippewa County</t>
  </si>
  <si>
    <t>Columbia County</t>
  </si>
  <si>
    <t>Dane County</t>
  </si>
  <si>
    <t>Dodge County</t>
  </si>
  <si>
    <t>Door County</t>
  </si>
  <si>
    <t>Dunn County</t>
  </si>
  <si>
    <t>Florence County</t>
  </si>
  <si>
    <t>Forest County</t>
  </si>
  <si>
    <t>Grant County</t>
  </si>
  <si>
    <t>Green County</t>
  </si>
  <si>
    <t>Iowa County</t>
  </si>
  <si>
    <t>Iron County</t>
  </si>
  <si>
    <t>Juneau County</t>
  </si>
  <si>
    <t>Kenosha County</t>
  </si>
  <si>
    <t>Kewaunee County</t>
  </si>
  <si>
    <t>Lafayette County</t>
  </si>
  <si>
    <t>Langlade County</t>
  </si>
  <si>
    <t>Lincoln County</t>
  </si>
  <si>
    <t>Manitowoc County</t>
  </si>
  <si>
    <t>Marathon County</t>
  </si>
  <si>
    <t>Marinette County</t>
  </si>
  <si>
    <t>Marquette County</t>
  </si>
  <si>
    <t>Menominee County</t>
  </si>
  <si>
    <t>Milwaukee County</t>
  </si>
  <si>
    <t>Oconto County</t>
  </si>
  <si>
    <t>Oneida County</t>
  </si>
  <si>
    <t>Outagamie County</t>
  </si>
  <si>
    <t>Ozaukee County</t>
  </si>
  <si>
    <t>Pepin County</t>
  </si>
  <si>
    <t>Pierce County</t>
  </si>
  <si>
    <t>Polk County</t>
  </si>
  <si>
    <t>Portage County</t>
  </si>
  <si>
    <t>Price County</t>
  </si>
  <si>
    <t>Racine County</t>
  </si>
  <si>
    <t>Rock County</t>
  </si>
  <si>
    <t>Rusk County</t>
  </si>
  <si>
    <t>Sauk County</t>
  </si>
  <si>
    <t>Sawyer County</t>
  </si>
  <si>
    <t>Shawano County</t>
  </si>
  <si>
    <t>Sheboygan County</t>
  </si>
  <si>
    <t>Taylor County</t>
  </si>
  <si>
    <t>Trempealeau County</t>
  </si>
  <si>
    <t>Vernon County</t>
  </si>
  <si>
    <t>Vilas County</t>
  </si>
  <si>
    <t>Walworth County</t>
  </si>
  <si>
    <t>Washburn County</t>
  </si>
  <si>
    <t>Waukesha County</t>
  </si>
  <si>
    <t>Waupaca County</t>
  </si>
  <si>
    <t>Waushara County</t>
  </si>
  <si>
    <t>Wood County</t>
  </si>
  <si>
    <t>Fond Du Loc County</t>
  </si>
  <si>
    <t>Eau Claire County</t>
  </si>
  <si>
    <t>Green Lake County</t>
  </si>
  <si>
    <t>La Cross County</t>
  </si>
  <si>
    <t>St.Croix County</t>
  </si>
  <si>
    <t>Type</t>
  </si>
  <si>
    <t>Wisconsin (5,893,718) - $11,433,813</t>
  </si>
  <si>
    <t>Anessa Jones</t>
  </si>
  <si>
    <t>Angel Felix</t>
  </si>
  <si>
    <t>Connor Blevins</t>
  </si>
  <si>
    <t>James Cathey</t>
  </si>
  <si>
    <t>Javon Cotton</t>
  </si>
  <si>
    <t>Lindsay LaMarca</t>
  </si>
  <si>
    <t>Richard Chiarello</t>
  </si>
  <si>
    <t>Seth Crawford</t>
  </si>
  <si>
    <t>Shawana Thomas</t>
  </si>
  <si>
    <t>Tracie Smith</t>
  </si>
  <si>
    <t>Maxwell Novoselac</t>
  </si>
  <si>
    <t>Jessica Price</t>
  </si>
  <si>
    <t>Natalie Schrader</t>
  </si>
  <si>
    <t>Bassam Efein</t>
  </si>
  <si>
    <t>Roopak Hanna</t>
  </si>
  <si>
    <t>Catherine Warren</t>
  </si>
  <si>
    <t>Rock County (163,687) - $795,518.82</t>
  </si>
  <si>
    <t>County of Rock</t>
  </si>
  <si>
    <t>City of Beloit</t>
  </si>
  <si>
    <t>City of Janesville</t>
  </si>
  <si>
    <t>Township of Bradford</t>
  </si>
  <si>
    <t>Township of Center</t>
  </si>
  <si>
    <t>Township of Fulton</t>
  </si>
  <si>
    <t>Township of Harmony</t>
  </si>
  <si>
    <t>Township of Janesville</t>
  </si>
  <si>
    <t>Township of Johnston</t>
  </si>
  <si>
    <t>Township of La Prairie</t>
  </si>
  <si>
    <t>Township of Milton</t>
  </si>
  <si>
    <t>Township of Plymouth</t>
  </si>
  <si>
    <t>Township of Rock</t>
  </si>
  <si>
    <t>Township of Spring Valley</t>
  </si>
  <si>
    <t>Township of Turtle</t>
  </si>
  <si>
    <t>Township of Orfodville</t>
  </si>
  <si>
    <t>Township of Porter</t>
  </si>
  <si>
    <t>City</t>
  </si>
  <si>
    <t>County</t>
  </si>
  <si>
    <t>Complete</t>
  </si>
  <si>
    <r>
      <rPr>
        <b/>
        <sz val="10"/>
        <rFont val="Arial"/>
        <family val="2"/>
      </rPr>
      <t>Cat A: Estimated $11,500</t>
    </r>
    <r>
      <rPr>
        <sz val="10"/>
        <rFont val="Arial"/>
        <family val="2"/>
      </rPr>
      <t xml:space="preserve"> for debris removal from county roads and ROWs.  </t>
    </r>
    <r>
      <rPr>
        <b/>
        <sz val="10"/>
        <rFont val="Arial"/>
        <family val="2"/>
      </rPr>
      <t xml:space="preserve">Validated: $11,500 </t>
    </r>
    <r>
      <rPr>
        <sz val="10"/>
        <rFont val="Arial"/>
        <family val="2"/>
      </rPr>
      <t xml:space="preserve">based on photos and summaries.  
</t>
    </r>
    <r>
      <rPr>
        <b/>
        <sz val="10"/>
        <rFont val="Arial"/>
        <family val="2"/>
      </rPr>
      <t>Cat B: Estimated $10,400</t>
    </r>
    <r>
      <rPr>
        <sz val="10"/>
        <rFont val="Arial"/>
        <family val="2"/>
      </rPr>
      <t xml:space="preserve"> for road closures, barricades and debris clearance from roads.  </t>
    </r>
    <r>
      <rPr>
        <b/>
        <sz val="10"/>
        <rFont val="Arial"/>
        <family val="2"/>
      </rPr>
      <t>Validated: $10,400</t>
    </r>
    <r>
      <rPr>
        <sz val="10"/>
        <rFont val="Arial"/>
        <family val="2"/>
      </rPr>
      <t xml:space="preserve"> based on summaries.
</t>
    </r>
    <r>
      <rPr>
        <b/>
        <sz val="10"/>
        <rFont val="Arial"/>
        <family val="2"/>
      </rPr>
      <t>Cat C: Estimated $199,000</t>
    </r>
    <r>
      <rPr>
        <sz val="10"/>
        <rFont val="Arial"/>
        <family val="2"/>
      </rPr>
      <t xml:space="preserve"> for 22 road sites.  Applicant provided photos showing road, shoulder, ditch and culvert washouts and damages.  </t>
    </r>
    <r>
      <rPr>
        <b/>
        <sz val="10"/>
        <rFont val="Arial"/>
        <family val="2"/>
      </rPr>
      <t>Validated: $199,000</t>
    </r>
    <r>
      <rPr>
        <sz val="10"/>
        <rFont val="Arial"/>
        <family val="2"/>
      </rPr>
      <t xml:space="preserve"> based on photos and summaries.
</t>
    </r>
    <r>
      <rPr>
        <b/>
        <sz val="10"/>
        <rFont val="Arial"/>
        <family val="2"/>
      </rPr>
      <t>Cat G: Estimated $10,000</t>
    </r>
    <r>
      <rPr>
        <sz val="10"/>
        <rFont val="Arial"/>
        <family val="2"/>
      </rPr>
      <t xml:space="preserve"> for washout of pedestrian bridge.  </t>
    </r>
    <r>
      <rPr>
        <b/>
        <sz val="10"/>
        <rFont val="Arial"/>
        <family val="2"/>
      </rPr>
      <t>Validated: $10,000</t>
    </r>
    <r>
      <rPr>
        <sz val="10"/>
        <rFont val="Arial"/>
        <family val="2"/>
      </rPr>
      <t xml:space="preserve"> based on photos and summaries.</t>
    </r>
  </si>
  <si>
    <t>Municipality</t>
  </si>
  <si>
    <r>
      <rPr>
        <b/>
        <sz val="10"/>
        <rFont val="Arial"/>
        <family val="2"/>
      </rPr>
      <t>Cat A: Estimated $17,500</t>
    </r>
    <r>
      <rPr>
        <sz val="10"/>
        <rFont val="Arial"/>
        <family val="2"/>
      </rPr>
      <t xml:space="preserve"> for vegetative debris removal from roads. </t>
    </r>
    <r>
      <rPr>
        <b/>
        <sz val="10"/>
        <rFont val="Arial"/>
        <family val="2"/>
      </rPr>
      <t>Validated $17,500</t>
    </r>
    <r>
      <rPr>
        <sz val="10"/>
        <rFont val="Arial"/>
        <family val="2"/>
      </rPr>
      <t xml:space="preserve"> using photos, location maps and damage descriptions. 
</t>
    </r>
    <r>
      <rPr>
        <b/>
        <sz val="10"/>
        <rFont val="Arial"/>
        <family val="2"/>
      </rPr>
      <t>Cat B: Estimated $2,000</t>
    </r>
    <r>
      <rPr>
        <sz val="10"/>
        <rFont val="Arial"/>
        <family val="2"/>
      </rPr>
      <t xml:space="preserve"> in barricading of flooded roads. </t>
    </r>
    <r>
      <rPr>
        <b/>
        <sz val="10"/>
        <rFont val="Arial"/>
        <family val="2"/>
      </rPr>
      <t>Reduced: $2,000</t>
    </r>
    <r>
      <rPr>
        <sz val="10"/>
        <rFont val="Arial"/>
        <family val="2"/>
      </rPr>
      <t xml:space="preserve"> for not meeting FY26 minimum project threshold of $4,100. </t>
    </r>
    <r>
      <rPr>
        <b/>
        <sz val="10"/>
        <rFont val="Arial"/>
        <family val="2"/>
      </rPr>
      <t xml:space="preserve">Validated: $0
Cat C: Estimated $29,500 </t>
    </r>
    <r>
      <rPr>
        <sz val="10"/>
        <rFont val="Arial"/>
        <family val="2"/>
      </rPr>
      <t xml:space="preserve">in road shoulder, base and surface washouts at 9 sites. </t>
    </r>
    <r>
      <rPr>
        <b/>
        <sz val="10"/>
        <rFont val="Arial"/>
        <family val="2"/>
      </rPr>
      <t>Validated $29,500</t>
    </r>
    <r>
      <rPr>
        <sz val="10"/>
        <rFont val="Arial"/>
        <family val="2"/>
      </rPr>
      <t xml:space="preserve"> using photos, damage descriptions and cost estimates. 
</t>
    </r>
  </si>
  <si>
    <r>
      <rPr>
        <b/>
        <sz val="10"/>
        <rFont val="Arial"/>
        <family val="2"/>
      </rPr>
      <t>Cat A: Estimated $7,500</t>
    </r>
    <r>
      <rPr>
        <sz val="10"/>
        <rFont val="Arial"/>
        <family val="2"/>
      </rPr>
      <t xml:space="preserve"> for vegetative debris removal from roads and a culvert. </t>
    </r>
    <r>
      <rPr>
        <b/>
        <sz val="10"/>
        <rFont val="Arial"/>
        <family val="2"/>
      </rPr>
      <t>Validated $7,500</t>
    </r>
    <r>
      <rPr>
        <sz val="10"/>
        <rFont val="Arial"/>
        <family val="2"/>
      </rPr>
      <t xml:space="preserve"> from applicant documents.
</t>
    </r>
    <r>
      <rPr>
        <b/>
        <sz val="10"/>
        <rFont val="Arial"/>
        <family val="2"/>
      </rPr>
      <t>Cat B: Estimated $1,000</t>
    </r>
    <r>
      <rPr>
        <sz val="10"/>
        <rFont val="Arial"/>
        <family val="2"/>
      </rPr>
      <t xml:space="preserve"> for road barricades and road signs. </t>
    </r>
    <r>
      <rPr>
        <b/>
        <sz val="10"/>
        <rFont val="Arial"/>
        <family val="2"/>
      </rPr>
      <t>Reduced: $1,000</t>
    </r>
    <r>
      <rPr>
        <sz val="10"/>
        <rFont val="Arial"/>
        <family val="2"/>
      </rPr>
      <t xml:space="preserve"> due to the costs not meeting the minimum project threshold of $4,100
</t>
    </r>
    <r>
      <rPr>
        <b/>
        <sz val="10"/>
        <rFont val="Arial"/>
        <family val="2"/>
      </rPr>
      <t>Cat C: Estimated $3,000</t>
    </r>
    <r>
      <rPr>
        <sz val="10"/>
        <rFont val="Arial"/>
        <family val="2"/>
      </rPr>
      <t xml:space="preserve"> for road washout near a culvert. </t>
    </r>
    <r>
      <rPr>
        <b/>
        <sz val="10"/>
        <rFont val="Arial"/>
        <family val="2"/>
      </rPr>
      <t>Reduced $3,000</t>
    </r>
    <r>
      <rPr>
        <sz val="10"/>
        <rFont val="Arial"/>
        <family val="2"/>
      </rPr>
      <t xml:space="preserve"> ( including $1,000 due to ineligible costs of unidentified road damage) and the costs not meeting the minimum project threshold of $4,100.</t>
    </r>
  </si>
  <si>
    <r>
      <rPr>
        <b/>
        <sz val="10"/>
        <rFont val="Arial"/>
        <family val="2"/>
      </rPr>
      <t>Cat A: Estimated: $3,000</t>
    </r>
    <r>
      <rPr>
        <sz val="10"/>
        <rFont val="Arial"/>
        <family val="2"/>
      </rPr>
      <t xml:space="preserve"> for vegetative debris removal from roads and ditches. </t>
    </r>
    <r>
      <rPr>
        <b/>
        <sz val="10"/>
        <rFont val="Arial"/>
        <family val="2"/>
      </rPr>
      <t>Reduced: $3,000</t>
    </r>
    <r>
      <rPr>
        <sz val="10"/>
        <rFont val="Arial"/>
        <family val="2"/>
      </rPr>
      <t xml:space="preserve"> due to costs not meeting the minimum project threshold of $4,100.
</t>
    </r>
    <r>
      <rPr>
        <b/>
        <sz val="10"/>
        <rFont val="Arial"/>
        <family val="2"/>
      </rPr>
      <t>Cat B: Estimated: $2,100</t>
    </r>
    <r>
      <rPr>
        <sz val="10"/>
        <rFont val="Arial"/>
        <family val="2"/>
      </rPr>
      <t xml:space="preserve"> for barricading and road signs. </t>
    </r>
    <r>
      <rPr>
        <b/>
        <sz val="10"/>
        <rFont val="Arial"/>
        <family val="2"/>
      </rPr>
      <t>Reduced: $2,100</t>
    </r>
    <r>
      <rPr>
        <sz val="10"/>
        <rFont val="Arial"/>
        <family val="2"/>
      </rPr>
      <t xml:space="preserve"> due to the costs not meeting the minimum project threshold of $4,100.
</t>
    </r>
    <r>
      <rPr>
        <b/>
        <sz val="10"/>
        <rFont val="Arial"/>
        <family val="2"/>
      </rPr>
      <t>Cat C: Estimated: $16,248</t>
    </r>
    <r>
      <rPr>
        <sz val="10"/>
        <rFont val="Arial"/>
        <family val="2"/>
      </rPr>
      <t xml:space="preserve"> for road washouts and damages. </t>
    </r>
    <r>
      <rPr>
        <b/>
        <sz val="10"/>
        <rFont val="Arial"/>
        <family val="2"/>
      </rPr>
      <t>Validated: $16,248</t>
    </r>
    <r>
      <rPr>
        <sz val="10"/>
        <rFont val="Arial"/>
        <family val="2"/>
      </rPr>
      <t xml:space="preserve"> from applicant documentation.</t>
    </r>
  </si>
  <si>
    <r>
      <rPr>
        <b/>
        <sz val="10"/>
        <rFont val="Arial"/>
        <family val="2"/>
      </rPr>
      <t>Cat C: Estimated $4,000</t>
    </r>
    <r>
      <rPr>
        <sz val="10"/>
        <rFont val="Arial"/>
        <family val="2"/>
      </rPr>
      <t xml:space="preserve"> - for road damages and shoulder washout. </t>
    </r>
    <r>
      <rPr>
        <b/>
        <sz val="10"/>
        <rFont val="Arial"/>
        <family val="2"/>
      </rPr>
      <t>Reduced: $4,000</t>
    </r>
    <r>
      <rPr>
        <sz val="10"/>
        <rFont val="Arial"/>
        <family val="2"/>
      </rPr>
      <t xml:space="preserve"> due to the costs not meeting the minimum project threshold.</t>
    </r>
  </si>
  <si>
    <r>
      <rPr>
        <b/>
        <sz val="10"/>
        <rFont val="Arial"/>
        <family val="2"/>
      </rPr>
      <t>Cat B: Estimated $1,400</t>
    </r>
    <r>
      <rPr>
        <sz val="10"/>
        <rFont val="Arial"/>
        <family val="2"/>
      </rPr>
      <t xml:space="preserve"> for barricading and signage. </t>
    </r>
    <r>
      <rPr>
        <b/>
        <sz val="10"/>
        <rFont val="Arial"/>
        <family val="2"/>
      </rPr>
      <t>Reduced: $1,400</t>
    </r>
    <r>
      <rPr>
        <sz val="10"/>
        <rFont val="Arial"/>
        <family val="2"/>
      </rPr>
      <t xml:space="preserve"> due to costs not meeting minimum project threshold. 
</t>
    </r>
    <r>
      <rPr>
        <b/>
        <sz val="10"/>
        <rFont val="Arial"/>
        <family val="2"/>
      </rPr>
      <t>Cat C: Estimated $24,50</t>
    </r>
    <r>
      <rPr>
        <sz val="10"/>
        <rFont val="Arial"/>
        <family val="2"/>
      </rPr>
      <t>0 for road and shoulder damages.</t>
    </r>
    <r>
      <rPr>
        <b/>
        <sz val="10"/>
        <rFont val="Arial"/>
        <family val="2"/>
      </rPr>
      <t xml:space="preserve"> Validated: $24,500</t>
    </r>
    <r>
      <rPr>
        <sz val="10"/>
        <rFont val="Arial"/>
        <family val="2"/>
      </rPr>
      <t xml:space="preserve"> based on applicant documentation.</t>
    </r>
  </si>
  <si>
    <r>
      <rPr>
        <b/>
        <sz val="10"/>
        <rFont val="Arial"/>
        <family val="2"/>
      </rPr>
      <t>Cat A: Estimated $97</t>
    </r>
    <r>
      <rPr>
        <sz val="10"/>
        <rFont val="Arial"/>
        <family val="2"/>
      </rPr>
      <t>5 for debris removal.</t>
    </r>
    <r>
      <rPr>
        <b/>
        <sz val="10"/>
        <rFont val="Arial"/>
        <family val="2"/>
      </rPr>
      <t xml:space="preserve"> Reduced $975</t>
    </r>
    <r>
      <rPr>
        <sz val="10"/>
        <rFont val="Arial"/>
        <family val="2"/>
      </rPr>
      <t xml:space="preserve"> due to the project cost not meeting the minimum project threshold.</t>
    </r>
  </si>
  <si>
    <t>Applicant is requesting withdrawal.</t>
  </si>
  <si>
    <r>
      <rPr>
        <b/>
        <sz val="10"/>
        <rFont val="Arial"/>
        <family val="2"/>
      </rPr>
      <t>Cat A: Estimated: $5000</t>
    </r>
    <r>
      <rPr>
        <sz val="10"/>
        <rFont val="Arial"/>
        <family val="2"/>
      </rPr>
      <t xml:space="preserve"> for debris removal. </t>
    </r>
    <r>
      <rPr>
        <b/>
        <sz val="10"/>
        <rFont val="Arial"/>
        <family val="2"/>
      </rPr>
      <t>Validated: $5000</t>
    </r>
    <r>
      <rPr>
        <sz val="10"/>
        <rFont val="Arial"/>
        <family val="2"/>
      </rPr>
      <t xml:space="preserve"> from applicant provided estimates 
</t>
    </r>
    <r>
      <rPr>
        <b/>
        <sz val="10"/>
        <rFont val="Arial"/>
        <family val="2"/>
      </rPr>
      <t>Cat B: Estimated: $22,880</t>
    </r>
    <r>
      <rPr>
        <sz val="10"/>
        <rFont val="Arial"/>
        <family val="2"/>
      </rPr>
      <t xml:space="preserve"> for sandbagging operations, baricading, monitoring and EOC operations. </t>
    </r>
    <r>
      <rPr>
        <b/>
        <sz val="10"/>
        <rFont val="Arial"/>
        <family val="2"/>
      </rPr>
      <t>Validated: $22,880</t>
    </r>
    <r>
      <rPr>
        <sz val="10"/>
        <rFont val="Arial"/>
        <family val="2"/>
      </rPr>
      <t xml:space="preserve"> based on applicant provided costs
</t>
    </r>
    <r>
      <rPr>
        <b/>
        <sz val="10"/>
        <rFont val="Arial"/>
        <family val="2"/>
      </rPr>
      <t>Cat C: Estimated: $4,500</t>
    </r>
    <r>
      <rPr>
        <sz val="10"/>
        <rFont val="Arial"/>
        <family val="2"/>
      </rPr>
      <t xml:space="preserve"> for shoulder damages and washouts. </t>
    </r>
    <r>
      <rPr>
        <b/>
        <sz val="10"/>
        <rFont val="Arial"/>
        <family val="2"/>
      </rPr>
      <t xml:space="preserve">Validated $4500 </t>
    </r>
    <r>
      <rPr>
        <sz val="10"/>
        <rFont val="Arial"/>
        <family val="2"/>
      </rPr>
      <t>based on applicant provided costs and estimates</t>
    </r>
  </si>
  <si>
    <t>Government</t>
  </si>
  <si>
    <t>Department of Transportation</t>
  </si>
  <si>
    <r>
      <t xml:space="preserve">Cat A: </t>
    </r>
    <r>
      <rPr>
        <b/>
        <sz val="10"/>
        <rFont val="Arial"/>
        <family val="2"/>
      </rPr>
      <t xml:space="preserve">Estimated: </t>
    </r>
    <r>
      <rPr>
        <sz val="10"/>
        <rFont val="Arial"/>
        <family val="2"/>
      </rPr>
      <t xml:space="preserve">$221,500 for debris removal due to flooding. </t>
    </r>
    <r>
      <rPr>
        <b/>
        <sz val="10"/>
        <rFont val="Arial"/>
        <family val="2"/>
      </rPr>
      <t>Validated:</t>
    </r>
    <r>
      <rPr>
        <sz val="10"/>
        <rFont val="Arial"/>
        <family val="2"/>
      </rPr>
      <t xml:space="preserve"> $221,500 with applicant provided summary sheets.
Cat B: </t>
    </r>
    <r>
      <rPr>
        <b/>
        <sz val="10"/>
        <rFont val="Arial"/>
        <family val="2"/>
      </rPr>
      <t xml:space="preserve">Estimated: </t>
    </r>
    <r>
      <rPr>
        <sz val="10"/>
        <rFont val="Arial"/>
        <family val="2"/>
      </rPr>
      <t xml:space="preserve">$56,500 for traffic control cost due to road closure and detours from flooding. </t>
    </r>
    <r>
      <rPr>
        <b/>
        <sz val="10"/>
        <rFont val="Arial"/>
        <family val="2"/>
      </rPr>
      <t>Validated:</t>
    </r>
    <r>
      <rPr>
        <sz val="10"/>
        <rFont val="Arial"/>
        <family val="2"/>
      </rPr>
      <t xml:space="preserve"> $56,500 with applicant provided summary sheets.
Cat C: </t>
    </r>
    <r>
      <rPr>
        <b/>
        <sz val="10"/>
        <rFont val="Arial"/>
        <family val="2"/>
      </rPr>
      <t>Estimated:</t>
    </r>
    <r>
      <rPr>
        <sz val="10"/>
        <rFont val="Arial"/>
        <family val="2"/>
      </rPr>
      <t xml:space="preserve"> $552,500 for road damages due to flooding. </t>
    </r>
    <r>
      <rPr>
        <b/>
        <sz val="10"/>
        <rFont val="Arial"/>
        <family val="2"/>
      </rPr>
      <t>Reduced:</t>
    </r>
    <r>
      <rPr>
        <sz val="10"/>
        <rFont val="Arial"/>
        <family val="2"/>
      </rPr>
      <t xml:space="preserve"> $552,500 road is FHWA eligible. </t>
    </r>
    <r>
      <rPr>
        <b/>
        <sz val="10"/>
        <rFont val="Arial"/>
        <family val="2"/>
      </rPr>
      <t>Validated:</t>
    </r>
    <r>
      <rPr>
        <sz val="10"/>
        <rFont val="Arial"/>
        <family val="2"/>
      </rPr>
      <t xml:space="preserve"> $0</t>
    </r>
  </si>
  <si>
    <r>
      <rPr>
        <b/>
        <sz val="10"/>
        <rFont val="Arial"/>
        <family val="2"/>
      </rPr>
      <t xml:space="preserve">Cat C: Estimated $2,500 </t>
    </r>
    <r>
      <rPr>
        <sz val="10"/>
        <rFont val="Arial"/>
        <family val="2"/>
      </rPr>
      <t xml:space="preserve">for one gravel road washout site. Originally 7 sites were identified, an RFI was sent for cost clarification and applicant withdrew the other 6 sites that were mislabled under the wrong applicant. Updated costs provided for 1 site. </t>
    </r>
    <r>
      <rPr>
        <b/>
        <sz val="10"/>
        <rFont val="Arial"/>
        <family val="2"/>
      </rPr>
      <t xml:space="preserve">Reduced: $2,500 </t>
    </r>
    <r>
      <rPr>
        <sz val="10"/>
        <rFont val="Arial"/>
        <family val="2"/>
      </rPr>
      <t xml:space="preserve">for not meeting FY26 minimum project threshold of $4,100. </t>
    </r>
    <r>
      <rPr>
        <b/>
        <sz val="10"/>
        <rFont val="Arial"/>
        <family val="2"/>
      </rPr>
      <t>Validated $0</t>
    </r>
  </si>
  <si>
    <t>National Guard</t>
  </si>
  <si>
    <r>
      <rPr>
        <b/>
        <sz val="10"/>
        <rFont val="Arial"/>
        <family val="2"/>
      </rPr>
      <t>Cat A: Estimated $50,455</t>
    </r>
    <r>
      <rPr>
        <sz val="10"/>
        <rFont val="Arial"/>
        <family val="2"/>
      </rPr>
      <t xml:space="preserve"> in waterway vegetative debris removal caught in a pedestrian bridge and floating docks as well as residential debris removal. RFI for cost documentation, cost breakdown provided in RFI response. </t>
    </r>
    <r>
      <rPr>
        <b/>
        <sz val="10"/>
        <rFont val="Arial"/>
        <family val="2"/>
      </rPr>
      <t>Validated $50,455</t>
    </r>
    <r>
      <rPr>
        <sz val="10"/>
        <rFont val="Arial"/>
        <family val="2"/>
      </rPr>
      <t xml:space="preserve"> using photos, cost breakdown of fa labor and equipment and contractor costs
</t>
    </r>
    <r>
      <rPr>
        <b/>
        <sz val="10"/>
        <rFont val="Arial"/>
        <family val="2"/>
      </rPr>
      <t>Cat B: Estimated $11,933</t>
    </r>
    <r>
      <rPr>
        <sz val="10"/>
        <rFont val="Arial"/>
        <family val="2"/>
      </rPr>
      <t xml:space="preserve"> in emergency protective measures including sandbagging and emergency response to flooded homes. </t>
    </r>
    <r>
      <rPr>
        <b/>
        <sz val="10"/>
        <rFont val="Arial"/>
        <family val="2"/>
      </rPr>
      <t xml:space="preserve">Validated $11,933 </t>
    </r>
    <r>
      <rPr>
        <sz val="10"/>
        <rFont val="Arial"/>
        <family val="2"/>
      </rPr>
      <t xml:space="preserve">using cost breakdowns
</t>
    </r>
    <r>
      <rPr>
        <b/>
        <sz val="10"/>
        <rFont val="Arial"/>
        <family val="2"/>
      </rPr>
      <t>Cat C: Estimated $20,800</t>
    </r>
    <r>
      <rPr>
        <sz val="10"/>
        <rFont val="Arial"/>
        <family val="2"/>
      </rPr>
      <t xml:space="preserve"> in road shoulder washouts. </t>
    </r>
    <r>
      <rPr>
        <b/>
        <sz val="10"/>
        <rFont val="Arial"/>
        <family val="2"/>
      </rPr>
      <t>Reduced $15,500</t>
    </r>
    <r>
      <rPr>
        <sz val="10"/>
        <rFont val="Arial"/>
        <family val="2"/>
      </rPr>
      <t xml:space="preserve"> for two sites listed as Major Collectors and not eligible for PA. </t>
    </r>
    <r>
      <rPr>
        <b/>
        <sz val="10"/>
        <rFont val="Arial"/>
        <family val="2"/>
      </rPr>
      <t>Validated: $5,300</t>
    </r>
    <r>
      <rPr>
        <sz val="10"/>
        <rFont val="Arial"/>
        <family val="2"/>
      </rPr>
      <t xml:space="preserve"> using photos, locations and damage descriptions. 
</t>
    </r>
    <r>
      <rPr>
        <b/>
        <sz val="10"/>
        <rFont val="Arial"/>
        <family val="2"/>
      </rPr>
      <t>Cat E: Estimated $26,500</t>
    </r>
    <r>
      <rPr>
        <sz val="10"/>
        <rFont val="Arial"/>
        <family val="2"/>
      </rPr>
      <t xml:space="preserve"> in damages to a river front pavillion. RFI sent for supporting documentation for cost estimates and insurance. Applicant states no insurance on the building due to it being in a floodplain.</t>
    </r>
    <r>
      <rPr>
        <b/>
        <sz val="10"/>
        <rFont val="Arial"/>
        <family val="2"/>
      </rPr>
      <t xml:space="preserve"> Validated $26,500 </t>
    </r>
    <r>
      <rPr>
        <sz val="10"/>
        <rFont val="Arial"/>
        <family val="2"/>
      </rPr>
      <t xml:space="preserve">using photos, cost breakdown and narrative. 
</t>
    </r>
    <r>
      <rPr>
        <b/>
        <sz val="10"/>
        <rFont val="Arial"/>
        <family val="2"/>
      </rPr>
      <t xml:space="preserve">Cat G: Estimated $2,000 </t>
    </r>
    <r>
      <rPr>
        <sz val="10"/>
        <rFont val="Arial"/>
        <family val="2"/>
      </rPr>
      <t xml:space="preserve">in damages to pavillion floating dock. </t>
    </r>
    <r>
      <rPr>
        <b/>
        <sz val="10"/>
        <rFont val="Arial"/>
        <family val="2"/>
      </rPr>
      <t>Reduced: $2,000</t>
    </r>
    <r>
      <rPr>
        <sz val="10"/>
        <rFont val="Arial"/>
        <family val="2"/>
      </rPr>
      <t xml:space="preserve"> for not meeting FY26 minimum project threshold of $4,100. </t>
    </r>
    <r>
      <rPr>
        <b/>
        <sz val="10"/>
        <rFont val="Arial"/>
        <family val="2"/>
      </rPr>
      <t>Validated: $0</t>
    </r>
  </si>
  <si>
    <t>First Lutheran Church</t>
  </si>
  <si>
    <t>PNP</t>
  </si>
  <si>
    <t>Janesville School District</t>
  </si>
  <si>
    <r>
      <rPr>
        <b/>
        <sz val="10"/>
        <rFont val="Arial"/>
        <family val="2"/>
      </rPr>
      <t>Cat B: Estimated $1,014.80</t>
    </r>
    <r>
      <rPr>
        <sz val="10"/>
        <rFont val="Arial"/>
        <family val="2"/>
      </rPr>
      <t xml:space="preserve"> for sandbagging and barricading.  </t>
    </r>
    <r>
      <rPr>
        <b/>
        <sz val="10"/>
        <rFont val="Arial"/>
        <family val="2"/>
      </rPr>
      <t>Reduced: $1,014.80</t>
    </r>
    <r>
      <rPr>
        <sz val="10"/>
        <rFont val="Arial"/>
        <family val="2"/>
      </rPr>
      <t xml:space="preserve"> due to the costs not meeting the minimum project threshold
</t>
    </r>
    <r>
      <rPr>
        <b/>
        <sz val="10"/>
        <rFont val="Arial"/>
        <family val="2"/>
      </rPr>
      <t>Cat E: Estimated $12,500</t>
    </r>
    <r>
      <rPr>
        <sz val="10"/>
        <rFont val="Arial"/>
        <family val="2"/>
      </rPr>
      <t xml:space="preserve"> for insurance deductible for building damages. RFI sent to applicant for insurance documents for the building. Insurance documents couldn't be provided in short timeline, applicant provided confirmation of deductibles via email from insurance agent. </t>
    </r>
    <r>
      <rPr>
        <b/>
        <sz val="10"/>
        <rFont val="Arial"/>
        <family val="2"/>
      </rPr>
      <t>Validated: $12,500</t>
    </r>
  </si>
  <si>
    <r>
      <rPr>
        <b/>
        <sz val="10"/>
        <rFont val="Arial"/>
        <family val="2"/>
      </rPr>
      <t>Cat A: Estimated: $39,250</t>
    </r>
    <r>
      <rPr>
        <sz val="10"/>
        <rFont val="Arial"/>
        <family val="2"/>
      </rPr>
      <t xml:space="preserve"> for debris removal.</t>
    </r>
    <r>
      <rPr>
        <b/>
        <sz val="10"/>
        <rFont val="Arial"/>
        <family val="2"/>
      </rPr>
      <t xml:space="preserve"> Reduced: $2,500</t>
    </r>
    <r>
      <rPr>
        <sz val="10"/>
        <rFont val="Arial"/>
        <family val="2"/>
      </rPr>
      <t xml:space="preserve"> due to ineligible costs for debris removed from a cemetery </t>
    </r>
    <r>
      <rPr>
        <b/>
        <sz val="10"/>
        <rFont val="Arial"/>
        <family val="2"/>
      </rPr>
      <t>Validated: $36,750</t>
    </r>
    <r>
      <rPr>
        <sz val="10"/>
        <rFont val="Arial"/>
        <family val="2"/>
      </rPr>
      <t xml:space="preserve"> based on applicant documentation.
</t>
    </r>
    <r>
      <rPr>
        <b/>
        <sz val="10"/>
        <rFont val="Arial"/>
        <family val="2"/>
      </rPr>
      <t>Cat B: Estimated</t>
    </r>
    <r>
      <rPr>
        <sz val="10"/>
        <rFont val="Arial"/>
        <family val="2"/>
      </rPr>
      <t xml:space="preserve">: </t>
    </r>
    <r>
      <rPr>
        <b/>
        <sz val="10"/>
        <rFont val="Arial"/>
        <family val="2"/>
      </rPr>
      <t>$19,200</t>
    </r>
    <r>
      <rPr>
        <sz val="10"/>
        <rFont val="Arial"/>
        <family val="2"/>
      </rPr>
      <t xml:space="preserve"> for sandbagging (transport, production and disposal) and barricading and signage. </t>
    </r>
    <r>
      <rPr>
        <b/>
        <sz val="10"/>
        <rFont val="Arial"/>
        <family val="2"/>
      </rPr>
      <t>Validated $19,200</t>
    </r>
    <r>
      <rPr>
        <sz val="10"/>
        <rFont val="Arial"/>
        <family val="2"/>
      </rPr>
      <t xml:space="preserve"> based on applicant documentation.
</t>
    </r>
    <r>
      <rPr>
        <b/>
        <sz val="10"/>
        <rFont val="Arial"/>
        <family val="2"/>
      </rPr>
      <t>Cat C: Estimated: $437,750</t>
    </r>
    <r>
      <rPr>
        <sz val="10"/>
        <rFont val="Arial"/>
        <family val="2"/>
      </rPr>
      <t xml:space="preserve"> for washout to road, shoulders and culverts.</t>
    </r>
    <r>
      <rPr>
        <b/>
        <sz val="10"/>
        <rFont val="Arial"/>
        <family val="2"/>
      </rPr>
      <t xml:space="preserve"> Reduced: $409,000</t>
    </r>
    <r>
      <rPr>
        <sz val="10"/>
        <rFont val="Arial"/>
        <family val="2"/>
      </rPr>
      <t xml:space="preserve"> due to damages on major collectors Rockport Rd and Plymouth Church Rd. </t>
    </r>
    <r>
      <rPr>
        <b/>
        <sz val="10"/>
        <rFont val="Arial"/>
        <family val="2"/>
      </rPr>
      <t>Validated: $28,750</t>
    </r>
    <r>
      <rPr>
        <sz val="10"/>
        <rFont val="Arial"/>
        <family val="2"/>
      </rPr>
      <t xml:space="preserve"> based on the applicant documentation
</t>
    </r>
    <r>
      <rPr>
        <b/>
        <sz val="10"/>
        <rFont val="Arial"/>
        <family val="2"/>
      </rPr>
      <t>Cat G: Estimated: $2,400</t>
    </r>
    <r>
      <rPr>
        <sz val="10"/>
        <rFont val="Arial"/>
        <family val="2"/>
      </rPr>
      <t xml:space="preserve"> for damages to a fence and headstones. RFI sent to applicant to separate the costs of damages. Applicant provided the requested breakdown but it did not add additional costs. </t>
    </r>
    <r>
      <rPr>
        <b/>
        <sz val="10"/>
        <rFont val="Arial"/>
        <family val="2"/>
      </rPr>
      <t>Reduced: $2400</t>
    </r>
    <r>
      <rPr>
        <sz val="10"/>
        <rFont val="Arial"/>
        <family val="2"/>
      </rPr>
      <t xml:space="preserve"> due to the costs not meeting the minimum project threshold of $4,100.</t>
    </r>
  </si>
  <si>
    <r>
      <rPr>
        <b/>
        <sz val="10"/>
        <rFont val="Arial"/>
        <family val="2"/>
      </rPr>
      <t>Cat A: Estimated: $66,515.93</t>
    </r>
    <r>
      <rPr>
        <sz val="10"/>
        <rFont val="Arial"/>
        <family val="2"/>
      </rPr>
      <t xml:space="preserve"> for debris clean up from flood damaged building.  </t>
    </r>
    <r>
      <rPr>
        <b/>
        <sz val="10"/>
        <rFont val="Arial"/>
        <family val="2"/>
      </rPr>
      <t>Validated: $66,515.93</t>
    </r>
    <r>
      <rPr>
        <sz val="10"/>
        <rFont val="Arial"/>
        <family val="2"/>
      </rPr>
      <t xml:space="preserve"> based on detailed cost summary and flooding and damage photos showing debris.  
</t>
    </r>
    <r>
      <rPr>
        <b/>
        <sz val="10"/>
        <rFont val="Arial"/>
        <family val="2"/>
      </rPr>
      <t>Cat E: Estimated: $5,000,000</t>
    </r>
    <r>
      <rPr>
        <sz val="10"/>
        <rFont val="Arial"/>
        <family val="2"/>
      </rPr>
      <t xml:space="preserve"> for flooding damages to building and mechanical equipment. Building flooded 4 feet in lower level and damaged boiler room, equipment, kitchen, cafeteria and all electrical/mechanical.  Applicant's insurance company determined only $10,000 of coverage for the flooding damage.  However, PNP is non-crtical, essential social services and therefore would need to apply to SBA before eligible for permanent restoration under FEMA. </t>
    </r>
    <r>
      <rPr>
        <b/>
        <sz val="10"/>
        <rFont val="Arial"/>
        <family val="2"/>
      </rPr>
      <t>Reduced: $5,000,000</t>
    </r>
    <r>
      <rPr>
        <sz val="10"/>
        <rFont val="Arial"/>
        <family val="2"/>
      </rPr>
      <t xml:space="preserve"> due to PNP needing to file with SBA first. Validated: $0. </t>
    </r>
  </si>
  <si>
    <r>
      <rPr>
        <b/>
        <sz val="10"/>
        <rFont val="Arial"/>
        <family val="2"/>
      </rPr>
      <t>Cat A: Estimated $13,475</t>
    </r>
    <r>
      <rPr>
        <sz val="10"/>
        <rFont val="Arial"/>
        <family val="2"/>
      </rPr>
      <t xml:space="preserve"> for jurisdiction-wide debris removal.</t>
    </r>
    <r>
      <rPr>
        <b/>
        <sz val="10"/>
        <rFont val="Arial"/>
        <family val="2"/>
      </rPr>
      <t xml:space="preserve"> Validated: $13,475</t>
    </r>
    <r>
      <rPr>
        <sz val="10"/>
        <rFont val="Arial"/>
        <family val="2"/>
      </rPr>
      <t xml:space="preserve"> based on applicant documentation.
</t>
    </r>
    <r>
      <rPr>
        <b/>
        <sz val="10"/>
        <rFont val="Arial"/>
        <family val="2"/>
      </rPr>
      <t>Cat B: Estimated $2,800</t>
    </r>
    <r>
      <rPr>
        <sz val="10"/>
        <rFont val="Arial"/>
        <family val="2"/>
      </rPr>
      <t xml:space="preserve"> for emergency protective measures. </t>
    </r>
    <r>
      <rPr>
        <b/>
        <sz val="10"/>
        <rFont val="Arial"/>
        <family val="2"/>
      </rPr>
      <t>Reduced $2,800</t>
    </r>
    <r>
      <rPr>
        <sz val="10"/>
        <rFont val="Arial"/>
        <family val="2"/>
      </rPr>
      <t xml:space="preserve"> for not meeting FY26 minimum project threshold of $4,100. 
</t>
    </r>
    <r>
      <rPr>
        <b/>
        <sz val="10"/>
        <rFont val="Arial"/>
        <family val="2"/>
      </rPr>
      <t xml:space="preserve">Cat C: </t>
    </r>
    <r>
      <rPr>
        <sz val="10"/>
        <rFont val="Arial"/>
        <family val="2"/>
      </rPr>
      <t xml:space="preserve"> </t>
    </r>
    <r>
      <rPr>
        <b/>
        <sz val="10"/>
        <rFont val="Arial"/>
        <family val="2"/>
      </rPr>
      <t>Estimated 12,550</t>
    </r>
    <r>
      <rPr>
        <sz val="10"/>
        <rFont val="Arial"/>
        <family val="2"/>
      </rPr>
      <t xml:space="preserve"> for washout and road damages.  </t>
    </r>
    <r>
      <rPr>
        <b/>
        <sz val="10"/>
        <rFont val="Arial"/>
        <family val="2"/>
      </rPr>
      <t xml:space="preserve">Validated $12,550 </t>
    </r>
    <r>
      <rPr>
        <sz val="10"/>
        <rFont val="Arial"/>
        <family val="2"/>
      </rPr>
      <t xml:space="preserve"> from applicant documentation
</t>
    </r>
    <r>
      <rPr>
        <b/>
        <sz val="10"/>
        <rFont val="Arial"/>
        <family val="2"/>
      </rPr>
      <t>Cat E: Estimated $30,000</t>
    </r>
    <r>
      <rPr>
        <sz val="10"/>
        <rFont val="Arial"/>
        <family val="2"/>
      </rPr>
      <t xml:space="preserve"> for damages to building equipment caused by flooding. RFI sent to applicant to ask for insurance, a cost breakdown of damages and for any other damages.</t>
    </r>
    <r>
      <rPr>
        <b/>
        <sz val="10"/>
        <rFont val="Arial"/>
        <family val="2"/>
      </rPr>
      <t xml:space="preserve"> Reduced $30,000 </t>
    </r>
    <r>
      <rPr>
        <sz val="10"/>
        <rFont val="Arial"/>
        <family val="2"/>
      </rPr>
      <t>due to no response to RFI and no specific damages identified by applicant</t>
    </r>
    <r>
      <rPr>
        <b/>
        <sz val="10"/>
        <rFont val="Arial"/>
        <family val="2"/>
      </rPr>
      <t xml:space="preserve"> </t>
    </r>
  </si>
  <si>
    <r>
      <rPr>
        <b/>
        <sz val="10"/>
        <rFont val="Arial"/>
        <family val="2"/>
      </rPr>
      <t>Cat A: Estimated $6,000</t>
    </r>
    <r>
      <rPr>
        <sz val="10"/>
        <rFont val="Arial"/>
        <family val="2"/>
      </rPr>
      <t xml:space="preserve"> for debris removal. </t>
    </r>
    <r>
      <rPr>
        <b/>
        <sz val="10"/>
        <rFont val="Arial"/>
        <family val="2"/>
      </rPr>
      <t>Validated $6,000</t>
    </r>
    <r>
      <rPr>
        <sz val="10"/>
        <rFont val="Arial"/>
        <family val="2"/>
      </rPr>
      <t xml:space="preserve"> from applicant documentation.
</t>
    </r>
    <r>
      <rPr>
        <b/>
        <sz val="10"/>
        <rFont val="Arial"/>
        <family val="2"/>
      </rPr>
      <t>Cat B: Estimated $11,000</t>
    </r>
    <r>
      <rPr>
        <sz val="10"/>
        <rFont val="Arial"/>
        <family val="2"/>
      </rPr>
      <t xml:space="preserve"> for sandbagging, road barricading, and monitoring. </t>
    </r>
    <r>
      <rPr>
        <b/>
        <sz val="10"/>
        <rFont val="Arial"/>
        <family val="2"/>
      </rPr>
      <t>Validated $11,000</t>
    </r>
    <r>
      <rPr>
        <sz val="10"/>
        <rFont val="Arial"/>
        <family val="2"/>
      </rPr>
      <t xml:space="preserve"> from applicant documentation.
</t>
    </r>
    <r>
      <rPr>
        <b/>
        <sz val="10"/>
        <rFont val="Arial"/>
        <family val="2"/>
      </rPr>
      <t>Cat C: Estimated $16,741</t>
    </r>
    <r>
      <rPr>
        <sz val="10"/>
        <rFont val="Arial"/>
        <family val="2"/>
      </rPr>
      <t xml:space="preserve"> for road damage (shoulder and culvert washout). RFI was issued for 4 Cat C sites requesting specific damages to be identified. Applicant withdrew 4 Cat C sites. </t>
    </r>
    <r>
      <rPr>
        <b/>
        <sz val="10"/>
        <rFont val="Arial"/>
        <family val="2"/>
      </rPr>
      <t>Reduced $500</t>
    </r>
    <r>
      <rPr>
        <sz val="10"/>
        <rFont val="Arial"/>
        <family val="2"/>
      </rPr>
      <t xml:space="preserve"> due to damages on a major collector .</t>
    </r>
    <r>
      <rPr>
        <b/>
        <sz val="10"/>
        <rFont val="Arial"/>
        <family val="2"/>
      </rPr>
      <t xml:space="preserve"> Validated: $13,241</t>
    </r>
    <r>
      <rPr>
        <sz val="10"/>
        <rFont val="Arial"/>
        <family val="2"/>
      </rPr>
      <t xml:space="preserve"> based on applicant documentation
</t>
    </r>
    <r>
      <rPr>
        <b/>
        <sz val="10"/>
        <rFont val="Arial"/>
        <family val="2"/>
      </rPr>
      <t>Cat E: Estimated $250</t>
    </r>
    <r>
      <rPr>
        <sz val="10"/>
        <rFont val="Arial"/>
        <family val="2"/>
      </rPr>
      <t xml:space="preserve"> for building damages/contents.</t>
    </r>
    <r>
      <rPr>
        <b/>
        <sz val="10"/>
        <rFont val="Arial"/>
        <family val="2"/>
      </rPr>
      <t xml:space="preserve"> Reduced: $250</t>
    </r>
    <r>
      <rPr>
        <sz val="10"/>
        <rFont val="Arial"/>
        <family val="2"/>
      </rPr>
      <t xml:space="preserve"> for not meeting the minimum project threshold of $4,100</t>
    </r>
  </si>
  <si>
    <r>
      <t xml:space="preserve">Cat B: </t>
    </r>
    <r>
      <rPr>
        <b/>
        <sz val="10"/>
        <rFont val="Arial"/>
        <family val="2"/>
      </rPr>
      <t>Estimated</t>
    </r>
    <r>
      <rPr>
        <sz val="10"/>
        <rFont val="Arial"/>
        <family val="2"/>
      </rPr>
      <t xml:space="preserve">: $152,815.14 for sandbaggin and high water assistance due to flooding. </t>
    </r>
    <r>
      <rPr>
        <b/>
        <sz val="10"/>
        <rFont val="Arial"/>
        <family val="2"/>
      </rPr>
      <t>Validated:</t>
    </r>
    <r>
      <rPr>
        <sz val="10"/>
        <rFont val="Arial"/>
        <family val="2"/>
      </rPr>
      <t xml:space="preserve"> $152,815.14 using applicant provided summary sheets.</t>
    </r>
  </si>
  <si>
    <r>
      <rPr>
        <b/>
        <sz val="10"/>
        <rFont val="Arial"/>
        <family val="2"/>
      </rPr>
      <t xml:space="preserve">Cat A:  Estimated $508,000 </t>
    </r>
    <r>
      <rPr>
        <sz val="10"/>
        <rFont val="Arial"/>
        <family val="2"/>
      </rPr>
      <t xml:space="preserve">for debris removal activities for 26 sites/areas.  The City removed vegetative debris, sediment, rocks, and other disaster debris from public ROWs, trails, public property, drainage channels, culverts and bridges.  Applicant included 2 sites for $300,000 for flooding damage to First Lutheran Church and Washington Elementary School.  These are separate entities.  Creating additional applicant entries in Chart A for the PNP and School District. </t>
    </r>
    <r>
      <rPr>
        <b/>
        <sz val="10"/>
        <rFont val="Arial"/>
        <family val="2"/>
      </rPr>
      <t>Reduced: $300,000</t>
    </r>
    <r>
      <rPr>
        <sz val="10"/>
        <rFont val="Arial"/>
        <family val="2"/>
      </rPr>
      <t xml:space="preserve"> for flood damages to school and pnp.  </t>
    </r>
    <r>
      <rPr>
        <b/>
        <sz val="10"/>
        <rFont val="Arial"/>
        <family val="2"/>
      </rPr>
      <t>Validated: $208,000</t>
    </r>
    <r>
      <rPr>
        <sz val="10"/>
        <rFont val="Arial"/>
        <family val="2"/>
      </rPr>
      <t xml:space="preserve"> based on debris photos, locations and cost summaries.  
</t>
    </r>
    <r>
      <rPr>
        <b/>
        <sz val="10"/>
        <rFont val="Arial"/>
        <family val="2"/>
      </rPr>
      <t>Cat B:  Estimated $7,995</t>
    </r>
    <r>
      <rPr>
        <sz val="10"/>
        <rFont val="Arial"/>
        <family val="2"/>
      </rPr>
      <t xml:space="preserve"> for costs related sandbagging, floodfighting, EOC and other emergency measures.  </t>
    </r>
    <r>
      <rPr>
        <b/>
        <sz val="10"/>
        <rFont val="Arial"/>
        <family val="2"/>
      </rPr>
      <t>Validated: $7,995</t>
    </r>
    <r>
      <rPr>
        <sz val="10"/>
        <rFont val="Arial"/>
        <family val="2"/>
      </rPr>
      <t xml:space="preserve"> based on descriptions and cost summaries.
</t>
    </r>
    <r>
      <rPr>
        <b/>
        <sz val="10"/>
        <rFont val="Arial"/>
        <family val="2"/>
      </rPr>
      <t xml:space="preserve">Cat C:  Estimated $1,499,800 </t>
    </r>
    <r>
      <rPr>
        <sz val="10"/>
        <rFont val="Arial"/>
        <family val="2"/>
      </rPr>
      <t xml:space="preserve">for road washouts, sinkholes, culvert failures, ditch damages, shoulder washouts, embankment erosion, riprap washout, road drainage damage and road sign damages across the City.  Applicant submitted 34 damage sites (removed 5 from the iniital submission of 39 sites during PDA).  </t>
    </r>
    <r>
      <rPr>
        <b/>
        <sz val="10"/>
        <rFont val="Arial"/>
        <family val="2"/>
      </rPr>
      <t>Reduced: $800,000</t>
    </r>
    <r>
      <rPr>
        <sz val="10"/>
        <rFont val="Arial"/>
        <family val="2"/>
      </rPr>
      <t xml:space="preserve"> for Ruger Ave and Palmer Drive Bridge  because the roads are federal-aid roads and ineligible for PA. </t>
    </r>
    <r>
      <rPr>
        <b/>
        <sz val="10"/>
        <rFont val="Arial"/>
        <family val="2"/>
      </rPr>
      <t xml:space="preserve">Validated: $699,800 </t>
    </r>
    <r>
      <rPr>
        <sz val="10"/>
        <rFont val="Arial"/>
        <family val="2"/>
      </rPr>
      <t xml:space="preserve">based on photos and summaries provided.  
</t>
    </r>
    <r>
      <rPr>
        <b/>
        <sz val="10"/>
        <rFont val="Arial"/>
        <family val="2"/>
      </rPr>
      <t>Cat D: Estimated: $1,755,000</t>
    </r>
    <r>
      <rPr>
        <sz val="10"/>
        <rFont val="Arial"/>
        <family val="2"/>
      </rPr>
      <t xml:space="preserve"> for various damages to drainage facilities including washout of riprap and embankment protections, culvert failures, outfall damages, storm sewer pipe damages, blocked/plugged culverts and intake structures and erosion.  Included in this estimate is $500,000 estimated damages to Greenbelt Drainage System (engineered system of channels, basins, outfalls, culverts, etc) and $1,000,000 estimated for debris and shoreline damages to Springbrook and Blackhawk Creeks.  Conducted site visits to Greenbelt and Springbrook and Blackhawk Creeks, and Applicnat provided detailed damage photos for remaining sites.  Site visits showed major washouts around culverts, trails, and gabion baskets along creek, and significant vegetative debris blocking channels and culverts. </t>
    </r>
    <r>
      <rPr>
        <b/>
        <sz val="10"/>
        <rFont val="Arial"/>
        <family val="2"/>
      </rPr>
      <t>Reduced: $700,000</t>
    </r>
    <r>
      <rPr>
        <sz val="10"/>
        <rFont val="Arial"/>
        <family val="2"/>
      </rPr>
      <t xml:space="preserve"> for shoreline grading, seeding and stabilization along Springbrook and Blackhawk Creeks.  Site visits showed mostly unimproved embankments and natural land, without evidence of maintained improvements.  Able to validate debris blocking creeks and inlets, and damage to existing gabion baskets.  Also able to validate damages to Greenbelt through site visits.  </t>
    </r>
    <r>
      <rPr>
        <b/>
        <sz val="10"/>
        <rFont val="Arial"/>
        <family val="2"/>
      </rPr>
      <t>Validated: $1,055,000</t>
    </r>
    <r>
      <rPr>
        <sz val="10"/>
        <rFont val="Arial"/>
        <family val="2"/>
      </rPr>
      <t xml:space="preserve"> based on photos, site inspections and cost summaries.  
</t>
    </r>
    <r>
      <rPr>
        <b/>
        <sz val="10"/>
        <rFont val="Arial"/>
        <family val="2"/>
      </rPr>
      <t>Cat E: Estimated: $7,015,000</t>
    </r>
    <r>
      <rPr>
        <sz val="10"/>
        <rFont val="Arial"/>
        <family val="2"/>
      </rPr>
      <t xml:space="preserve"> for flood damage to 4 buildings: Washington Elementary School, First Lutheran Church, Janesville Fire Training Center and City Building.  Washington Elementary School is responsibility of Janesville School District, not the City and First Lutheran Church is responsibility of PNP.  </t>
    </r>
    <r>
      <rPr>
        <b/>
        <sz val="10"/>
        <rFont val="Arial"/>
        <family val="2"/>
      </rPr>
      <t>Reduced: $7,000,000</t>
    </r>
    <r>
      <rPr>
        <sz val="10"/>
        <rFont val="Arial"/>
        <family val="2"/>
      </rPr>
      <t xml:space="preserve"> for the school and PNP damages and addressing those costs under their own separate applicant entries on the Chart A. </t>
    </r>
    <r>
      <rPr>
        <b/>
        <sz val="10"/>
        <rFont val="Arial"/>
        <family val="2"/>
      </rPr>
      <t>Validated: $15,000</t>
    </r>
    <r>
      <rPr>
        <sz val="10"/>
        <rFont val="Arial"/>
        <family val="2"/>
      </rPr>
      <t xml:space="preserve"> for city building and fire training center based on photos and cost summaries.
</t>
    </r>
    <r>
      <rPr>
        <b/>
        <sz val="10"/>
        <rFont val="Arial"/>
        <family val="2"/>
      </rPr>
      <t xml:space="preserve">Cat F: Estimated: $6,539,600 </t>
    </r>
    <r>
      <rPr>
        <sz val="10"/>
        <rFont val="Arial"/>
        <family val="2"/>
      </rPr>
      <t xml:space="preserve">for damages to City's storm sewer system; increased sewage treatment costs; and traffic light signal damages.  Applicant estimating 40% of storm sewer system needs to be cleaned of debris and 90% of the outfalls need clearance and repairs. City just completed its annual storm sewer cleaning and based estimates for cleaning on those maintenance contracts.  Conducted site visits on a sampling of outfalls and inlets from all areas of the City. Outfalls showing massive washout damages and vegetative and sediment debris throughout the pipes we sampled. Inlets similarly show visible vegetative and sediment debris in pipes. The Applicant estimating an average of $5,000 of debris and repair work per outfall. CEFs completed for a couple of the sites visited, showed damages and costs to those would be significantly higher. Thus, the low average estimate of $5,000 is reasonable. </t>
    </r>
    <r>
      <rPr>
        <b/>
        <sz val="10"/>
        <rFont val="Arial"/>
        <family val="2"/>
      </rPr>
      <t>Reduced:  $1,320,000</t>
    </r>
    <r>
      <rPr>
        <sz val="10"/>
        <rFont val="Arial"/>
        <family val="2"/>
      </rPr>
      <t xml:space="preserve"> for number of outfalls to be repaired.  Removed approximately 300 outfalls from original estimate of 930 based on GIS mapping and discussions with the Applicant and State regarding areas of city impacted and legal responsibility.  </t>
    </r>
    <r>
      <rPr>
        <b/>
        <sz val="10"/>
        <rFont val="Arial"/>
        <family val="2"/>
      </rPr>
      <t xml:space="preserve">Reduced: $3,600 </t>
    </r>
    <r>
      <rPr>
        <sz val="10"/>
        <rFont val="Arial"/>
        <family val="2"/>
      </rPr>
      <t xml:space="preserve">for increased operating costs of having to treat more gallons of water than typical due to flooding.  These increased costs not tied to eligible emergency protective measure, just increased usage of its normal service.  </t>
    </r>
    <r>
      <rPr>
        <b/>
        <sz val="10"/>
        <rFont val="Arial"/>
        <family val="2"/>
      </rPr>
      <t xml:space="preserve">Validated: $5,216,000 </t>
    </r>
    <r>
      <rPr>
        <sz val="10"/>
        <rFont val="Arial"/>
        <family val="2"/>
      </rPr>
      <t xml:space="preserve">based on system maps, photos, site visits, and cost estimates based on historical costs.  
</t>
    </r>
    <r>
      <rPr>
        <b/>
        <sz val="10"/>
        <rFont val="Arial"/>
        <family val="2"/>
      </rPr>
      <t>Cat G: Estimated: $850,000</t>
    </r>
    <r>
      <rPr>
        <sz val="10"/>
        <rFont val="Arial"/>
        <family val="2"/>
      </rPr>
      <t xml:space="preserve"> for 26 park sites, including trail washouts, walking bridge damages and other park washouts. </t>
    </r>
    <r>
      <rPr>
        <b/>
        <sz val="10"/>
        <rFont val="Arial"/>
        <family val="2"/>
      </rPr>
      <t>Reduced: $75,000</t>
    </r>
    <r>
      <rPr>
        <sz val="10"/>
        <rFont val="Arial"/>
        <family val="2"/>
      </rPr>
      <t xml:space="preserve"> for road damages claimed to site 51451 (Cemetery Road) because damage photos show signifcant alligator cracking, potholes and prior deterioration. </t>
    </r>
    <r>
      <rPr>
        <b/>
        <sz val="10"/>
        <rFont val="Arial"/>
        <family val="2"/>
      </rPr>
      <t xml:space="preserve"> Validated: $775,000</t>
    </r>
    <r>
      <rPr>
        <sz val="10"/>
        <rFont val="Arial"/>
        <family val="2"/>
      </rPr>
      <t xml:space="preserve"> based on photos, site visits and cost summaries.   </t>
    </r>
  </si>
  <si>
    <r>
      <rPr>
        <b/>
        <sz val="10"/>
        <rFont val="Arial"/>
        <family val="2"/>
      </rPr>
      <t>Cat E: Estimated: $2,000,000</t>
    </r>
    <r>
      <rPr>
        <sz val="10"/>
        <rFont val="Arial"/>
        <family val="2"/>
      </rPr>
      <t xml:space="preserve"> for flooding damage to Washington Elementary School. The City stated that the Applicant's insurance policy only covers up to $150,000 of flood damage. Applicant provided letter and copy of check received from insurance company for the $150,000 of insurance coverage.  No information was provided to validate the cost estimate.  FEMA engineer prepared CEF for flood damage and clean up totaling $1,635,300.  </t>
    </r>
    <r>
      <rPr>
        <b/>
        <sz val="10"/>
        <rFont val="Arial"/>
        <family val="2"/>
      </rPr>
      <t>Reduced: $514,700</t>
    </r>
    <r>
      <rPr>
        <sz val="10"/>
        <rFont val="Arial"/>
        <family val="2"/>
      </rPr>
      <t xml:space="preserve"> due to CEF cost estimate and $150,000 of covered loss.  </t>
    </r>
    <r>
      <rPr>
        <b/>
        <sz val="10"/>
        <rFont val="Arial"/>
        <family val="2"/>
      </rPr>
      <t>Validated: $1,485,300</t>
    </r>
    <r>
      <rPr>
        <sz val="10"/>
        <rFont val="Arial"/>
        <family val="2"/>
      </rPr>
      <t xml:space="preserve"> based on videos, photos and articles showing flood damge to school, CEF prepared by FEMA engineer and insurance coverage. </t>
    </r>
  </si>
  <si>
    <r>
      <rPr>
        <b/>
        <sz val="10"/>
        <rFont val="Arial"/>
        <family val="2"/>
      </rPr>
      <t>Cat A: Estimated $5,000 f</t>
    </r>
    <r>
      <rPr>
        <sz val="10"/>
        <rFont val="Arial"/>
        <family val="2"/>
      </rPr>
      <t xml:space="preserve">or debris removal from culverts, ditches and road shoulders.  Applicant initially claimed $2,500, but also had two debris sites listed under Cat C that have been added to the Cat. A. </t>
    </r>
    <r>
      <rPr>
        <b/>
        <sz val="10"/>
        <rFont val="Arial"/>
        <family val="2"/>
      </rPr>
      <t xml:space="preserve">Validated: $5,000 </t>
    </r>
    <r>
      <rPr>
        <sz val="10"/>
        <rFont val="Arial"/>
        <family val="2"/>
      </rPr>
      <t xml:space="preserve">based on photos and summaries.
</t>
    </r>
    <r>
      <rPr>
        <b/>
        <sz val="10"/>
        <rFont val="Arial"/>
        <family val="2"/>
      </rPr>
      <t>Cat B: Estimated $5,700</t>
    </r>
    <r>
      <rPr>
        <sz val="10"/>
        <rFont val="Arial"/>
        <family val="2"/>
      </rPr>
      <t xml:space="preserve"> for sandbagging and road closures/barricades.  </t>
    </r>
    <r>
      <rPr>
        <b/>
        <sz val="10"/>
        <rFont val="Arial"/>
        <family val="2"/>
      </rPr>
      <t xml:space="preserve">Validated: $5,700 </t>
    </r>
    <r>
      <rPr>
        <sz val="10"/>
        <rFont val="Arial"/>
        <family val="2"/>
      </rPr>
      <t xml:space="preserve">based on summaries.
</t>
    </r>
    <r>
      <rPr>
        <b/>
        <sz val="10"/>
        <rFont val="Arial"/>
        <family val="2"/>
      </rPr>
      <t>Cat C: Estimated $459,495</t>
    </r>
    <r>
      <rPr>
        <sz val="10"/>
        <rFont val="Arial"/>
        <family val="2"/>
      </rPr>
      <t xml:space="preserve"> for 41 road sites.  Damages include road, shoulder and ditch washouts and Rockport Bridge collapse.  Applicant included two debris sites in Cat C (55562 ($1,500) and 59088 ($1,000)). </t>
    </r>
    <r>
      <rPr>
        <b/>
        <sz val="10"/>
        <rFont val="Arial"/>
        <family val="2"/>
      </rPr>
      <t>Reduced $2,500</t>
    </r>
    <r>
      <rPr>
        <sz val="10"/>
        <rFont val="Arial"/>
        <family val="2"/>
      </rPr>
      <t xml:space="preserve"> from Cat C for debris sites and added to Cat A.  Applicant also claiming $400,000 for complete collapse of Rockport Bridge.  Past bridge inspection reports list road as local road and FEMA engineers validated that $400,000 to replace that size of bridge was reasonable.  </t>
    </r>
    <r>
      <rPr>
        <b/>
        <sz val="10"/>
        <rFont val="Arial"/>
        <family val="2"/>
      </rPr>
      <t xml:space="preserve">Validated $456,995 </t>
    </r>
    <r>
      <rPr>
        <sz val="10"/>
        <rFont val="Arial"/>
        <family val="2"/>
      </rPr>
      <t>based on photos, bridge inspection reports and FEMA engineers.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</si>
</sst>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quot;$&quot;#,##0_);\(&quot;$&quot;#,##0\)"/>
    <numFmt numFmtId="44" formatCode="_(&quot;$&quot;* #,##0.00_);_(&quot;$&quot;* \(#,##0.00\);_(&quot;$&quot;* &quot;-&quot;??_);_(@_)"/>
    <numFmt numFmtId="164" formatCode="&quot;$&quot;#,##0"/>
  </numFmts>
  <fonts count="16" x14ac:knownFonts="1">
    <font>
      <sz val="10"/>
      <name val="Arial"/>
    </font>
    <font>
      <sz val="11"/>
      <color theme="1"/>
      <name val="Calibri"/>
      <family val="2"/>
      <scheme val="minor"/>
    </font>
    <font>
      <sz val="10"/>
      <name val="Arial"/>
      <family val="2"/>
    </font>
    <font>
      <sz val="8"/>
      <name val="Arial"/>
      <family val="2"/>
    </font>
    <font>
      <b/>
      <sz val="10"/>
      <name val="Arial"/>
      <family val="2"/>
    </font>
    <font>
      <sz val="10"/>
      <color theme="1"/>
      <name val="Arial"/>
      <family val="2"/>
    </font>
    <font>
      <b/>
      <sz val="10"/>
      <color theme="0"/>
      <name val="Arial"/>
      <family val="2"/>
    </font>
    <font>
      <b/>
      <sz val="11"/>
      <name val="Arial"/>
      <family val="2"/>
    </font>
    <font>
      <b/>
      <sz val="11"/>
      <color rgb="FF00B050"/>
      <name val="Arial"/>
      <family val="2"/>
    </font>
    <font>
      <b/>
      <sz val="12"/>
      <color theme="0"/>
      <name val="Arial"/>
      <family val="2"/>
    </font>
    <font>
      <b/>
      <sz val="14"/>
      <color theme="0"/>
      <name val="Arial"/>
      <family val="2"/>
    </font>
    <font>
      <b/>
      <sz val="12"/>
      <name val="Arial"/>
      <family val="2"/>
    </font>
    <font>
      <u/>
      <sz val="10"/>
      <color theme="10"/>
      <name val="Arial"/>
      <family val="2"/>
    </font>
    <font>
      <sz val="10"/>
      <name val="Arial"/>
      <family val="2"/>
    </font>
    <font>
      <sz val="11"/>
      <name val="Calibri"/>
      <family val="2"/>
      <scheme val="minor"/>
    </font>
    <font>
      <sz val="11"/>
      <color rgb="FF000000"/>
      <name val="Aptos Narrow"/>
      <family val="2"/>
    </font>
  </fonts>
  <fills count="10">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rgb="FFFFFF00"/>
        <bgColor indexed="64"/>
      </patternFill>
    </fill>
  </fills>
  <borders count="18">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ck">
        <color indexed="64"/>
      </top>
      <bottom style="thick">
        <color indexed="64"/>
      </bottom>
      <diagonal/>
    </border>
    <border>
      <left style="thick">
        <color indexed="64"/>
      </left>
      <right style="thin">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style="thin">
        <color indexed="64"/>
      </left>
      <right/>
      <top style="thick">
        <color indexed="64"/>
      </top>
      <bottom style="thick">
        <color indexed="64"/>
      </bottom>
      <diagonal/>
    </border>
    <border>
      <left style="thick">
        <color indexed="64"/>
      </left>
      <right style="medium">
        <color indexed="64"/>
      </right>
      <top style="thick">
        <color indexed="64"/>
      </top>
      <bottom style="thick">
        <color indexed="64"/>
      </bottom>
      <diagonal/>
    </border>
    <border>
      <left/>
      <right/>
      <top/>
      <bottom style="thick">
        <color indexed="64"/>
      </bottom>
      <diagonal/>
    </border>
    <border>
      <left style="thin">
        <color indexed="64"/>
      </left>
      <right/>
      <top style="thick">
        <color indexed="64"/>
      </top>
      <bottom style="medium">
        <color indexed="64"/>
      </bottom>
      <diagonal/>
    </border>
    <border>
      <left/>
      <right/>
      <top style="thick">
        <color indexed="64"/>
      </top>
      <bottom style="medium">
        <color indexed="64"/>
      </bottom>
      <diagonal/>
    </border>
    <border>
      <left/>
      <right style="thin">
        <color indexed="64"/>
      </right>
      <top style="thick">
        <color indexed="64"/>
      </top>
      <bottom style="medium">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right style="thick">
        <color indexed="64"/>
      </right>
      <top style="thick">
        <color indexed="64"/>
      </top>
      <bottom style="thick">
        <color indexed="64"/>
      </bottom>
      <diagonal/>
    </border>
  </borders>
  <cellStyleXfs count="4">
    <xf numFmtId="0" fontId="0" fillId="0" borderId="0"/>
    <xf numFmtId="0" fontId="12" fillId="0" borderId="0" applyNumberFormat="0" applyFill="0" applyBorder="0" applyAlignment="0" applyProtection="0"/>
    <xf numFmtId="44" fontId="13" fillId="0" borderId="0" applyFont="0" applyFill="0" applyBorder="0" applyAlignment="0" applyProtection="0"/>
    <xf numFmtId="0" fontId="1" fillId="0" borderId="0"/>
  </cellStyleXfs>
  <cellXfs count="64">
    <xf numFmtId="0" fontId="0" fillId="0" borderId="0" xfId="0"/>
    <xf numFmtId="0" fontId="3" fillId="0" borderId="0" xfId="0" applyFont="1" applyAlignment="1">
      <alignment vertical="top"/>
    </xf>
    <xf numFmtId="0" fontId="2" fillId="0" borderId="0" xfId="0" applyFont="1"/>
    <xf numFmtId="0" fontId="2" fillId="0" borderId="0" xfId="0" quotePrefix="1" applyFont="1" applyAlignment="1">
      <alignment horizontal="left"/>
    </xf>
    <xf numFmtId="164" fontId="0" fillId="0" borderId="0" xfId="0" applyNumberFormat="1"/>
    <xf numFmtId="0" fontId="7" fillId="4" borderId="8" xfId="0" quotePrefix="1" applyFont="1" applyFill="1" applyBorder="1" applyAlignment="1">
      <alignment horizontal="center" vertical="center"/>
    </xf>
    <xf numFmtId="0" fontId="7" fillId="6" borderId="10" xfId="0" applyFont="1" applyFill="1" applyBorder="1" applyAlignment="1">
      <alignment horizontal="center" vertical="center"/>
    </xf>
    <xf numFmtId="0" fontId="2" fillId="0" borderId="1" xfId="0" applyFont="1" applyBorder="1"/>
    <xf numFmtId="0" fontId="4" fillId="4" borderId="0" xfId="0" quotePrefix="1" applyFont="1" applyFill="1" applyAlignment="1">
      <alignment horizontal="left"/>
    </xf>
    <xf numFmtId="164" fontId="8" fillId="2" borderId="10" xfId="0" applyNumberFormat="1" applyFont="1" applyFill="1" applyBorder="1" applyAlignment="1" applyProtection="1">
      <alignment horizontal="center" vertical="center"/>
    </xf>
    <xf numFmtId="0" fontId="2" fillId="0" borderId="0" xfId="0" applyFont="1" applyProtection="1">
      <protection locked="0"/>
    </xf>
    <xf numFmtId="0" fontId="0" fillId="0" borderId="0" xfId="0" applyProtection="1">
      <protection locked="0"/>
    </xf>
    <xf numFmtId="164" fontId="2" fillId="0" borderId="0" xfId="0" applyNumberFormat="1" applyFont="1" applyProtection="1">
      <protection locked="0"/>
    </xf>
    <xf numFmtId="164" fontId="0" fillId="0" borderId="0" xfId="0" applyNumberFormat="1" applyProtection="1">
      <protection locked="0"/>
    </xf>
    <xf numFmtId="0" fontId="2" fillId="2" borderId="7" xfId="0" applyFont="1" applyFill="1" applyBorder="1" applyAlignment="1" applyProtection="1">
      <alignment horizontal="center" vertical="center"/>
      <protection locked="0"/>
    </xf>
    <xf numFmtId="164" fontId="4" fillId="0" borderId="0" xfId="0" applyNumberFormat="1" applyFont="1" applyAlignment="1" applyProtection="1">
      <alignment horizontal="center"/>
    </xf>
    <xf numFmtId="0" fontId="6" fillId="5" borderId="2" xfId="0" applyFont="1" applyFill="1" applyBorder="1" applyAlignment="1" applyProtection="1">
      <alignment horizontal="center"/>
    </xf>
    <xf numFmtId="0" fontId="6" fillId="5" borderId="4" xfId="0" applyFont="1" applyFill="1" applyBorder="1" applyAlignment="1" applyProtection="1">
      <alignment horizontal="center"/>
    </xf>
    <xf numFmtId="0" fontId="4" fillId="7" borderId="2" xfId="0" applyFont="1" applyFill="1" applyBorder="1" applyAlignment="1" applyProtection="1">
      <alignment horizontal="center"/>
    </xf>
    <xf numFmtId="5" fontId="4" fillId="7" borderId="4" xfId="0" applyNumberFormat="1" applyFont="1" applyFill="1" applyBorder="1" applyAlignment="1" applyProtection="1">
      <alignment horizontal="center" vertical="center" wrapText="1"/>
    </xf>
    <xf numFmtId="0" fontId="4" fillId="8" borderId="2" xfId="0" applyFont="1" applyFill="1" applyBorder="1" applyAlignment="1" applyProtection="1">
      <alignment horizontal="center"/>
    </xf>
    <xf numFmtId="0" fontId="4" fillId="8" borderId="3" xfId="0" applyFont="1" applyFill="1" applyBorder="1" applyAlignment="1" applyProtection="1">
      <alignment horizontal="center"/>
    </xf>
    <xf numFmtId="0" fontId="4" fillId="8" borderId="4" xfId="0" applyFont="1" applyFill="1" applyBorder="1" applyAlignment="1" applyProtection="1">
      <alignment horizontal="center"/>
    </xf>
    <xf numFmtId="0" fontId="4" fillId="0" borderId="0" xfId="0" applyFont="1"/>
    <xf numFmtId="0" fontId="0" fillId="9" borderId="0" xfId="0" applyFill="1"/>
    <xf numFmtId="0" fontId="0" fillId="0" borderId="0" xfId="0" quotePrefix="1" applyAlignment="1">
      <alignment horizontal="left"/>
    </xf>
    <xf numFmtId="0" fontId="10" fillId="5" borderId="4" xfId="0" applyFont="1" applyFill="1" applyBorder="1" applyAlignment="1">
      <alignment horizontal="center" vertical="center"/>
    </xf>
    <xf numFmtId="0" fontId="9" fillId="5" borderId="2" xfId="0" applyFont="1" applyFill="1" applyBorder="1" applyAlignment="1">
      <alignment horizontal="center" vertical="center"/>
    </xf>
    <xf numFmtId="0" fontId="11" fillId="0" borderId="0" xfId="0" applyFont="1" applyAlignment="1">
      <alignment horizontal="center" vertical="center"/>
    </xf>
    <xf numFmtId="0" fontId="5" fillId="6" borderId="1" xfId="0" applyFont="1" applyFill="1" applyBorder="1" applyAlignment="1" applyProtection="1">
      <alignment horizontal="center"/>
    </xf>
    <xf numFmtId="0" fontId="12" fillId="0" borderId="0" xfId="1"/>
    <xf numFmtId="3" fontId="0" fillId="0" borderId="15" xfId="0" applyNumberFormat="1" applyBorder="1" applyAlignment="1" applyProtection="1">
      <alignment horizontal="right"/>
      <protection locked="0"/>
    </xf>
    <xf numFmtId="3" fontId="0" fillId="0" borderId="16" xfId="0" applyNumberFormat="1" applyBorder="1" applyAlignment="1" applyProtection="1">
      <alignment horizontal="right"/>
      <protection locked="0"/>
    </xf>
    <xf numFmtId="0" fontId="14" fillId="0" borderId="15" xfId="0" applyFont="1" applyBorder="1" applyProtection="1">
      <protection locked="0"/>
    </xf>
    <xf numFmtId="0" fontId="14" fillId="0" borderId="16" xfId="0" applyFont="1" applyBorder="1" applyProtection="1">
      <protection locked="0"/>
    </xf>
    <xf numFmtId="0" fontId="0" fillId="0" borderId="0" xfId="0" applyFont="1"/>
    <xf numFmtId="44" fontId="0" fillId="0" borderId="0" xfId="2" quotePrefix="1" applyFont="1"/>
    <xf numFmtId="44" fontId="0" fillId="0" borderId="0" xfId="0" applyNumberFormat="1"/>
    <xf numFmtId="0" fontId="0" fillId="0" borderId="0" xfId="0" quotePrefix="1"/>
    <xf numFmtId="0" fontId="6" fillId="5" borderId="3" xfId="0" applyFont="1" applyFill="1" applyBorder="1" applyAlignment="1" applyProtection="1">
      <alignment horizontal="center"/>
    </xf>
    <xf numFmtId="0" fontId="2" fillId="0" borderId="0" xfId="0" applyFont="1" applyAlignment="1" applyProtection="1">
      <alignment wrapText="1"/>
      <protection locked="0"/>
    </xf>
    <xf numFmtId="0" fontId="0" fillId="0" borderId="0" xfId="0" applyAlignment="1" applyProtection="1">
      <alignment wrapText="1"/>
      <protection locked="0"/>
    </xf>
    <xf numFmtId="0" fontId="0" fillId="0" borderId="0" xfId="0" applyAlignment="1">
      <alignment wrapText="1"/>
    </xf>
    <xf numFmtId="0" fontId="15" fillId="0" borderId="0" xfId="0" applyFont="1" applyProtection="1">
      <protection locked="0"/>
    </xf>
    <xf numFmtId="0" fontId="2" fillId="0" borderId="0" xfId="0" applyFont="1" applyAlignment="1">
      <alignment wrapText="1"/>
    </xf>
    <xf numFmtId="0" fontId="0" fillId="3" borderId="11" xfId="0" applyFill="1" applyBorder="1" applyAlignment="1">
      <alignment horizontal="center"/>
    </xf>
    <xf numFmtId="0" fontId="0" fillId="3" borderId="0" xfId="0" applyFill="1" applyAlignment="1">
      <alignment horizontal="center"/>
    </xf>
    <xf numFmtId="0" fontId="7" fillId="8" borderId="6" xfId="0" applyFont="1" applyFill="1" applyBorder="1" applyAlignment="1">
      <alignment horizontal="center" vertical="center"/>
    </xf>
    <xf numFmtId="0" fontId="7" fillId="8" borderId="5" xfId="0" applyFont="1" applyFill="1" applyBorder="1" applyAlignment="1">
      <alignment horizontal="center" vertical="center"/>
    </xf>
    <xf numFmtId="0" fontId="7" fillId="8" borderId="9" xfId="0" applyFont="1" applyFill="1" applyBorder="1" applyAlignment="1">
      <alignment horizontal="center" vertical="center"/>
    </xf>
    <xf numFmtId="164" fontId="7" fillId="2" borderId="6" xfId="0" applyNumberFormat="1" applyFont="1" applyFill="1" applyBorder="1" applyAlignment="1" applyProtection="1">
      <alignment horizontal="center" vertical="center" wrapText="1"/>
    </xf>
    <xf numFmtId="164" fontId="7" fillId="2" borderId="5" xfId="0" applyNumberFormat="1" applyFont="1" applyFill="1" applyBorder="1" applyAlignment="1" applyProtection="1">
      <alignment horizontal="center" vertical="center" wrapText="1"/>
    </xf>
    <xf numFmtId="164" fontId="7" fillId="2" borderId="9" xfId="0" applyNumberFormat="1" applyFont="1" applyFill="1" applyBorder="1" applyAlignment="1" applyProtection="1">
      <alignment horizontal="center" vertical="center" wrapText="1"/>
    </xf>
    <xf numFmtId="0" fontId="0" fillId="3" borderId="12" xfId="0" applyFill="1" applyBorder="1" applyAlignment="1">
      <alignment horizontal="center"/>
    </xf>
    <xf numFmtId="0" fontId="0" fillId="3" borderId="13" xfId="0" applyFill="1" applyBorder="1" applyAlignment="1">
      <alignment horizontal="center"/>
    </xf>
    <xf numFmtId="0" fontId="0" fillId="3" borderId="14" xfId="0" applyFill="1" applyBorder="1" applyAlignment="1">
      <alignment horizontal="center"/>
    </xf>
    <xf numFmtId="0" fontId="7" fillId="7" borderId="6" xfId="0" applyFont="1" applyFill="1" applyBorder="1" applyAlignment="1">
      <alignment horizontal="center" vertical="center"/>
    </xf>
    <xf numFmtId="0" fontId="7" fillId="7" borderId="9" xfId="0" applyFont="1" applyFill="1" applyBorder="1" applyAlignment="1">
      <alignment horizontal="center" vertical="center"/>
    </xf>
    <xf numFmtId="164" fontId="7" fillId="2" borderId="6" xfId="0" applyNumberFormat="1" applyFont="1" applyFill="1" applyBorder="1" applyAlignment="1" applyProtection="1">
      <alignment horizontal="center" vertical="center"/>
    </xf>
    <xf numFmtId="164" fontId="7" fillId="2" borderId="9" xfId="0" applyNumberFormat="1" applyFont="1" applyFill="1" applyBorder="1" applyAlignment="1" applyProtection="1">
      <alignment horizontal="center" vertical="center"/>
    </xf>
    <xf numFmtId="0" fontId="7" fillId="4" borderId="8" xfId="0" quotePrefix="1" applyFont="1" applyFill="1" applyBorder="1" applyAlignment="1">
      <alignment horizontal="center" vertical="center"/>
    </xf>
    <xf numFmtId="0" fontId="7" fillId="4" borderId="17" xfId="0" quotePrefix="1" applyFont="1" applyFill="1" applyBorder="1" applyAlignment="1">
      <alignment horizontal="center" vertical="center"/>
    </xf>
    <xf numFmtId="0" fontId="2" fillId="2" borderId="8" xfId="0" applyFont="1" applyFill="1" applyBorder="1" applyAlignment="1" applyProtection="1">
      <alignment horizontal="center" vertical="center"/>
      <protection locked="0"/>
    </xf>
    <xf numFmtId="0" fontId="2" fillId="2" borderId="17" xfId="0" applyFont="1" applyFill="1" applyBorder="1" applyAlignment="1" applyProtection="1">
      <alignment horizontal="center" vertical="center"/>
      <protection locked="0"/>
    </xf>
  </cellXfs>
  <cellStyles count="4">
    <cellStyle name="Currency" xfId="2" builtinId="4"/>
    <cellStyle name="Hyperlink" xfId="1" builtinId="8"/>
    <cellStyle name="Normal" xfId="0" builtinId="0"/>
    <cellStyle name="Normal 2" xfId="3" xr:uid="{BCCC2360-B325-4E27-9345-AB9F5035B32C}"/>
  </cellStyles>
  <dxfs count="23">
    <dxf>
      <fill>
        <patternFill>
          <bgColor theme="8" tint="0.39994506668294322"/>
        </patternFill>
      </fill>
    </dxf>
    <dxf>
      <fill>
        <patternFill>
          <bgColor theme="7" tint="0.39994506668294322"/>
        </patternFill>
      </fill>
    </dxf>
    <dxf>
      <fill>
        <patternFill>
          <bgColor theme="5" tint="0.39994506668294322"/>
        </patternFill>
      </fill>
    </dxf>
    <dxf>
      <fill>
        <patternFill>
          <bgColor theme="6" tint="0.39994506668294322"/>
        </patternFill>
      </fill>
    </dxf>
    <dxf>
      <fill>
        <patternFill>
          <bgColor rgb="FFFFFF00"/>
        </patternFill>
      </fill>
    </dxf>
    <dxf>
      <numFmt numFmtId="0" formatCode="General"/>
    </dxf>
    <dxf>
      <border>
        <bottom style="medium">
          <color indexed="64"/>
        </bottom>
      </border>
    </dxf>
    <dxf>
      <font>
        <b val="0"/>
        <i val="0"/>
        <strike val="0"/>
        <condense val="0"/>
        <extend val="0"/>
        <outline val="0"/>
        <shadow val="0"/>
        <u val="none"/>
        <vertAlign val="baseline"/>
        <sz val="10"/>
        <color auto="1"/>
        <name val="Arial"/>
        <family val="2"/>
        <scheme val="none"/>
      </font>
      <border diagonalUp="0" diagonalDown="0">
        <left/>
        <right/>
        <top/>
        <bottom/>
        <vertical/>
        <horizontal/>
      </border>
    </dxf>
    <dxf>
      <protection locked="0" hidden="0"/>
    </dxf>
    <dxf>
      <font>
        <b/>
        <i val="0"/>
        <strike val="0"/>
        <outline val="0"/>
        <shadow val="0"/>
        <u val="none"/>
        <vertAlign val="baseline"/>
        <sz val="12"/>
        <name val="Arial"/>
        <family val="2"/>
        <scheme val="none"/>
      </font>
      <alignment horizontal="center" vertical="center" textRotation="0" wrapText="0" indent="0" justifyLastLine="0" shrinkToFit="0" readingOrder="0"/>
    </dxf>
    <dxf>
      <border>
        <bottom style="medium">
          <color indexed="64"/>
        </bottom>
      </border>
    </dxf>
    <dxf>
      <font>
        <b/>
        <i val="0"/>
        <strike val="0"/>
        <outline val="0"/>
        <shadow val="0"/>
        <u val="none"/>
        <vertAlign val="baseline"/>
        <sz val="14"/>
        <color theme="0"/>
        <name val="Arial"/>
        <family val="2"/>
        <scheme val="none"/>
      </font>
      <fill>
        <patternFill patternType="solid">
          <fgColor indexed="64"/>
          <bgColor theme="4" tint="-0.249977111117893"/>
        </patternFill>
      </fill>
      <alignment horizontal="center" vertical="center" textRotation="0" wrapText="0" indent="0" justifyLastLine="0" shrinkToFit="0" readingOrder="0"/>
      <border diagonalUp="0" diagonalDown="0">
        <left/>
        <right/>
        <top/>
        <bottom/>
        <vertical/>
        <horizontal/>
      </border>
    </dxf>
    <dxf>
      <font>
        <b/>
        <i val="0"/>
        <strike val="0"/>
        <outline val="0"/>
        <shadow val="0"/>
        <u val="none"/>
        <vertAlign val="baseline"/>
        <sz val="10"/>
        <color auto="1"/>
        <name val="Arial"/>
        <scheme val="none"/>
      </font>
      <numFmt numFmtId="164" formatCode="&quot;$&quot;#,##0"/>
      <alignment horizontal="center" vertical="bottom" textRotation="0" wrapText="0" indent="0" justifyLastLine="0" shrinkToFit="0" readingOrder="0"/>
      <protection locked="1" hidden="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font>
        <b val="0"/>
        <i val="0"/>
        <strike val="0"/>
        <condense val="0"/>
        <extend val="0"/>
        <outline val="0"/>
        <shadow val="0"/>
        <u val="none"/>
        <vertAlign val="baseline"/>
        <sz val="10"/>
        <color auto="1"/>
        <name val="Arial"/>
        <family val="2"/>
        <scheme val="none"/>
      </font>
      <protection locked="0" hidden="0"/>
    </dxf>
    <dxf>
      <border>
        <bottom style="medium">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4" tint="-0.249977111117893"/>
        </patternFill>
      </fill>
      <alignment horizontal="center" vertical="bottom" textRotation="0" wrapText="0" indent="0" justifyLastLine="0" shrinkToFit="0" readingOrder="0"/>
      <border diagonalUp="0" diagonalDown="0">
        <left/>
        <right/>
        <top/>
        <bottom/>
        <vertical/>
        <horizontal/>
      </border>
      <protection locked="1" hidden="0"/>
    </dxf>
  </dxfs>
  <tableStyles count="0" defaultTableStyle="TableStyleMedium9" defaultPivotStyle="PivotStyleLight16"/>
  <colors>
    <mruColors>
      <color rgb="FFFFFF99"/>
      <color rgb="FFFF00FF"/>
      <color rgb="FFFF5050"/>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619125</xdr:colOff>
      <xdr:row>1</xdr:row>
      <xdr:rowOff>0</xdr:rowOff>
    </xdr:from>
    <xdr:to>
      <xdr:col>8</xdr:col>
      <xdr:colOff>711836</xdr:colOff>
      <xdr:row>1</xdr:row>
      <xdr:rowOff>150495</xdr:rowOff>
    </xdr:to>
    <xdr:sp macro="" textlink="">
      <xdr:nvSpPr>
        <xdr:cNvPr id="6" name="Text Box 4">
          <a:extLst>
            <a:ext uri="{FF2B5EF4-FFF2-40B4-BE49-F238E27FC236}">
              <a16:creationId xmlns:a16="http://schemas.microsoft.com/office/drawing/2014/main" id="{6DEF070D-C057-4115-BE39-3F13BE9043D4}"/>
            </a:ext>
          </a:extLst>
        </xdr:cNvPr>
        <xdr:cNvSpPr txBox="1">
          <a:spLocks noChangeArrowheads="1"/>
        </xdr:cNvSpPr>
      </xdr:nvSpPr>
      <xdr:spPr bwMode="auto">
        <a:xfrm>
          <a:off x="9267825" y="0"/>
          <a:ext cx="89536" cy="150495"/>
        </a:xfrm>
        <a:prstGeom prst="rect">
          <a:avLst/>
        </a:prstGeom>
        <a:noFill/>
        <a:ln w="9525">
          <a:noFill/>
          <a:miter lim="800000"/>
          <a:headEnd/>
          <a:tailEnd/>
        </a:ln>
      </xdr:spPr>
    </xdr:sp>
    <xdr:clientData/>
  </xdr:twoCellAnchor>
  <xdr:twoCellAnchor editAs="oneCell">
    <xdr:from>
      <xdr:col>8</xdr:col>
      <xdr:colOff>619125</xdr:colOff>
      <xdr:row>1</xdr:row>
      <xdr:rowOff>0</xdr:rowOff>
    </xdr:from>
    <xdr:to>
      <xdr:col>8</xdr:col>
      <xdr:colOff>711836</xdr:colOff>
      <xdr:row>1</xdr:row>
      <xdr:rowOff>150495</xdr:rowOff>
    </xdr:to>
    <xdr:sp macro="" textlink="">
      <xdr:nvSpPr>
        <xdr:cNvPr id="7" name="Text Box 19">
          <a:extLst>
            <a:ext uri="{FF2B5EF4-FFF2-40B4-BE49-F238E27FC236}">
              <a16:creationId xmlns:a16="http://schemas.microsoft.com/office/drawing/2014/main" id="{E449E2C0-9D82-4135-9D46-E7E414D8DD75}"/>
            </a:ext>
          </a:extLst>
        </xdr:cNvPr>
        <xdr:cNvSpPr txBox="1">
          <a:spLocks noChangeArrowheads="1"/>
        </xdr:cNvSpPr>
      </xdr:nvSpPr>
      <xdr:spPr bwMode="auto">
        <a:xfrm>
          <a:off x="9267825" y="0"/>
          <a:ext cx="89536" cy="150495"/>
        </a:xfrm>
        <a:prstGeom prst="rect">
          <a:avLst/>
        </a:prstGeom>
        <a:noFill/>
        <a:ln w="9525">
          <a:noFill/>
          <a:miter lim="800000"/>
          <a:headEnd/>
          <a:tailEnd/>
        </a:ln>
      </xdr:spPr>
    </xdr:sp>
    <xdr:clientData/>
  </xdr:twoCellAnchor>
  <xdr:twoCellAnchor editAs="oneCell">
    <xdr:from>
      <xdr:col>8</xdr:col>
      <xdr:colOff>619125</xdr:colOff>
      <xdr:row>1</xdr:row>
      <xdr:rowOff>0</xdr:rowOff>
    </xdr:from>
    <xdr:to>
      <xdr:col>8</xdr:col>
      <xdr:colOff>711836</xdr:colOff>
      <xdr:row>1</xdr:row>
      <xdr:rowOff>150495</xdr:rowOff>
    </xdr:to>
    <xdr:sp macro="" textlink="">
      <xdr:nvSpPr>
        <xdr:cNvPr id="8" name="Text Box 20">
          <a:extLst>
            <a:ext uri="{FF2B5EF4-FFF2-40B4-BE49-F238E27FC236}">
              <a16:creationId xmlns:a16="http://schemas.microsoft.com/office/drawing/2014/main" id="{AD969D8F-371F-456A-B536-93443705C749}"/>
            </a:ext>
          </a:extLst>
        </xdr:cNvPr>
        <xdr:cNvSpPr txBox="1">
          <a:spLocks noChangeArrowheads="1"/>
        </xdr:cNvSpPr>
      </xdr:nvSpPr>
      <xdr:spPr bwMode="auto">
        <a:xfrm>
          <a:off x="9267825" y="0"/>
          <a:ext cx="89536" cy="150495"/>
        </a:xfrm>
        <a:prstGeom prst="rect">
          <a:avLst/>
        </a:prstGeom>
        <a:noFill/>
        <a:ln w="9525">
          <a:noFill/>
          <a:miter lim="800000"/>
          <a:headEnd/>
          <a:tailEnd/>
        </a:ln>
      </xdr:spPr>
    </xdr:sp>
    <xdr:clientData/>
  </xdr:twoCellAnchor>
  <xdr:oneCellAnchor>
    <xdr:from>
      <xdr:col>8</xdr:col>
      <xdr:colOff>619125</xdr:colOff>
      <xdr:row>1</xdr:row>
      <xdr:rowOff>0</xdr:rowOff>
    </xdr:from>
    <xdr:ext cx="76200" cy="150495"/>
    <xdr:sp macro="" textlink="">
      <xdr:nvSpPr>
        <xdr:cNvPr id="9" name="Text Box 19">
          <a:extLst>
            <a:ext uri="{FF2B5EF4-FFF2-40B4-BE49-F238E27FC236}">
              <a16:creationId xmlns:a16="http://schemas.microsoft.com/office/drawing/2014/main" id="{042953F7-0919-4630-9D22-CA31DADDB61C}"/>
            </a:ext>
          </a:extLst>
        </xdr:cNvPr>
        <xdr:cNvSpPr txBox="1">
          <a:spLocks noChangeArrowheads="1"/>
        </xdr:cNvSpPr>
      </xdr:nvSpPr>
      <xdr:spPr bwMode="auto">
        <a:xfrm>
          <a:off x="9267825" y="0"/>
          <a:ext cx="76200" cy="150495"/>
        </a:xfrm>
        <a:prstGeom prst="rect">
          <a:avLst/>
        </a:prstGeom>
        <a:noFill/>
        <a:ln w="9525">
          <a:noFill/>
          <a:miter lim="800000"/>
          <a:headEnd/>
          <a:tailEnd/>
        </a:ln>
      </xdr:spPr>
    </xdr:sp>
    <xdr:clientData/>
  </xdr:oneCellAnchor>
  <xdr:twoCellAnchor editAs="oneCell">
    <xdr:from>
      <xdr:col>5</xdr:col>
      <xdr:colOff>670560</xdr:colOff>
      <xdr:row>1</xdr:row>
      <xdr:rowOff>0</xdr:rowOff>
    </xdr:from>
    <xdr:to>
      <xdr:col>5</xdr:col>
      <xdr:colOff>904133</xdr:colOff>
      <xdr:row>2</xdr:row>
      <xdr:rowOff>1545</xdr:rowOff>
    </xdr:to>
    <xdr:pic>
      <xdr:nvPicPr>
        <xdr:cNvPr id="3" name="Picture 2">
          <a:extLst>
            <a:ext uri="{FF2B5EF4-FFF2-40B4-BE49-F238E27FC236}">
              <a16:creationId xmlns:a16="http://schemas.microsoft.com/office/drawing/2014/main" id="{9B9B8853-A1CE-A906-D957-9BE07BEA7608}"/>
            </a:ext>
          </a:extLst>
        </xdr:cNvPr>
        <xdr:cNvPicPr>
          <a:picLocks noChangeAspect="1"/>
        </xdr:cNvPicPr>
      </xdr:nvPicPr>
      <xdr:blipFill>
        <a:blip xmlns:r="http://schemas.openxmlformats.org/officeDocument/2006/relationships" r:embed="rId1"/>
        <a:stretch>
          <a:fillRect/>
        </a:stretch>
      </xdr:blipFill>
      <xdr:spPr>
        <a:xfrm>
          <a:off x="6134100" y="167640"/>
          <a:ext cx="231668" cy="237765"/>
        </a:xfrm>
        <a:prstGeom prst="rect">
          <a:avLst/>
        </a:prstGeom>
      </xdr:spPr>
    </xdr:pic>
    <xdr:clientData/>
  </xdr:twoCellAnchor>
  <xdr:twoCellAnchor editAs="oneCell">
    <xdr:from>
      <xdr:col>9</xdr:col>
      <xdr:colOff>83820</xdr:colOff>
      <xdr:row>1</xdr:row>
      <xdr:rowOff>0</xdr:rowOff>
    </xdr:from>
    <xdr:to>
      <xdr:col>9</xdr:col>
      <xdr:colOff>331998</xdr:colOff>
      <xdr:row>2</xdr:row>
      <xdr:rowOff>1545</xdr:rowOff>
    </xdr:to>
    <xdr:pic>
      <xdr:nvPicPr>
        <xdr:cNvPr id="4" name="Picture 3">
          <a:extLst>
            <a:ext uri="{FF2B5EF4-FFF2-40B4-BE49-F238E27FC236}">
              <a16:creationId xmlns:a16="http://schemas.microsoft.com/office/drawing/2014/main" id="{2066FDF3-E4C2-810F-CDA6-80E40B9615AF}"/>
            </a:ext>
          </a:extLst>
        </xdr:cNvPr>
        <xdr:cNvPicPr>
          <a:picLocks noChangeAspect="1"/>
        </xdr:cNvPicPr>
      </xdr:nvPicPr>
      <xdr:blipFill>
        <a:blip xmlns:r="http://schemas.openxmlformats.org/officeDocument/2006/relationships" r:embed="rId1"/>
        <a:stretch>
          <a:fillRect/>
        </a:stretch>
      </xdr:blipFill>
      <xdr:spPr>
        <a:xfrm>
          <a:off x="10149840" y="167640"/>
          <a:ext cx="231668" cy="237765"/>
        </a:xfrm>
        <a:prstGeom prst="rect">
          <a:avLst/>
        </a:prstGeom>
      </xdr:spPr>
    </xdr:pic>
    <xdr:clientData/>
  </xdr:twoCellAnchor>
  <xdr:twoCellAnchor editAs="oneCell">
    <xdr:from>
      <xdr:col>11</xdr:col>
      <xdr:colOff>1150620</xdr:colOff>
      <xdr:row>1</xdr:row>
      <xdr:rowOff>0</xdr:rowOff>
    </xdr:from>
    <xdr:to>
      <xdr:col>11</xdr:col>
      <xdr:colOff>1398798</xdr:colOff>
      <xdr:row>2</xdr:row>
      <xdr:rowOff>1545</xdr:rowOff>
    </xdr:to>
    <xdr:pic>
      <xdr:nvPicPr>
        <xdr:cNvPr id="5" name="Picture 4">
          <a:extLst>
            <a:ext uri="{FF2B5EF4-FFF2-40B4-BE49-F238E27FC236}">
              <a16:creationId xmlns:a16="http://schemas.microsoft.com/office/drawing/2014/main" id="{8B24117A-5352-C27F-B00B-158F78FBEBF1}"/>
            </a:ext>
          </a:extLst>
        </xdr:cNvPr>
        <xdr:cNvPicPr>
          <a:picLocks noChangeAspect="1"/>
        </xdr:cNvPicPr>
      </xdr:nvPicPr>
      <xdr:blipFill>
        <a:blip xmlns:r="http://schemas.openxmlformats.org/officeDocument/2006/relationships" r:embed="rId1"/>
        <a:stretch>
          <a:fillRect/>
        </a:stretch>
      </xdr:blipFill>
      <xdr:spPr>
        <a:xfrm>
          <a:off x="13517880" y="167640"/>
          <a:ext cx="231668" cy="237765"/>
        </a:xfrm>
        <a:prstGeom prst="rect">
          <a:avLst/>
        </a:prstGeom>
      </xdr:spPr>
    </xdr:pic>
    <xdr:clientData/>
  </xdr:twoCellAnchor>
  <xdr:twoCellAnchor editAs="oneCell">
    <xdr:from>
      <xdr:col>11</xdr:col>
      <xdr:colOff>1386840</xdr:colOff>
      <xdr:row>3</xdr:row>
      <xdr:rowOff>167641</xdr:rowOff>
    </xdr:from>
    <xdr:to>
      <xdr:col>11</xdr:col>
      <xdr:colOff>1589405</xdr:colOff>
      <xdr:row>5</xdr:row>
      <xdr:rowOff>9526</xdr:rowOff>
    </xdr:to>
    <xdr:pic>
      <xdr:nvPicPr>
        <xdr:cNvPr id="10" name="Picture 9">
          <a:extLst>
            <a:ext uri="{FF2B5EF4-FFF2-40B4-BE49-F238E27FC236}">
              <a16:creationId xmlns:a16="http://schemas.microsoft.com/office/drawing/2014/main" id="{2142D369-A9AD-E6AE-33FC-B4DA3EBE5421}"/>
            </a:ext>
          </a:extLst>
        </xdr:cNvPr>
        <xdr:cNvPicPr>
          <a:picLocks noChangeAspect="1"/>
        </xdr:cNvPicPr>
      </xdr:nvPicPr>
      <xdr:blipFill>
        <a:blip xmlns:r="http://schemas.openxmlformats.org/officeDocument/2006/relationships" r:embed="rId1"/>
        <a:stretch>
          <a:fillRect/>
        </a:stretch>
      </xdr:blipFill>
      <xdr:spPr>
        <a:xfrm>
          <a:off x="13754100" y="982981"/>
          <a:ext cx="193040" cy="1981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0347530947_fema_dhs_gov/Documents/Desktop/PDA/MASTER/New%20Table%2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ummary Page"/>
      <sheetName val="Input Sheet"/>
      <sheetName val="County Populations"/>
      <sheetName val="Programming Notes"/>
      <sheetName val="Data"/>
      <sheetName val="Populations"/>
    </sheetNames>
    <sheetDataSet>
      <sheetData sheetId="0" refreshError="1"/>
      <sheetData sheetId="1" refreshError="1"/>
      <sheetData sheetId="2" refreshError="1"/>
      <sheetData sheetId="3">
        <row r="2">
          <cell r="C2" t="str">
            <v>Aleutians East Borough</v>
          </cell>
        </row>
        <row r="6">
          <cell r="M6">
            <v>1370</v>
          </cell>
        </row>
        <row r="7">
          <cell r="M7">
            <v>1457</v>
          </cell>
        </row>
      </sheetData>
      <sheetData sheetId="4" refreshError="1"/>
      <sheetData sheetId="5" refreshError="1"/>
      <sheetData sheetId="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5620BDC-37EF-44D7-A55A-E82E3B8113B4}" name="Table6" displayName="Table6" ref="B5:L101" totalsRowShown="0" headerRowDxfId="22" headerRowBorderDxfId="21">
  <autoFilter ref="B5:L101" xr:uid="{A5620BDC-37EF-44D7-A55A-E82E3B8113B4}"/>
  <sortState xmlns:xlrd2="http://schemas.microsoft.com/office/spreadsheetml/2017/richdata2" ref="B6:L101">
    <sortCondition descending="1" ref="B5:B101"/>
  </sortState>
  <tableColumns count="11">
    <tableColumn id="1" xr3:uid="{58A1F626-6A37-4400-A0D7-73A4977168EE}" name="Applicant"/>
    <tableColumn id="11" xr3:uid="{73CBDA3F-3CCD-40E9-A1D6-EDEAC3094AD9}" name="Type" dataDxfId="20"/>
    <tableColumn id="2" xr3:uid="{CEF0DEE3-5FBC-4431-8D20-44ADFA086565}" name="Status"/>
    <tableColumn id="3" xr3:uid="{6AE4775A-6962-48E5-A1C4-9FCA9AB9D84E}" name="A" dataDxfId="19"/>
    <tableColumn id="4" xr3:uid="{95329002-0451-4E1E-945B-2C92D7F26AE1}" name="B" dataDxfId="18"/>
    <tableColumn id="5" xr3:uid="{C9970892-8DCE-47CB-869D-F16FA0BD7E06}" name="C" dataDxfId="17"/>
    <tableColumn id="6" xr3:uid="{F0DCACBD-52FF-4FE4-84B1-2D6B25D65311}" name="D" dataDxfId="16"/>
    <tableColumn id="7" xr3:uid="{205919F4-D5DE-486C-90D6-F5D967AC39EC}" name="E" dataDxfId="15"/>
    <tableColumn id="8" xr3:uid="{F9D328E0-74CC-4868-B431-49B3E35EFE9D}" name="F" dataDxfId="14"/>
    <tableColumn id="9" xr3:uid="{03019066-5B79-4995-97FF-5CAED36BB984}" name="G" dataDxfId="13"/>
    <tableColumn id="10" xr3:uid="{1D74BABD-09F2-423C-A7DE-83A1A9B01B7A}" name="Applicant Total" dataDxfId="12">
      <calculatedColumnFormula>SUM(Table6[[#This Row],[A]:[G]])</calculatedColumnFormula>
    </tableColumn>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F1571E-2DE1-4178-B308-3670BEB5628D}" name="Table2" displayName="Table2" ref="A1:B100" totalsRowShown="0" headerRowDxfId="11" headerRowBorderDxfId="10">
  <autoFilter ref="A1:B100" xr:uid="{29F1571E-2DE1-4178-B308-3670BEB5628D}"/>
  <tableColumns count="2">
    <tableColumn id="1" xr3:uid="{511D19C6-A0F9-419D-8333-A1AF52B58914}" name="Applicant" dataDxfId="9">
      <calculatedColumnFormula>'County Summary'!B6</calculatedColumnFormula>
    </tableColumn>
    <tableColumn id="2" xr3:uid="{013B6BC0-C6D4-4D70-B3B0-8E99805BD467}" name="Comments" dataDxfId="8"/>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8BA798-1650-4FBC-9431-8BD2F9AC0222}" name="Table152" displayName="Table152" ref="A3:A75" totalsRowShown="0" headerRowDxfId="7" headerRowBorderDxfId="6">
  <autoFilter ref="A3:A75" xr:uid="{28702944-4F95-47B2-ADD7-850BD65E83C4}"/>
  <sortState xmlns:xlrd2="http://schemas.microsoft.com/office/spreadsheetml/2017/richdata2" ref="A4:A75">
    <sortCondition ref="A3:A75"/>
  </sortState>
  <tableColumns count="1">
    <tableColumn id="1" xr3:uid="{4CF389FC-CECE-4192-9636-17DAFB0678D2}" name="County (Population) - Threshold" dataDxfId="5">
      <calculatedColumnFormula>D4 &amp; " (" &amp;F4&amp; ")" &amp; " - " &amp;H4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txDef>
      <a:spPr>
        <a:solidFill>
          <a:schemeClr val="lt1"/>
        </a:solidFill>
        <a:ln w="9525" cmpd="sng">
          <a:solidFill>
            <a:schemeClr val="lt1">
              <a:shade val="50000"/>
            </a:schemeClr>
          </a:solidFill>
        </a:ln>
      </a:spPr>
      <a:bodyPr vertOverflow="overflow" horzOverflow="overflow" wrap="square" rtlCol="0" anchor="t"/>
      <a:lstStyle>
        <a:defPPr algn="l">
          <a:defRPr sz="1100" b="1"/>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mailto:Charles.Annerino@fema.dhs.gov"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32B60-4B75-4750-A216-1A9BE654E594}">
  <sheetPr>
    <tabColor theme="6" tint="0.39997558519241921"/>
  </sheetPr>
  <dimension ref="A1:L201"/>
  <sheetViews>
    <sheetView showZeros="0" workbookViewId="0">
      <pane xSplit="1" ySplit="5" topLeftCell="B6" activePane="bottomRight" state="frozen"/>
      <selection pane="topRight" activeCell="B1" sqref="B1"/>
      <selection pane="bottomLeft" activeCell="A6" sqref="A6"/>
      <selection pane="bottomRight" activeCell="B18" sqref="B18"/>
    </sheetView>
  </sheetViews>
  <sheetFormatPr defaultColWidth="16.7109375" defaultRowHeight="12.75" x14ac:dyDescent="0.2"/>
  <cols>
    <col min="1" max="1" width="0.7109375" style="46" customWidth="1"/>
    <col min="2" max="2" width="31.7109375" customWidth="1"/>
    <col min="3" max="3" width="13.7109375" customWidth="1"/>
    <col min="4" max="4" width="16.7109375" customWidth="1"/>
    <col min="12" max="12" width="26.28515625" customWidth="1"/>
  </cols>
  <sheetData>
    <row r="1" spans="1:12" ht="13.15" customHeight="1" thickBot="1" x14ac:dyDescent="0.25">
      <c r="B1" s="45"/>
      <c r="C1" s="45"/>
      <c r="D1" s="45"/>
      <c r="E1" s="45"/>
      <c r="F1" s="45"/>
      <c r="G1" s="45"/>
      <c r="H1" s="45"/>
      <c r="I1" s="45"/>
      <c r="J1" s="45"/>
      <c r="K1" s="45"/>
      <c r="L1" s="45"/>
    </row>
    <row r="2" spans="1:12" s="1" customFormat="1" ht="20.100000000000001" customHeight="1" thickTop="1" thickBot="1" x14ac:dyDescent="0.25">
      <c r="A2" s="46"/>
      <c r="B2" s="60" t="s">
        <v>15</v>
      </c>
      <c r="C2" s="61"/>
      <c r="D2" s="5" t="s">
        <v>7</v>
      </c>
      <c r="E2" s="56" t="s">
        <v>9</v>
      </c>
      <c r="F2" s="57"/>
      <c r="G2" s="47" t="s">
        <v>13</v>
      </c>
      <c r="H2" s="48"/>
      <c r="I2" s="48"/>
      <c r="J2" s="48"/>
      <c r="K2" s="49"/>
      <c r="L2" s="6" t="s">
        <v>11</v>
      </c>
    </row>
    <row r="3" spans="1:12" s="1" customFormat="1" ht="31.15" customHeight="1" thickTop="1" thickBot="1" x14ac:dyDescent="0.25">
      <c r="A3" s="46"/>
      <c r="B3" s="62" t="s">
        <v>181</v>
      </c>
      <c r="C3" s="63"/>
      <c r="D3" s="14" t="s">
        <v>176</v>
      </c>
      <c r="E3" s="58">
        <f>SUM(Table6[[A]:[B]])</f>
        <v>947619.06807945669</v>
      </c>
      <c r="F3" s="59"/>
      <c r="G3" s="50">
        <f>SUM(Table6[[C]:[G]])</f>
        <v>10085684</v>
      </c>
      <c r="H3" s="51"/>
      <c r="I3" s="51"/>
      <c r="J3" s="51"/>
      <c r="K3" s="52"/>
      <c r="L3" s="9">
        <f>SUM(Table6[Applicant Total])</f>
        <v>11033303.068079457</v>
      </c>
    </row>
    <row r="4" spans="1:12" ht="14.25" thickTop="1" thickBot="1" x14ac:dyDescent="0.25">
      <c r="B4" s="53"/>
      <c r="C4" s="54"/>
      <c r="D4" s="54"/>
      <c r="E4" s="54"/>
      <c r="F4" s="54"/>
      <c r="G4" s="54"/>
      <c r="H4" s="54"/>
      <c r="I4" s="54"/>
      <c r="J4" s="54"/>
      <c r="K4" s="54"/>
      <c r="L4" s="55"/>
    </row>
    <row r="5" spans="1:12" ht="13.5" thickBot="1" x14ac:dyDescent="0.25">
      <c r="B5" s="16" t="s">
        <v>12</v>
      </c>
      <c r="C5" s="39" t="s">
        <v>163</v>
      </c>
      <c r="D5" s="17" t="s">
        <v>10</v>
      </c>
      <c r="E5" s="18" t="s">
        <v>0</v>
      </c>
      <c r="F5" s="19" t="s">
        <v>1</v>
      </c>
      <c r="G5" s="20" t="s">
        <v>2</v>
      </c>
      <c r="H5" s="21" t="s">
        <v>3</v>
      </c>
      <c r="I5" s="21" t="s">
        <v>4</v>
      </c>
      <c r="J5" s="21" t="s">
        <v>5</v>
      </c>
      <c r="K5" s="22" t="s">
        <v>6</v>
      </c>
      <c r="L5" s="29" t="s">
        <v>14</v>
      </c>
    </row>
    <row r="6" spans="1:12" x14ac:dyDescent="0.2">
      <c r="B6" s="10" t="s">
        <v>182</v>
      </c>
      <c r="C6" s="10" t="s">
        <v>200</v>
      </c>
      <c r="D6" s="11" t="s">
        <v>201</v>
      </c>
      <c r="E6" s="13">
        <v>11500</v>
      </c>
      <c r="F6" s="12">
        <v>10400</v>
      </c>
      <c r="G6" s="12">
        <v>199000</v>
      </c>
      <c r="H6" s="13"/>
      <c r="I6" s="13"/>
      <c r="J6" s="13"/>
      <c r="K6" s="13">
        <v>10000</v>
      </c>
      <c r="L6" s="15">
        <f>SUM(Table6[[#This Row],[A]:[G]])</f>
        <v>230900</v>
      </c>
    </row>
    <row r="7" spans="1:12" x14ac:dyDescent="0.2">
      <c r="B7" s="10" t="s">
        <v>183</v>
      </c>
      <c r="C7" s="10" t="s">
        <v>199</v>
      </c>
      <c r="D7" s="11" t="s">
        <v>201</v>
      </c>
      <c r="E7" s="13">
        <v>50455</v>
      </c>
      <c r="F7" s="13">
        <v>11933</v>
      </c>
      <c r="G7" s="12">
        <v>5300</v>
      </c>
      <c r="H7" s="12"/>
      <c r="I7" s="13">
        <v>26500</v>
      </c>
      <c r="J7" s="13"/>
      <c r="K7" s="13"/>
      <c r="L7" s="15">
        <f>SUM(Table6[[#This Row],[A]:[G]])</f>
        <v>94188</v>
      </c>
    </row>
    <row r="8" spans="1:12" x14ac:dyDescent="0.2">
      <c r="B8" s="10" t="s">
        <v>184</v>
      </c>
      <c r="C8" s="10" t="s">
        <v>199</v>
      </c>
      <c r="D8" s="11" t="s">
        <v>201</v>
      </c>
      <c r="E8" s="13">
        <v>208000</v>
      </c>
      <c r="F8" s="13">
        <v>7995</v>
      </c>
      <c r="G8" s="13">
        <v>699800</v>
      </c>
      <c r="H8" s="13">
        <v>1055000</v>
      </c>
      <c r="I8" s="13">
        <v>15000</v>
      </c>
      <c r="J8" s="13">
        <v>5216000</v>
      </c>
      <c r="K8" s="13">
        <v>775000</v>
      </c>
      <c r="L8" s="15">
        <f>SUM(Table6[[#This Row],[A]:[G]])</f>
        <v>7976795</v>
      </c>
    </row>
    <row r="9" spans="1:12" x14ac:dyDescent="0.2">
      <c r="B9" s="10" t="s">
        <v>185</v>
      </c>
      <c r="C9" s="10" t="s">
        <v>203</v>
      </c>
      <c r="D9" s="11" t="s">
        <v>201</v>
      </c>
      <c r="E9" s="13">
        <v>17500</v>
      </c>
      <c r="F9" s="13"/>
      <c r="G9" s="13">
        <v>29500</v>
      </c>
      <c r="H9" s="13"/>
      <c r="I9" s="13"/>
      <c r="J9" s="13"/>
      <c r="K9" s="13"/>
      <c r="L9" s="15">
        <f>SUM(Table6[[#This Row],[A]:[G]])</f>
        <v>47000</v>
      </c>
    </row>
    <row r="10" spans="1:12" x14ac:dyDescent="0.2">
      <c r="B10" s="10" t="s">
        <v>186</v>
      </c>
      <c r="C10" s="10" t="s">
        <v>203</v>
      </c>
      <c r="D10" s="11" t="s">
        <v>201</v>
      </c>
      <c r="E10" s="13"/>
      <c r="F10" s="13"/>
      <c r="G10" s="13"/>
      <c r="H10" s="13"/>
      <c r="I10" s="13"/>
      <c r="J10" s="13"/>
      <c r="K10" s="13"/>
      <c r="L10" s="15">
        <f>SUM(Table6[[#This Row],[A]:[G]])</f>
        <v>0</v>
      </c>
    </row>
    <row r="11" spans="1:12" x14ac:dyDescent="0.2">
      <c r="B11" s="10" t="s">
        <v>187</v>
      </c>
      <c r="C11" s="10" t="s">
        <v>203</v>
      </c>
      <c r="D11" s="11" t="s">
        <v>201</v>
      </c>
      <c r="E11" s="13">
        <v>5000</v>
      </c>
      <c r="F11" s="13">
        <v>22880</v>
      </c>
      <c r="G11" s="13">
        <v>4500</v>
      </c>
      <c r="H11" s="13"/>
      <c r="I11" s="13"/>
      <c r="J11" s="13"/>
      <c r="K11" s="13"/>
      <c r="L11" s="15">
        <f>SUM(Table6[[#This Row],[A]:[G]])</f>
        <v>32380</v>
      </c>
    </row>
    <row r="12" spans="1:12" x14ac:dyDescent="0.2">
      <c r="B12" s="10" t="s">
        <v>188</v>
      </c>
      <c r="C12" s="10" t="s">
        <v>203</v>
      </c>
      <c r="D12" s="11" t="s">
        <v>201</v>
      </c>
      <c r="E12" s="12"/>
      <c r="F12" s="13"/>
      <c r="G12" s="13">
        <v>16248</v>
      </c>
      <c r="H12" s="13"/>
      <c r="I12" s="13"/>
      <c r="J12" s="13"/>
      <c r="K12" s="13"/>
      <c r="L12" s="15">
        <f>SUM(Table6[[#This Row],[A]:[G]])</f>
        <v>16248</v>
      </c>
    </row>
    <row r="13" spans="1:12" x14ac:dyDescent="0.2">
      <c r="B13" s="10" t="s">
        <v>189</v>
      </c>
      <c r="C13" s="10" t="s">
        <v>203</v>
      </c>
      <c r="D13" s="11" t="s">
        <v>201</v>
      </c>
      <c r="E13" s="13">
        <v>5000</v>
      </c>
      <c r="F13" s="13">
        <v>5700</v>
      </c>
      <c r="G13" s="13">
        <v>456995</v>
      </c>
      <c r="H13" s="13"/>
      <c r="I13" s="13"/>
      <c r="J13" s="13"/>
      <c r="K13" s="13"/>
      <c r="L13" s="15">
        <f>SUM(Table6[[#This Row],[A]:[G]])</f>
        <v>467695</v>
      </c>
    </row>
    <row r="14" spans="1:12" x14ac:dyDescent="0.2">
      <c r="B14" s="10" t="s">
        <v>190</v>
      </c>
      <c r="C14" s="10" t="s">
        <v>203</v>
      </c>
      <c r="D14" s="11" t="s">
        <v>201</v>
      </c>
      <c r="E14" s="13"/>
      <c r="F14" s="13"/>
      <c r="G14" s="13"/>
      <c r="H14" s="13"/>
      <c r="I14" s="13"/>
      <c r="J14" s="13"/>
      <c r="K14" s="13"/>
      <c r="L14" s="15">
        <f>SUM(Table6[[#This Row],[A]:[G]])</f>
        <v>0</v>
      </c>
    </row>
    <row r="15" spans="1:12" x14ac:dyDescent="0.2">
      <c r="B15" s="10" t="s">
        <v>191</v>
      </c>
      <c r="C15" s="10" t="s">
        <v>203</v>
      </c>
      <c r="D15" s="11" t="s">
        <v>201</v>
      </c>
      <c r="E15" s="13">
        <v>7500</v>
      </c>
      <c r="F15" s="13"/>
      <c r="G15" s="13"/>
      <c r="H15" s="13"/>
      <c r="I15" s="13"/>
      <c r="J15" s="13"/>
      <c r="K15" s="13"/>
      <c r="L15" s="15">
        <f>SUM(Table6[[#This Row],[A]:[G]])</f>
        <v>7500</v>
      </c>
    </row>
    <row r="16" spans="1:12" x14ac:dyDescent="0.2">
      <c r="B16" s="10" t="s">
        <v>192</v>
      </c>
      <c r="C16" s="10" t="s">
        <v>203</v>
      </c>
      <c r="D16" s="11" t="s">
        <v>201</v>
      </c>
      <c r="E16" s="13">
        <v>6000</v>
      </c>
      <c r="F16" s="13">
        <v>11000</v>
      </c>
      <c r="G16" s="13">
        <v>13241</v>
      </c>
      <c r="H16" s="13"/>
      <c r="I16" s="13"/>
      <c r="J16" s="13"/>
      <c r="K16" s="13"/>
      <c r="L16" s="15">
        <f>SUM(Table6[[#This Row],[A]:[G]])</f>
        <v>30241</v>
      </c>
    </row>
    <row r="17" spans="2:12" x14ac:dyDescent="0.2">
      <c r="B17" s="10" t="s">
        <v>193</v>
      </c>
      <c r="C17" s="10" t="s">
        <v>203</v>
      </c>
      <c r="D17" s="11" t="s">
        <v>201</v>
      </c>
      <c r="E17" s="13">
        <v>13475</v>
      </c>
      <c r="F17" s="13"/>
      <c r="G17" s="13">
        <v>12550</v>
      </c>
      <c r="H17" s="13"/>
      <c r="I17" s="13"/>
      <c r="J17" s="13"/>
      <c r="K17" s="13"/>
      <c r="L17" s="15">
        <f>SUM(Table6[[#This Row],[A]:[G]])</f>
        <v>26025</v>
      </c>
    </row>
    <row r="18" spans="2:12" x14ac:dyDescent="0.2">
      <c r="B18" s="10" t="s">
        <v>198</v>
      </c>
      <c r="C18" s="10" t="s">
        <v>203</v>
      </c>
      <c r="D18" s="11" t="s">
        <v>201</v>
      </c>
      <c r="E18" s="13"/>
      <c r="F18" s="13"/>
      <c r="G18" s="13"/>
      <c r="H18" s="13"/>
      <c r="I18" s="13"/>
      <c r="J18" s="13"/>
      <c r="K18" s="13"/>
      <c r="L18" s="15">
        <f>SUM(Table6[[#This Row],[A]:[G]])</f>
        <v>0</v>
      </c>
    </row>
    <row r="19" spans="2:12" x14ac:dyDescent="0.2">
      <c r="B19" s="10" t="s">
        <v>194</v>
      </c>
      <c r="C19" s="10" t="s">
        <v>203</v>
      </c>
      <c r="D19" s="11" t="s">
        <v>201</v>
      </c>
      <c r="E19" s="13">
        <v>36750</v>
      </c>
      <c r="F19" s="13">
        <v>19200</v>
      </c>
      <c r="G19" s="13">
        <v>28750</v>
      </c>
      <c r="H19" s="13"/>
      <c r="I19" s="13"/>
      <c r="J19" s="13"/>
      <c r="K19" s="13"/>
      <c r="L19" s="15">
        <f>SUM(Table6[[#This Row],[A]:[G]])</f>
        <v>84700</v>
      </c>
    </row>
    <row r="20" spans="2:12" x14ac:dyDescent="0.2">
      <c r="B20" s="10" t="s">
        <v>195</v>
      </c>
      <c r="C20" s="10" t="s">
        <v>203</v>
      </c>
      <c r="D20" s="11" t="s">
        <v>201</v>
      </c>
      <c r="E20" s="13"/>
      <c r="F20" s="13"/>
      <c r="G20" s="13">
        <v>24500</v>
      </c>
      <c r="H20" s="13"/>
      <c r="I20" s="13"/>
      <c r="J20" s="13"/>
      <c r="K20" s="13"/>
      <c r="L20" s="15">
        <f>SUM(Table6[[#This Row],[A]:[G]])</f>
        <v>24500</v>
      </c>
    </row>
    <row r="21" spans="2:12" x14ac:dyDescent="0.2">
      <c r="B21" s="10" t="s">
        <v>196</v>
      </c>
      <c r="C21" s="10" t="s">
        <v>203</v>
      </c>
      <c r="D21" s="11" t="s">
        <v>201</v>
      </c>
      <c r="E21" s="13">
        <v>0</v>
      </c>
      <c r="F21" s="13"/>
      <c r="G21" s="13"/>
      <c r="H21" s="13"/>
      <c r="I21" s="13"/>
      <c r="J21" s="13"/>
      <c r="K21" s="13"/>
      <c r="L21" s="15">
        <f>SUM(Table6[[#This Row],[A]:[G]])</f>
        <v>0</v>
      </c>
    </row>
    <row r="22" spans="2:12" x14ac:dyDescent="0.2">
      <c r="B22" s="10" t="s">
        <v>197</v>
      </c>
      <c r="C22" s="10" t="s">
        <v>203</v>
      </c>
      <c r="D22" s="11" t="s">
        <v>201</v>
      </c>
      <c r="E22" s="13"/>
      <c r="F22" s="13"/>
      <c r="G22" s="13"/>
      <c r="H22" s="13"/>
      <c r="I22" s="13">
        <v>12500</v>
      </c>
      <c r="J22" s="13"/>
      <c r="K22" s="13"/>
      <c r="L22" s="15">
        <f>SUM(Table6[[#This Row],[A]:[G]])</f>
        <v>12500</v>
      </c>
    </row>
    <row r="23" spans="2:12" ht="15" x14ac:dyDescent="0.25">
      <c r="B23" s="43" t="s">
        <v>213</v>
      </c>
      <c r="C23" s="10" t="s">
        <v>212</v>
      </c>
      <c r="D23" s="11" t="s">
        <v>201</v>
      </c>
      <c r="E23" s="13">
        <v>221500</v>
      </c>
      <c r="F23" s="13">
        <v>56500</v>
      </c>
      <c r="G23" s="13"/>
      <c r="H23" s="13"/>
      <c r="I23" s="13"/>
      <c r="J23" s="13"/>
      <c r="K23" s="13"/>
      <c r="L23" s="15">
        <f>SUM(Table6[[#This Row],[A]:[G]])</f>
        <v>278000</v>
      </c>
    </row>
    <row r="24" spans="2:12" x14ac:dyDescent="0.2">
      <c r="B24" s="10" t="s">
        <v>216</v>
      </c>
      <c r="C24" s="10" t="s">
        <v>212</v>
      </c>
      <c r="D24" s="11" t="s">
        <v>201</v>
      </c>
      <c r="E24" s="13"/>
      <c r="F24" s="13">
        <v>152815.13807945678</v>
      </c>
      <c r="G24" s="13"/>
      <c r="H24" s="13"/>
      <c r="I24" s="13"/>
      <c r="J24" s="13"/>
      <c r="K24" s="13"/>
      <c r="L24" s="15">
        <f>SUM(Table6[[#This Row],[A]:[G]])</f>
        <v>152815.13807945678</v>
      </c>
    </row>
    <row r="25" spans="2:12" x14ac:dyDescent="0.2">
      <c r="B25" s="10" t="s">
        <v>218</v>
      </c>
      <c r="C25" s="10" t="s">
        <v>219</v>
      </c>
      <c r="D25" s="11" t="s">
        <v>201</v>
      </c>
      <c r="E25" s="13">
        <v>66515.929999999993</v>
      </c>
      <c r="F25" s="13"/>
      <c r="G25" s="13"/>
      <c r="H25" s="13"/>
      <c r="I25" s="13"/>
      <c r="J25" s="13"/>
      <c r="K25" s="13"/>
      <c r="L25" s="15">
        <f>SUM(Table6[[#This Row],[A]:[G]])</f>
        <v>66515.929999999993</v>
      </c>
    </row>
    <row r="26" spans="2:12" x14ac:dyDescent="0.2">
      <c r="B26" s="10" t="s">
        <v>220</v>
      </c>
      <c r="C26" s="10" t="s">
        <v>212</v>
      </c>
      <c r="D26" s="11" t="s">
        <v>201</v>
      </c>
      <c r="E26" s="13"/>
      <c r="F26" s="13"/>
      <c r="G26" s="13"/>
      <c r="H26" s="13"/>
      <c r="I26" s="13">
        <v>1485300</v>
      </c>
      <c r="J26" s="13"/>
      <c r="K26" s="13"/>
      <c r="L26" s="15">
        <f>SUM(Table6[[#This Row],[A]:[G]])</f>
        <v>1485300</v>
      </c>
    </row>
    <row r="27" spans="2:12" x14ac:dyDescent="0.2">
      <c r="B27" s="10"/>
      <c r="C27" s="10"/>
      <c r="D27" s="11"/>
      <c r="E27" s="13"/>
      <c r="F27" s="13"/>
      <c r="G27" s="13"/>
      <c r="H27" s="13"/>
      <c r="I27" s="13"/>
      <c r="J27" s="13"/>
      <c r="K27" s="13"/>
      <c r="L27" s="15">
        <f>SUM(Table6[[#This Row],[A]:[G]])</f>
        <v>0</v>
      </c>
    </row>
    <row r="28" spans="2:12" x14ac:dyDescent="0.2">
      <c r="B28" s="10"/>
      <c r="C28" s="10"/>
      <c r="D28" s="11"/>
      <c r="E28" s="13"/>
      <c r="F28" s="13"/>
      <c r="G28" s="13"/>
      <c r="H28" s="13"/>
      <c r="I28" s="13"/>
      <c r="J28" s="13"/>
      <c r="K28" s="13"/>
      <c r="L28" s="15">
        <f>SUM(Table6[[#This Row],[A]:[G]])</f>
        <v>0</v>
      </c>
    </row>
    <row r="29" spans="2:12" x14ac:dyDescent="0.2">
      <c r="B29" s="10"/>
      <c r="C29" s="10"/>
      <c r="D29" s="11"/>
      <c r="E29" s="13"/>
      <c r="F29" s="13"/>
      <c r="G29" s="13"/>
      <c r="H29" s="13"/>
      <c r="I29" s="13"/>
      <c r="J29" s="13"/>
      <c r="K29" s="13"/>
      <c r="L29" s="15">
        <f>SUM(Table6[[#This Row],[A]:[G]])</f>
        <v>0</v>
      </c>
    </row>
    <row r="30" spans="2:12" x14ac:dyDescent="0.2">
      <c r="B30" s="10"/>
      <c r="C30" s="10"/>
      <c r="D30" s="11"/>
      <c r="E30" s="13"/>
      <c r="F30" s="13"/>
      <c r="G30" s="13"/>
      <c r="H30" s="13"/>
      <c r="I30" s="13"/>
      <c r="J30" s="13"/>
      <c r="K30" s="13"/>
      <c r="L30" s="15">
        <f>SUM(Table6[[#This Row],[A]:[G]])</f>
        <v>0</v>
      </c>
    </row>
    <row r="31" spans="2:12" x14ac:dyDescent="0.2">
      <c r="B31" s="10"/>
      <c r="C31" s="10"/>
      <c r="D31" s="11"/>
      <c r="E31" s="13"/>
      <c r="F31" s="13"/>
      <c r="G31" s="13"/>
      <c r="H31" s="13"/>
      <c r="I31" s="13"/>
      <c r="J31" s="13"/>
      <c r="K31" s="13"/>
      <c r="L31" s="15">
        <f>SUM(Table6[[#This Row],[A]:[G]])</f>
        <v>0</v>
      </c>
    </row>
    <row r="32" spans="2:12" x14ac:dyDescent="0.2">
      <c r="B32" s="10"/>
      <c r="C32" s="10"/>
      <c r="D32" s="11"/>
      <c r="E32" s="13"/>
      <c r="F32" s="13"/>
      <c r="G32" s="13"/>
      <c r="H32" s="13"/>
      <c r="I32" s="13"/>
      <c r="J32" s="13"/>
      <c r="K32" s="13"/>
      <c r="L32" s="15">
        <f>SUM(Table6[[#This Row],[A]:[G]])</f>
        <v>0</v>
      </c>
    </row>
    <row r="33" spans="2:12" x14ac:dyDescent="0.2">
      <c r="B33" s="10"/>
      <c r="C33" s="10"/>
      <c r="D33" s="11"/>
      <c r="E33" s="13"/>
      <c r="F33" s="13"/>
      <c r="G33" s="13"/>
      <c r="H33" s="13"/>
      <c r="I33" s="13"/>
      <c r="J33" s="13"/>
      <c r="K33" s="13"/>
      <c r="L33" s="15">
        <f>SUM(Table6[[#This Row],[A]:[G]])</f>
        <v>0</v>
      </c>
    </row>
    <row r="34" spans="2:12" x14ac:dyDescent="0.2">
      <c r="B34" s="10"/>
      <c r="C34" s="10"/>
      <c r="D34" s="11"/>
      <c r="E34" s="13"/>
      <c r="F34" s="13"/>
      <c r="G34" s="13"/>
      <c r="H34" s="13"/>
      <c r="I34" s="13"/>
      <c r="J34" s="13"/>
      <c r="K34" s="13"/>
      <c r="L34" s="15">
        <f>SUM(Table6[[#This Row],[A]:[G]])</f>
        <v>0</v>
      </c>
    </row>
    <row r="35" spans="2:12" x14ac:dyDescent="0.2">
      <c r="B35" s="10"/>
      <c r="C35" s="10"/>
      <c r="D35" s="11"/>
      <c r="E35" s="13"/>
      <c r="F35" s="13"/>
      <c r="G35" s="13"/>
      <c r="H35" s="13"/>
      <c r="I35" s="13"/>
      <c r="J35" s="13"/>
      <c r="K35" s="13"/>
      <c r="L35" s="15">
        <f>SUM(Table6[[#This Row],[A]:[G]])</f>
        <v>0</v>
      </c>
    </row>
    <row r="36" spans="2:12" x14ac:dyDescent="0.2">
      <c r="B36" s="10"/>
      <c r="C36" s="10"/>
      <c r="D36" s="11"/>
      <c r="E36" s="13"/>
      <c r="F36" s="13"/>
      <c r="G36" s="13"/>
      <c r="H36" s="13"/>
      <c r="I36" s="13"/>
      <c r="J36" s="13"/>
      <c r="K36" s="13"/>
      <c r="L36" s="15">
        <f>SUM(Table6[[#This Row],[A]:[G]])</f>
        <v>0</v>
      </c>
    </row>
    <row r="37" spans="2:12" x14ac:dyDescent="0.2">
      <c r="B37" s="10"/>
      <c r="C37" s="10"/>
      <c r="D37" s="11"/>
      <c r="E37" s="13"/>
      <c r="F37" s="13"/>
      <c r="G37" s="13"/>
      <c r="H37" s="13"/>
      <c r="I37" s="13"/>
      <c r="J37" s="13"/>
      <c r="K37" s="13"/>
      <c r="L37" s="15">
        <f>SUM(Table6[[#This Row],[A]:[G]])</f>
        <v>0</v>
      </c>
    </row>
    <row r="38" spans="2:12" x14ac:dyDescent="0.2">
      <c r="B38" s="10"/>
      <c r="C38" s="10"/>
      <c r="D38" s="11"/>
      <c r="E38" s="13"/>
      <c r="F38" s="13"/>
      <c r="G38" s="13"/>
      <c r="H38" s="13"/>
      <c r="I38" s="13"/>
      <c r="J38" s="13"/>
      <c r="K38" s="13"/>
      <c r="L38" s="15">
        <f>SUM(Table6[[#This Row],[A]:[G]])</f>
        <v>0</v>
      </c>
    </row>
    <row r="39" spans="2:12" x14ac:dyDescent="0.2">
      <c r="B39" s="10"/>
      <c r="C39" s="10"/>
      <c r="D39" s="11"/>
      <c r="E39" s="13"/>
      <c r="F39" s="13"/>
      <c r="G39" s="13"/>
      <c r="H39" s="13"/>
      <c r="I39" s="13"/>
      <c r="J39" s="13"/>
      <c r="K39" s="13"/>
      <c r="L39" s="15">
        <f>SUM(Table6[[#This Row],[A]:[G]])</f>
        <v>0</v>
      </c>
    </row>
    <row r="40" spans="2:12" x14ac:dyDescent="0.2">
      <c r="B40" s="10"/>
      <c r="C40" s="10"/>
      <c r="D40" s="11"/>
      <c r="E40" s="13"/>
      <c r="F40" s="13"/>
      <c r="G40" s="13"/>
      <c r="H40" s="13"/>
      <c r="I40" s="13"/>
      <c r="J40" s="13"/>
      <c r="K40" s="13"/>
      <c r="L40" s="15">
        <f>SUM(Table6[[#This Row],[A]:[G]])</f>
        <v>0</v>
      </c>
    </row>
    <row r="41" spans="2:12" x14ac:dyDescent="0.2">
      <c r="B41" s="10"/>
      <c r="C41" s="10"/>
      <c r="D41" s="11"/>
      <c r="E41" s="13"/>
      <c r="F41" s="13"/>
      <c r="G41" s="13"/>
      <c r="H41" s="13"/>
      <c r="I41" s="13"/>
      <c r="J41" s="13"/>
      <c r="K41" s="13"/>
      <c r="L41" s="15">
        <f>SUM(Table6[[#This Row],[A]:[G]])</f>
        <v>0</v>
      </c>
    </row>
    <row r="42" spans="2:12" x14ac:dyDescent="0.2">
      <c r="B42" s="10"/>
      <c r="C42" s="10"/>
      <c r="D42" s="11"/>
      <c r="E42" s="13"/>
      <c r="F42" s="13"/>
      <c r="G42" s="13"/>
      <c r="H42" s="13"/>
      <c r="I42" s="13"/>
      <c r="J42" s="13"/>
      <c r="K42" s="13"/>
      <c r="L42" s="15">
        <f>SUM(Table6[[#This Row],[A]:[G]])</f>
        <v>0</v>
      </c>
    </row>
    <row r="43" spans="2:12" x14ac:dyDescent="0.2">
      <c r="B43" s="10"/>
      <c r="C43" s="10"/>
      <c r="D43" s="11"/>
      <c r="E43" s="13"/>
      <c r="F43" s="13"/>
      <c r="G43" s="13"/>
      <c r="H43" s="13"/>
      <c r="I43" s="13"/>
      <c r="J43" s="13"/>
      <c r="K43" s="13"/>
      <c r="L43" s="15">
        <f>SUM(Table6[[#This Row],[A]:[G]])</f>
        <v>0</v>
      </c>
    </row>
    <row r="44" spans="2:12" x14ac:dyDescent="0.2">
      <c r="B44" s="10"/>
      <c r="C44" s="10"/>
      <c r="D44" s="11"/>
      <c r="E44" s="13"/>
      <c r="F44" s="13"/>
      <c r="G44" s="13"/>
      <c r="H44" s="13"/>
      <c r="I44" s="13"/>
      <c r="J44" s="13"/>
      <c r="K44" s="13"/>
      <c r="L44" s="15">
        <f>SUM(Table6[[#This Row],[A]:[G]])</f>
        <v>0</v>
      </c>
    </row>
    <row r="45" spans="2:12" x14ac:dyDescent="0.2">
      <c r="B45" s="10"/>
      <c r="C45" s="10"/>
      <c r="D45" s="11"/>
      <c r="E45" s="13"/>
      <c r="F45" s="13"/>
      <c r="G45" s="13"/>
      <c r="H45" s="13"/>
      <c r="I45" s="13"/>
      <c r="J45" s="13"/>
      <c r="K45" s="13"/>
      <c r="L45" s="15">
        <f>SUM(Table6[[#This Row],[A]:[G]])</f>
        <v>0</v>
      </c>
    </row>
    <row r="46" spans="2:12" x14ac:dyDescent="0.2">
      <c r="B46" s="10"/>
      <c r="C46" s="10"/>
      <c r="D46" s="11"/>
      <c r="E46" s="13"/>
      <c r="F46" s="13"/>
      <c r="G46" s="13"/>
      <c r="H46" s="13"/>
      <c r="I46" s="13"/>
      <c r="J46" s="13"/>
      <c r="K46" s="13"/>
      <c r="L46" s="15">
        <f>SUM(Table6[[#This Row],[A]:[G]])</f>
        <v>0</v>
      </c>
    </row>
    <row r="47" spans="2:12" x14ac:dyDescent="0.2">
      <c r="B47" s="10"/>
      <c r="C47" s="10"/>
      <c r="D47" s="11"/>
      <c r="E47" s="13"/>
      <c r="F47" s="13"/>
      <c r="G47" s="13"/>
      <c r="H47" s="13"/>
      <c r="I47" s="13"/>
      <c r="J47" s="13"/>
      <c r="K47" s="13"/>
      <c r="L47" s="15">
        <f>SUM(Table6[[#This Row],[A]:[G]])</f>
        <v>0</v>
      </c>
    </row>
    <row r="48" spans="2:12" x14ac:dyDescent="0.2">
      <c r="B48" s="10"/>
      <c r="C48" s="10"/>
      <c r="D48" s="11"/>
      <c r="E48" s="13"/>
      <c r="F48" s="13"/>
      <c r="G48" s="13"/>
      <c r="H48" s="13"/>
      <c r="I48" s="13"/>
      <c r="J48" s="13"/>
      <c r="K48" s="13"/>
      <c r="L48" s="15">
        <f>SUM(Table6[[#This Row],[A]:[G]])</f>
        <v>0</v>
      </c>
    </row>
    <row r="49" spans="2:12" x14ac:dyDescent="0.2">
      <c r="B49" s="10"/>
      <c r="C49" s="10"/>
      <c r="D49" s="11"/>
      <c r="E49" s="13"/>
      <c r="F49" s="13"/>
      <c r="G49" s="13"/>
      <c r="H49" s="13"/>
      <c r="I49" s="13"/>
      <c r="J49" s="13"/>
      <c r="K49" s="13"/>
      <c r="L49" s="15">
        <f>SUM(Table6[[#This Row],[A]:[G]])</f>
        <v>0</v>
      </c>
    </row>
    <row r="50" spans="2:12" x14ac:dyDescent="0.2">
      <c r="B50" s="10"/>
      <c r="C50" s="10"/>
      <c r="D50" s="11"/>
      <c r="E50" s="13"/>
      <c r="F50" s="13"/>
      <c r="G50" s="13"/>
      <c r="H50" s="13"/>
      <c r="I50" s="13"/>
      <c r="J50" s="13"/>
      <c r="K50" s="13"/>
      <c r="L50" s="15">
        <f>SUM(Table6[[#This Row],[A]:[G]])</f>
        <v>0</v>
      </c>
    </row>
    <row r="51" spans="2:12" x14ac:dyDescent="0.2">
      <c r="B51" s="10"/>
      <c r="C51" s="10"/>
      <c r="D51" s="11"/>
      <c r="E51" s="13"/>
      <c r="F51" s="13"/>
      <c r="G51" s="13"/>
      <c r="H51" s="13"/>
      <c r="I51" s="13"/>
      <c r="J51" s="13"/>
      <c r="K51" s="13"/>
      <c r="L51" s="15">
        <f>SUM(Table6[[#This Row],[A]:[G]])</f>
        <v>0</v>
      </c>
    </row>
    <row r="52" spans="2:12" x14ac:dyDescent="0.2">
      <c r="B52" s="10"/>
      <c r="C52" s="10"/>
      <c r="D52" s="11"/>
      <c r="E52" s="13"/>
      <c r="F52" s="13"/>
      <c r="G52" s="13"/>
      <c r="H52" s="13"/>
      <c r="I52" s="13"/>
      <c r="J52" s="13"/>
      <c r="K52" s="13"/>
      <c r="L52" s="15">
        <f>SUM(Table6[[#This Row],[A]:[G]])</f>
        <v>0</v>
      </c>
    </row>
    <row r="53" spans="2:12" x14ac:dyDescent="0.2">
      <c r="B53" s="10"/>
      <c r="C53" s="10"/>
      <c r="D53" s="11"/>
      <c r="E53" s="13"/>
      <c r="F53" s="13"/>
      <c r="G53" s="13"/>
      <c r="H53" s="13"/>
      <c r="I53" s="13"/>
      <c r="J53" s="13"/>
      <c r="K53" s="13"/>
      <c r="L53" s="15">
        <f>SUM(Table6[[#This Row],[A]:[G]])</f>
        <v>0</v>
      </c>
    </row>
    <row r="54" spans="2:12" x14ac:dyDescent="0.2">
      <c r="B54" s="10"/>
      <c r="C54" s="10"/>
      <c r="D54" s="11"/>
      <c r="E54" s="13"/>
      <c r="F54" s="13"/>
      <c r="G54" s="13"/>
      <c r="H54" s="13"/>
      <c r="I54" s="13"/>
      <c r="J54" s="13"/>
      <c r="K54" s="13"/>
      <c r="L54" s="15">
        <f>SUM(Table6[[#This Row],[A]:[G]])</f>
        <v>0</v>
      </c>
    </row>
    <row r="55" spans="2:12" x14ac:dyDescent="0.2">
      <c r="B55" s="10"/>
      <c r="C55" s="10"/>
      <c r="D55" s="11"/>
      <c r="E55" s="13"/>
      <c r="F55" s="13"/>
      <c r="G55" s="13"/>
      <c r="H55" s="13"/>
      <c r="I55" s="13"/>
      <c r="J55" s="13"/>
      <c r="K55" s="13"/>
      <c r="L55" s="15">
        <f>SUM(Table6[[#This Row],[A]:[G]])</f>
        <v>0</v>
      </c>
    </row>
    <row r="56" spans="2:12" x14ac:dyDescent="0.2">
      <c r="B56" s="10"/>
      <c r="C56" s="10"/>
      <c r="D56" s="11"/>
      <c r="E56" s="13"/>
      <c r="F56" s="13"/>
      <c r="G56" s="13"/>
      <c r="H56" s="13"/>
      <c r="I56" s="13"/>
      <c r="J56" s="13"/>
      <c r="K56" s="13"/>
      <c r="L56" s="15">
        <f>SUM(Table6[[#This Row],[A]:[G]])</f>
        <v>0</v>
      </c>
    </row>
    <row r="57" spans="2:12" x14ac:dyDescent="0.2">
      <c r="B57" s="10"/>
      <c r="C57" s="10"/>
      <c r="D57" s="11"/>
      <c r="E57" s="13"/>
      <c r="F57" s="13"/>
      <c r="G57" s="13"/>
      <c r="H57" s="13"/>
      <c r="I57" s="13"/>
      <c r="J57" s="13"/>
      <c r="K57" s="13"/>
      <c r="L57" s="15">
        <f>SUM(Table6[[#This Row],[A]:[G]])</f>
        <v>0</v>
      </c>
    </row>
    <row r="58" spans="2:12" x14ac:dyDescent="0.2">
      <c r="B58" s="10"/>
      <c r="C58" s="10"/>
      <c r="D58" s="11"/>
      <c r="E58" s="13"/>
      <c r="F58" s="13"/>
      <c r="G58" s="13"/>
      <c r="H58" s="13"/>
      <c r="I58" s="13"/>
      <c r="J58" s="13"/>
      <c r="K58" s="13"/>
      <c r="L58" s="15">
        <f>SUM(Table6[[#This Row],[A]:[G]])</f>
        <v>0</v>
      </c>
    </row>
    <row r="59" spans="2:12" x14ac:dyDescent="0.2">
      <c r="B59" s="10"/>
      <c r="C59" s="10"/>
      <c r="D59" s="11"/>
      <c r="E59" s="12"/>
      <c r="F59" s="13"/>
      <c r="G59" s="13"/>
      <c r="H59" s="13"/>
      <c r="I59" s="13"/>
      <c r="J59" s="13"/>
      <c r="K59" s="13"/>
      <c r="L59" s="15">
        <f>SUM(Table6[[#This Row],[A]:[G]])</f>
        <v>0</v>
      </c>
    </row>
    <row r="60" spans="2:12" x14ac:dyDescent="0.2">
      <c r="B60" s="10"/>
      <c r="C60" s="10"/>
      <c r="D60" s="11"/>
      <c r="E60" s="13"/>
      <c r="F60" s="13"/>
      <c r="G60" s="13"/>
      <c r="H60" s="13"/>
      <c r="I60" s="13"/>
      <c r="J60" s="13"/>
      <c r="K60" s="13"/>
      <c r="L60" s="15">
        <f>SUM(Table6[[#This Row],[A]:[G]])</f>
        <v>0</v>
      </c>
    </row>
    <row r="61" spans="2:12" x14ac:dyDescent="0.2">
      <c r="B61" s="10"/>
      <c r="C61" s="10"/>
      <c r="D61" s="11"/>
      <c r="E61" s="13"/>
      <c r="F61" s="13"/>
      <c r="G61" s="13"/>
      <c r="H61" s="13"/>
      <c r="I61" s="12"/>
      <c r="J61" s="12"/>
      <c r="K61" s="13"/>
      <c r="L61" s="15">
        <f>SUM(Table6[[#This Row],[A]:[G]])</f>
        <v>0</v>
      </c>
    </row>
    <row r="62" spans="2:12" x14ac:dyDescent="0.2">
      <c r="B62" s="10"/>
      <c r="C62" s="10"/>
      <c r="D62" s="11"/>
      <c r="E62" s="13"/>
      <c r="F62" s="13"/>
      <c r="G62" s="13"/>
      <c r="H62" s="13"/>
      <c r="I62" s="13"/>
      <c r="J62" s="13"/>
      <c r="K62" s="13"/>
      <c r="L62" s="15">
        <f>SUM(Table6[[#This Row],[A]:[G]])</f>
        <v>0</v>
      </c>
    </row>
    <row r="63" spans="2:12" x14ac:dyDescent="0.2">
      <c r="B63" s="10"/>
      <c r="C63" s="10"/>
      <c r="D63" s="11"/>
      <c r="E63" s="13"/>
      <c r="F63" s="12"/>
      <c r="G63" s="13"/>
      <c r="H63" s="13"/>
      <c r="I63" s="13"/>
      <c r="J63" s="13"/>
      <c r="K63" s="13"/>
      <c r="L63" s="15">
        <f>SUM(Table6[[#This Row],[A]:[G]])</f>
        <v>0</v>
      </c>
    </row>
    <row r="64" spans="2:12" x14ac:dyDescent="0.2">
      <c r="B64" s="10"/>
      <c r="C64" s="10"/>
      <c r="D64" s="11"/>
      <c r="E64" s="13"/>
      <c r="F64" s="13"/>
      <c r="G64" s="13"/>
      <c r="H64" s="13"/>
      <c r="I64" s="13"/>
      <c r="J64" s="13"/>
      <c r="K64" s="13"/>
      <c r="L64" s="15">
        <f>SUM(Table6[[#This Row],[A]:[G]])</f>
        <v>0</v>
      </c>
    </row>
    <row r="65" spans="2:12" x14ac:dyDescent="0.2">
      <c r="B65" s="10"/>
      <c r="C65" s="10"/>
      <c r="D65" s="11"/>
      <c r="E65" s="13"/>
      <c r="F65" s="13"/>
      <c r="G65" s="13"/>
      <c r="H65" s="13"/>
      <c r="I65" s="13"/>
      <c r="J65" s="13"/>
      <c r="K65" s="13"/>
      <c r="L65" s="15">
        <f>SUM(Table6[[#This Row],[A]:[G]])</f>
        <v>0</v>
      </c>
    </row>
    <row r="66" spans="2:12" x14ac:dyDescent="0.2">
      <c r="B66" s="10"/>
      <c r="C66" s="10"/>
      <c r="D66" s="11"/>
      <c r="E66" s="13"/>
      <c r="F66" s="13"/>
      <c r="G66" s="13"/>
      <c r="H66" s="13"/>
      <c r="I66" s="13"/>
      <c r="J66" s="13"/>
      <c r="K66" s="13"/>
      <c r="L66" s="15">
        <f>SUM(Table6[[#This Row],[A]:[G]])</f>
        <v>0</v>
      </c>
    </row>
    <row r="67" spans="2:12" x14ac:dyDescent="0.2">
      <c r="B67" s="10"/>
      <c r="C67" s="10"/>
      <c r="D67" s="11"/>
      <c r="E67" s="13"/>
      <c r="F67" s="13"/>
      <c r="G67" s="13"/>
      <c r="H67" s="13"/>
      <c r="I67" s="13"/>
      <c r="J67" s="13"/>
      <c r="K67" s="13"/>
      <c r="L67" s="15">
        <f>SUM(Table6[[#This Row],[A]:[G]])</f>
        <v>0</v>
      </c>
    </row>
    <row r="68" spans="2:12" x14ac:dyDescent="0.2">
      <c r="B68" s="10"/>
      <c r="C68" s="10"/>
      <c r="D68" s="11"/>
      <c r="E68" s="13"/>
      <c r="F68" s="13"/>
      <c r="G68" s="13"/>
      <c r="H68" s="13"/>
      <c r="I68" s="13"/>
      <c r="J68" s="13"/>
      <c r="K68" s="13"/>
      <c r="L68" s="15">
        <f>SUM(Table6[[#This Row],[A]:[G]])</f>
        <v>0</v>
      </c>
    </row>
    <row r="69" spans="2:12" x14ac:dyDescent="0.2">
      <c r="B69" s="10"/>
      <c r="C69" s="10"/>
      <c r="D69" s="11"/>
      <c r="E69" s="13"/>
      <c r="F69" s="13"/>
      <c r="G69" s="13"/>
      <c r="H69" s="13"/>
      <c r="I69" s="13"/>
      <c r="J69" s="13"/>
      <c r="K69" s="13"/>
      <c r="L69" s="15">
        <f>SUM(Table6[[#This Row],[A]:[G]])</f>
        <v>0</v>
      </c>
    </row>
    <row r="70" spans="2:12" x14ac:dyDescent="0.2">
      <c r="B70" s="10"/>
      <c r="C70" s="10"/>
      <c r="D70" s="11"/>
      <c r="E70" s="13"/>
      <c r="F70" s="13"/>
      <c r="G70" s="13"/>
      <c r="H70" s="13"/>
      <c r="I70" s="13"/>
      <c r="J70" s="13"/>
      <c r="K70" s="13"/>
      <c r="L70" s="15">
        <f>SUM(Table6[[#This Row],[A]:[G]])</f>
        <v>0</v>
      </c>
    </row>
    <row r="71" spans="2:12" x14ac:dyDescent="0.2">
      <c r="B71" s="10"/>
      <c r="C71" s="10"/>
      <c r="D71" s="11"/>
      <c r="E71" s="13"/>
      <c r="F71" s="13"/>
      <c r="G71" s="13"/>
      <c r="H71" s="13"/>
      <c r="I71" s="13"/>
      <c r="J71" s="13"/>
      <c r="K71" s="13"/>
      <c r="L71" s="15">
        <f>SUM(Table6[[#This Row],[A]:[G]])</f>
        <v>0</v>
      </c>
    </row>
    <row r="72" spans="2:12" x14ac:dyDescent="0.2">
      <c r="B72" s="10"/>
      <c r="C72" s="10"/>
      <c r="D72" s="11"/>
      <c r="E72" s="12"/>
      <c r="F72" s="13"/>
      <c r="G72" s="13"/>
      <c r="H72" s="13"/>
      <c r="I72" s="13"/>
      <c r="J72" s="13"/>
      <c r="K72" s="13"/>
      <c r="L72" s="15">
        <f>SUM(Table6[[#This Row],[A]:[G]])</f>
        <v>0</v>
      </c>
    </row>
    <row r="73" spans="2:12" x14ac:dyDescent="0.2">
      <c r="B73" s="10"/>
      <c r="C73" s="10"/>
      <c r="D73" s="11"/>
      <c r="E73" s="13"/>
      <c r="F73" s="13"/>
      <c r="G73" s="13"/>
      <c r="H73" s="13"/>
      <c r="I73" s="13"/>
      <c r="J73" s="13"/>
      <c r="K73" s="13"/>
      <c r="L73" s="15">
        <f>SUM(Table6[[#This Row],[A]:[G]])</f>
        <v>0</v>
      </c>
    </row>
    <row r="74" spans="2:12" x14ac:dyDescent="0.2">
      <c r="B74" s="10"/>
      <c r="C74" s="10"/>
      <c r="D74" s="11"/>
      <c r="E74" s="13"/>
      <c r="F74" s="13"/>
      <c r="G74" s="13"/>
      <c r="H74" s="13"/>
      <c r="I74" s="13"/>
      <c r="J74" s="13"/>
      <c r="K74" s="13"/>
      <c r="L74" s="15">
        <f>SUM(Table6[[#This Row],[A]:[G]])</f>
        <v>0</v>
      </c>
    </row>
    <row r="75" spans="2:12" x14ac:dyDescent="0.2">
      <c r="B75" s="10"/>
      <c r="C75" s="10"/>
      <c r="D75" s="11"/>
      <c r="E75" s="13"/>
      <c r="F75" s="13"/>
      <c r="G75" s="13"/>
      <c r="H75" s="13"/>
      <c r="I75" s="13"/>
      <c r="J75" s="13"/>
      <c r="K75" s="13"/>
      <c r="L75" s="15">
        <f>SUM(Table6[[#This Row],[A]:[G]])</f>
        <v>0</v>
      </c>
    </row>
    <row r="76" spans="2:12" x14ac:dyDescent="0.2">
      <c r="B76" s="10"/>
      <c r="C76" s="10"/>
      <c r="D76" s="11"/>
      <c r="E76" s="13"/>
      <c r="F76" s="13"/>
      <c r="G76" s="13"/>
      <c r="H76" s="13"/>
      <c r="I76" s="13"/>
      <c r="J76" s="13"/>
      <c r="K76" s="13"/>
      <c r="L76" s="15">
        <f>SUM(Table6[[#This Row],[A]:[G]])</f>
        <v>0</v>
      </c>
    </row>
    <row r="77" spans="2:12" x14ac:dyDescent="0.2">
      <c r="B77" s="10"/>
      <c r="C77" s="10"/>
      <c r="D77" s="11"/>
      <c r="E77" s="13"/>
      <c r="F77" s="13"/>
      <c r="G77" s="13"/>
      <c r="H77" s="13"/>
      <c r="I77" s="13"/>
      <c r="J77" s="13"/>
      <c r="K77" s="13"/>
      <c r="L77" s="15">
        <f>SUM(Table6[[#This Row],[A]:[G]])</f>
        <v>0</v>
      </c>
    </row>
    <row r="78" spans="2:12" x14ac:dyDescent="0.2">
      <c r="B78" s="10"/>
      <c r="C78" s="10"/>
      <c r="D78" s="11"/>
      <c r="E78" s="13"/>
      <c r="F78" s="12"/>
      <c r="G78" s="13"/>
      <c r="H78" s="13"/>
      <c r="I78" s="13"/>
      <c r="J78" s="13"/>
      <c r="K78" s="13"/>
      <c r="L78" s="15">
        <f>SUM(Table6[[#This Row],[A]:[G]])</f>
        <v>0</v>
      </c>
    </row>
    <row r="79" spans="2:12" x14ac:dyDescent="0.2">
      <c r="B79" s="10"/>
      <c r="C79" s="10"/>
      <c r="D79" s="11"/>
      <c r="E79" s="13"/>
      <c r="F79" s="13"/>
      <c r="G79" s="13"/>
      <c r="H79" s="13"/>
      <c r="I79" s="13"/>
      <c r="J79" s="13"/>
      <c r="K79" s="13"/>
      <c r="L79" s="15">
        <f>SUM(Table6[[#This Row],[A]:[G]])</f>
        <v>0</v>
      </c>
    </row>
    <row r="80" spans="2:12" x14ac:dyDescent="0.2">
      <c r="B80" s="10"/>
      <c r="C80" s="10"/>
      <c r="D80" s="11"/>
      <c r="E80" s="13"/>
      <c r="F80" s="13"/>
      <c r="G80" s="13"/>
      <c r="H80" s="13"/>
      <c r="I80" s="13"/>
      <c r="J80" s="13"/>
      <c r="K80" s="13"/>
      <c r="L80" s="15">
        <f>SUM(Table6[[#This Row],[A]:[G]])</f>
        <v>0</v>
      </c>
    </row>
    <row r="81" spans="2:12" x14ac:dyDescent="0.2">
      <c r="B81" s="10"/>
      <c r="C81" s="10"/>
      <c r="D81" s="11"/>
      <c r="E81" s="13"/>
      <c r="F81" s="13"/>
      <c r="G81" s="13"/>
      <c r="H81" s="13"/>
      <c r="I81" s="13"/>
      <c r="J81" s="13"/>
      <c r="K81" s="13"/>
      <c r="L81" s="15">
        <f>SUM(Table6[[#This Row],[A]:[G]])</f>
        <v>0</v>
      </c>
    </row>
    <row r="82" spans="2:12" x14ac:dyDescent="0.2">
      <c r="B82" s="10"/>
      <c r="C82" s="10"/>
      <c r="D82" s="11"/>
      <c r="E82" s="13"/>
      <c r="F82" s="13"/>
      <c r="G82" s="13"/>
      <c r="H82" s="13"/>
      <c r="I82" s="13"/>
      <c r="J82" s="13"/>
      <c r="K82" s="13"/>
      <c r="L82" s="15">
        <f>SUM(Table6[[#This Row],[A]:[G]])</f>
        <v>0</v>
      </c>
    </row>
    <row r="83" spans="2:12" x14ac:dyDescent="0.2">
      <c r="B83" s="10"/>
      <c r="C83" s="10"/>
      <c r="D83" s="11"/>
      <c r="E83" s="13"/>
      <c r="F83" s="13"/>
      <c r="G83" s="13"/>
      <c r="H83" s="13"/>
      <c r="I83" s="13"/>
      <c r="J83" s="13"/>
      <c r="K83" s="13"/>
      <c r="L83" s="15">
        <f>SUM(Table6[[#This Row],[A]:[G]])</f>
        <v>0</v>
      </c>
    </row>
    <row r="84" spans="2:12" x14ac:dyDescent="0.2">
      <c r="B84" s="10"/>
      <c r="C84" s="10"/>
      <c r="D84" s="11"/>
      <c r="E84" s="13"/>
      <c r="F84" s="13"/>
      <c r="G84" s="13"/>
      <c r="H84" s="13"/>
      <c r="I84" s="13"/>
      <c r="J84" s="13"/>
      <c r="K84" s="13"/>
      <c r="L84" s="15">
        <f>SUM(Table6[[#This Row],[A]:[G]])</f>
        <v>0</v>
      </c>
    </row>
    <row r="85" spans="2:12" x14ac:dyDescent="0.2">
      <c r="B85" s="10"/>
      <c r="C85" s="10"/>
      <c r="D85" s="11"/>
      <c r="E85" s="13"/>
      <c r="F85" s="13"/>
      <c r="G85" s="13"/>
      <c r="H85" s="13"/>
      <c r="I85" s="13"/>
      <c r="J85" s="13"/>
      <c r="K85" s="13"/>
      <c r="L85" s="15">
        <f>SUM(Table6[[#This Row],[A]:[G]])</f>
        <v>0</v>
      </c>
    </row>
    <row r="86" spans="2:12" x14ac:dyDescent="0.2">
      <c r="B86" s="10"/>
      <c r="C86" s="10"/>
      <c r="D86" s="11"/>
      <c r="E86" s="13"/>
      <c r="F86" s="13"/>
      <c r="G86" s="13"/>
      <c r="H86" s="13"/>
      <c r="I86" s="13"/>
      <c r="J86" s="13"/>
      <c r="K86" s="13"/>
      <c r="L86" s="15">
        <f>SUM(Table6[[#This Row],[A]:[G]])</f>
        <v>0</v>
      </c>
    </row>
    <row r="87" spans="2:12" x14ac:dyDescent="0.2">
      <c r="B87" s="10"/>
      <c r="C87" s="10"/>
      <c r="D87" s="11"/>
      <c r="E87" s="13"/>
      <c r="F87" s="13"/>
      <c r="G87" s="13"/>
      <c r="H87" s="13"/>
      <c r="I87" s="13"/>
      <c r="J87" s="13"/>
      <c r="K87" s="13"/>
      <c r="L87" s="15">
        <f>SUM(Table6[[#This Row],[A]:[G]])</f>
        <v>0</v>
      </c>
    </row>
    <row r="88" spans="2:12" x14ac:dyDescent="0.2">
      <c r="B88" s="10"/>
      <c r="C88" s="10"/>
      <c r="D88" s="11"/>
      <c r="E88" s="13"/>
      <c r="F88" s="13"/>
      <c r="G88" s="13"/>
      <c r="H88" s="13"/>
      <c r="I88" s="13"/>
      <c r="J88" s="13"/>
      <c r="K88" s="13"/>
      <c r="L88" s="15">
        <f>SUM(Table6[[#This Row],[A]:[G]])</f>
        <v>0</v>
      </c>
    </row>
    <row r="89" spans="2:12" x14ac:dyDescent="0.2">
      <c r="B89" s="10"/>
      <c r="C89" s="10"/>
      <c r="D89" s="11"/>
      <c r="E89" s="13"/>
      <c r="F89" s="13"/>
      <c r="G89" s="13"/>
      <c r="H89" s="13"/>
      <c r="I89" s="13"/>
      <c r="J89" s="13"/>
      <c r="K89" s="13"/>
      <c r="L89" s="15">
        <f>SUM(Table6[[#This Row],[A]:[G]])</f>
        <v>0</v>
      </c>
    </row>
    <row r="90" spans="2:12" x14ac:dyDescent="0.2">
      <c r="B90" s="10"/>
      <c r="C90" s="10"/>
      <c r="D90" s="11"/>
      <c r="E90" s="13"/>
      <c r="F90" s="13"/>
      <c r="G90" s="13"/>
      <c r="H90" s="13"/>
      <c r="I90" s="13"/>
      <c r="J90" s="13"/>
      <c r="K90" s="13"/>
      <c r="L90" s="15">
        <f>SUM(Table6[[#This Row],[A]:[G]])</f>
        <v>0</v>
      </c>
    </row>
    <row r="91" spans="2:12" x14ac:dyDescent="0.2">
      <c r="B91" s="10"/>
      <c r="C91" s="10"/>
      <c r="D91" s="11"/>
      <c r="E91" s="13"/>
      <c r="F91" s="13"/>
      <c r="G91" s="13"/>
      <c r="H91" s="13"/>
      <c r="I91" s="13"/>
      <c r="J91" s="13"/>
      <c r="K91" s="13"/>
      <c r="L91" s="15">
        <f>SUM(Table6[[#This Row],[A]:[G]])</f>
        <v>0</v>
      </c>
    </row>
    <row r="92" spans="2:12" x14ac:dyDescent="0.2">
      <c r="B92" s="10"/>
      <c r="C92" s="10"/>
      <c r="D92" s="11"/>
      <c r="E92" s="13"/>
      <c r="F92" s="13"/>
      <c r="G92" s="13"/>
      <c r="H92" s="13"/>
      <c r="I92" s="13"/>
      <c r="J92" s="13"/>
      <c r="K92" s="13"/>
      <c r="L92" s="15">
        <f>SUM(Table6[[#This Row],[A]:[G]])</f>
        <v>0</v>
      </c>
    </row>
    <row r="93" spans="2:12" x14ac:dyDescent="0.2">
      <c r="B93" s="10"/>
      <c r="C93" s="10"/>
      <c r="D93" s="11"/>
      <c r="E93" s="13"/>
      <c r="F93" s="13"/>
      <c r="G93" s="13"/>
      <c r="H93" s="13"/>
      <c r="I93" s="13"/>
      <c r="J93" s="13"/>
      <c r="K93" s="13"/>
      <c r="L93" s="15">
        <f>SUM(Table6[[#This Row],[A]:[G]])</f>
        <v>0</v>
      </c>
    </row>
    <row r="94" spans="2:12" x14ac:dyDescent="0.2">
      <c r="B94" s="10"/>
      <c r="C94" s="10"/>
      <c r="D94" s="11"/>
      <c r="E94" s="13"/>
      <c r="F94" s="13"/>
      <c r="G94" s="13"/>
      <c r="H94" s="13"/>
      <c r="I94" s="13"/>
      <c r="J94" s="13"/>
      <c r="K94" s="13"/>
      <c r="L94" s="15">
        <f>SUM(Table6[[#This Row],[A]:[G]])</f>
        <v>0</v>
      </c>
    </row>
    <row r="95" spans="2:12" x14ac:dyDescent="0.2">
      <c r="B95" s="10"/>
      <c r="C95" s="10"/>
      <c r="D95" s="11"/>
      <c r="E95" s="13"/>
      <c r="F95" s="13"/>
      <c r="G95" s="13"/>
      <c r="H95" s="13"/>
      <c r="I95" s="13"/>
      <c r="J95" s="13"/>
      <c r="K95" s="13"/>
      <c r="L95" s="15">
        <f>SUM(Table6[[#This Row],[A]:[G]])</f>
        <v>0</v>
      </c>
    </row>
    <row r="96" spans="2:12" x14ac:dyDescent="0.2">
      <c r="B96" s="10"/>
      <c r="C96" s="10"/>
      <c r="D96" s="11"/>
      <c r="E96" s="13"/>
      <c r="F96" s="13"/>
      <c r="G96" s="13"/>
      <c r="H96" s="13"/>
      <c r="I96" s="13"/>
      <c r="J96" s="13"/>
      <c r="K96" s="13"/>
      <c r="L96" s="15">
        <f>SUM(Table6[[#This Row],[A]:[G]])</f>
        <v>0</v>
      </c>
    </row>
    <row r="97" spans="2:12" x14ac:dyDescent="0.2">
      <c r="B97" s="10"/>
      <c r="C97" s="10"/>
      <c r="D97" s="11"/>
      <c r="E97" s="13"/>
      <c r="F97" s="13"/>
      <c r="G97" s="13"/>
      <c r="H97" s="13"/>
      <c r="I97" s="13"/>
      <c r="J97" s="13"/>
      <c r="K97" s="13"/>
      <c r="L97" s="15">
        <f>SUM(Table6[[#This Row],[A]:[G]])</f>
        <v>0</v>
      </c>
    </row>
    <row r="98" spans="2:12" x14ac:dyDescent="0.2">
      <c r="B98" s="10"/>
      <c r="C98" s="10"/>
      <c r="D98" s="11"/>
      <c r="E98" s="13"/>
      <c r="F98" s="13"/>
      <c r="G98" s="13"/>
      <c r="H98" s="13"/>
      <c r="I98" s="13"/>
      <c r="J98" s="13"/>
      <c r="K98" s="13"/>
      <c r="L98" s="15">
        <f>SUM(Table6[[#This Row],[A]:[G]])</f>
        <v>0</v>
      </c>
    </row>
    <row r="99" spans="2:12" x14ac:dyDescent="0.2">
      <c r="B99" s="10"/>
      <c r="C99" s="10"/>
      <c r="D99" s="11"/>
      <c r="E99" s="13"/>
      <c r="F99" s="13"/>
      <c r="G99" s="13"/>
      <c r="H99" s="13"/>
      <c r="I99" s="13"/>
      <c r="J99" s="13"/>
      <c r="K99" s="13"/>
      <c r="L99" s="15">
        <f>SUM(Table6[[#This Row],[A]:[G]])</f>
        <v>0</v>
      </c>
    </row>
    <row r="100" spans="2:12" x14ac:dyDescent="0.2">
      <c r="B100" s="10"/>
      <c r="C100" s="10"/>
      <c r="D100" s="11"/>
      <c r="E100" s="13"/>
      <c r="F100" s="13"/>
      <c r="G100" s="13"/>
      <c r="H100" s="13"/>
      <c r="I100" s="13"/>
      <c r="J100" s="13"/>
      <c r="K100" s="13"/>
      <c r="L100" s="15">
        <f>SUM(Table6[[#This Row],[A]:[G]])</f>
        <v>0</v>
      </c>
    </row>
    <row r="101" spans="2:12" x14ac:dyDescent="0.2">
      <c r="B101" s="2"/>
      <c r="C101" s="2"/>
      <c r="E101" s="4"/>
      <c r="F101" s="4"/>
      <c r="G101" s="4"/>
      <c r="H101" s="4"/>
      <c r="I101" s="4"/>
      <c r="J101" s="4"/>
      <c r="K101" s="4"/>
      <c r="L101" s="15">
        <f>SUM(Table6[[#This Row],[A]:[G]])</f>
        <v>0</v>
      </c>
    </row>
    <row r="102" spans="2:12" x14ac:dyDescent="0.2">
      <c r="E102" s="4"/>
      <c r="F102" s="4"/>
      <c r="G102" s="4"/>
      <c r="H102" s="4"/>
      <c r="I102" s="4"/>
      <c r="J102" s="4"/>
    </row>
    <row r="103" spans="2:12" x14ac:dyDescent="0.2">
      <c r="E103" s="4"/>
      <c r="F103" s="4"/>
      <c r="G103" s="4"/>
      <c r="H103" s="4"/>
      <c r="I103" s="4"/>
      <c r="J103" s="4"/>
      <c r="L103" s="4"/>
    </row>
    <row r="104" spans="2:12" x14ac:dyDescent="0.2">
      <c r="E104" s="4"/>
      <c r="F104" s="4"/>
      <c r="G104" s="4"/>
      <c r="H104" s="4"/>
      <c r="I104" s="4"/>
      <c r="J104" s="4"/>
      <c r="L104" s="4"/>
    </row>
    <row r="105" spans="2:12" x14ac:dyDescent="0.2">
      <c r="E105" s="4"/>
      <c r="F105" s="4"/>
      <c r="G105" s="4"/>
      <c r="H105" s="4"/>
      <c r="I105" s="4"/>
      <c r="J105" s="4"/>
      <c r="L105" s="4"/>
    </row>
    <row r="106" spans="2:12" x14ac:dyDescent="0.2">
      <c r="E106" s="4"/>
      <c r="F106" s="4"/>
      <c r="G106" s="4"/>
      <c r="H106" s="4"/>
      <c r="I106" s="4"/>
      <c r="J106" s="4"/>
      <c r="L106" s="4"/>
    </row>
    <row r="107" spans="2:12" x14ac:dyDescent="0.2">
      <c r="E107" s="4"/>
      <c r="F107" s="4"/>
      <c r="G107" s="4"/>
      <c r="H107" s="4"/>
      <c r="I107" s="4"/>
      <c r="J107" s="4"/>
      <c r="L107" s="4"/>
    </row>
    <row r="108" spans="2:12" x14ac:dyDescent="0.2">
      <c r="E108" s="4"/>
      <c r="F108" s="4"/>
      <c r="G108" s="4"/>
      <c r="H108" s="4"/>
      <c r="I108" s="4"/>
      <c r="J108" s="4"/>
      <c r="L108" s="4"/>
    </row>
    <row r="109" spans="2:12" x14ac:dyDescent="0.2">
      <c r="E109" s="4"/>
      <c r="F109" s="4"/>
      <c r="G109" s="4"/>
      <c r="H109" s="4"/>
      <c r="I109" s="4"/>
      <c r="J109" s="4"/>
      <c r="L109" s="4"/>
    </row>
    <row r="110" spans="2:12" x14ac:dyDescent="0.2">
      <c r="E110" s="4"/>
      <c r="F110" s="4"/>
      <c r="G110" s="4"/>
      <c r="H110" s="4"/>
      <c r="I110" s="4"/>
      <c r="J110" s="4"/>
      <c r="L110" s="4"/>
    </row>
    <row r="111" spans="2:12" x14ac:dyDescent="0.2">
      <c r="E111" s="4"/>
      <c r="F111" s="4"/>
      <c r="G111" s="4"/>
      <c r="H111" s="4"/>
      <c r="I111" s="4"/>
      <c r="J111" s="4"/>
      <c r="L111" s="4"/>
    </row>
    <row r="112" spans="2:12" x14ac:dyDescent="0.2">
      <c r="E112" s="4"/>
      <c r="F112" s="4"/>
      <c r="G112" s="4"/>
      <c r="H112" s="4"/>
      <c r="I112" s="4"/>
      <c r="J112" s="4"/>
      <c r="L112" s="4"/>
    </row>
    <row r="113" spans="5:12" x14ac:dyDescent="0.2">
      <c r="E113" s="4"/>
      <c r="F113" s="4"/>
      <c r="G113" s="4"/>
      <c r="H113" s="4"/>
      <c r="I113" s="4"/>
      <c r="J113" s="4"/>
      <c r="L113" s="4"/>
    </row>
    <row r="114" spans="5:12" x14ac:dyDescent="0.2">
      <c r="E114" s="4"/>
      <c r="F114" s="4"/>
      <c r="G114" s="4"/>
      <c r="H114" s="4"/>
      <c r="I114" s="4"/>
      <c r="J114" s="4"/>
      <c r="L114" s="4"/>
    </row>
    <row r="115" spans="5:12" x14ac:dyDescent="0.2">
      <c r="E115" s="4"/>
      <c r="F115" s="4"/>
      <c r="G115" s="4"/>
      <c r="H115" s="4"/>
      <c r="I115" s="4"/>
      <c r="J115" s="4"/>
      <c r="L115" s="4"/>
    </row>
    <row r="116" spans="5:12" x14ac:dyDescent="0.2">
      <c r="E116" s="4"/>
      <c r="F116" s="4"/>
      <c r="G116" s="4"/>
      <c r="H116" s="4"/>
      <c r="I116" s="4"/>
      <c r="J116" s="4"/>
      <c r="L116" s="4"/>
    </row>
    <row r="117" spans="5:12" x14ac:dyDescent="0.2">
      <c r="E117" s="4"/>
      <c r="F117" s="4"/>
      <c r="G117" s="4"/>
      <c r="H117" s="4"/>
      <c r="I117" s="4"/>
      <c r="J117" s="4"/>
      <c r="L117" s="4"/>
    </row>
    <row r="118" spans="5:12" x14ac:dyDescent="0.2">
      <c r="E118" s="4"/>
      <c r="F118" s="4"/>
      <c r="G118" s="4"/>
      <c r="H118" s="4"/>
      <c r="I118" s="4"/>
      <c r="J118" s="4"/>
      <c r="L118" s="4"/>
    </row>
    <row r="119" spans="5:12" x14ac:dyDescent="0.2">
      <c r="E119" s="4"/>
      <c r="F119" s="4"/>
      <c r="G119" s="4"/>
      <c r="H119" s="4"/>
      <c r="I119" s="4"/>
      <c r="J119" s="4"/>
      <c r="L119" s="4"/>
    </row>
    <row r="120" spans="5:12" x14ac:dyDescent="0.2">
      <c r="E120" s="4"/>
      <c r="F120" s="4"/>
      <c r="G120" s="4"/>
      <c r="H120" s="4"/>
      <c r="I120" s="4"/>
      <c r="J120" s="4"/>
      <c r="L120" s="4"/>
    </row>
    <row r="121" spans="5:12" x14ac:dyDescent="0.2">
      <c r="E121" s="4"/>
      <c r="F121" s="4"/>
      <c r="G121" s="4"/>
      <c r="H121" s="4"/>
      <c r="I121" s="4"/>
      <c r="J121" s="4"/>
      <c r="L121" s="4"/>
    </row>
    <row r="122" spans="5:12" x14ac:dyDescent="0.2">
      <c r="E122" s="4"/>
      <c r="F122" s="4"/>
      <c r="G122" s="4"/>
      <c r="H122" s="4"/>
      <c r="I122" s="4"/>
      <c r="J122" s="4"/>
      <c r="L122" s="4"/>
    </row>
    <row r="123" spans="5:12" x14ac:dyDescent="0.2">
      <c r="E123" s="4"/>
      <c r="F123" s="4"/>
      <c r="G123" s="4"/>
      <c r="H123" s="4"/>
      <c r="I123" s="4"/>
      <c r="J123" s="4"/>
      <c r="L123" s="4"/>
    </row>
    <row r="124" spans="5:12" x14ac:dyDescent="0.2">
      <c r="E124" s="4"/>
      <c r="F124" s="4"/>
      <c r="G124" s="4"/>
      <c r="H124" s="4"/>
      <c r="I124" s="4"/>
      <c r="J124" s="4"/>
      <c r="L124" s="4"/>
    </row>
    <row r="125" spans="5:12" x14ac:dyDescent="0.2">
      <c r="E125" s="4"/>
      <c r="F125" s="4"/>
      <c r="G125" s="4"/>
      <c r="H125" s="4"/>
      <c r="I125" s="4"/>
      <c r="J125" s="4"/>
      <c r="L125" s="4"/>
    </row>
    <row r="126" spans="5:12" x14ac:dyDescent="0.2">
      <c r="E126" s="4"/>
      <c r="F126" s="4"/>
      <c r="G126" s="4"/>
      <c r="H126" s="4"/>
      <c r="I126" s="4"/>
      <c r="J126" s="4"/>
      <c r="L126" s="4"/>
    </row>
    <row r="127" spans="5:12" x14ac:dyDescent="0.2">
      <c r="E127" s="4"/>
      <c r="F127" s="4"/>
      <c r="G127" s="4"/>
      <c r="H127" s="4"/>
      <c r="I127" s="4"/>
      <c r="J127" s="4"/>
      <c r="L127" s="4"/>
    </row>
    <row r="128" spans="5:12" x14ac:dyDescent="0.2">
      <c r="E128" s="4"/>
      <c r="F128" s="4"/>
      <c r="G128" s="4"/>
      <c r="H128" s="4"/>
      <c r="I128" s="4"/>
      <c r="J128" s="4"/>
      <c r="L128" s="4"/>
    </row>
    <row r="129" spans="5:12" x14ac:dyDescent="0.2">
      <c r="E129" s="4"/>
      <c r="F129" s="4"/>
      <c r="G129" s="4"/>
      <c r="H129" s="4"/>
      <c r="I129" s="4"/>
      <c r="J129" s="4"/>
      <c r="L129" s="4"/>
    </row>
    <row r="130" spans="5:12" x14ac:dyDescent="0.2">
      <c r="E130" s="4"/>
      <c r="F130" s="4"/>
      <c r="G130" s="4"/>
      <c r="H130" s="4"/>
      <c r="I130" s="4"/>
      <c r="J130" s="4"/>
      <c r="L130" s="4"/>
    </row>
    <row r="131" spans="5:12" x14ac:dyDescent="0.2">
      <c r="E131" s="4"/>
      <c r="F131" s="4"/>
      <c r="G131" s="4"/>
      <c r="H131" s="4"/>
      <c r="I131" s="4"/>
      <c r="J131" s="4"/>
      <c r="L131" s="4"/>
    </row>
    <row r="132" spans="5:12" x14ac:dyDescent="0.2">
      <c r="E132" s="4"/>
      <c r="F132" s="4"/>
      <c r="G132" s="4"/>
      <c r="H132" s="4"/>
      <c r="I132" s="4"/>
      <c r="J132" s="4"/>
      <c r="L132" s="4"/>
    </row>
    <row r="133" spans="5:12" x14ac:dyDescent="0.2">
      <c r="E133" s="4"/>
      <c r="F133" s="4"/>
      <c r="G133" s="4"/>
      <c r="H133" s="4"/>
      <c r="I133" s="4"/>
      <c r="J133" s="4"/>
      <c r="L133" s="4"/>
    </row>
    <row r="134" spans="5:12" x14ac:dyDescent="0.2">
      <c r="E134" s="4"/>
      <c r="F134" s="4"/>
      <c r="G134" s="4"/>
      <c r="H134" s="4"/>
      <c r="I134" s="4"/>
      <c r="J134" s="4"/>
      <c r="L134" s="4"/>
    </row>
    <row r="135" spans="5:12" x14ac:dyDescent="0.2">
      <c r="E135" s="4"/>
      <c r="F135" s="4"/>
      <c r="G135" s="4"/>
      <c r="H135" s="4"/>
      <c r="I135" s="4"/>
      <c r="J135" s="4"/>
      <c r="L135" s="4"/>
    </row>
    <row r="136" spans="5:12" x14ac:dyDescent="0.2">
      <c r="E136" s="4"/>
      <c r="F136" s="4"/>
      <c r="G136" s="4"/>
      <c r="H136" s="4"/>
      <c r="I136" s="4"/>
      <c r="J136" s="4"/>
      <c r="L136" s="4"/>
    </row>
    <row r="137" spans="5:12" x14ac:dyDescent="0.2">
      <c r="E137" s="4"/>
      <c r="F137" s="4"/>
      <c r="G137" s="4"/>
      <c r="H137" s="4"/>
      <c r="I137" s="4"/>
      <c r="J137" s="4"/>
      <c r="L137" s="4"/>
    </row>
    <row r="138" spans="5:12" x14ac:dyDescent="0.2">
      <c r="E138" s="4"/>
      <c r="F138" s="4"/>
      <c r="G138" s="4"/>
      <c r="H138" s="4"/>
      <c r="I138" s="4"/>
      <c r="J138" s="4"/>
      <c r="L138" s="4"/>
    </row>
    <row r="139" spans="5:12" x14ac:dyDescent="0.2">
      <c r="E139" s="4"/>
      <c r="F139" s="4"/>
      <c r="G139" s="4"/>
      <c r="H139" s="4"/>
      <c r="I139" s="4"/>
      <c r="J139" s="4"/>
      <c r="L139" s="4"/>
    </row>
    <row r="140" spans="5:12" x14ac:dyDescent="0.2">
      <c r="E140" s="4"/>
      <c r="F140" s="4"/>
      <c r="G140" s="4"/>
      <c r="H140" s="4"/>
      <c r="I140" s="4"/>
      <c r="J140" s="4"/>
      <c r="L140" s="4"/>
    </row>
    <row r="141" spans="5:12" x14ac:dyDescent="0.2">
      <c r="E141" s="4"/>
      <c r="F141" s="4"/>
      <c r="G141" s="4"/>
      <c r="H141" s="4"/>
      <c r="I141" s="4"/>
      <c r="J141" s="4"/>
      <c r="L141" s="4"/>
    </row>
    <row r="142" spans="5:12" x14ac:dyDescent="0.2">
      <c r="E142" s="4"/>
      <c r="F142" s="4"/>
      <c r="G142" s="4"/>
      <c r="H142" s="4"/>
      <c r="I142" s="4"/>
      <c r="J142" s="4"/>
      <c r="L142" s="4"/>
    </row>
    <row r="143" spans="5:12" x14ac:dyDescent="0.2">
      <c r="E143" s="4"/>
      <c r="F143" s="4"/>
      <c r="G143" s="4"/>
      <c r="H143" s="4"/>
      <c r="I143" s="4"/>
      <c r="J143" s="4"/>
      <c r="L143" s="4"/>
    </row>
    <row r="144" spans="5:12" x14ac:dyDescent="0.2">
      <c r="E144" s="4"/>
      <c r="F144" s="4"/>
      <c r="G144" s="4"/>
      <c r="H144" s="4"/>
      <c r="I144" s="4"/>
      <c r="J144" s="4"/>
      <c r="L144" s="4"/>
    </row>
    <row r="145" spans="5:12" x14ac:dyDescent="0.2">
      <c r="E145" s="4"/>
      <c r="F145" s="4"/>
      <c r="G145" s="4"/>
      <c r="H145" s="4"/>
      <c r="I145" s="4"/>
      <c r="J145" s="4"/>
      <c r="L145" s="4"/>
    </row>
    <row r="146" spans="5:12" x14ac:dyDescent="0.2">
      <c r="E146" s="4"/>
      <c r="F146" s="4"/>
      <c r="G146" s="4"/>
      <c r="H146" s="4"/>
      <c r="I146" s="4"/>
      <c r="J146" s="4"/>
      <c r="L146" s="4"/>
    </row>
    <row r="147" spans="5:12" x14ac:dyDescent="0.2">
      <c r="E147" s="4"/>
      <c r="F147" s="4"/>
      <c r="G147" s="4"/>
      <c r="H147" s="4"/>
      <c r="I147" s="4"/>
      <c r="J147" s="4"/>
      <c r="L147" s="4"/>
    </row>
    <row r="148" spans="5:12" x14ac:dyDescent="0.2">
      <c r="E148" s="4"/>
      <c r="F148" s="4"/>
      <c r="G148" s="4"/>
      <c r="H148" s="4"/>
      <c r="I148" s="4"/>
      <c r="J148" s="4"/>
      <c r="L148" s="4"/>
    </row>
    <row r="149" spans="5:12" x14ac:dyDescent="0.2">
      <c r="E149" s="4"/>
      <c r="F149" s="4"/>
      <c r="G149" s="4"/>
      <c r="H149" s="4"/>
      <c r="I149" s="4"/>
      <c r="J149" s="4"/>
      <c r="L149" s="4"/>
    </row>
    <row r="150" spans="5:12" x14ac:dyDescent="0.2">
      <c r="E150" s="4"/>
      <c r="F150" s="4"/>
      <c r="G150" s="4"/>
      <c r="H150" s="4"/>
      <c r="I150" s="4"/>
      <c r="J150" s="4"/>
      <c r="L150" s="4"/>
    </row>
    <row r="151" spans="5:12" x14ac:dyDescent="0.2">
      <c r="E151" s="4"/>
      <c r="F151" s="4"/>
      <c r="G151" s="4"/>
      <c r="H151" s="4"/>
      <c r="I151" s="4"/>
      <c r="J151" s="4"/>
      <c r="L151" s="4"/>
    </row>
    <row r="152" spans="5:12" x14ac:dyDescent="0.2">
      <c r="E152" s="4"/>
      <c r="F152" s="4"/>
      <c r="G152" s="4"/>
      <c r="H152" s="4"/>
      <c r="I152" s="4"/>
      <c r="J152" s="4"/>
      <c r="L152" s="4"/>
    </row>
    <row r="153" spans="5:12" x14ac:dyDescent="0.2">
      <c r="E153" s="4"/>
      <c r="F153" s="4"/>
      <c r="G153" s="4"/>
      <c r="H153" s="4"/>
      <c r="I153" s="4"/>
      <c r="J153" s="4"/>
      <c r="L153" s="4"/>
    </row>
    <row r="154" spans="5:12" x14ac:dyDescent="0.2">
      <c r="E154" s="4"/>
      <c r="F154" s="4"/>
      <c r="G154" s="4"/>
      <c r="H154" s="4"/>
      <c r="I154" s="4"/>
      <c r="J154" s="4"/>
      <c r="L154" s="4"/>
    </row>
    <row r="155" spans="5:12" x14ac:dyDescent="0.2">
      <c r="E155" s="4"/>
      <c r="F155" s="4"/>
      <c r="G155" s="4"/>
      <c r="H155" s="4"/>
      <c r="I155" s="4"/>
      <c r="J155" s="4"/>
      <c r="L155" s="4"/>
    </row>
    <row r="156" spans="5:12" x14ac:dyDescent="0.2">
      <c r="E156" s="4"/>
      <c r="F156" s="4"/>
      <c r="G156" s="4"/>
      <c r="H156" s="4"/>
      <c r="I156" s="4"/>
      <c r="J156" s="4"/>
      <c r="L156" s="4"/>
    </row>
    <row r="157" spans="5:12" x14ac:dyDescent="0.2">
      <c r="E157" s="4"/>
      <c r="F157" s="4"/>
      <c r="G157" s="4"/>
      <c r="H157" s="4"/>
      <c r="I157" s="4"/>
      <c r="J157" s="4"/>
      <c r="L157" s="4"/>
    </row>
    <row r="158" spans="5:12" x14ac:dyDescent="0.2">
      <c r="E158" s="4"/>
      <c r="F158" s="4"/>
      <c r="G158" s="4"/>
      <c r="H158" s="4"/>
      <c r="I158" s="4"/>
      <c r="J158" s="4"/>
      <c r="L158" s="4"/>
    </row>
    <row r="159" spans="5:12" x14ac:dyDescent="0.2">
      <c r="E159" s="4"/>
      <c r="F159" s="4"/>
      <c r="G159" s="4"/>
      <c r="H159" s="4"/>
      <c r="I159" s="4"/>
      <c r="J159" s="4"/>
      <c r="L159" s="4"/>
    </row>
    <row r="160" spans="5:12" x14ac:dyDescent="0.2">
      <c r="E160" s="4"/>
      <c r="F160" s="4"/>
      <c r="G160" s="4"/>
      <c r="H160" s="4"/>
      <c r="I160" s="4"/>
      <c r="J160" s="4"/>
      <c r="L160" s="4"/>
    </row>
    <row r="161" spans="5:12" x14ac:dyDescent="0.2">
      <c r="E161" s="4"/>
      <c r="F161" s="4"/>
      <c r="G161" s="4"/>
      <c r="H161" s="4"/>
      <c r="I161" s="4"/>
      <c r="J161" s="4"/>
      <c r="L161" s="4"/>
    </row>
    <row r="162" spans="5:12" x14ac:dyDescent="0.2">
      <c r="E162" s="4"/>
      <c r="F162" s="4"/>
      <c r="G162" s="4"/>
      <c r="H162" s="4"/>
      <c r="I162" s="4"/>
      <c r="J162" s="4"/>
      <c r="L162" s="4"/>
    </row>
    <row r="163" spans="5:12" x14ac:dyDescent="0.2">
      <c r="E163" s="4"/>
      <c r="F163" s="4"/>
      <c r="G163" s="4"/>
      <c r="H163" s="4"/>
      <c r="I163" s="4"/>
      <c r="J163" s="4"/>
      <c r="L163" s="4"/>
    </row>
    <row r="164" spans="5:12" x14ac:dyDescent="0.2">
      <c r="E164" s="4"/>
      <c r="F164" s="4"/>
      <c r="G164" s="4"/>
      <c r="H164" s="4"/>
      <c r="I164" s="4"/>
      <c r="J164" s="4"/>
      <c r="L164" s="4"/>
    </row>
    <row r="165" spans="5:12" x14ac:dyDescent="0.2">
      <c r="E165" s="4"/>
      <c r="F165" s="4"/>
      <c r="G165" s="4"/>
      <c r="H165" s="4"/>
      <c r="I165" s="4"/>
      <c r="J165" s="4"/>
      <c r="L165" s="4"/>
    </row>
    <row r="166" spans="5:12" x14ac:dyDescent="0.2">
      <c r="E166" s="4"/>
      <c r="F166" s="4"/>
      <c r="G166" s="4"/>
      <c r="H166" s="4"/>
      <c r="I166" s="4"/>
      <c r="J166" s="4"/>
      <c r="L166" s="4"/>
    </row>
    <row r="167" spans="5:12" x14ac:dyDescent="0.2">
      <c r="E167" s="4"/>
      <c r="F167" s="4"/>
      <c r="G167" s="4"/>
      <c r="H167" s="4"/>
      <c r="I167" s="4"/>
      <c r="J167" s="4"/>
      <c r="L167" s="4"/>
    </row>
    <row r="168" spans="5:12" x14ac:dyDescent="0.2">
      <c r="E168" s="4"/>
      <c r="F168" s="4"/>
      <c r="G168" s="4"/>
      <c r="H168" s="4"/>
      <c r="I168" s="4"/>
      <c r="J168" s="4"/>
      <c r="L168" s="4"/>
    </row>
    <row r="169" spans="5:12" x14ac:dyDescent="0.2">
      <c r="E169" s="4"/>
      <c r="F169" s="4"/>
      <c r="G169" s="4"/>
      <c r="H169" s="4"/>
      <c r="I169" s="4"/>
      <c r="J169" s="4"/>
      <c r="L169" s="4"/>
    </row>
    <row r="170" spans="5:12" x14ac:dyDescent="0.2">
      <c r="E170" s="4"/>
      <c r="F170" s="4"/>
      <c r="G170" s="4"/>
      <c r="H170" s="4"/>
      <c r="I170" s="4"/>
      <c r="J170" s="4"/>
      <c r="L170" s="4"/>
    </row>
    <row r="171" spans="5:12" x14ac:dyDescent="0.2">
      <c r="E171" s="4"/>
      <c r="F171" s="4"/>
      <c r="G171" s="4"/>
      <c r="H171" s="4"/>
      <c r="I171" s="4"/>
      <c r="J171" s="4"/>
      <c r="L171" s="4"/>
    </row>
    <row r="172" spans="5:12" x14ac:dyDescent="0.2">
      <c r="E172" s="4"/>
      <c r="F172" s="4"/>
      <c r="G172" s="4"/>
      <c r="H172" s="4"/>
      <c r="I172" s="4"/>
      <c r="J172" s="4"/>
      <c r="L172" s="4"/>
    </row>
    <row r="173" spans="5:12" x14ac:dyDescent="0.2">
      <c r="E173" s="4"/>
      <c r="F173" s="4"/>
      <c r="G173" s="4"/>
      <c r="H173" s="4"/>
      <c r="I173" s="4"/>
      <c r="J173" s="4"/>
      <c r="L173" s="4"/>
    </row>
    <row r="174" spans="5:12" x14ac:dyDescent="0.2">
      <c r="E174" s="4"/>
      <c r="F174" s="4"/>
      <c r="G174" s="4"/>
      <c r="H174" s="4"/>
      <c r="I174" s="4"/>
      <c r="J174" s="4"/>
      <c r="L174" s="4"/>
    </row>
    <row r="175" spans="5:12" x14ac:dyDescent="0.2">
      <c r="E175" s="4"/>
      <c r="F175" s="4"/>
      <c r="G175" s="4"/>
      <c r="H175" s="4"/>
      <c r="I175" s="4"/>
      <c r="J175" s="4"/>
      <c r="L175" s="4"/>
    </row>
    <row r="176" spans="5:12" x14ac:dyDescent="0.2">
      <c r="E176" s="4"/>
      <c r="F176" s="4"/>
      <c r="G176" s="4"/>
      <c r="H176" s="4"/>
      <c r="I176" s="4"/>
      <c r="J176" s="4"/>
      <c r="L176" s="4"/>
    </row>
    <row r="177" spans="5:12" x14ac:dyDescent="0.2">
      <c r="E177" s="4"/>
      <c r="F177" s="4"/>
      <c r="G177" s="4"/>
      <c r="H177" s="4"/>
      <c r="I177" s="4"/>
      <c r="J177" s="4"/>
      <c r="L177" s="4"/>
    </row>
    <row r="178" spans="5:12" x14ac:dyDescent="0.2">
      <c r="E178" s="4"/>
      <c r="F178" s="4"/>
      <c r="G178" s="4"/>
      <c r="H178" s="4"/>
      <c r="I178" s="4"/>
      <c r="J178" s="4"/>
      <c r="L178" s="4"/>
    </row>
    <row r="179" spans="5:12" x14ac:dyDescent="0.2">
      <c r="E179" s="4"/>
      <c r="F179" s="4"/>
      <c r="G179" s="4"/>
      <c r="H179" s="4"/>
      <c r="I179" s="4"/>
      <c r="J179" s="4"/>
      <c r="L179" s="4"/>
    </row>
    <row r="180" spans="5:12" x14ac:dyDescent="0.2">
      <c r="E180" s="4"/>
      <c r="F180" s="4"/>
      <c r="G180" s="4"/>
      <c r="H180" s="4"/>
      <c r="I180" s="4"/>
      <c r="J180" s="4"/>
      <c r="L180" s="4"/>
    </row>
    <row r="181" spans="5:12" x14ac:dyDescent="0.2">
      <c r="E181" s="4"/>
      <c r="F181" s="4"/>
      <c r="G181" s="4"/>
      <c r="H181" s="4"/>
      <c r="I181" s="4"/>
      <c r="J181" s="4"/>
      <c r="L181" s="4"/>
    </row>
    <row r="182" spans="5:12" x14ac:dyDescent="0.2">
      <c r="E182" s="4"/>
      <c r="F182" s="4"/>
      <c r="G182" s="4"/>
      <c r="H182" s="4"/>
      <c r="I182" s="4"/>
      <c r="J182" s="4"/>
      <c r="L182" s="4"/>
    </row>
    <row r="183" spans="5:12" x14ac:dyDescent="0.2">
      <c r="E183" s="4"/>
      <c r="F183" s="4"/>
      <c r="G183" s="4"/>
      <c r="H183" s="4"/>
      <c r="I183" s="4"/>
      <c r="J183" s="4"/>
      <c r="L183" s="4"/>
    </row>
    <row r="184" spans="5:12" x14ac:dyDescent="0.2">
      <c r="E184" s="4"/>
      <c r="F184" s="4"/>
      <c r="G184" s="4"/>
      <c r="H184" s="4"/>
      <c r="I184" s="4"/>
      <c r="J184" s="4"/>
      <c r="L184" s="4"/>
    </row>
    <row r="185" spans="5:12" x14ac:dyDescent="0.2">
      <c r="E185" s="4"/>
      <c r="F185" s="4"/>
      <c r="G185" s="4"/>
      <c r="H185" s="4"/>
      <c r="I185" s="4"/>
      <c r="J185" s="4"/>
      <c r="L185" s="4"/>
    </row>
    <row r="186" spans="5:12" x14ac:dyDescent="0.2">
      <c r="E186" s="4"/>
      <c r="F186" s="4"/>
      <c r="G186" s="4"/>
      <c r="H186" s="4"/>
      <c r="I186" s="4"/>
      <c r="J186" s="4"/>
      <c r="L186" s="4"/>
    </row>
    <row r="187" spans="5:12" x14ac:dyDescent="0.2">
      <c r="E187" s="4"/>
      <c r="F187" s="4"/>
      <c r="G187" s="4"/>
      <c r="H187" s="4"/>
      <c r="I187" s="4"/>
      <c r="J187" s="4"/>
      <c r="L187" s="4"/>
    </row>
    <row r="188" spans="5:12" x14ac:dyDescent="0.2">
      <c r="E188" s="4"/>
      <c r="F188" s="4"/>
      <c r="G188" s="4"/>
      <c r="H188" s="4"/>
      <c r="I188" s="4"/>
      <c r="J188" s="4"/>
      <c r="L188" s="4"/>
    </row>
    <row r="189" spans="5:12" x14ac:dyDescent="0.2">
      <c r="E189" s="4"/>
      <c r="F189" s="4"/>
      <c r="G189" s="4"/>
      <c r="H189" s="4"/>
      <c r="I189" s="4"/>
      <c r="J189" s="4"/>
      <c r="L189" s="4"/>
    </row>
    <row r="190" spans="5:12" x14ac:dyDescent="0.2">
      <c r="E190" s="4"/>
      <c r="F190" s="4"/>
      <c r="G190" s="4"/>
      <c r="H190" s="4"/>
      <c r="I190" s="4"/>
      <c r="J190" s="4"/>
      <c r="L190" s="4"/>
    </row>
    <row r="191" spans="5:12" x14ac:dyDescent="0.2">
      <c r="E191" s="4"/>
      <c r="F191" s="4"/>
      <c r="G191" s="4"/>
      <c r="H191" s="4"/>
      <c r="I191" s="4"/>
      <c r="J191" s="4"/>
      <c r="L191" s="4"/>
    </row>
    <row r="192" spans="5:12" x14ac:dyDescent="0.2">
      <c r="E192" s="4"/>
      <c r="F192" s="4"/>
      <c r="G192" s="4"/>
      <c r="H192" s="4"/>
      <c r="I192" s="4"/>
      <c r="J192" s="4"/>
      <c r="L192" s="4"/>
    </row>
    <row r="193" spans="5:12" x14ac:dyDescent="0.2">
      <c r="E193" s="4"/>
      <c r="F193" s="4"/>
      <c r="G193" s="4"/>
      <c r="H193" s="4"/>
      <c r="I193" s="4"/>
      <c r="J193" s="4"/>
      <c r="L193" s="4"/>
    </row>
    <row r="194" spans="5:12" x14ac:dyDescent="0.2">
      <c r="E194" s="4"/>
      <c r="F194" s="4"/>
      <c r="G194" s="4"/>
      <c r="H194" s="4"/>
      <c r="I194" s="4"/>
      <c r="J194" s="4"/>
      <c r="L194" s="4"/>
    </row>
    <row r="195" spans="5:12" x14ac:dyDescent="0.2">
      <c r="E195" s="4"/>
      <c r="F195" s="4"/>
      <c r="G195" s="4"/>
      <c r="H195" s="4"/>
      <c r="I195" s="4"/>
      <c r="J195" s="4"/>
      <c r="L195" s="4"/>
    </row>
    <row r="196" spans="5:12" x14ac:dyDescent="0.2">
      <c r="E196" s="4"/>
      <c r="F196" s="4"/>
      <c r="G196" s="4"/>
      <c r="H196" s="4"/>
      <c r="I196" s="4"/>
      <c r="J196" s="4"/>
      <c r="L196" s="4"/>
    </row>
    <row r="197" spans="5:12" x14ac:dyDescent="0.2">
      <c r="E197" s="4"/>
      <c r="F197" s="4"/>
      <c r="G197" s="4"/>
      <c r="H197" s="4"/>
      <c r="I197" s="4"/>
      <c r="J197" s="4"/>
      <c r="L197" s="4"/>
    </row>
    <row r="198" spans="5:12" x14ac:dyDescent="0.2">
      <c r="E198" s="4"/>
      <c r="F198" s="4"/>
      <c r="G198" s="4"/>
      <c r="H198" s="4"/>
      <c r="I198" s="4"/>
      <c r="J198" s="4"/>
      <c r="L198" s="4"/>
    </row>
    <row r="199" spans="5:12" x14ac:dyDescent="0.2">
      <c r="E199" s="4"/>
      <c r="F199" s="4"/>
      <c r="G199" s="4"/>
      <c r="H199" s="4"/>
      <c r="I199" s="4"/>
      <c r="J199" s="4"/>
      <c r="L199" s="4"/>
    </row>
    <row r="200" spans="5:12" x14ac:dyDescent="0.2">
      <c r="E200" s="4"/>
      <c r="F200" s="4"/>
      <c r="G200" s="4"/>
      <c r="H200" s="4"/>
      <c r="I200" s="4"/>
      <c r="J200" s="4"/>
      <c r="L200" s="4"/>
    </row>
    <row r="201" spans="5:12" x14ac:dyDescent="0.2">
      <c r="E201" s="4"/>
      <c r="F201" s="4"/>
      <c r="G201" s="4"/>
      <c r="H201" s="4"/>
      <c r="I201" s="4"/>
      <c r="J201" s="4"/>
      <c r="L201" s="4"/>
    </row>
  </sheetData>
  <sheetProtection algorithmName="SHA-512" hashValue="Jj0CoplNbNBuuZylNBTniDp5uezQxL0XZr2vLStQPQgN582u5BBhhGQ2FcGYSAcXEM5p9cTYH4rnqdfHTEZDdg==" saltValue="Y484WvF8LSa3Ep4Xd3Xx7w==" spinCount="100000" sheet="1" objects="1" scenarios="1" selectLockedCells="1" sort="0" autoFilter="0"/>
  <protectedRanges>
    <protectedRange sqref="B6:L101" name="Filter"/>
  </protectedRanges>
  <mergeCells count="9">
    <mergeCell ref="B1:L1"/>
    <mergeCell ref="A1:A1048576"/>
    <mergeCell ref="G2:K2"/>
    <mergeCell ref="G3:K3"/>
    <mergeCell ref="B4:L4"/>
    <mergeCell ref="E2:F2"/>
    <mergeCell ref="E3:F3"/>
    <mergeCell ref="B2:C2"/>
    <mergeCell ref="B3:C3"/>
  </mergeCells>
  <conditionalFormatting sqref="A6:XFD6 A7:K100 M7:XFD100 L7:L101">
    <cfRule type="expression" dxfId="4" priority="1">
      <formula>$D6="In Progress"</formula>
    </cfRule>
    <cfRule type="expression" dxfId="3" priority="2">
      <formula>$D6="Complete"</formula>
    </cfRule>
    <cfRule type="expression" dxfId="2" priority="3">
      <formula>$D6="Not Started"</formula>
    </cfRule>
    <cfRule type="expression" dxfId="1" priority="4">
      <formula>$D6="Withdrawn"</formula>
    </cfRule>
    <cfRule type="expression" dxfId="0" priority="5">
      <formula>$D6="Ineligible"</formula>
    </cfRule>
  </conditionalFormatting>
  <dataValidations count="3">
    <dataValidation type="list" allowBlank="1" showInputMessage="1" showErrorMessage="1" sqref="D102:D202" xr:uid="{F7065B46-B286-43CD-B9E7-A0E4EEC5A613}">
      <formula1>"Complete, In Progress, Not Started"</formula1>
    </dataValidation>
    <dataValidation type="list" allowBlank="1" showInputMessage="1" showErrorMessage="1" sqref="D6:D101" xr:uid="{0E7A59CE-9C1A-4177-96FC-6792290159E4}">
      <formula1>"Complete, In Progress, Not Started, Withdrawn"</formula1>
    </dataValidation>
    <dataValidation type="list" allowBlank="1" showInputMessage="1" showErrorMessage="1" sqref="C6:C101" xr:uid="{03C5FD72-F0F2-4C3B-8AD9-9DFABE154267}">
      <formula1>"City, County, PNP, Government, Municipality, Co Op, Other"</formula1>
    </dataValidation>
  </dataValidations>
  <pageMargins left="0.7" right="0.7" top="0.75" bottom="0.75" header="0.3" footer="0.3"/>
  <pageSetup paperSize="17" orientation="landscape" r:id="rId1"/>
  <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53F447B8-57C0-45EC-B2E4-405629C8DBF8}">
          <x14:formula1>
            <xm:f>'County Population and Threshold'!$A$4:$A$75</xm:f>
          </x14:formula1>
          <xm:sqref>B3</xm:sqref>
        </x14:dataValidation>
        <x14:dataValidation type="list" allowBlank="1" showInputMessage="1" showErrorMessage="1" xr:uid="{4C6248B3-592C-4AD2-B25B-C2E1E253C9FF}">
          <x14:formula1>
            <xm:f>'County Population and Threshold'!$C$4:$C$23</xm:f>
          </x14:formula1>
          <xm:sqref>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99735-CC91-4998-986F-59F1D377B0FE}">
  <sheetPr>
    <tabColor theme="3" tint="0.59999389629810485"/>
  </sheetPr>
  <dimension ref="A1:B100"/>
  <sheetViews>
    <sheetView showZeros="0" tabSelected="1" zoomScale="80" zoomScaleNormal="80" workbookViewId="0">
      <pane ySplit="1" topLeftCell="A14" activePane="bottomLeft" state="frozen"/>
      <selection pane="bottomLeft" activeCell="B22" sqref="B22"/>
    </sheetView>
  </sheetViews>
  <sheetFormatPr defaultRowHeight="45" customHeight="1" x14ac:dyDescent="0.2"/>
  <cols>
    <col min="1" max="1" width="55.7109375" style="28" customWidth="1"/>
    <col min="2" max="2" width="151" customWidth="1"/>
  </cols>
  <sheetData>
    <row r="1" spans="1:2" ht="45" customHeight="1" thickBot="1" x14ac:dyDescent="0.25">
      <c r="A1" s="27" t="s">
        <v>12</v>
      </c>
      <c r="B1" s="26" t="s">
        <v>8</v>
      </c>
    </row>
    <row r="2" spans="1:2" ht="64.900000000000006" customHeight="1" x14ac:dyDescent="0.2">
      <c r="A2" s="28" t="str">
        <f>'County Summary'!B6</f>
        <v>County of Rock</v>
      </c>
      <c r="B2" s="40" t="s">
        <v>202</v>
      </c>
    </row>
    <row r="3" spans="1:2" ht="111.75" customHeight="1" x14ac:dyDescent="0.2">
      <c r="A3" s="28" t="str">
        <f>'County Summary'!B7</f>
        <v>City of Beloit</v>
      </c>
      <c r="B3" s="42" t="s">
        <v>217</v>
      </c>
    </row>
    <row r="4" spans="1:2" ht="397.15" customHeight="1" x14ac:dyDescent="0.2">
      <c r="A4" s="28" t="str">
        <f>'County Summary'!B8</f>
        <v>City of Janesville</v>
      </c>
      <c r="B4" s="40" t="s">
        <v>227</v>
      </c>
    </row>
    <row r="5" spans="1:2" ht="51" x14ac:dyDescent="0.2">
      <c r="A5" s="28" t="str">
        <f>'County Summary'!B9</f>
        <v>Township of Bradford</v>
      </c>
      <c r="B5" s="41" t="s">
        <v>204</v>
      </c>
    </row>
    <row r="6" spans="1:2" ht="45" customHeight="1" x14ac:dyDescent="0.2">
      <c r="A6" s="28" t="str">
        <f>'County Summary'!B10</f>
        <v>Township of Center</v>
      </c>
      <c r="B6" s="42" t="s">
        <v>215</v>
      </c>
    </row>
    <row r="7" spans="1:2" ht="45" customHeight="1" x14ac:dyDescent="0.2">
      <c r="A7" s="28" t="str">
        <f>'County Summary'!B11</f>
        <v>Township of Fulton</v>
      </c>
      <c r="B7" s="40" t="s">
        <v>211</v>
      </c>
    </row>
    <row r="8" spans="1:2" ht="38.25" x14ac:dyDescent="0.2">
      <c r="A8" s="28" t="str">
        <f>'County Summary'!B12</f>
        <v>Township of Harmony</v>
      </c>
      <c r="B8" s="40" t="s">
        <v>206</v>
      </c>
    </row>
    <row r="9" spans="1:2" ht="101.45" customHeight="1" x14ac:dyDescent="0.2">
      <c r="A9" s="28" t="str">
        <f>'County Summary'!B13</f>
        <v>Township of Janesville</v>
      </c>
      <c r="B9" s="40" t="s">
        <v>229</v>
      </c>
    </row>
    <row r="10" spans="1:2" ht="45" customHeight="1" x14ac:dyDescent="0.2">
      <c r="A10" s="28" t="str">
        <f>'County Summary'!B14</f>
        <v>Township of Johnston</v>
      </c>
      <c r="B10" s="40" t="s">
        <v>207</v>
      </c>
    </row>
    <row r="11" spans="1:2" ht="51" x14ac:dyDescent="0.2">
      <c r="A11" s="28" t="str">
        <f>'County Summary'!B15</f>
        <v>Township of La Prairie</v>
      </c>
      <c r="B11" s="40" t="s">
        <v>205</v>
      </c>
    </row>
    <row r="12" spans="1:2" ht="63.75" x14ac:dyDescent="0.2">
      <c r="A12" s="28" t="str">
        <f>'County Summary'!B16</f>
        <v>Township of Milton</v>
      </c>
      <c r="B12" s="40" t="s">
        <v>225</v>
      </c>
    </row>
    <row r="13" spans="1:2" ht="63.75" x14ac:dyDescent="0.2">
      <c r="A13" s="28" t="str">
        <f>'County Summary'!B17</f>
        <v>Township of Plymouth</v>
      </c>
      <c r="B13" s="40" t="s">
        <v>224</v>
      </c>
    </row>
    <row r="14" spans="1:2" ht="45" customHeight="1" x14ac:dyDescent="0.2">
      <c r="A14" s="28" t="str">
        <f>'County Summary'!B18</f>
        <v>Township of Porter</v>
      </c>
      <c r="B14" s="10" t="s">
        <v>210</v>
      </c>
    </row>
    <row r="15" spans="1:2" ht="89.25" x14ac:dyDescent="0.2">
      <c r="A15" s="28" t="str">
        <f>'County Summary'!B19</f>
        <v>Township of Rock</v>
      </c>
      <c r="B15" s="40" t="s">
        <v>222</v>
      </c>
    </row>
    <row r="16" spans="1:2" ht="45" customHeight="1" x14ac:dyDescent="0.2">
      <c r="A16" s="28" t="str">
        <f>'County Summary'!B20</f>
        <v>Township of Spring Valley</v>
      </c>
      <c r="B16" s="40" t="s">
        <v>208</v>
      </c>
    </row>
    <row r="17" spans="1:2" ht="45" customHeight="1" x14ac:dyDescent="0.2">
      <c r="A17" s="28" t="str">
        <f>'County Summary'!B21</f>
        <v>Township of Turtle</v>
      </c>
      <c r="B17" s="10" t="s">
        <v>209</v>
      </c>
    </row>
    <row r="18" spans="1:2" ht="45" customHeight="1" x14ac:dyDescent="0.2">
      <c r="A18" s="28" t="str">
        <f>'County Summary'!B22</f>
        <v>Township of Orfodville</v>
      </c>
      <c r="B18" s="40" t="s">
        <v>221</v>
      </c>
    </row>
    <row r="19" spans="1:2" ht="45" customHeight="1" x14ac:dyDescent="0.2">
      <c r="A19" s="28" t="str">
        <f>'County Summary'!B23</f>
        <v>Department of Transportation</v>
      </c>
      <c r="B19" s="40" t="s">
        <v>214</v>
      </c>
    </row>
    <row r="20" spans="1:2" ht="45" customHeight="1" x14ac:dyDescent="0.2">
      <c r="A20" s="28" t="str">
        <f>'County Summary'!B24</f>
        <v>National Guard</v>
      </c>
      <c r="B20" t="s">
        <v>226</v>
      </c>
    </row>
    <row r="21" spans="1:2" ht="68.45" customHeight="1" x14ac:dyDescent="0.2">
      <c r="A21" s="28" t="str">
        <f>'County Summary'!B25</f>
        <v>First Lutheran Church</v>
      </c>
      <c r="B21" s="42" t="s">
        <v>223</v>
      </c>
    </row>
    <row r="22" spans="1:2" ht="58.9" customHeight="1" x14ac:dyDescent="0.2">
      <c r="A22" s="28" t="str">
        <f>'County Summary'!B26</f>
        <v>Janesville School District</v>
      </c>
      <c r="B22" s="44" t="s">
        <v>228</v>
      </c>
    </row>
    <row r="23" spans="1:2" ht="45" customHeight="1" x14ac:dyDescent="0.2">
      <c r="A23" s="28">
        <f>'County Summary'!B27</f>
        <v>0</v>
      </c>
      <c r="B23" s="11"/>
    </row>
    <row r="24" spans="1:2" ht="45" customHeight="1" x14ac:dyDescent="0.2">
      <c r="A24" s="28">
        <f>'County Summary'!B28</f>
        <v>0</v>
      </c>
      <c r="B24" s="11"/>
    </row>
    <row r="25" spans="1:2" ht="45" customHeight="1" x14ac:dyDescent="0.2">
      <c r="A25" s="28">
        <f>'County Summary'!B29</f>
        <v>0</v>
      </c>
      <c r="B25" s="11"/>
    </row>
    <row r="26" spans="1:2" ht="45" customHeight="1" x14ac:dyDescent="0.2">
      <c r="A26" s="28">
        <f>'County Summary'!B30</f>
        <v>0</v>
      </c>
      <c r="B26" s="11"/>
    </row>
    <row r="27" spans="1:2" ht="45" customHeight="1" x14ac:dyDescent="0.2">
      <c r="A27" s="28">
        <f>'County Summary'!B31</f>
        <v>0</v>
      </c>
      <c r="B27" s="11"/>
    </row>
    <row r="28" spans="1:2" ht="45" customHeight="1" x14ac:dyDescent="0.2">
      <c r="A28" s="28">
        <f>'County Summary'!B32</f>
        <v>0</v>
      </c>
      <c r="B28" s="11"/>
    </row>
    <row r="29" spans="1:2" ht="45" customHeight="1" x14ac:dyDescent="0.2">
      <c r="A29" s="28">
        <f>'County Summary'!B33</f>
        <v>0</v>
      </c>
      <c r="B29" s="11"/>
    </row>
    <row r="30" spans="1:2" ht="45" customHeight="1" x14ac:dyDescent="0.2">
      <c r="A30" s="28">
        <f>'County Summary'!B34</f>
        <v>0</v>
      </c>
      <c r="B30" s="11"/>
    </row>
    <row r="31" spans="1:2" ht="45" customHeight="1" x14ac:dyDescent="0.2">
      <c r="A31" s="28">
        <f>'County Summary'!B35</f>
        <v>0</v>
      </c>
      <c r="B31" s="11"/>
    </row>
    <row r="32" spans="1:2" ht="45" customHeight="1" x14ac:dyDescent="0.2">
      <c r="A32" s="28">
        <f>'County Summary'!B36</f>
        <v>0</v>
      </c>
      <c r="B32" s="11"/>
    </row>
    <row r="33" spans="1:2" ht="45" customHeight="1" x14ac:dyDescent="0.2">
      <c r="A33" s="28">
        <f>'County Summary'!B37</f>
        <v>0</v>
      </c>
      <c r="B33" s="11"/>
    </row>
    <row r="34" spans="1:2" ht="45" customHeight="1" x14ac:dyDescent="0.2">
      <c r="A34" s="28">
        <f>'County Summary'!B38</f>
        <v>0</v>
      </c>
      <c r="B34" s="11"/>
    </row>
    <row r="35" spans="1:2" ht="45" customHeight="1" x14ac:dyDescent="0.2">
      <c r="A35" s="28">
        <f>'County Summary'!B39</f>
        <v>0</v>
      </c>
      <c r="B35" s="11"/>
    </row>
    <row r="36" spans="1:2" ht="45" customHeight="1" x14ac:dyDescent="0.2">
      <c r="A36" s="28">
        <f>'County Summary'!B40</f>
        <v>0</v>
      </c>
      <c r="B36" s="11"/>
    </row>
    <row r="37" spans="1:2" ht="45" customHeight="1" x14ac:dyDescent="0.2">
      <c r="A37" s="28">
        <f>'County Summary'!B41</f>
        <v>0</v>
      </c>
      <c r="B37" s="11"/>
    </row>
    <row r="38" spans="1:2" ht="45" customHeight="1" x14ac:dyDescent="0.2">
      <c r="A38" s="28">
        <f>'County Summary'!B42</f>
        <v>0</v>
      </c>
      <c r="B38" s="11"/>
    </row>
    <row r="39" spans="1:2" ht="45" customHeight="1" x14ac:dyDescent="0.2">
      <c r="A39" s="28">
        <f>'County Summary'!B43</f>
        <v>0</v>
      </c>
      <c r="B39" s="11"/>
    </row>
    <row r="40" spans="1:2" ht="45" customHeight="1" x14ac:dyDescent="0.2">
      <c r="A40" s="28">
        <f>'County Summary'!B44</f>
        <v>0</v>
      </c>
      <c r="B40" s="11"/>
    </row>
    <row r="41" spans="1:2" ht="45" customHeight="1" x14ac:dyDescent="0.2">
      <c r="A41" s="28">
        <f>'County Summary'!B45</f>
        <v>0</v>
      </c>
      <c r="B41" s="11"/>
    </row>
    <row r="42" spans="1:2" ht="45" customHeight="1" x14ac:dyDescent="0.2">
      <c r="A42" s="28">
        <f>'County Summary'!B46</f>
        <v>0</v>
      </c>
      <c r="B42" s="11"/>
    </row>
    <row r="43" spans="1:2" ht="45" customHeight="1" x14ac:dyDescent="0.2">
      <c r="A43" s="28">
        <f>'County Summary'!B47</f>
        <v>0</v>
      </c>
      <c r="B43" s="11"/>
    </row>
    <row r="44" spans="1:2" ht="45" customHeight="1" x14ac:dyDescent="0.2">
      <c r="A44" s="28">
        <f>'County Summary'!B48</f>
        <v>0</v>
      </c>
      <c r="B44" s="11"/>
    </row>
    <row r="45" spans="1:2" ht="45" customHeight="1" x14ac:dyDescent="0.2">
      <c r="A45" s="28">
        <f>'County Summary'!B49</f>
        <v>0</v>
      </c>
      <c r="B45" s="11"/>
    </row>
    <row r="46" spans="1:2" ht="45" customHeight="1" x14ac:dyDescent="0.2">
      <c r="A46" s="28">
        <f>'County Summary'!B50</f>
        <v>0</v>
      </c>
      <c r="B46" s="11"/>
    </row>
    <row r="47" spans="1:2" ht="45" customHeight="1" x14ac:dyDescent="0.2">
      <c r="A47" s="28">
        <f>'County Summary'!B51</f>
        <v>0</v>
      </c>
      <c r="B47" s="11"/>
    </row>
    <row r="48" spans="1:2" ht="45" customHeight="1" x14ac:dyDescent="0.2">
      <c r="A48" s="28">
        <f>'County Summary'!B52</f>
        <v>0</v>
      </c>
      <c r="B48" s="11"/>
    </row>
    <row r="49" spans="1:2" ht="45" customHeight="1" x14ac:dyDescent="0.2">
      <c r="A49" s="28">
        <f>'County Summary'!B53</f>
        <v>0</v>
      </c>
      <c r="B49" s="11"/>
    </row>
    <row r="50" spans="1:2" ht="45" customHeight="1" x14ac:dyDescent="0.2">
      <c r="A50" s="28">
        <f>'County Summary'!B54</f>
        <v>0</v>
      </c>
      <c r="B50" s="11"/>
    </row>
    <row r="51" spans="1:2" ht="45" customHeight="1" x14ac:dyDescent="0.2">
      <c r="A51" s="28">
        <f>'County Summary'!B55</f>
        <v>0</v>
      </c>
      <c r="B51" s="11"/>
    </row>
    <row r="52" spans="1:2" ht="45" customHeight="1" x14ac:dyDescent="0.2">
      <c r="A52" s="28">
        <f>'County Summary'!B56</f>
        <v>0</v>
      </c>
      <c r="B52" s="11"/>
    </row>
    <row r="53" spans="1:2" ht="45" customHeight="1" x14ac:dyDescent="0.2">
      <c r="A53" s="28">
        <f>'County Summary'!B57</f>
        <v>0</v>
      </c>
      <c r="B53" s="11"/>
    </row>
    <row r="54" spans="1:2" ht="45" customHeight="1" x14ac:dyDescent="0.2">
      <c r="A54" s="28">
        <f>'County Summary'!B58</f>
        <v>0</v>
      </c>
      <c r="B54" s="11"/>
    </row>
    <row r="55" spans="1:2" ht="45" customHeight="1" x14ac:dyDescent="0.2">
      <c r="A55" s="28">
        <f>'County Summary'!B59</f>
        <v>0</v>
      </c>
      <c r="B55" s="11"/>
    </row>
    <row r="56" spans="1:2" ht="45" customHeight="1" x14ac:dyDescent="0.2">
      <c r="A56" s="28">
        <f>'County Summary'!B60</f>
        <v>0</v>
      </c>
      <c r="B56" s="11"/>
    </row>
    <row r="57" spans="1:2" ht="45" customHeight="1" x14ac:dyDescent="0.2">
      <c r="A57" s="28">
        <f>'County Summary'!B61</f>
        <v>0</v>
      </c>
      <c r="B57" s="11"/>
    </row>
    <row r="58" spans="1:2" ht="45" customHeight="1" x14ac:dyDescent="0.2">
      <c r="A58" s="28">
        <f>'County Summary'!B62</f>
        <v>0</v>
      </c>
      <c r="B58" s="11"/>
    </row>
    <row r="59" spans="1:2" ht="45" customHeight="1" x14ac:dyDescent="0.2">
      <c r="A59" s="28">
        <f>'County Summary'!B63</f>
        <v>0</v>
      </c>
      <c r="B59" s="11"/>
    </row>
    <row r="60" spans="1:2" ht="45" customHeight="1" x14ac:dyDescent="0.2">
      <c r="A60" s="28">
        <f>'County Summary'!B64</f>
        <v>0</v>
      </c>
      <c r="B60" s="11"/>
    </row>
    <row r="61" spans="1:2" ht="45" customHeight="1" x14ac:dyDescent="0.2">
      <c r="A61" s="28">
        <f>'County Summary'!B65</f>
        <v>0</v>
      </c>
      <c r="B61" s="11"/>
    </row>
    <row r="62" spans="1:2" ht="45" customHeight="1" x14ac:dyDescent="0.2">
      <c r="A62" s="28">
        <f>'County Summary'!B66</f>
        <v>0</v>
      </c>
      <c r="B62" s="11"/>
    </row>
    <row r="63" spans="1:2" ht="45" customHeight="1" x14ac:dyDescent="0.2">
      <c r="A63" s="28">
        <f>'County Summary'!B67</f>
        <v>0</v>
      </c>
      <c r="B63" s="11"/>
    </row>
    <row r="64" spans="1:2" ht="45" customHeight="1" x14ac:dyDescent="0.2">
      <c r="A64" s="28">
        <f>'County Summary'!B68</f>
        <v>0</v>
      </c>
      <c r="B64" s="11"/>
    </row>
    <row r="65" spans="1:2" ht="45" customHeight="1" x14ac:dyDescent="0.2">
      <c r="A65" s="28">
        <f>'County Summary'!B69</f>
        <v>0</v>
      </c>
      <c r="B65" s="11"/>
    </row>
    <row r="66" spans="1:2" ht="45" customHeight="1" x14ac:dyDescent="0.2">
      <c r="A66" s="28">
        <f>'County Summary'!B70</f>
        <v>0</v>
      </c>
      <c r="B66" s="11"/>
    </row>
    <row r="67" spans="1:2" ht="45" customHeight="1" x14ac:dyDescent="0.2">
      <c r="A67" s="28">
        <f>'County Summary'!B71</f>
        <v>0</v>
      </c>
      <c r="B67" s="11"/>
    </row>
    <row r="68" spans="1:2" ht="45" customHeight="1" x14ac:dyDescent="0.2">
      <c r="A68" s="28">
        <f>'County Summary'!B72</f>
        <v>0</v>
      </c>
      <c r="B68" s="11"/>
    </row>
    <row r="69" spans="1:2" ht="45" customHeight="1" x14ac:dyDescent="0.2">
      <c r="A69" s="28">
        <f>'County Summary'!B73</f>
        <v>0</v>
      </c>
      <c r="B69" s="11"/>
    </row>
    <row r="70" spans="1:2" ht="45" customHeight="1" x14ac:dyDescent="0.2">
      <c r="A70" s="28">
        <f>'County Summary'!B74</f>
        <v>0</v>
      </c>
      <c r="B70" s="11"/>
    </row>
    <row r="71" spans="1:2" ht="45" customHeight="1" x14ac:dyDescent="0.2">
      <c r="A71" s="28">
        <f>'County Summary'!B75</f>
        <v>0</v>
      </c>
      <c r="B71" s="11"/>
    </row>
    <row r="72" spans="1:2" ht="45" customHeight="1" x14ac:dyDescent="0.2">
      <c r="A72" s="28">
        <f>'County Summary'!B76</f>
        <v>0</v>
      </c>
      <c r="B72" s="11"/>
    </row>
    <row r="73" spans="1:2" ht="45" customHeight="1" x14ac:dyDescent="0.2">
      <c r="A73" s="28">
        <f>'County Summary'!B77</f>
        <v>0</v>
      </c>
      <c r="B73" s="11"/>
    </row>
    <row r="74" spans="1:2" ht="45" customHeight="1" x14ac:dyDescent="0.2">
      <c r="A74" s="28">
        <f>'County Summary'!B78</f>
        <v>0</v>
      </c>
      <c r="B74" s="11"/>
    </row>
    <row r="75" spans="1:2" ht="45" customHeight="1" x14ac:dyDescent="0.2">
      <c r="A75" s="28">
        <f>'County Summary'!B79</f>
        <v>0</v>
      </c>
      <c r="B75" s="11"/>
    </row>
    <row r="76" spans="1:2" ht="45" customHeight="1" x14ac:dyDescent="0.2">
      <c r="A76" s="28">
        <f>'County Summary'!B80</f>
        <v>0</v>
      </c>
      <c r="B76" s="11"/>
    </row>
    <row r="77" spans="1:2" ht="45" customHeight="1" x14ac:dyDescent="0.2">
      <c r="A77" s="28">
        <f>'County Summary'!B81</f>
        <v>0</v>
      </c>
      <c r="B77" s="11"/>
    </row>
    <row r="78" spans="1:2" ht="45" customHeight="1" x14ac:dyDescent="0.2">
      <c r="A78" s="28">
        <f>'County Summary'!B82</f>
        <v>0</v>
      </c>
      <c r="B78" s="11"/>
    </row>
    <row r="79" spans="1:2" ht="45" customHeight="1" x14ac:dyDescent="0.2">
      <c r="A79" s="28">
        <f>'County Summary'!B83</f>
        <v>0</v>
      </c>
      <c r="B79" s="11"/>
    </row>
    <row r="80" spans="1:2" ht="45" customHeight="1" x14ac:dyDescent="0.2">
      <c r="A80" s="28">
        <f>'County Summary'!B84</f>
        <v>0</v>
      </c>
      <c r="B80" s="11"/>
    </row>
    <row r="81" spans="1:2" ht="45" customHeight="1" x14ac:dyDescent="0.2">
      <c r="A81" s="28">
        <f>'County Summary'!B85</f>
        <v>0</v>
      </c>
      <c r="B81" s="11"/>
    </row>
    <row r="82" spans="1:2" ht="45" customHeight="1" x14ac:dyDescent="0.2">
      <c r="A82" s="28">
        <f>'County Summary'!B86</f>
        <v>0</v>
      </c>
      <c r="B82" s="11"/>
    </row>
    <row r="83" spans="1:2" ht="45" customHeight="1" x14ac:dyDescent="0.2">
      <c r="A83" s="28">
        <f>'County Summary'!B87</f>
        <v>0</v>
      </c>
      <c r="B83" s="11"/>
    </row>
    <row r="84" spans="1:2" ht="45" customHeight="1" x14ac:dyDescent="0.2">
      <c r="A84" s="28">
        <f>'County Summary'!B88</f>
        <v>0</v>
      </c>
      <c r="B84" s="11"/>
    </row>
    <row r="85" spans="1:2" ht="45" customHeight="1" x14ac:dyDescent="0.2">
      <c r="A85" s="28">
        <f>'County Summary'!B89</f>
        <v>0</v>
      </c>
      <c r="B85" s="11"/>
    </row>
    <row r="86" spans="1:2" ht="45" customHeight="1" x14ac:dyDescent="0.2">
      <c r="A86" s="28">
        <f>'County Summary'!B90</f>
        <v>0</v>
      </c>
      <c r="B86" s="11"/>
    </row>
    <row r="87" spans="1:2" ht="45" customHeight="1" x14ac:dyDescent="0.2">
      <c r="A87" s="28">
        <f>'County Summary'!B91</f>
        <v>0</v>
      </c>
      <c r="B87" s="11"/>
    </row>
    <row r="88" spans="1:2" ht="45" customHeight="1" x14ac:dyDescent="0.2">
      <c r="A88" s="28">
        <f>'County Summary'!B92</f>
        <v>0</v>
      </c>
      <c r="B88" s="11"/>
    </row>
    <row r="89" spans="1:2" ht="45" customHeight="1" x14ac:dyDescent="0.2">
      <c r="A89" s="28">
        <f>'County Summary'!B93</f>
        <v>0</v>
      </c>
      <c r="B89" s="11"/>
    </row>
    <row r="90" spans="1:2" ht="45" customHeight="1" x14ac:dyDescent="0.2">
      <c r="A90" s="28">
        <f>'County Summary'!B94</f>
        <v>0</v>
      </c>
      <c r="B90" s="11"/>
    </row>
    <row r="91" spans="1:2" ht="45" customHeight="1" x14ac:dyDescent="0.2">
      <c r="A91" s="28">
        <f>'County Summary'!B95</f>
        <v>0</v>
      </c>
      <c r="B91" s="11"/>
    </row>
    <row r="92" spans="1:2" ht="45" customHeight="1" x14ac:dyDescent="0.2">
      <c r="A92" s="28">
        <f>'County Summary'!B96</f>
        <v>0</v>
      </c>
      <c r="B92" s="11"/>
    </row>
    <row r="93" spans="1:2" ht="45" customHeight="1" x14ac:dyDescent="0.2">
      <c r="A93" s="28">
        <f>'County Summary'!B97</f>
        <v>0</v>
      </c>
      <c r="B93" s="11"/>
    </row>
    <row r="94" spans="1:2" ht="45" customHeight="1" x14ac:dyDescent="0.2">
      <c r="A94" s="28">
        <f>'County Summary'!B98</f>
        <v>0</v>
      </c>
      <c r="B94" s="11"/>
    </row>
    <row r="95" spans="1:2" ht="45" customHeight="1" x14ac:dyDescent="0.2">
      <c r="A95" s="28">
        <f>'County Summary'!B99</f>
        <v>0</v>
      </c>
      <c r="B95" s="11"/>
    </row>
    <row r="96" spans="1:2" ht="45" customHeight="1" x14ac:dyDescent="0.2">
      <c r="A96" s="28">
        <f>'County Summary'!B100</f>
        <v>0</v>
      </c>
      <c r="B96" s="11"/>
    </row>
    <row r="97" spans="1:2" ht="45" customHeight="1" x14ac:dyDescent="0.2">
      <c r="A97" s="28">
        <f>'County Summary'!B101</f>
        <v>0</v>
      </c>
      <c r="B97" s="11"/>
    </row>
    <row r="98" spans="1:2" ht="45" customHeight="1" x14ac:dyDescent="0.2">
      <c r="A98" s="28">
        <f>'County Summary'!B102</f>
        <v>0</v>
      </c>
      <c r="B98" s="11"/>
    </row>
    <row r="99" spans="1:2" ht="45" customHeight="1" x14ac:dyDescent="0.2">
      <c r="A99" s="28">
        <f>'County Summary'!B103</f>
        <v>0</v>
      </c>
      <c r="B99" s="11"/>
    </row>
    <row r="100" spans="1:2" ht="45" customHeight="1" x14ac:dyDescent="0.2">
      <c r="A100" s="28">
        <f>'County Summary'!B104</f>
        <v>0</v>
      </c>
      <c r="B100" s="11"/>
    </row>
  </sheetData>
  <sheetProtection formatCells="0" formatRows="0" selectLockedCells="1" sort="0" autoFilter="0"/>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7327-F46E-4496-AE38-8579577A481D}">
  <dimension ref="A1:A2"/>
  <sheetViews>
    <sheetView workbookViewId="0">
      <selection activeCell="D25" sqref="D25"/>
    </sheetView>
  </sheetViews>
  <sheetFormatPr defaultRowHeight="12.75" x14ac:dyDescent="0.2"/>
  <cols>
    <col min="1" max="1" width="28.85546875" customWidth="1"/>
  </cols>
  <sheetData>
    <row r="1" spans="1:1" x14ac:dyDescent="0.2">
      <c r="A1" t="s">
        <v>17</v>
      </c>
    </row>
    <row r="2" spans="1:1" x14ac:dyDescent="0.2">
      <c r="A2" s="30" t="s">
        <v>18</v>
      </c>
    </row>
  </sheetData>
  <hyperlinks>
    <hyperlink ref="A2" r:id="rId1" xr:uid="{30E8901B-6987-473F-B8AB-274961618D9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1AC0E-C031-4EE9-BE1F-3533E1862725}">
  <dimension ref="A1:H75"/>
  <sheetViews>
    <sheetView workbookViewId="0">
      <selection activeCell="C23" sqref="C23"/>
    </sheetView>
  </sheetViews>
  <sheetFormatPr defaultRowHeight="12.75" x14ac:dyDescent="0.2"/>
  <cols>
    <col min="1" max="1" width="42.42578125" customWidth="1"/>
    <col min="3" max="3" width="27" customWidth="1"/>
    <col min="4" max="4" width="28.42578125" style="35" customWidth="1"/>
    <col min="5" max="5" width="8.85546875" customWidth="1"/>
    <col min="6" max="6" width="15.140625" customWidth="1"/>
    <col min="7" max="7" width="14.140625" customWidth="1"/>
    <col min="8" max="8" width="12.7109375" customWidth="1"/>
    <col min="9" max="11" width="8.85546875" customWidth="1"/>
  </cols>
  <sheetData>
    <row r="1" spans="1:8" x14ac:dyDescent="0.2">
      <c r="A1" s="8" t="s">
        <v>164</v>
      </c>
    </row>
    <row r="2" spans="1:8" ht="15" customHeight="1" thickBot="1" x14ac:dyDescent="0.25">
      <c r="A2" s="23"/>
    </row>
    <row r="3" spans="1:8" ht="13.5" thickBot="1" x14ac:dyDescent="0.25">
      <c r="A3" s="7" t="s">
        <v>15</v>
      </c>
      <c r="C3" s="24" t="s">
        <v>16</v>
      </c>
    </row>
    <row r="4" spans="1:8" ht="15" x14ac:dyDescent="0.25">
      <c r="A4" s="3" t="str">
        <f>D4 &amp; " (" &amp;F4&amp; ")" &amp; " - " &amp;H4</f>
        <v>Adams County (20,654) - $100,378.44</v>
      </c>
      <c r="C4" t="s">
        <v>165</v>
      </c>
      <c r="D4" s="33" t="s">
        <v>22</v>
      </c>
      <c r="E4" s="31">
        <v>20654</v>
      </c>
      <c r="F4" s="36" t="s">
        <v>30</v>
      </c>
      <c r="G4" s="37">
        <f>E4*4.86</f>
        <v>100378.44</v>
      </c>
      <c r="H4" s="38" t="str">
        <f>TEXT(G4,"$#,##0.00")</f>
        <v>$100,378.44</v>
      </c>
    </row>
    <row r="5" spans="1:8" ht="15" x14ac:dyDescent="0.25">
      <c r="A5" s="3" t="str">
        <f t="shared" ref="A5:A68" si="0">D5 &amp; " (" &amp;F5&amp; ")" &amp; " - " &amp;H5</f>
        <v>Ashland County (16,027) - $77,891.22</v>
      </c>
      <c r="C5" t="s">
        <v>166</v>
      </c>
      <c r="D5" s="33" t="s">
        <v>102</v>
      </c>
      <c r="E5" s="31">
        <v>16027</v>
      </c>
      <c r="F5" s="36" t="s">
        <v>67</v>
      </c>
      <c r="G5" s="37">
        <f t="shared" ref="G5:G68" si="1">E5*4.86</f>
        <v>77891.22</v>
      </c>
      <c r="H5" s="38" t="str">
        <f t="shared" ref="H5:H68" si="2">TEXT(G5,"$#,##0.00")</f>
        <v>$77,891.22</v>
      </c>
    </row>
    <row r="6" spans="1:8" ht="15" x14ac:dyDescent="0.25">
      <c r="A6" s="3" t="str">
        <f t="shared" si="0"/>
        <v>Barron County (46,711) - $227,015.46</v>
      </c>
      <c r="C6" t="s">
        <v>178</v>
      </c>
      <c r="D6" s="33" t="s">
        <v>103</v>
      </c>
      <c r="E6" s="31">
        <v>46711</v>
      </c>
      <c r="F6" s="36" t="s">
        <v>31</v>
      </c>
      <c r="G6" s="37">
        <f t="shared" si="1"/>
        <v>227015.46000000002</v>
      </c>
      <c r="H6" s="38" t="str">
        <f t="shared" si="2"/>
        <v>$227,015.46</v>
      </c>
    </row>
    <row r="7" spans="1:8" ht="15" x14ac:dyDescent="0.25">
      <c r="A7" s="3" t="str">
        <f t="shared" si="0"/>
        <v>Bayfield County (16,220) - $78,829.20</v>
      </c>
      <c r="C7" t="s">
        <v>180</v>
      </c>
      <c r="D7" s="33" t="s">
        <v>104</v>
      </c>
      <c r="E7" s="31">
        <v>16220</v>
      </c>
      <c r="F7" s="36" t="s">
        <v>32</v>
      </c>
      <c r="G7" s="37">
        <f t="shared" si="1"/>
        <v>78829.200000000012</v>
      </c>
      <c r="H7" s="38" t="str">
        <f t="shared" si="2"/>
        <v>$78,829.20</v>
      </c>
    </row>
    <row r="8" spans="1:8" ht="15" x14ac:dyDescent="0.25">
      <c r="A8" s="3" t="str">
        <f t="shared" si="0"/>
        <v>Brown County (268,740) - $1,306,076.40</v>
      </c>
      <c r="C8" t="s">
        <v>167</v>
      </c>
      <c r="D8" s="33" t="s">
        <v>19</v>
      </c>
      <c r="E8" s="31">
        <v>268740</v>
      </c>
      <c r="F8" s="36" t="s">
        <v>33</v>
      </c>
      <c r="G8" s="37">
        <f t="shared" si="1"/>
        <v>1306076.4000000001</v>
      </c>
      <c r="H8" s="38" t="str">
        <f t="shared" si="2"/>
        <v>$1,306,076.40</v>
      </c>
    </row>
    <row r="9" spans="1:8" ht="15" x14ac:dyDescent="0.25">
      <c r="A9" s="3" t="str">
        <f t="shared" si="0"/>
        <v>Buffalo County (13,317) - $64,720.62</v>
      </c>
      <c r="C9" t="s">
        <v>168</v>
      </c>
      <c r="D9" s="33" t="s">
        <v>105</v>
      </c>
      <c r="E9" s="31">
        <v>13317</v>
      </c>
      <c r="F9" s="36" t="s">
        <v>34</v>
      </c>
      <c r="G9" s="37">
        <f t="shared" si="1"/>
        <v>64720.62</v>
      </c>
      <c r="H9" s="38" t="str">
        <f t="shared" si="2"/>
        <v>$64,720.62</v>
      </c>
    </row>
    <row r="10" spans="1:8" ht="15" x14ac:dyDescent="0.25">
      <c r="A10" s="3" t="str">
        <f t="shared" si="0"/>
        <v>Burnett County (16,526) - $80,316.36</v>
      </c>
      <c r="C10" t="s">
        <v>169</v>
      </c>
      <c r="D10" s="33" t="s">
        <v>106</v>
      </c>
      <c r="E10" s="31">
        <v>16526</v>
      </c>
      <c r="F10" s="36" t="s">
        <v>35</v>
      </c>
      <c r="G10" s="37">
        <f t="shared" si="1"/>
        <v>80316.36</v>
      </c>
      <c r="H10" s="38" t="str">
        <f t="shared" si="2"/>
        <v>$80,316.36</v>
      </c>
    </row>
    <row r="11" spans="1:8" ht="15" x14ac:dyDescent="0.25">
      <c r="A11" s="3" t="str">
        <f t="shared" si="0"/>
        <v>Calumet County (52,442) - $254,868.12</v>
      </c>
      <c r="C11" t="s">
        <v>176</v>
      </c>
      <c r="D11" s="33" t="s">
        <v>107</v>
      </c>
      <c r="E11" s="31">
        <v>52442</v>
      </c>
      <c r="F11" s="36" t="s">
        <v>36</v>
      </c>
      <c r="G11" s="37">
        <f t="shared" si="1"/>
        <v>254868.12000000002</v>
      </c>
      <c r="H11" s="38" t="str">
        <f t="shared" si="2"/>
        <v>$254,868.12</v>
      </c>
    </row>
    <row r="12" spans="1:8" ht="15" x14ac:dyDescent="0.25">
      <c r="A12" s="3" t="str">
        <f t="shared" si="0"/>
        <v>Chippewa County (66,297) - $322,203.42</v>
      </c>
      <c r="C12" t="s">
        <v>170</v>
      </c>
      <c r="D12" s="33" t="s">
        <v>108</v>
      </c>
      <c r="E12" s="31">
        <v>66297</v>
      </c>
      <c r="F12" s="36" t="s">
        <v>37</v>
      </c>
      <c r="G12" s="37">
        <f t="shared" si="1"/>
        <v>322203.42000000004</v>
      </c>
      <c r="H12" s="38" t="str">
        <f t="shared" si="2"/>
        <v>$322,203.42</v>
      </c>
    </row>
    <row r="13" spans="1:8" ht="15" x14ac:dyDescent="0.25">
      <c r="A13" s="3" t="str">
        <f t="shared" si="0"/>
        <v>Clark County (34,659) - $168,442.74</v>
      </c>
      <c r="C13" t="s">
        <v>175</v>
      </c>
      <c r="D13" s="33" t="s">
        <v>23</v>
      </c>
      <c r="E13" s="31">
        <v>34659</v>
      </c>
      <c r="F13" s="36" t="s">
        <v>38</v>
      </c>
      <c r="G13" s="37">
        <f t="shared" si="1"/>
        <v>168442.74000000002</v>
      </c>
      <c r="H13" s="38" t="str">
        <f t="shared" si="2"/>
        <v>$168,442.74</v>
      </c>
    </row>
    <row r="14" spans="1:8" ht="15" x14ac:dyDescent="0.25">
      <c r="A14" s="3" t="str">
        <f t="shared" si="0"/>
        <v>Columbia County (58,490) - $284,261.40</v>
      </c>
      <c r="C14" t="s">
        <v>177</v>
      </c>
      <c r="D14" s="33" t="s">
        <v>109</v>
      </c>
      <c r="E14" s="31">
        <v>58490</v>
      </c>
      <c r="F14" s="36" t="s">
        <v>39</v>
      </c>
      <c r="G14" s="37">
        <f t="shared" si="1"/>
        <v>284261.40000000002</v>
      </c>
      <c r="H14" s="38" t="str">
        <f t="shared" si="2"/>
        <v>$284,261.40</v>
      </c>
    </row>
    <row r="15" spans="1:8" ht="15" x14ac:dyDescent="0.25">
      <c r="A15" s="3" t="str">
        <f t="shared" si="0"/>
        <v>Crawford County (16,113) - $78,309.18</v>
      </c>
      <c r="C15" t="s">
        <v>171</v>
      </c>
      <c r="D15" s="33" t="s">
        <v>24</v>
      </c>
      <c r="E15" s="31">
        <v>16113</v>
      </c>
      <c r="F15" s="36" t="s">
        <v>40</v>
      </c>
      <c r="G15" s="37">
        <f t="shared" si="1"/>
        <v>78309.180000000008</v>
      </c>
      <c r="H15" s="38" t="str">
        <f t="shared" si="2"/>
        <v>$78,309.18</v>
      </c>
    </row>
    <row r="16" spans="1:8" ht="15" x14ac:dyDescent="0.25">
      <c r="A16" s="3" t="str">
        <f t="shared" si="0"/>
        <v>Dane County (561,504) - $2,728,909.44</v>
      </c>
      <c r="C16" t="s">
        <v>179</v>
      </c>
      <c r="D16" s="33" t="s">
        <v>110</v>
      </c>
      <c r="E16" s="31">
        <v>561504</v>
      </c>
      <c r="F16" s="36" t="s">
        <v>41</v>
      </c>
      <c r="G16" s="37">
        <f t="shared" si="1"/>
        <v>2728909.4400000004</v>
      </c>
      <c r="H16" s="38" t="str">
        <f t="shared" si="2"/>
        <v>$2,728,909.44</v>
      </c>
    </row>
    <row r="17" spans="1:8" ht="15" x14ac:dyDescent="0.25">
      <c r="A17" s="3" t="str">
        <f t="shared" si="0"/>
        <v>Dodge County (89,396) - $434,464.56</v>
      </c>
      <c r="C17" t="s">
        <v>172</v>
      </c>
      <c r="D17" s="33" t="s">
        <v>111</v>
      </c>
      <c r="E17" s="31">
        <v>89396</v>
      </c>
      <c r="F17" s="36" t="s">
        <v>42</v>
      </c>
      <c r="G17" s="37">
        <f t="shared" si="1"/>
        <v>434464.56000000006</v>
      </c>
      <c r="H17" s="38" t="str">
        <f t="shared" si="2"/>
        <v>$434,464.56</v>
      </c>
    </row>
    <row r="18" spans="1:8" ht="15" x14ac:dyDescent="0.25">
      <c r="A18" s="3" t="str">
        <f t="shared" si="0"/>
        <v>Door County (30,066) - $146,120.76</v>
      </c>
      <c r="C18" t="s">
        <v>173</v>
      </c>
      <c r="D18" s="33" t="s">
        <v>112</v>
      </c>
      <c r="E18" s="31">
        <v>30066</v>
      </c>
      <c r="F18" s="36" t="s">
        <v>43</v>
      </c>
      <c r="G18" s="37">
        <f t="shared" si="1"/>
        <v>146120.76</v>
      </c>
      <c r="H18" s="38" t="str">
        <f t="shared" si="2"/>
        <v>$146,120.76</v>
      </c>
    </row>
    <row r="19" spans="1:8" ht="15" x14ac:dyDescent="0.25">
      <c r="A19" s="3" t="str">
        <f t="shared" si="0"/>
        <v>Douglas County (44,295) - $215,273.70</v>
      </c>
      <c r="C19" t="s">
        <v>174</v>
      </c>
      <c r="D19" s="33" t="s">
        <v>28</v>
      </c>
      <c r="E19" s="31">
        <v>44295</v>
      </c>
      <c r="F19" s="36" t="s">
        <v>44</v>
      </c>
      <c r="G19" s="37">
        <f t="shared" si="1"/>
        <v>215273.7</v>
      </c>
      <c r="H19" s="38" t="str">
        <f t="shared" si="2"/>
        <v>$215,273.70</v>
      </c>
    </row>
    <row r="20" spans="1:8" ht="15" x14ac:dyDescent="0.25">
      <c r="A20" s="3" t="str">
        <f t="shared" si="0"/>
        <v>Dunn County (45,440) - $220,838.40</v>
      </c>
      <c r="C20" s="2"/>
      <c r="D20" s="33" t="s">
        <v>113</v>
      </c>
      <c r="E20" s="31">
        <v>45440</v>
      </c>
      <c r="F20" s="36" t="s">
        <v>45</v>
      </c>
      <c r="G20" s="37">
        <f t="shared" si="1"/>
        <v>220838.40000000002</v>
      </c>
      <c r="H20" s="38" t="str">
        <f t="shared" si="2"/>
        <v>$220,838.40</v>
      </c>
    </row>
    <row r="21" spans="1:8" ht="15" x14ac:dyDescent="0.25">
      <c r="A21" s="3" t="str">
        <f t="shared" si="0"/>
        <v>Eau Claire County (105,710) - $513,750.60</v>
      </c>
      <c r="C21" s="25"/>
      <c r="D21" s="33" t="s">
        <v>159</v>
      </c>
      <c r="E21" s="31">
        <v>105710</v>
      </c>
      <c r="F21" s="36" t="s">
        <v>46</v>
      </c>
      <c r="G21" s="37">
        <f t="shared" si="1"/>
        <v>513750.60000000003</v>
      </c>
      <c r="H21" s="38" t="str">
        <f t="shared" si="2"/>
        <v>$513,750.60</v>
      </c>
    </row>
    <row r="22" spans="1:8" ht="15" x14ac:dyDescent="0.25">
      <c r="A22" s="3" t="str">
        <f t="shared" si="0"/>
        <v>Florence County (4,558) - $22,151.88</v>
      </c>
      <c r="D22" s="33" t="s">
        <v>114</v>
      </c>
      <c r="E22" s="31">
        <v>4558</v>
      </c>
      <c r="F22" s="36" t="s">
        <v>47</v>
      </c>
      <c r="G22" s="37">
        <f t="shared" si="1"/>
        <v>22151.88</v>
      </c>
      <c r="H22" s="38" t="str">
        <f t="shared" si="2"/>
        <v>$22,151.88</v>
      </c>
    </row>
    <row r="23" spans="1:8" ht="15" x14ac:dyDescent="0.25">
      <c r="A23" s="3" t="str">
        <f t="shared" si="0"/>
        <v>Fond Du Loc County (104,154) - $506,188.44</v>
      </c>
      <c r="D23" s="33" t="s">
        <v>158</v>
      </c>
      <c r="E23" s="31">
        <v>104154</v>
      </c>
      <c r="F23" s="36" t="s">
        <v>48</v>
      </c>
      <c r="G23" s="37">
        <f t="shared" si="1"/>
        <v>506188.44000000006</v>
      </c>
      <c r="H23" s="38" t="str">
        <f t="shared" si="2"/>
        <v>$506,188.44</v>
      </c>
    </row>
    <row r="24" spans="1:8" ht="15" x14ac:dyDescent="0.25">
      <c r="A24" s="3" t="str">
        <f t="shared" si="0"/>
        <v>Forest County (9,179) - $44,609.94</v>
      </c>
      <c r="D24" s="33" t="s">
        <v>115</v>
      </c>
      <c r="E24" s="31">
        <v>9179</v>
      </c>
      <c r="F24" s="36" t="s">
        <v>49</v>
      </c>
      <c r="G24" s="37">
        <f t="shared" si="1"/>
        <v>44609.94</v>
      </c>
      <c r="H24" s="38" t="str">
        <f t="shared" si="2"/>
        <v>$44,609.94</v>
      </c>
    </row>
    <row r="25" spans="1:8" ht="15" x14ac:dyDescent="0.25">
      <c r="A25" s="3" t="str">
        <f t="shared" si="0"/>
        <v>Grant County (51,938) - $252,418.68</v>
      </c>
      <c r="D25" s="33" t="s">
        <v>116</v>
      </c>
      <c r="E25" s="31">
        <v>51938</v>
      </c>
      <c r="F25" s="36" t="s">
        <v>50</v>
      </c>
      <c r="G25" s="37">
        <f t="shared" si="1"/>
        <v>252418.68000000002</v>
      </c>
      <c r="H25" s="38" t="str">
        <f t="shared" si="2"/>
        <v>$252,418.68</v>
      </c>
    </row>
    <row r="26" spans="1:8" ht="15" x14ac:dyDescent="0.25">
      <c r="A26" s="3" t="str">
        <f t="shared" si="0"/>
        <v>Green County (37,093) - $180,271.98</v>
      </c>
      <c r="D26" s="33" t="s">
        <v>117</v>
      </c>
      <c r="E26" s="31">
        <v>37093</v>
      </c>
      <c r="F26" s="36" t="s">
        <v>51</v>
      </c>
      <c r="G26" s="37">
        <f t="shared" si="1"/>
        <v>180271.98</v>
      </c>
      <c r="H26" s="38" t="str">
        <f t="shared" si="2"/>
        <v>$180,271.98</v>
      </c>
    </row>
    <row r="27" spans="1:8" ht="15" x14ac:dyDescent="0.25">
      <c r="A27" s="3" t="str">
        <f t="shared" si="0"/>
        <v>Green Lake County (19,018) - $92,427.48</v>
      </c>
      <c r="D27" s="33" t="s">
        <v>160</v>
      </c>
      <c r="E27" s="31">
        <v>19018</v>
      </c>
      <c r="F27" s="36" t="s">
        <v>52</v>
      </c>
      <c r="G27" s="37">
        <f t="shared" si="1"/>
        <v>92427.48000000001</v>
      </c>
      <c r="H27" s="38" t="str">
        <f t="shared" si="2"/>
        <v>$92,427.48</v>
      </c>
    </row>
    <row r="28" spans="1:8" ht="15" x14ac:dyDescent="0.25">
      <c r="A28" s="3" t="str">
        <f t="shared" si="0"/>
        <v>Iowa County (23,709) - $115,225.74</v>
      </c>
      <c r="D28" s="33" t="s">
        <v>118</v>
      </c>
      <c r="E28" s="31">
        <v>23709</v>
      </c>
      <c r="F28" s="36" t="s">
        <v>53</v>
      </c>
      <c r="G28" s="37">
        <f t="shared" si="1"/>
        <v>115225.74</v>
      </c>
      <c r="H28" s="38" t="str">
        <f t="shared" si="2"/>
        <v>$115,225.74</v>
      </c>
    </row>
    <row r="29" spans="1:8" ht="15" x14ac:dyDescent="0.25">
      <c r="A29" s="3" t="str">
        <f t="shared" si="0"/>
        <v>Iron County (6,137) - $29,825.82</v>
      </c>
      <c r="D29" s="33" t="s">
        <v>119</v>
      </c>
      <c r="E29" s="31">
        <v>6137</v>
      </c>
      <c r="F29" s="36" t="s">
        <v>54</v>
      </c>
      <c r="G29" s="37">
        <f t="shared" si="1"/>
        <v>29825.820000000003</v>
      </c>
      <c r="H29" s="38" t="str">
        <f t="shared" si="2"/>
        <v>$29,825.82</v>
      </c>
    </row>
    <row r="30" spans="1:8" ht="15" x14ac:dyDescent="0.25">
      <c r="A30" s="3" t="str">
        <f t="shared" si="0"/>
        <v>Jackson County (21,145) - $102,764.70</v>
      </c>
      <c r="D30" s="33" t="s">
        <v>20</v>
      </c>
      <c r="E30" s="31">
        <v>21145</v>
      </c>
      <c r="F30" s="36" t="s">
        <v>55</v>
      </c>
      <c r="G30" s="37">
        <f t="shared" si="1"/>
        <v>102764.70000000001</v>
      </c>
      <c r="H30" s="38" t="str">
        <f t="shared" si="2"/>
        <v>$102,764.70</v>
      </c>
    </row>
    <row r="31" spans="1:8" ht="15" x14ac:dyDescent="0.25">
      <c r="A31" s="3" t="str">
        <f t="shared" si="0"/>
        <v>Jefferson County (84,900) - $412,614.00</v>
      </c>
      <c r="D31" s="33" t="s">
        <v>25</v>
      </c>
      <c r="E31" s="31">
        <v>84900</v>
      </c>
      <c r="F31" s="36" t="s">
        <v>56</v>
      </c>
      <c r="G31" s="37">
        <f t="shared" si="1"/>
        <v>412614</v>
      </c>
      <c r="H31" s="38" t="str">
        <f t="shared" si="2"/>
        <v>$412,614.00</v>
      </c>
    </row>
    <row r="32" spans="1:8" ht="15" x14ac:dyDescent="0.25">
      <c r="A32" s="3" t="str">
        <f t="shared" si="0"/>
        <v>Juneau County (26,718) - $129,849.48</v>
      </c>
      <c r="D32" s="33" t="s">
        <v>120</v>
      </c>
      <c r="E32" s="31">
        <v>26718</v>
      </c>
      <c r="F32" s="36" t="s">
        <v>57</v>
      </c>
      <c r="G32" s="37">
        <f t="shared" si="1"/>
        <v>129849.48000000001</v>
      </c>
      <c r="H32" s="38" t="str">
        <f t="shared" si="2"/>
        <v>$129,849.48</v>
      </c>
    </row>
    <row r="33" spans="1:8" ht="15" x14ac:dyDescent="0.25">
      <c r="A33" s="3" t="str">
        <f t="shared" si="0"/>
        <v>Kenosha County (169,151) - $822,073.86</v>
      </c>
      <c r="D33" s="33" t="s">
        <v>121</v>
      </c>
      <c r="E33" s="31">
        <v>169151</v>
      </c>
      <c r="F33" s="36" t="s">
        <v>58</v>
      </c>
      <c r="G33" s="37">
        <f t="shared" si="1"/>
        <v>822073.8600000001</v>
      </c>
      <c r="H33" s="38" t="str">
        <f t="shared" si="2"/>
        <v>$822,073.86</v>
      </c>
    </row>
    <row r="34" spans="1:8" ht="15" x14ac:dyDescent="0.25">
      <c r="A34" s="3" t="str">
        <f t="shared" si="0"/>
        <v>Kewaunee County (20,563) - $99,936.18</v>
      </c>
      <c r="D34" s="33" t="s">
        <v>122</v>
      </c>
      <c r="E34" s="31">
        <v>20563</v>
      </c>
      <c r="F34" s="36" t="s">
        <v>59</v>
      </c>
      <c r="G34" s="37">
        <f t="shared" si="1"/>
        <v>99936.180000000008</v>
      </c>
      <c r="H34" s="38" t="str">
        <f t="shared" si="2"/>
        <v>$99,936.18</v>
      </c>
    </row>
    <row r="35" spans="1:8" ht="15" x14ac:dyDescent="0.25">
      <c r="A35" s="3" t="str">
        <f t="shared" si="0"/>
        <v>La Cross County (120,784) - $587,010.24</v>
      </c>
      <c r="D35" s="33" t="s">
        <v>161</v>
      </c>
      <c r="E35" s="31">
        <v>120784</v>
      </c>
      <c r="F35" s="36" t="s">
        <v>60</v>
      </c>
      <c r="G35" s="37">
        <f t="shared" si="1"/>
        <v>587010.24</v>
      </c>
      <c r="H35" s="38" t="str">
        <f t="shared" si="2"/>
        <v>$587,010.24</v>
      </c>
    </row>
    <row r="36" spans="1:8" ht="15" x14ac:dyDescent="0.25">
      <c r="A36" s="3" t="str">
        <f t="shared" si="0"/>
        <v>Lafayette County (16,611) - $80,729.46</v>
      </c>
      <c r="D36" s="33" t="s">
        <v>123</v>
      </c>
      <c r="E36" s="31">
        <v>16611</v>
      </c>
      <c r="F36" s="36" t="s">
        <v>61</v>
      </c>
      <c r="G36" s="37">
        <f t="shared" si="1"/>
        <v>80729.460000000006</v>
      </c>
      <c r="H36" s="38" t="str">
        <f t="shared" si="2"/>
        <v>$80,729.46</v>
      </c>
    </row>
    <row r="37" spans="1:8" ht="15" x14ac:dyDescent="0.25">
      <c r="A37" s="3" t="str">
        <f t="shared" si="0"/>
        <v>Langlade County (19,491) - $94,726.26</v>
      </c>
      <c r="D37" s="33" t="s">
        <v>124</v>
      </c>
      <c r="E37" s="31">
        <v>19491</v>
      </c>
      <c r="F37" s="36" t="s">
        <v>62</v>
      </c>
      <c r="G37" s="37">
        <f t="shared" si="1"/>
        <v>94726.260000000009</v>
      </c>
      <c r="H37" s="38" t="str">
        <f t="shared" si="2"/>
        <v>$94,726.26</v>
      </c>
    </row>
    <row r="38" spans="1:8" ht="15" x14ac:dyDescent="0.25">
      <c r="A38" s="3" t="str">
        <f t="shared" si="0"/>
        <v>Lincoln County (28,415) - $138,096.90</v>
      </c>
      <c r="D38" s="33" t="s">
        <v>125</v>
      </c>
      <c r="E38" s="31">
        <v>28415</v>
      </c>
      <c r="F38" s="36" t="s">
        <v>63</v>
      </c>
      <c r="G38" s="37">
        <f t="shared" si="1"/>
        <v>138096.90000000002</v>
      </c>
      <c r="H38" s="38" t="str">
        <f t="shared" si="2"/>
        <v>$138,096.90</v>
      </c>
    </row>
    <row r="39" spans="1:8" ht="15" x14ac:dyDescent="0.25">
      <c r="A39" s="3" t="str">
        <f t="shared" si="0"/>
        <v>Manitowoc County (81,359) - $395,404.74</v>
      </c>
      <c r="D39" s="33" t="s">
        <v>126</v>
      </c>
      <c r="E39" s="31">
        <v>81359</v>
      </c>
      <c r="F39" s="36" t="s">
        <v>64</v>
      </c>
      <c r="G39" s="37">
        <f t="shared" si="1"/>
        <v>395404.74000000005</v>
      </c>
      <c r="H39" s="38" t="str">
        <f t="shared" si="2"/>
        <v>$395,404.74</v>
      </c>
    </row>
    <row r="40" spans="1:8" ht="15" x14ac:dyDescent="0.25">
      <c r="A40" s="3" t="str">
        <f t="shared" si="0"/>
        <v>Marathon County (138,013) - $670,743.18</v>
      </c>
      <c r="D40" s="33" t="s">
        <v>127</v>
      </c>
      <c r="E40" s="31">
        <v>138013</v>
      </c>
      <c r="F40" s="36" t="s">
        <v>65</v>
      </c>
      <c r="G40" s="37">
        <f t="shared" si="1"/>
        <v>670743.18000000005</v>
      </c>
      <c r="H40" s="38" t="str">
        <f t="shared" si="2"/>
        <v>$670,743.18</v>
      </c>
    </row>
    <row r="41" spans="1:8" ht="15" x14ac:dyDescent="0.25">
      <c r="A41" s="3" t="str">
        <f t="shared" si="0"/>
        <v>Marinette County (41,872) - $203,497.92</v>
      </c>
      <c r="D41" s="33" t="s">
        <v>128</v>
      </c>
      <c r="E41" s="31">
        <v>41872</v>
      </c>
      <c r="F41" s="36" t="s">
        <v>66</v>
      </c>
      <c r="G41" s="37">
        <f t="shared" si="1"/>
        <v>203497.92</v>
      </c>
      <c r="H41" s="38" t="str">
        <f t="shared" si="2"/>
        <v>$203,497.92</v>
      </c>
    </row>
    <row r="42" spans="1:8" ht="15" x14ac:dyDescent="0.25">
      <c r="A42" s="3" t="str">
        <f t="shared" si="0"/>
        <v>Marquette County (15,592) - $75,777.12</v>
      </c>
      <c r="D42" s="33" t="s">
        <v>129</v>
      </c>
      <c r="E42" s="31">
        <v>15592</v>
      </c>
      <c r="F42" s="36" t="s">
        <v>68</v>
      </c>
      <c r="G42" s="37">
        <f t="shared" si="1"/>
        <v>75777.12000000001</v>
      </c>
      <c r="H42" s="38" t="str">
        <f t="shared" si="2"/>
        <v>$75,777.12</v>
      </c>
    </row>
    <row r="43" spans="1:8" ht="15" x14ac:dyDescent="0.25">
      <c r="A43" s="3" t="str">
        <f t="shared" si="0"/>
        <v>Menominee County (4,255) - $20,679.30</v>
      </c>
      <c r="D43" s="33" t="s">
        <v>130</v>
      </c>
      <c r="E43" s="31">
        <v>4255</v>
      </c>
      <c r="F43" s="36" t="s">
        <v>69</v>
      </c>
      <c r="G43" s="37">
        <f t="shared" si="1"/>
        <v>20679.300000000003</v>
      </c>
      <c r="H43" s="38" t="str">
        <f t="shared" si="2"/>
        <v>$20,679.30</v>
      </c>
    </row>
    <row r="44" spans="1:8" ht="15" x14ac:dyDescent="0.25">
      <c r="A44" s="3" t="str">
        <f t="shared" si="0"/>
        <v>Milwaukee County (939,489) - $4,565,916.54</v>
      </c>
      <c r="D44" s="33" t="s">
        <v>131</v>
      </c>
      <c r="E44" s="31">
        <v>939489</v>
      </c>
      <c r="F44" s="36" t="s">
        <v>70</v>
      </c>
      <c r="G44" s="37">
        <f t="shared" si="1"/>
        <v>4565916.54</v>
      </c>
      <c r="H44" s="38" t="str">
        <f t="shared" si="2"/>
        <v>$4,565,916.54</v>
      </c>
    </row>
    <row r="45" spans="1:8" ht="15" x14ac:dyDescent="0.25">
      <c r="A45" s="3" t="str">
        <f t="shared" si="0"/>
        <v>Monroe County (46,274) - $224,891.64</v>
      </c>
      <c r="D45" s="33" t="s">
        <v>26</v>
      </c>
      <c r="E45" s="31">
        <v>46274</v>
      </c>
      <c r="F45" s="36" t="s">
        <v>71</v>
      </c>
      <c r="G45" s="37">
        <f t="shared" si="1"/>
        <v>224891.64</v>
      </c>
      <c r="H45" s="38" t="str">
        <f t="shared" si="2"/>
        <v>$224,891.64</v>
      </c>
    </row>
    <row r="46" spans="1:8" ht="15" x14ac:dyDescent="0.25">
      <c r="A46" s="3" t="str">
        <f t="shared" si="0"/>
        <v>Oconto County (38,965) - $189,369.90</v>
      </c>
      <c r="D46" s="33" t="s">
        <v>132</v>
      </c>
      <c r="E46" s="31">
        <v>38965</v>
      </c>
      <c r="F46" s="36" t="s">
        <v>72</v>
      </c>
      <c r="G46" s="37">
        <f t="shared" si="1"/>
        <v>189369.90000000002</v>
      </c>
      <c r="H46" s="38" t="str">
        <f t="shared" si="2"/>
        <v>$189,369.90</v>
      </c>
    </row>
    <row r="47" spans="1:8" ht="15" x14ac:dyDescent="0.25">
      <c r="A47" s="3" t="str">
        <f t="shared" si="0"/>
        <v>Oneida County (37,845) - $183,926.70</v>
      </c>
      <c r="D47" s="33" t="s">
        <v>133</v>
      </c>
      <c r="E47" s="31">
        <v>37845</v>
      </c>
      <c r="F47" s="36" t="s">
        <v>73</v>
      </c>
      <c r="G47" s="37">
        <f t="shared" si="1"/>
        <v>183926.7</v>
      </c>
      <c r="H47" s="38" t="str">
        <f t="shared" si="2"/>
        <v>$183,926.70</v>
      </c>
    </row>
    <row r="48" spans="1:8" ht="15" x14ac:dyDescent="0.25">
      <c r="A48" s="3" t="str">
        <f t="shared" si="0"/>
        <v>Outagamie County (190,705) - $926,826.30</v>
      </c>
      <c r="D48" s="33" t="s">
        <v>134</v>
      </c>
      <c r="E48" s="31">
        <v>190705</v>
      </c>
      <c r="F48" s="36" t="s">
        <v>74</v>
      </c>
      <c r="G48" s="37">
        <f t="shared" si="1"/>
        <v>926826.3</v>
      </c>
      <c r="H48" s="38" t="str">
        <f t="shared" si="2"/>
        <v>$926,826.30</v>
      </c>
    </row>
    <row r="49" spans="1:8" ht="15" x14ac:dyDescent="0.25">
      <c r="A49" s="3" t="str">
        <f t="shared" si="0"/>
        <v>Ozaukee County (91,503) - $444,704.58</v>
      </c>
      <c r="D49" s="33" t="s">
        <v>135</v>
      </c>
      <c r="E49" s="31">
        <v>91503</v>
      </c>
      <c r="F49" s="36" t="s">
        <v>75</v>
      </c>
      <c r="G49" s="37">
        <f t="shared" si="1"/>
        <v>444704.58</v>
      </c>
      <c r="H49" s="38" t="str">
        <f t="shared" si="2"/>
        <v>$444,704.58</v>
      </c>
    </row>
    <row r="50" spans="1:8" ht="15" x14ac:dyDescent="0.25">
      <c r="A50" s="3" t="str">
        <f t="shared" si="0"/>
        <v>Pepin County (7,318) - $35,565.48</v>
      </c>
      <c r="D50" s="33" t="s">
        <v>136</v>
      </c>
      <c r="E50" s="31">
        <v>7318</v>
      </c>
      <c r="F50" s="36" t="s">
        <v>76</v>
      </c>
      <c r="G50" s="37">
        <f t="shared" si="1"/>
        <v>35565.480000000003</v>
      </c>
      <c r="H50" s="38" t="str">
        <f t="shared" si="2"/>
        <v>$35,565.48</v>
      </c>
    </row>
    <row r="51" spans="1:8" ht="15" x14ac:dyDescent="0.25">
      <c r="A51" s="3" t="str">
        <f t="shared" si="0"/>
        <v>Pierce County (42,212) - $205,150.32</v>
      </c>
      <c r="D51" s="33" t="s">
        <v>137</v>
      </c>
      <c r="E51" s="31">
        <v>42212</v>
      </c>
      <c r="F51" s="36" t="s">
        <v>77</v>
      </c>
      <c r="G51" s="37">
        <f t="shared" si="1"/>
        <v>205150.32</v>
      </c>
      <c r="H51" s="38" t="str">
        <f t="shared" si="2"/>
        <v>$205,150.32</v>
      </c>
    </row>
    <row r="52" spans="1:8" ht="15" x14ac:dyDescent="0.25">
      <c r="A52" s="3" t="str">
        <f t="shared" si="0"/>
        <v>Polk County (44,977) - $218,588.22</v>
      </c>
      <c r="D52" s="33" t="s">
        <v>138</v>
      </c>
      <c r="E52" s="31">
        <v>44977</v>
      </c>
      <c r="F52" s="36" t="s">
        <v>78</v>
      </c>
      <c r="G52" s="37">
        <f t="shared" si="1"/>
        <v>218588.22</v>
      </c>
      <c r="H52" s="38" t="str">
        <f t="shared" si="2"/>
        <v>$218,588.22</v>
      </c>
    </row>
    <row r="53" spans="1:8" ht="15" x14ac:dyDescent="0.25">
      <c r="A53" s="3" t="str">
        <f t="shared" si="0"/>
        <v>Portage County (70,377) - $342,032.22</v>
      </c>
      <c r="D53" s="33" t="s">
        <v>139</v>
      </c>
      <c r="E53" s="31">
        <v>70377</v>
      </c>
      <c r="F53" s="36" t="s">
        <v>79</v>
      </c>
      <c r="G53" s="37">
        <f t="shared" si="1"/>
        <v>342032.22000000003</v>
      </c>
      <c r="H53" s="38" t="str">
        <f t="shared" si="2"/>
        <v>$342,032.22</v>
      </c>
    </row>
    <row r="54" spans="1:8" ht="15" x14ac:dyDescent="0.25">
      <c r="A54" s="3" t="str">
        <f t="shared" si="0"/>
        <v>Price County (14,054) - $68,302.44</v>
      </c>
      <c r="D54" s="33" t="s">
        <v>140</v>
      </c>
      <c r="E54" s="31">
        <v>14054</v>
      </c>
      <c r="F54" s="36" t="s">
        <v>80</v>
      </c>
      <c r="G54" s="37">
        <f t="shared" si="1"/>
        <v>68302.44</v>
      </c>
      <c r="H54" s="38" t="str">
        <f t="shared" si="2"/>
        <v>$68,302.44</v>
      </c>
    </row>
    <row r="55" spans="1:8" ht="15" x14ac:dyDescent="0.25">
      <c r="A55" s="3" t="str">
        <f t="shared" si="0"/>
        <v>Racine County (197,727) - $960,953.22</v>
      </c>
      <c r="D55" s="33" t="s">
        <v>141</v>
      </c>
      <c r="E55" s="31">
        <v>197727</v>
      </c>
      <c r="F55" s="36" t="s">
        <v>81</v>
      </c>
      <c r="G55" s="37">
        <f t="shared" si="1"/>
        <v>960953.22000000009</v>
      </c>
      <c r="H55" s="38" t="str">
        <f t="shared" si="2"/>
        <v>$960,953.22</v>
      </c>
    </row>
    <row r="56" spans="1:8" ht="15" x14ac:dyDescent="0.25">
      <c r="A56" s="3" t="str">
        <f t="shared" si="0"/>
        <v>Richland County (17,304) - $84,097.44</v>
      </c>
      <c r="D56" s="33" t="s">
        <v>27</v>
      </c>
      <c r="E56" s="31">
        <v>17304</v>
      </c>
      <c r="F56" s="36" t="s">
        <v>82</v>
      </c>
      <c r="G56" s="37">
        <f t="shared" si="1"/>
        <v>84097.44</v>
      </c>
      <c r="H56" s="38" t="str">
        <f t="shared" si="2"/>
        <v>$84,097.44</v>
      </c>
    </row>
    <row r="57" spans="1:8" ht="15" x14ac:dyDescent="0.25">
      <c r="A57" s="3" t="str">
        <f t="shared" si="0"/>
        <v>Rock County (163,687) - $795,518.82</v>
      </c>
      <c r="D57" s="33" t="s">
        <v>142</v>
      </c>
      <c r="E57" s="31">
        <v>163687</v>
      </c>
      <c r="F57" s="36" t="s">
        <v>83</v>
      </c>
      <c r="G57" s="37">
        <f t="shared" si="1"/>
        <v>795518.82000000007</v>
      </c>
      <c r="H57" s="38" t="str">
        <f t="shared" si="2"/>
        <v>$795,518.82</v>
      </c>
    </row>
    <row r="58" spans="1:8" ht="15" x14ac:dyDescent="0.25">
      <c r="A58" s="3" t="str">
        <f t="shared" si="0"/>
        <v>Rusk County (14,188) - $68,953.68</v>
      </c>
      <c r="D58" s="33" t="s">
        <v>143</v>
      </c>
      <c r="E58" s="31">
        <v>14188</v>
      </c>
      <c r="F58" s="36" t="s">
        <v>84</v>
      </c>
      <c r="G58" s="37">
        <f t="shared" si="1"/>
        <v>68953.680000000008</v>
      </c>
      <c r="H58" s="38" t="str">
        <f t="shared" si="2"/>
        <v>$68,953.68</v>
      </c>
    </row>
    <row r="59" spans="1:8" ht="15" x14ac:dyDescent="0.25">
      <c r="A59" s="3" t="str">
        <f t="shared" si="0"/>
        <v>St.Croix County (93,536) - $454,584.96</v>
      </c>
      <c r="D59" s="33" t="s">
        <v>162</v>
      </c>
      <c r="E59" s="31">
        <v>93536</v>
      </c>
      <c r="F59" s="36" t="s">
        <v>85</v>
      </c>
      <c r="G59" s="37">
        <f t="shared" si="1"/>
        <v>454584.96</v>
      </c>
      <c r="H59" s="38" t="str">
        <f t="shared" si="2"/>
        <v>$454,584.96</v>
      </c>
    </row>
    <row r="60" spans="1:8" ht="15" x14ac:dyDescent="0.25">
      <c r="A60" s="3" t="str">
        <f t="shared" si="0"/>
        <v>Sauk County (65,763) - $319,608.18</v>
      </c>
      <c r="D60" s="33" t="s">
        <v>144</v>
      </c>
      <c r="E60" s="31">
        <v>65763</v>
      </c>
      <c r="F60" s="36" t="s">
        <v>86</v>
      </c>
      <c r="G60" s="37">
        <f t="shared" si="1"/>
        <v>319608.18</v>
      </c>
      <c r="H60" s="38" t="str">
        <f t="shared" si="2"/>
        <v>$319,608.18</v>
      </c>
    </row>
    <row r="61" spans="1:8" ht="15" x14ac:dyDescent="0.25">
      <c r="A61" s="3" t="str">
        <f t="shared" si="0"/>
        <v>Sawyer County (18,074) - $87,839.64</v>
      </c>
      <c r="D61" s="33" t="s">
        <v>145</v>
      </c>
      <c r="E61" s="31">
        <v>18074</v>
      </c>
      <c r="F61" s="36" t="s">
        <v>87</v>
      </c>
      <c r="G61" s="37">
        <f t="shared" si="1"/>
        <v>87839.64</v>
      </c>
      <c r="H61" s="38" t="str">
        <f t="shared" si="2"/>
        <v>$87,839.64</v>
      </c>
    </row>
    <row r="62" spans="1:8" ht="15" x14ac:dyDescent="0.25">
      <c r="A62" s="3" t="str">
        <f t="shared" si="0"/>
        <v>Shawano County (40,881) - $198,681.66</v>
      </c>
      <c r="D62" s="33" t="s">
        <v>146</v>
      </c>
      <c r="E62" s="31">
        <v>40881</v>
      </c>
      <c r="F62" s="36" t="s">
        <v>88</v>
      </c>
      <c r="G62" s="37">
        <f t="shared" si="1"/>
        <v>198681.66</v>
      </c>
      <c r="H62" s="38" t="str">
        <f t="shared" si="2"/>
        <v>$198,681.66</v>
      </c>
    </row>
    <row r="63" spans="1:8" ht="15" x14ac:dyDescent="0.25">
      <c r="A63" s="3" t="str">
        <f t="shared" si="0"/>
        <v>Sheboygan County (118,034) - $573,645.24</v>
      </c>
      <c r="D63" s="33" t="s">
        <v>147</v>
      </c>
      <c r="E63" s="31">
        <v>118034</v>
      </c>
      <c r="F63" s="36" t="s">
        <v>89</v>
      </c>
      <c r="G63" s="37">
        <f t="shared" si="1"/>
        <v>573645.24</v>
      </c>
      <c r="H63" s="38" t="str">
        <f t="shared" si="2"/>
        <v>$573,645.24</v>
      </c>
    </row>
    <row r="64" spans="1:8" ht="15" x14ac:dyDescent="0.25">
      <c r="A64" s="3" t="str">
        <f t="shared" si="0"/>
        <v>Taylor County (19,913) - $96,777.18</v>
      </c>
      <c r="D64" s="33" t="s">
        <v>148</v>
      </c>
      <c r="E64" s="31">
        <v>19913</v>
      </c>
      <c r="F64" s="36" t="s">
        <v>90</v>
      </c>
      <c r="G64" s="37">
        <f t="shared" si="1"/>
        <v>96777.180000000008</v>
      </c>
      <c r="H64" s="38" t="str">
        <f t="shared" si="2"/>
        <v>$96,777.18</v>
      </c>
    </row>
    <row r="65" spans="1:8" ht="15" x14ac:dyDescent="0.25">
      <c r="A65" s="3" t="str">
        <f t="shared" si="0"/>
        <v>Trempealeau County (30,760) - $149,493.60</v>
      </c>
      <c r="D65" s="33" t="s">
        <v>149</v>
      </c>
      <c r="E65" s="31">
        <v>30760</v>
      </c>
      <c r="F65" s="36" t="s">
        <v>91</v>
      </c>
      <c r="G65" s="37">
        <f t="shared" si="1"/>
        <v>149493.6</v>
      </c>
      <c r="H65" s="38" t="str">
        <f t="shared" si="2"/>
        <v>$149,493.60</v>
      </c>
    </row>
    <row r="66" spans="1:8" ht="15" x14ac:dyDescent="0.25">
      <c r="A66" s="3" t="str">
        <f t="shared" si="0"/>
        <v>Vernon County (30,714) - $149,270.04</v>
      </c>
      <c r="D66" s="33" t="s">
        <v>150</v>
      </c>
      <c r="E66" s="31">
        <v>30714</v>
      </c>
      <c r="F66" s="36" t="s">
        <v>92</v>
      </c>
      <c r="G66" s="37">
        <f t="shared" si="1"/>
        <v>149270.04</v>
      </c>
      <c r="H66" s="38" t="str">
        <f t="shared" si="2"/>
        <v>$149,270.04</v>
      </c>
    </row>
    <row r="67" spans="1:8" ht="15" x14ac:dyDescent="0.25">
      <c r="A67" s="3" t="str">
        <f t="shared" si="0"/>
        <v>Vilas County (23,047) - $112,008.42</v>
      </c>
      <c r="D67" s="33" t="s">
        <v>151</v>
      </c>
      <c r="E67" s="31">
        <v>23047</v>
      </c>
      <c r="F67" s="36" t="s">
        <v>93</v>
      </c>
      <c r="G67" s="37">
        <f t="shared" si="1"/>
        <v>112008.42000000001</v>
      </c>
      <c r="H67" s="38" t="str">
        <f t="shared" si="2"/>
        <v>$112,008.42</v>
      </c>
    </row>
    <row r="68" spans="1:8" ht="15" x14ac:dyDescent="0.25">
      <c r="A68" s="3" t="str">
        <f t="shared" si="0"/>
        <v>Walworth County (106,478) - $517,483.08</v>
      </c>
      <c r="D68" s="33" t="s">
        <v>152</v>
      </c>
      <c r="E68" s="31">
        <v>106478</v>
      </c>
      <c r="F68" s="36" t="s">
        <v>94</v>
      </c>
      <c r="G68" s="37">
        <f t="shared" si="1"/>
        <v>517483.08</v>
      </c>
      <c r="H68" s="38" t="str">
        <f t="shared" si="2"/>
        <v>$517,483.08</v>
      </c>
    </row>
    <row r="69" spans="1:8" ht="15" x14ac:dyDescent="0.25">
      <c r="A69" s="3" t="str">
        <f t="shared" ref="A69:A75" si="3">D69 &amp; " (" &amp;F69&amp; ")" &amp; " - " &amp;H69</f>
        <v>Washburn County (16,623) - $80,787.78</v>
      </c>
      <c r="D69" s="33" t="s">
        <v>153</v>
      </c>
      <c r="E69" s="31">
        <v>16623</v>
      </c>
      <c r="F69" s="36" t="s">
        <v>95</v>
      </c>
      <c r="G69" s="37">
        <f t="shared" ref="G69:G75" si="4">E69*4.86</f>
        <v>80787.78</v>
      </c>
      <c r="H69" s="38" t="str">
        <f t="shared" ref="H69:H75" si="5">TEXT(G69,"$#,##0.00")</f>
        <v>$80,787.78</v>
      </c>
    </row>
    <row r="70" spans="1:8" ht="15" x14ac:dyDescent="0.25">
      <c r="A70" s="3" t="str">
        <f t="shared" si="3"/>
        <v>Washington County (136,761) - $664,658.46</v>
      </c>
      <c r="D70" s="33" t="s">
        <v>21</v>
      </c>
      <c r="E70" s="31">
        <v>136761</v>
      </c>
      <c r="F70" s="36" t="s">
        <v>96</v>
      </c>
      <c r="G70" s="37">
        <f t="shared" si="4"/>
        <v>664658.46000000008</v>
      </c>
      <c r="H70" s="38" t="str">
        <f t="shared" si="5"/>
        <v>$664,658.46</v>
      </c>
    </row>
    <row r="71" spans="1:8" ht="15" x14ac:dyDescent="0.25">
      <c r="A71" s="3" t="str">
        <f t="shared" si="3"/>
        <v>Waukesha County (406,978) - $1,977,913.08</v>
      </c>
      <c r="D71" s="33" t="s">
        <v>154</v>
      </c>
      <c r="E71" s="31">
        <v>406978</v>
      </c>
      <c r="F71" s="36" t="s">
        <v>97</v>
      </c>
      <c r="G71" s="37">
        <f t="shared" si="4"/>
        <v>1977913.08</v>
      </c>
      <c r="H71" s="38" t="str">
        <f t="shared" si="5"/>
        <v>$1,977,913.08</v>
      </c>
    </row>
    <row r="72" spans="1:8" ht="15" x14ac:dyDescent="0.25">
      <c r="A72" s="3" t="str">
        <f t="shared" si="3"/>
        <v>Waupaca County (51,812) - $251,806.32</v>
      </c>
      <c r="D72" s="33" t="s">
        <v>155</v>
      </c>
      <c r="E72" s="31">
        <v>51812</v>
      </c>
      <c r="F72" s="36" t="s">
        <v>98</v>
      </c>
      <c r="G72" s="37">
        <f t="shared" si="4"/>
        <v>251806.32</v>
      </c>
      <c r="H72" s="38" t="str">
        <f t="shared" si="5"/>
        <v>$251,806.32</v>
      </c>
    </row>
    <row r="73" spans="1:8" ht="15" x14ac:dyDescent="0.25">
      <c r="A73" s="3" t="str">
        <f t="shared" si="3"/>
        <v>Waushara County (24,520) - $119,167.20</v>
      </c>
      <c r="D73" s="33" t="s">
        <v>156</v>
      </c>
      <c r="E73" s="31">
        <v>24520</v>
      </c>
      <c r="F73" s="36" t="s">
        <v>99</v>
      </c>
      <c r="G73" s="37">
        <f t="shared" si="4"/>
        <v>119167.20000000001</v>
      </c>
      <c r="H73" s="38" t="str">
        <f t="shared" si="5"/>
        <v>$119,167.20</v>
      </c>
    </row>
    <row r="74" spans="1:8" ht="15" x14ac:dyDescent="0.25">
      <c r="A74" s="3" t="str">
        <f t="shared" si="3"/>
        <v>Winnebago County (171,730) - $834,607.80</v>
      </c>
      <c r="D74" s="33" t="s">
        <v>29</v>
      </c>
      <c r="E74" s="31">
        <v>171730</v>
      </c>
      <c r="F74" s="36" t="s">
        <v>100</v>
      </c>
      <c r="G74" s="37">
        <f t="shared" si="4"/>
        <v>834607.8</v>
      </c>
      <c r="H74" s="38" t="str">
        <f t="shared" si="5"/>
        <v>$834,607.80</v>
      </c>
    </row>
    <row r="75" spans="1:8" ht="15" x14ac:dyDescent="0.25">
      <c r="A75" s="3" t="str">
        <f t="shared" si="3"/>
        <v>Wood County (74,207) - $360,646.02</v>
      </c>
      <c r="D75" s="34" t="s">
        <v>157</v>
      </c>
      <c r="E75" s="32">
        <v>74207</v>
      </c>
      <c r="F75" s="36" t="s">
        <v>101</v>
      </c>
      <c r="G75" s="37">
        <f t="shared" si="4"/>
        <v>360646.02</v>
      </c>
      <c r="H75" s="38" t="str">
        <f t="shared" si="5"/>
        <v>$360,646.02</v>
      </c>
    </row>
  </sheetData>
  <autoFilter ref="C3:C21" xr:uid="{39375668-CE9B-46F3-A62C-31156637A2D1}">
    <sortState xmlns:xlrd2="http://schemas.microsoft.com/office/spreadsheetml/2017/richdata2" ref="C4:C23">
      <sortCondition ref="C3:C21"/>
    </sortState>
  </autoFilter>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ategory xmlns="4f1a833c-a938-4a5e-81e3-99cd1b92e526" xsi:nil="true"/>
    <lcf76f155ced4ddcb4097134ff3c332f xmlns="4f1a833c-a938-4a5e-81e3-99cd1b92e526">
      <Terms xmlns="http://schemas.microsoft.com/office/infopath/2007/PartnerControls"/>
    </lcf76f155ced4ddcb4097134ff3c332f>
    <Description xmlns="4f1a833c-a938-4a5e-81e3-99cd1b92e526" xsi:nil="true"/>
    <Label xmlns="4f1a833c-a938-4a5e-81e3-99cd1b92e526" xsi:nil="true"/>
    <TaxCatchAll xmlns="538c035d-569c-47ab-a864-fdd8ae3d451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E1BE3CEEEABCE41B1C95CD1583BF4D5" ma:contentTypeVersion="17" ma:contentTypeDescription="Create a new document." ma:contentTypeScope="" ma:versionID="d9375f57b5fac38115eae6006807f702">
  <xsd:schema xmlns:xsd="http://www.w3.org/2001/XMLSchema" xmlns:xs="http://www.w3.org/2001/XMLSchema" xmlns:p="http://schemas.microsoft.com/office/2006/metadata/properties" xmlns:ns2="4f1a833c-a938-4a5e-81e3-99cd1b92e526" xmlns:ns3="538c035d-569c-47ab-a864-fdd8ae3d4516" targetNamespace="http://schemas.microsoft.com/office/2006/metadata/properties" ma:root="true" ma:fieldsID="c59a90bd35cd63f1f4ba1e5012f76d77" ns2:_="" ns3:_="">
    <xsd:import namespace="4f1a833c-a938-4a5e-81e3-99cd1b92e526"/>
    <xsd:import namespace="538c035d-569c-47ab-a864-fdd8ae3d4516"/>
    <xsd:element name="properties">
      <xsd:complexType>
        <xsd:sequence>
          <xsd:element name="documentManagement">
            <xsd:complexType>
              <xsd:all>
                <xsd:element ref="ns2:MediaServiceMetadata" minOccurs="0"/>
                <xsd:element ref="ns2:MediaServiceFastMetadata" minOccurs="0"/>
                <xsd:element ref="ns2:Category" minOccurs="0"/>
                <xsd:element ref="ns2:Label"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Descriptio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1a833c-a938-4a5e-81e3-99cd1b92e5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Category" ma:index="10" nillable="true" ma:displayName="Category" ma:format="Dropdown" ma:internalName="Category">
      <xsd:simpleType>
        <xsd:restriction base="dms:Choice">
          <xsd:enumeration value="PDA"/>
          <xsd:enumeration value="Branch Meetings"/>
          <xsd:enumeration value="Data Reports"/>
          <xsd:enumeration value="ARI"/>
          <xsd:enumeration value="R Drive Clean Up"/>
          <xsd:enumeration value="Disasters"/>
          <xsd:enumeration value="Guidance"/>
        </xsd:restriction>
      </xsd:simpleType>
    </xsd:element>
    <xsd:element name="Label" ma:index="11" nillable="true" ma:displayName="Team" ma:format="Dropdown" ma:internalName="Label">
      <xsd:complexType>
        <xsd:complexContent>
          <xsd:extension base="dms:MultiChoice">
            <xsd:sequence>
              <xsd:element name="Value" maxOccurs="unbounded" minOccurs="0" nillable="true">
                <xsd:simpleType>
                  <xsd:restriction base="dms:Choice">
                    <xsd:enumeration value="PA Field Operations"/>
                    <xsd:enumeration value="PA Appeals &amp; Policy"/>
                    <xsd:enumeration value="PA Program Support"/>
                  </xsd:restriction>
                </xsd:simpleType>
              </xsd:element>
            </xsd:sequence>
          </xsd:extension>
        </xsd:complexContent>
      </xsd:complex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85e291b-231a-4814-a0e4-2f7fa3dec4ec"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Description" ma:index="21" nillable="true" ma:displayName="Description" ma:format="Dropdown" ma:internalName="Description">
      <xsd:simpleType>
        <xsd:restriction base="dms:Text">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8c035d-569c-47ab-a864-fdd8ae3d4516"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3edee98-7eb5-449f-ae52-4d95dd40d7ad}" ma:internalName="TaxCatchAll" ma:showField="CatchAllData" ma:web="538c035d-569c-47ab-a864-fdd8ae3d45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4A9E63-9AC4-49CD-A09F-CFB5005F6FC1}">
  <ds:schemaRefs>
    <ds:schemaRef ds:uri="http://schemas.microsoft.com/sharepoint/v3/contenttype/forms"/>
  </ds:schemaRefs>
</ds:datastoreItem>
</file>

<file path=customXml/itemProps2.xml><?xml version="1.0" encoding="utf-8"?>
<ds:datastoreItem xmlns:ds="http://schemas.openxmlformats.org/officeDocument/2006/customXml" ds:itemID="{E2951337-8392-4D46-B1EE-43F2B42A9FDC}">
  <ds:schemaRefs>
    <ds:schemaRef ds:uri="538c035d-569c-47ab-a864-fdd8ae3d4516"/>
    <ds:schemaRef ds:uri="http://purl.org/dc/terms/"/>
    <ds:schemaRef ds:uri="http://schemas.microsoft.com/office/2006/metadata/properties"/>
    <ds:schemaRef ds:uri="http://purl.org/dc/dcmitype/"/>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4f1a833c-a938-4a5e-81e3-99cd1b92e526"/>
    <ds:schemaRef ds:uri="http://www.w3.org/XML/1998/namespace"/>
  </ds:schemaRefs>
</ds:datastoreItem>
</file>

<file path=customXml/itemProps3.xml><?xml version="1.0" encoding="utf-8"?>
<ds:datastoreItem xmlns:ds="http://schemas.openxmlformats.org/officeDocument/2006/customXml" ds:itemID="{9580D2C9-5C84-45E9-AA01-752831453D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1a833c-a938-4a5e-81e3-99cd1b92e526"/>
    <ds:schemaRef ds:uri="538c035d-569c-47ab-a864-fdd8ae3d45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County Summary</vt:lpstr>
      <vt:lpstr>Deduction Comments</vt:lpstr>
      <vt:lpstr>Notes</vt:lpstr>
      <vt:lpstr>County Population and Threshold</vt:lpstr>
    </vt:vector>
  </TitlesOfParts>
  <Company>FEMA Region VII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FEMA</dc:creator>
  <cp:lastModifiedBy>Crawford, Seth</cp:lastModifiedBy>
  <cp:lastPrinted>2026-07-06T16:52:46Z</cp:lastPrinted>
  <dcterms:created xsi:type="dcterms:W3CDTF">2000-06-27T13:20:49Z</dcterms:created>
  <dcterms:modified xsi:type="dcterms:W3CDTF">2026-07-15T17:02:21Z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0x010100FE1BE3CEEEABCE41B1C95CD1583BF4D5</vt:lpwstr>
  </property>
  <property fmtid="{D5CDD505-2E9C-101B-9397-08002B2CF9AE}" pid="3" name="MediaServiceImageTags">
    <vt:lpwstr/>
  </property>
</Properties>
</file>