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/Damage Data/Chart A's for PDA Lead Review/Ready for Table A/Entered in Table A/"/>
    </mc:Choice>
  </mc:AlternateContent>
  <xr:revisionPtr revIDLastSave="233" documentId="13_ncr:1_{8E083EAB-3749-4216-906A-8A0C9AD27406}" xr6:coauthVersionLast="47" xr6:coauthVersionMax="47" xr10:uidLastSave="{521F99B9-9D72-478F-926E-7A5E17F1C161}"/>
  <bookViews>
    <workbookView minimized="1" xWindow="-55140" yWindow="1770" windowWidth="23250" windowHeight="10050" activeTab="1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<sst xmlns="http://schemas.openxmlformats.org/spreadsheetml/2006/main" count="249" uniqueCount="214">
  <si>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</si>
  <si>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</si>
  <si>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</si>
  <si>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</si>
  <si>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</si>
  <si>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</si>
  <si>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</si>
  <si>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</si>
  <si>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</si>
  <si>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</si>
  <si>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</si>
  <si>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</si>
  <si>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</si>
  <si>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</si>
  <si>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</si>
  <si>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</si>
  <si>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</si>
  <si>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</si>
  <si>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</si>
  <si>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</si>
  <si>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</si>
  <si>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</si>
  <si>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</si>
  <si>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</si>
  <si>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</si>
  <si>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</si>
  <si>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</si>
  <si>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</si>
  <si>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</si>
  <si>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</si>
  <si>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</si>
  <si>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</si>
  <si>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</si>
  <si>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</si>
  <si>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</si>
  <si>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</si>
  <si>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</si>
  <si>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</si>
  <si>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</si>
  <si>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</si>
  <si>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</si>
  <si>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</si>
  <si>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</si>
  <si>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</si>
  <si>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</si>
  <si>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</si>
  <si>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</si>
  <si>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</si>
  <si>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</si>
  <si>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</si>
  <si>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</si>
  <si>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</si>
  <si>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</si>
  <si>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</si>
  <si>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</si>
  <si>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</si>
  <si>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</si>
  <si>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</si>
  <si>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</si>
  <si>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</si>
  <si>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</si>
  <si>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</si>
  <si>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</si>
  <si>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</si>
  <si>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</si>
  <si>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</si>
  <si>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</si>
  <si>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</si>
  <si>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</si>
  <si>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</si>
  <si>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</si>
  <si>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</si>
  <si>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</si>
  <si>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</si>
  <si>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</si>
  <si>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</si>
  <si>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</si>
  <si>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</si>
  <si>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</si>
  <si>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</si>
  <si>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</si>
  <si>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</si>
  <si>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</si>
  <si>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</si>
  <si>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</si>
  <si>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</si>
  <si>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</si>
  <si>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</si>
  <si>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</si>
  <si>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</si>
  <si>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</si>
  <si>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</si>
  <si>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</si>
  <si>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</si>
  <si>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</si>
  <si>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</si>
  <si>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</si>
  <si>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</si>
  <si>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</si>
  <si>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</si>
  <si>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</si>
  <si>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</si>
  <si>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</si>
  <si>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</si>
  <si>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</si>
  <si>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</si>
  <si>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</si>
  <si>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</si>
  <si>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</si>
  <si>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</si>
  <si>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</si>
  <si>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</si>
  <si>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</si>
  <si>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</si>
  <si>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</si>
  <si>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</si>
  <si>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</si>
  <si>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</si>
  <si>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</si>
  <si>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</si>
  <si>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</si>
  <si>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</si>
  <si>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</si>
  <si>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</si>
  <si>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</si>
  <si>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</si>
  <si>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</si>
  <si>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</si>
  <si>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</si>
  <si>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</si>
  <si>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</si>
  <si>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</si>
  <si>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</si>
  <si>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</si>
  <si>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</si>
  <si>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</si>
  <si>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</si>
  <si>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</si>
  <si>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</si>
  <si>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</si>
  <si>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</si>
  <si>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</si>
  <si>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</si>
  <si>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</si>
  <si>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</si>
  <si>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</si>
  <si>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</si>
  <si>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</si>
  <si>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</si>
  <si>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</si>
  <si>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</si>
  <si>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</si>
  <si>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</si>
  <si>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</si>
  <si>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</si>
  <si>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</si>
  <si>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</si>
  <si>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</si>
  <si>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</si>
  <si>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</si>
  <si>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</si>
  <si>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</si>
  <si>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</si>
  <si>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</si>
  <si>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</si>
  <si>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</si>
  <si>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</si>
  <si>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</si>
  <si>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</si>
  <si>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</si>
  <si>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</si>
  <si>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</si>
  <si>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</si>
  <si>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</si>
  <si>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</si>
  <si>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</si>
  <si>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</si>
  <si>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</si>
  <si>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</si>
  <si>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</si>
  <si>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</si>
  <si>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Vernon County (30,714) - $149,270.04</t>
  </si>
  <si>
    <t>Bethesda Church</t>
  </si>
  <si>
    <t>PNP</t>
  </si>
  <si>
    <t>Bland Clinic - Vernon Health</t>
  </si>
  <si>
    <t>City of Viroqua</t>
  </si>
  <si>
    <t>Bethel Buttik Food Pantry</t>
  </si>
  <si>
    <t>Complete</t>
  </si>
  <si>
    <t>No documents in folders</t>
  </si>
  <si>
    <t>Municipality</t>
  </si>
  <si>
    <t>City of Westby</t>
  </si>
  <si>
    <t>Coon Prairie Lutheran Church</t>
  </si>
  <si>
    <t>Our Saviors Lutheran Church</t>
  </si>
  <si>
    <t>Township of Christiana</t>
  </si>
  <si>
    <t>Norseland Nursing Home</t>
  </si>
  <si>
    <t>County</t>
  </si>
  <si>
    <t>Village of Chaseburg</t>
  </si>
  <si>
    <t>Village of Coon Valley</t>
  </si>
  <si>
    <t>Vernon Eletrical Cooperative</t>
  </si>
  <si>
    <t>Co Op</t>
  </si>
  <si>
    <t>Westby Schools</t>
  </si>
  <si>
    <t>Other</t>
  </si>
  <si>
    <r>
      <rPr>
        <b/>
        <sz val="10"/>
        <rFont val="Arial"/>
        <family val="2"/>
      </rPr>
      <t>Cat E: Estimated $64,036.68</t>
    </r>
    <r>
      <rPr>
        <sz val="10"/>
        <rFont val="Arial"/>
        <family val="2"/>
      </rPr>
      <t xml:space="preserve"> Storm damage to 2 city police vechicles and 1 city cab. </t>
    </r>
    <r>
      <rPr>
        <b/>
        <sz val="10"/>
        <rFont val="Arial"/>
        <family val="2"/>
      </rPr>
      <t>Reduced $57,036.68:</t>
    </r>
    <r>
      <rPr>
        <sz val="10"/>
        <rFont val="Arial"/>
        <family val="2"/>
      </rPr>
      <t xml:space="preserve"> covered by insurance. </t>
    </r>
    <r>
      <rPr>
        <b/>
        <sz val="10"/>
        <rFont val="Arial"/>
        <family val="2"/>
      </rPr>
      <t>Validated $7,000.00</t>
    </r>
    <r>
      <rPr>
        <sz val="10"/>
        <rFont val="Arial"/>
        <family val="2"/>
      </rPr>
      <t>: Deductable applied, validated by applicant supplied cost estimate</t>
    </r>
  </si>
  <si>
    <r>
      <rPr>
        <b/>
        <sz val="10"/>
        <rFont val="Arial"/>
        <family val="2"/>
      </rPr>
      <t xml:space="preserve">Cat E: Estimated $64,036.68 </t>
    </r>
    <r>
      <rPr>
        <sz val="10"/>
        <rFont val="Arial"/>
        <family val="2"/>
      </rPr>
      <t>Storm damage to 2 city police vechicles and 1 city handicap accessible vehicle.</t>
    </r>
    <r>
      <rPr>
        <b/>
        <sz val="10"/>
        <rFont val="Arial"/>
        <family val="2"/>
      </rPr>
      <t xml:space="preserve"> Reduced: $59,536.68 </t>
    </r>
    <r>
      <rPr>
        <sz val="10"/>
        <rFont val="Arial"/>
        <family val="2"/>
      </rPr>
      <t xml:space="preserve">covered by insurance </t>
    </r>
    <r>
      <rPr>
        <b/>
        <sz val="10"/>
        <rFont val="Arial"/>
        <family val="2"/>
      </rPr>
      <t>Validated $4,500.00</t>
    </r>
    <r>
      <rPr>
        <sz val="10"/>
        <rFont val="Arial"/>
        <family val="2"/>
      </rPr>
      <t>: deductible applied, validated with applicant supplied estimate.</t>
    </r>
  </si>
  <si>
    <r>
      <rPr>
        <b/>
        <sz val="10"/>
        <rFont val="Arial"/>
        <family val="2"/>
      </rPr>
      <t>Cat E: Estimated $718,205.89</t>
    </r>
    <r>
      <rPr>
        <sz val="10"/>
        <rFont val="Arial"/>
        <family val="2"/>
      </rPr>
      <t xml:space="preserve"> Damage to Vernon Electric Building Roof, 32 windows, and 6 doors. </t>
    </r>
    <r>
      <rPr>
        <b/>
        <sz val="10"/>
        <rFont val="Arial"/>
        <family val="2"/>
      </rPr>
      <t xml:space="preserve">Reduced: $713,205.89 </t>
    </r>
    <r>
      <rPr>
        <sz val="10"/>
        <rFont val="Arial"/>
        <family val="2"/>
      </rPr>
      <t xml:space="preserve">covered by insurance. </t>
    </r>
    <r>
      <rPr>
        <b/>
        <sz val="10"/>
        <rFont val="Arial"/>
        <family val="2"/>
      </rPr>
      <t xml:space="preserve">Validated $5,000.00 </t>
    </r>
    <r>
      <rPr>
        <sz val="10"/>
        <rFont val="Arial"/>
        <family val="2"/>
      </rPr>
      <t>deductable applied, validated with applicant estimate.</t>
    </r>
    <r>
      <rPr>
        <b/>
        <sz val="10"/>
        <rFont val="Arial"/>
        <family val="2"/>
      </rPr>
      <t>Cat F: Estimated: $32,213.89</t>
    </r>
    <r>
      <rPr>
        <sz val="10"/>
        <rFont val="Arial"/>
        <family val="2"/>
      </rPr>
      <t xml:space="preserve"> Damage to Electrical poles, lines, and solar panels. </t>
    </r>
    <r>
      <rPr>
        <b/>
        <sz val="10"/>
        <rFont val="Arial"/>
        <family val="2"/>
      </rPr>
      <t xml:space="preserve">Reduced $16,457.80 </t>
    </r>
    <r>
      <rPr>
        <sz val="10"/>
        <rFont val="Arial"/>
        <family val="2"/>
      </rPr>
      <t xml:space="preserve">solar panals covered by insurance </t>
    </r>
    <r>
      <rPr>
        <b/>
        <sz val="10"/>
        <rFont val="Arial"/>
        <family val="2"/>
      </rPr>
      <t xml:space="preserve">Validated: $15,756.29 </t>
    </r>
    <r>
      <rPr>
        <sz val="10"/>
        <rFont val="Arial"/>
        <family val="2"/>
      </rPr>
      <t xml:space="preserve">damage to electrical poles and lines estimate provided by applicant.  </t>
    </r>
  </si>
  <si>
    <t xml:space="preserve">Couleecap Inc </t>
  </si>
  <si>
    <r>
      <rPr>
        <b/>
        <sz val="10"/>
        <rFont val="Arial"/>
        <family val="2"/>
      </rPr>
      <t>Cat E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Estimated $64,080.00</t>
    </r>
    <r>
      <rPr>
        <sz val="10"/>
        <rFont val="Arial"/>
        <family val="2"/>
      </rPr>
      <t xml:space="preserve">. Damage to Building Roof, siding, A/C units </t>
    </r>
    <r>
      <rPr>
        <b/>
        <sz val="10"/>
        <rFont val="Arial"/>
        <family val="2"/>
      </rPr>
      <t>Reduced: $64,080.00</t>
    </r>
    <r>
      <rPr>
        <sz val="10"/>
        <rFont val="Arial"/>
        <family val="2"/>
      </rPr>
      <t xml:space="preserve">: covered by insurance. </t>
    </r>
    <r>
      <rPr>
        <b/>
        <sz val="10"/>
        <rFont val="Arial"/>
        <family val="2"/>
      </rPr>
      <t>Validated $0</t>
    </r>
    <r>
      <rPr>
        <sz val="10"/>
        <rFont val="Arial"/>
        <family val="2"/>
      </rPr>
      <t xml:space="preserve"> Permanent work for PNP that is not performing critical services </t>
    </r>
  </si>
  <si>
    <t>Government</t>
  </si>
  <si>
    <r>
      <t xml:space="preserve">Cat B: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$67,763 for traffic control cost due to road closure and detours from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$67,763 with applicant provided summary sheets.
Cat C: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$2,775 for road damages due to flooding.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 xml:space="preserve">$2,775 road is FHWA eligible.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$0</t>
    </r>
  </si>
  <si>
    <r>
      <rPr>
        <b/>
        <sz val="10"/>
        <rFont val="Arial"/>
        <family val="2"/>
      </rPr>
      <t>Cat E: Estimated $941,449.97</t>
    </r>
    <r>
      <rPr>
        <sz val="10"/>
        <rFont val="Arial"/>
        <family val="2"/>
      </rPr>
      <t xml:space="preserve"> Damages to facility related to hail and wind (roof, windows, A/C) 16 vehicles with hail damage. </t>
    </r>
    <r>
      <rPr>
        <b/>
        <sz val="10"/>
        <rFont val="Arial"/>
        <family val="2"/>
      </rPr>
      <t>Reduced $941,449.97</t>
    </r>
    <r>
      <rPr>
        <sz val="10"/>
        <rFont val="Arial"/>
        <family val="2"/>
      </rPr>
      <t xml:space="preserve"> damages covered by insurance. </t>
    </r>
    <r>
      <rPr>
        <b/>
        <sz val="10"/>
        <rFont val="Arial"/>
        <family val="2"/>
      </rPr>
      <t>Validated $0</t>
    </r>
    <r>
      <rPr>
        <sz val="10"/>
        <rFont val="Arial"/>
        <family val="2"/>
      </rPr>
      <t xml:space="preserve"> Permanent work for PNP that is not performing critical services </t>
    </r>
  </si>
  <si>
    <r>
      <rPr>
        <b/>
        <sz val="10"/>
        <rFont val="Arial"/>
        <family val="2"/>
      </rPr>
      <t>Cat E: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Estimated: $55,181.00</t>
    </r>
    <r>
      <rPr>
        <sz val="10"/>
        <rFont val="Arial"/>
        <family val="2"/>
      </rPr>
      <t xml:space="preserve"> Damage to Building Roof, 3 A/C units, 12 windows, Commerecial Sign: </t>
    </r>
    <r>
      <rPr>
        <b/>
        <sz val="10"/>
        <rFont val="Arial"/>
        <family val="2"/>
      </rPr>
      <t>Reduced: $55,181.00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Validated: $0</t>
    </r>
    <r>
      <rPr>
        <sz val="10"/>
        <rFont val="Arial"/>
        <family val="2"/>
      </rPr>
      <t xml:space="preserve"> Permanent work for PNP not performing critical services </t>
    </r>
  </si>
  <si>
    <t>Department of Transportation</t>
  </si>
  <si>
    <r>
      <rPr>
        <b/>
        <sz val="10"/>
        <rFont val="Arial"/>
        <family val="2"/>
      </rPr>
      <t>Cat E: Estimated $116,625.00</t>
    </r>
    <r>
      <rPr>
        <sz val="10"/>
        <rFont val="Arial"/>
        <family val="2"/>
      </rPr>
      <t xml:space="preserve"> Storm damage to steel roof. </t>
    </r>
    <r>
      <rPr>
        <b/>
        <sz val="10"/>
        <rFont val="Arial"/>
        <family val="2"/>
      </rPr>
      <t>Reduced $16,625.000:</t>
    </r>
    <r>
      <rPr>
        <sz val="10"/>
        <rFont val="Arial"/>
        <family val="2"/>
      </rPr>
      <t xml:space="preserve"> covered by insurance. </t>
    </r>
    <r>
      <rPr>
        <b/>
        <sz val="10"/>
        <rFont val="Arial"/>
        <family val="2"/>
      </rPr>
      <t xml:space="preserve">Validated $100,000.00: </t>
    </r>
    <r>
      <rPr>
        <sz val="10"/>
        <rFont val="Arial"/>
        <family val="2"/>
      </rPr>
      <t xml:space="preserve">Deductable applied, validated with applicant damage estimate for Labor and Material. </t>
    </r>
  </si>
  <si>
    <t xml:space="preserve">Cat E: Estimated $917,726.00 damage to school district facilities and grounds; 2 schools and outbuildings (roofs, electronic scoreboard and signs, bleachers, and windows) 8 vehicles Reduced: 0 Validated: $917,726.00 applicant claiming deductible; per policy 1% of assessed value of property and 1k deductible per vehicle (8)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</si>
</sst>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10" fillId="5" borderId="4" xfId="0" applyFont="1" applyFill="1" applyBorder="1" applyAlignment="1">
      <alignment vertical="top"/>
    </xf>
    <xf numFmtId="0" fontId="2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 applyAlignment="1" applyProtection="1">
      <alignment vertical="top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alignment horizontal="general" vertical="top" textRotation="0" wrapText="1" indent="0" justifyLastLine="0" shrinkToFit="0" readingOrder="0"/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708026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708026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708026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892068</xdr:colOff>
      <xdr:row>2</xdr:row>
      <xdr:rowOff>1545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326283</xdr:colOff>
      <xdr:row>2</xdr:row>
      <xdr:rowOff>1545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1393083</xdr:colOff>
      <xdr:row>2</xdr:row>
      <xdr:rowOff>1545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1577340</xdr:colOff>
      <xdr:row>5</xdr:row>
      <xdr:rowOff>21591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9" sqref="I19"/>
    </sheetView>
  </sheetViews>
  <sheetFormatPr defaultColWidth="16.7109375" defaultRowHeight="12.75" x14ac:dyDescent="0.2"/>
  <cols>
    <col min="1" max="1" width="0.7109375" style="46" customWidth="1"/>
    <col min="2" max="2" width="31.7109375" customWidth="1"/>
    <col min="3" max="3" width="13.7109375" customWidth="1"/>
    <col min="4" max="4" width="16.7109375" customWidth="1"/>
    <col min="12" max="12" width="26.28515625" customWidth="1"/>
  </cols>
  <sheetData>
    <row r="1" spans="1:12" ht="13.15" customHeight="1" thickBot="1" x14ac:dyDescent="0.25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s="1" customFormat="1" ht="20.100000000000001" customHeight="1" thickTop="1" thickBot="1" x14ac:dyDescent="0.25">
      <c r="A2" s="46"/>
      <c r="B2" s="60" t="s">
        <v>15</v>
      </c>
      <c r="C2" s="61"/>
      <c r="D2" s="5" t="s">
        <v>7</v>
      </c>
      <c r="E2" s="56" t="s">
        <v>9</v>
      </c>
      <c r="F2" s="57"/>
      <c r="G2" s="47" t="s">
        <v>13</v>
      </c>
      <c r="H2" s="48"/>
      <c r="I2" s="48"/>
      <c r="J2" s="48"/>
      <c r="K2" s="49"/>
      <c r="L2" s="6" t="s">
        <v>11</v>
      </c>
    </row>
    <row r="3" spans="1:12" s="1" customFormat="1" ht="31.15" customHeight="1" thickTop="1" thickBot="1" x14ac:dyDescent="0.25">
      <c r="A3" s="46"/>
      <c r="B3" s="62" t="s">
        <v>181</v>
      </c>
      <c r="C3" s="63"/>
      <c r="D3" s="14" t="s">
        <v>171</v>
      </c>
      <c r="E3" s="58">
        <f>SUM(Table6[[A]:[B]])</f>
        <v>67763</v>
      </c>
      <c r="F3" s="59"/>
      <c r="G3" s="50">
        <f>SUM(Table6[[C]:[G]])</f>
        <v>1049982</v>
      </c>
      <c r="H3" s="51"/>
      <c r="I3" s="51"/>
      <c r="J3" s="51"/>
      <c r="K3" s="52"/>
      <c r="L3" s="9">
        <f>SUM(Table6[Applicant Total])</f>
        <v>1117745</v>
      </c>
    </row>
    <row r="4" spans="1:12" ht="14.25" thickTop="1" thickBot="1" x14ac:dyDescent="0.25">
      <c r="B4" s="53"/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1:12" ht="13.5" thickBot="1" x14ac:dyDescent="0.25">
      <c r="B5" s="16" t="s">
        <v>12</v>
      </c>
      <c r="C5" s="38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8" t="s">
        <v>14</v>
      </c>
    </row>
    <row r="6" spans="1:12" x14ac:dyDescent="0.2">
      <c r="B6" s="10" t="s">
        <v>184</v>
      </c>
      <c r="C6" s="10" t="s">
        <v>183</v>
      </c>
      <c r="D6" s="11" t="s">
        <v>187</v>
      </c>
      <c r="E6" s="13"/>
      <c r="F6" s="12"/>
      <c r="G6" s="12"/>
      <c r="H6" s="13"/>
      <c r="I6" s="13">
        <v>100000</v>
      </c>
      <c r="J6" s="13"/>
      <c r="K6" s="13"/>
      <c r="L6" s="15">
        <f>SUM(Table6[[#This Row],[A]:[G]])</f>
        <v>100000</v>
      </c>
    </row>
    <row r="7" spans="1:12" x14ac:dyDescent="0.2">
      <c r="B7" s="10" t="s">
        <v>185</v>
      </c>
      <c r="C7" s="10" t="s">
        <v>189</v>
      </c>
      <c r="D7" s="11" t="s">
        <v>187</v>
      </c>
      <c r="E7" s="13"/>
      <c r="F7" s="13"/>
      <c r="G7" s="12"/>
      <c r="H7" s="12"/>
      <c r="I7" s="13">
        <v>7000</v>
      </c>
      <c r="J7" s="13"/>
      <c r="K7" s="13"/>
      <c r="L7" s="15">
        <f>SUM(Table6[[#This Row],[A]:[G]])</f>
        <v>7000</v>
      </c>
    </row>
    <row r="8" spans="1:12" x14ac:dyDescent="0.2">
      <c r="B8" s="10" t="s">
        <v>186</v>
      </c>
      <c r="C8" s="10" t="s">
        <v>183</v>
      </c>
      <c r="D8" s="11" t="s">
        <v>187</v>
      </c>
      <c r="E8" s="13"/>
      <c r="F8" s="13"/>
      <c r="G8" s="13"/>
      <c r="H8" s="13"/>
      <c r="I8" s="13">
        <v>0</v>
      </c>
      <c r="J8" s="13"/>
      <c r="K8" s="13"/>
      <c r="L8" s="15">
        <f>SUM(Table6[[#This Row],[A]:[G]])</f>
        <v>0</v>
      </c>
    </row>
    <row r="9" spans="1:12" x14ac:dyDescent="0.2">
      <c r="B9" s="10" t="s">
        <v>190</v>
      </c>
      <c r="C9" s="10" t="s">
        <v>189</v>
      </c>
      <c r="D9" s="11" t="s">
        <v>187</v>
      </c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">
      <c r="B10" s="10" t="s">
        <v>191</v>
      </c>
      <c r="C10" s="10" t="s">
        <v>183</v>
      </c>
      <c r="D10" s="11" t="s">
        <v>187</v>
      </c>
      <c r="E10" s="13"/>
      <c r="F10" s="13"/>
      <c r="G10" s="13"/>
      <c r="H10" s="13"/>
      <c r="I10" s="13">
        <v>0</v>
      </c>
      <c r="J10" s="13"/>
      <c r="K10" s="13"/>
      <c r="L10" s="15">
        <f>SUM(Table6[[#This Row],[A]:[G]])</f>
        <v>0</v>
      </c>
    </row>
    <row r="11" spans="1:12" x14ac:dyDescent="0.2">
      <c r="B11" s="10" t="s">
        <v>192</v>
      </c>
      <c r="C11" s="10" t="s">
        <v>183</v>
      </c>
      <c r="D11" s="11" t="s">
        <v>187</v>
      </c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">
      <c r="B12" s="10" t="s">
        <v>193</v>
      </c>
      <c r="C12" s="10" t="s">
        <v>189</v>
      </c>
      <c r="D12" s="11" t="s">
        <v>187</v>
      </c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">
      <c r="B13" s="10" t="s">
        <v>194</v>
      </c>
      <c r="C13" s="10" t="s">
        <v>183</v>
      </c>
      <c r="D13" s="11" t="s">
        <v>187</v>
      </c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 t="s">
        <v>150</v>
      </c>
      <c r="C14" s="10" t="s">
        <v>195</v>
      </c>
      <c r="D14" s="11" t="s">
        <v>187</v>
      </c>
      <c r="E14" s="13"/>
      <c r="F14" s="13"/>
      <c r="G14" s="13"/>
      <c r="H14" s="13"/>
      <c r="I14" s="13">
        <v>4500</v>
      </c>
      <c r="J14" s="13"/>
      <c r="K14" s="13"/>
      <c r="L14" s="15">
        <f>SUM(Table6[[#This Row],[A]:[G]])</f>
        <v>4500</v>
      </c>
    </row>
    <row r="15" spans="1:12" x14ac:dyDescent="0.2">
      <c r="B15" s="10" t="s">
        <v>182</v>
      </c>
      <c r="C15" s="10" t="s">
        <v>183</v>
      </c>
      <c r="D15" s="11" t="s">
        <v>187</v>
      </c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 t="s">
        <v>196</v>
      </c>
      <c r="C16" s="10" t="s">
        <v>189</v>
      </c>
      <c r="D16" s="11" t="s">
        <v>187</v>
      </c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 t="s">
        <v>197</v>
      </c>
      <c r="C17" s="10" t="s">
        <v>189</v>
      </c>
      <c r="D17" s="11" t="s">
        <v>187</v>
      </c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 t="s">
        <v>198</v>
      </c>
      <c r="C18" s="10" t="s">
        <v>199</v>
      </c>
      <c r="D18" s="11" t="s">
        <v>187</v>
      </c>
      <c r="E18" s="13"/>
      <c r="F18" s="13"/>
      <c r="G18" s="13"/>
      <c r="H18" s="13"/>
      <c r="I18" s="13">
        <v>5000</v>
      </c>
      <c r="J18" s="13">
        <v>15756</v>
      </c>
      <c r="K18" s="13"/>
      <c r="L18" s="15">
        <f>SUM(Table6[[#This Row],[A]:[G]])</f>
        <v>20756</v>
      </c>
    </row>
    <row r="19" spans="2:12" x14ac:dyDescent="0.2">
      <c r="B19" s="10" t="s">
        <v>200</v>
      </c>
      <c r="C19" s="10" t="s">
        <v>201</v>
      </c>
      <c r="D19" s="11" t="s">
        <v>187</v>
      </c>
      <c r="E19" s="13"/>
      <c r="F19" s="13"/>
      <c r="G19" s="13"/>
      <c r="H19" s="13"/>
      <c r="I19" s="13">
        <v>917726</v>
      </c>
      <c r="J19" s="13"/>
      <c r="K19" s="13"/>
      <c r="L19" s="15">
        <f>SUM(Table6[[#This Row],[A]:[G]])</f>
        <v>917726</v>
      </c>
    </row>
    <row r="20" spans="2:12" x14ac:dyDescent="0.2">
      <c r="B20" s="10" t="s">
        <v>205</v>
      </c>
      <c r="C20" s="10" t="s">
        <v>183</v>
      </c>
      <c r="D20" s="11" t="s">
        <v>187</v>
      </c>
      <c r="E20" s="13"/>
      <c r="F20" s="13"/>
      <c r="G20" s="13"/>
      <c r="H20" s="13"/>
      <c r="I20" s="13">
        <v>0</v>
      </c>
      <c r="J20" s="13"/>
      <c r="K20" s="13"/>
      <c r="L20" s="15">
        <f>SUM(Table6[[#This Row],[A]:[G]])</f>
        <v>0</v>
      </c>
    </row>
    <row r="21" spans="2:12" x14ac:dyDescent="0.2">
      <c r="B21" s="10" t="s">
        <v>211</v>
      </c>
      <c r="C21" s="10" t="s">
        <v>207</v>
      </c>
      <c r="D21" s="11" t="s">
        <v>187</v>
      </c>
      <c r="E21" s="13"/>
      <c r="F21" s="13">
        <v>67763</v>
      </c>
      <c r="G21" s="13"/>
      <c r="H21" s="13"/>
      <c r="I21" s="13"/>
      <c r="J21" s="13"/>
      <c r="K21" s="13"/>
      <c r="L21" s="15">
        <f>SUM(Table6[[#This Row],[A]:[G]])</f>
        <v>67763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11" activePane="bottomLeft" state="frozen"/>
      <selection pane="bottomLeft" activeCell="B6" sqref="B6"/>
    </sheetView>
  </sheetViews>
  <sheetFormatPr defaultRowHeight="45" customHeight="1" x14ac:dyDescent="0.2"/>
  <cols>
    <col min="1" max="1" width="55.7109375" style="27" customWidth="1"/>
    <col min="2" max="2" width="151" style="42" customWidth="1"/>
  </cols>
  <sheetData>
    <row r="1" spans="1:2" ht="45" customHeight="1" thickBot="1" x14ac:dyDescent="0.25">
      <c r="A1" s="26" t="s">
        <v>12</v>
      </c>
      <c r="B1" s="39" t="s">
        <v>8</v>
      </c>
    </row>
    <row r="2" spans="1:2" ht="45" customHeight="1" x14ac:dyDescent="0.2">
      <c r="A2" s="27" t="str">
        <f>'County Summary'!B6</f>
        <v>Bland Clinic - Vernon Health</v>
      </c>
      <c r="B2" s="40" t="s">
        <v>212</v>
      </c>
    </row>
    <row r="3" spans="1:2" ht="45" customHeight="1" x14ac:dyDescent="0.2">
      <c r="A3" s="27" t="str">
        <f>'County Summary'!B7</f>
        <v>City of Viroqua</v>
      </c>
      <c r="B3" s="40" t="s">
        <v>202</v>
      </c>
    </row>
    <row r="4" spans="1:2" ht="45" customHeight="1" x14ac:dyDescent="0.2">
      <c r="A4" s="27" t="str">
        <f>'County Summary'!B8</f>
        <v>Bethel Buttik Food Pantry</v>
      </c>
      <c r="B4" s="40" t="s">
        <v>206</v>
      </c>
    </row>
    <row r="5" spans="1:2" ht="45" customHeight="1" x14ac:dyDescent="0.2">
      <c r="A5" s="27" t="str">
        <f>'County Summary'!B9</f>
        <v>City of Westby</v>
      </c>
      <c r="B5" s="41" t="s">
        <v>188</v>
      </c>
    </row>
    <row r="6" spans="1:2" ht="45" customHeight="1" x14ac:dyDescent="0.2">
      <c r="A6" s="27" t="str">
        <f>'County Summary'!B10</f>
        <v>Coon Prairie Lutheran Church</v>
      </c>
      <c r="B6" s="40" t="s">
        <v>210</v>
      </c>
    </row>
    <row r="7" spans="1:2" ht="45" customHeight="1" x14ac:dyDescent="0.2">
      <c r="A7" s="27" t="str">
        <f>'County Summary'!B11</f>
        <v>Our Saviors Lutheran Church</v>
      </c>
      <c r="B7" s="41" t="s">
        <v>188</v>
      </c>
    </row>
    <row r="8" spans="1:2" ht="45" customHeight="1" x14ac:dyDescent="0.2">
      <c r="A8" s="27" t="str">
        <f>'County Summary'!B12</f>
        <v>Township of Christiana</v>
      </c>
      <c r="B8" s="40" t="s">
        <v>188</v>
      </c>
    </row>
    <row r="9" spans="1:2" ht="45" customHeight="1" x14ac:dyDescent="0.2">
      <c r="A9" s="27" t="str">
        <f>'County Summary'!B13</f>
        <v>Norseland Nursing Home</v>
      </c>
      <c r="B9" s="40" t="s">
        <v>188</v>
      </c>
    </row>
    <row r="10" spans="1:2" ht="45" customHeight="1" x14ac:dyDescent="0.2">
      <c r="A10" s="27" t="str">
        <f>'County Summary'!B14</f>
        <v>Vernon County</v>
      </c>
      <c r="B10" s="43" t="s">
        <v>203</v>
      </c>
    </row>
    <row r="11" spans="1:2" ht="45" customHeight="1" x14ac:dyDescent="0.2">
      <c r="A11" s="27" t="str">
        <f>'County Summary'!B15</f>
        <v>Bethesda Church</v>
      </c>
      <c r="B11" s="40" t="s">
        <v>188</v>
      </c>
    </row>
    <row r="12" spans="1:2" ht="45" customHeight="1" x14ac:dyDescent="0.2">
      <c r="A12" s="27" t="str">
        <f>'County Summary'!B16</f>
        <v>Village of Chaseburg</v>
      </c>
      <c r="B12" s="42" t="s">
        <v>188</v>
      </c>
    </row>
    <row r="13" spans="1:2" ht="45" customHeight="1" x14ac:dyDescent="0.2">
      <c r="A13" s="27" t="str">
        <f>'County Summary'!B17</f>
        <v>Village of Coon Valley</v>
      </c>
      <c r="B13" s="40" t="s">
        <v>188</v>
      </c>
    </row>
    <row r="14" spans="1:2" ht="45" customHeight="1" x14ac:dyDescent="0.2">
      <c r="A14" s="27" t="str">
        <f>'County Summary'!B18</f>
        <v>Vernon Eletrical Cooperative</v>
      </c>
      <c r="B14" s="43" t="s">
        <v>204</v>
      </c>
    </row>
    <row r="15" spans="1:2" ht="45" customHeight="1" x14ac:dyDescent="0.2">
      <c r="A15" s="27" t="str">
        <f>'County Summary'!B19</f>
        <v>Westby Schools</v>
      </c>
      <c r="B15" s="44" t="s">
        <v>213</v>
      </c>
    </row>
    <row r="16" spans="1:2" ht="45" customHeight="1" x14ac:dyDescent="0.2">
      <c r="A16" s="27" t="str">
        <f>'County Summary'!B20</f>
        <v xml:space="preserve">Couleecap Inc </v>
      </c>
      <c r="B16" s="40" t="s">
        <v>209</v>
      </c>
    </row>
    <row r="17" spans="1:2" ht="45" customHeight="1" x14ac:dyDescent="0.2">
      <c r="A17" s="27" t="str">
        <f>'County Summary'!B21</f>
        <v>Department of Transportation</v>
      </c>
      <c r="B17" s="40" t="s">
        <v>208</v>
      </c>
    </row>
    <row r="18" spans="1:2" ht="45" customHeight="1" x14ac:dyDescent="0.2">
      <c r="A18" s="27">
        <f>'County Summary'!B22</f>
        <v>0</v>
      </c>
      <c r="B18" s="41"/>
    </row>
    <row r="19" spans="1:2" ht="45" customHeight="1" x14ac:dyDescent="0.2">
      <c r="A19" s="27">
        <f>'County Summary'!B23</f>
        <v>0</v>
      </c>
      <c r="B19" s="41"/>
    </row>
    <row r="20" spans="1:2" ht="45" customHeight="1" x14ac:dyDescent="0.2">
      <c r="A20" s="27">
        <f>'County Summary'!B24</f>
        <v>0</v>
      </c>
      <c r="B20" s="41"/>
    </row>
    <row r="21" spans="1:2" ht="45" customHeight="1" x14ac:dyDescent="0.2">
      <c r="A21" s="27">
        <f>'County Summary'!B25</f>
        <v>0</v>
      </c>
      <c r="B21" s="41"/>
    </row>
    <row r="22" spans="1:2" ht="45" customHeight="1" x14ac:dyDescent="0.2">
      <c r="A22" s="27">
        <f>'County Summary'!B26</f>
        <v>0</v>
      </c>
      <c r="B22" s="41"/>
    </row>
    <row r="23" spans="1:2" ht="45" customHeight="1" x14ac:dyDescent="0.2">
      <c r="A23" s="27">
        <f>'County Summary'!B27</f>
        <v>0</v>
      </c>
      <c r="B23" s="41"/>
    </row>
    <row r="24" spans="1:2" ht="45" customHeight="1" x14ac:dyDescent="0.2">
      <c r="A24" s="27">
        <f>'County Summary'!B28</f>
        <v>0</v>
      </c>
      <c r="B24" s="41"/>
    </row>
    <row r="25" spans="1:2" ht="45" customHeight="1" x14ac:dyDescent="0.2">
      <c r="A25" s="27">
        <f>'County Summary'!B29</f>
        <v>0</v>
      </c>
      <c r="B25" s="41"/>
    </row>
    <row r="26" spans="1:2" ht="45" customHeight="1" x14ac:dyDescent="0.2">
      <c r="A26" s="27">
        <f>'County Summary'!B30</f>
        <v>0</v>
      </c>
      <c r="B26" s="41"/>
    </row>
    <row r="27" spans="1:2" ht="45" customHeight="1" x14ac:dyDescent="0.2">
      <c r="A27" s="27">
        <f>'County Summary'!B31</f>
        <v>0</v>
      </c>
      <c r="B27" s="41"/>
    </row>
    <row r="28" spans="1:2" ht="45" customHeight="1" x14ac:dyDescent="0.2">
      <c r="A28" s="27">
        <f>'County Summary'!B32</f>
        <v>0</v>
      </c>
      <c r="B28" s="41"/>
    </row>
    <row r="29" spans="1:2" ht="45" customHeight="1" x14ac:dyDescent="0.2">
      <c r="A29" s="27">
        <f>'County Summary'!B33</f>
        <v>0</v>
      </c>
      <c r="B29" s="41"/>
    </row>
    <row r="30" spans="1:2" ht="45" customHeight="1" x14ac:dyDescent="0.2">
      <c r="A30" s="27">
        <f>'County Summary'!B34</f>
        <v>0</v>
      </c>
      <c r="B30" s="41"/>
    </row>
    <row r="31" spans="1:2" ht="45" customHeight="1" x14ac:dyDescent="0.2">
      <c r="A31" s="27">
        <f>'County Summary'!B35</f>
        <v>0</v>
      </c>
      <c r="B31" s="41"/>
    </row>
    <row r="32" spans="1:2" ht="45" customHeight="1" x14ac:dyDescent="0.2">
      <c r="A32" s="27">
        <f>'County Summary'!B36</f>
        <v>0</v>
      </c>
      <c r="B32" s="41"/>
    </row>
    <row r="33" spans="1:2" ht="45" customHeight="1" x14ac:dyDescent="0.2">
      <c r="A33" s="27">
        <f>'County Summary'!B37</f>
        <v>0</v>
      </c>
      <c r="B33" s="41"/>
    </row>
    <row r="34" spans="1:2" ht="45" customHeight="1" x14ac:dyDescent="0.2">
      <c r="A34" s="27">
        <f>'County Summary'!B38</f>
        <v>0</v>
      </c>
      <c r="B34" s="41"/>
    </row>
    <row r="35" spans="1:2" ht="45" customHeight="1" x14ac:dyDescent="0.2">
      <c r="A35" s="27">
        <f>'County Summary'!B39</f>
        <v>0</v>
      </c>
      <c r="B35" s="41"/>
    </row>
    <row r="36" spans="1:2" ht="45" customHeight="1" x14ac:dyDescent="0.2">
      <c r="A36" s="27">
        <f>'County Summary'!B40</f>
        <v>0</v>
      </c>
      <c r="B36" s="41"/>
    </row>
    <row r="37" spans="1:2" ht="45" customHeight="1" x14ac:dyDescent="0.2">
      <c r="A37" s="27">
        <f>'County Summary'!B41</f>
        <v>0</v>
      </c>
      <c r="B37" s="41"/>
    </row>
    <row r="38" spans="1:2" ht="45" customHeight="1" x14ac:dyDescent="0.2">
      <c r="A38" s="27">
        <f>'County Summary'!B42</f>
        <v>0</v>
      </c>
      <c r="B38" s="41"/>
    </row>
    <row r="39" spans="1:2" ht="45" customHeight="1" x14ac:dyDescent="0.2">
      <c r="A39" s="27">
        <f>'County Summary'!B43</f>
        <v>0</v>
      </c>
      <c r="B39" s="41"/>
    </row>
    <row r="40" spans="1:2" ht="45" customHeight="1" x14ac:dyDescent="0.2">
      <c r="A40" s="27">
        <f>'County Summary'!B44</f>
        <v>0</v>
      </c>
      <c r="B40" s="41"/>
    </row>
    <row r="41" spans="1:2" ht="45" customHeight="1" x14ac:dyDescent="0.2">
      <c r="A41" s="27">
        <f>'County Summary'!B45</f>
        <v>0</v>
      </c>
      <c r="B41" s="41"/>
    </row>
    <row r="42" spans="1:2" ht="45" customHeight="1" x14ac:dyDescent="0.2">
      <c r="A42" s="27">
        <f>'County Summary'!B46</f>
        <v>0</v>
      </c>
      <c r="B42" s="41"/>
    </row>
    <row r="43" spans="1:2" ht="45" customHeight="1" x14ac:dyDescent="0.2">
      <c r="A43" s="27">
        <f>'County Summary'!B47</f>
        <v>0</v>
      </c>
      <c r="B43" s="41"/>
    </row>
    <row r="44" spans="1:2" ht="45" customHeight="1" x14ac:dyDescent="0.2">
      <c r="A44" s="27">
        <f>'County Summary'!B48</f>
        <v>0</v>
      </c>
      <c r="B44" s="41"/>
    </row>
    <row r="45" spans="1:2" ht="45" customHeight="1" x14ac:dyDescent="0.2">
      <c r="A45" s="27">
        <f>'County Summary'!B49</f>
        <v>0</v>
      </c>
      <c r="B45" s="41"/>
    </row>
    <row r="46" spans="1:2" ht="45" customHeight="1" x14ac:dyDescent="0.2">
      <c r="A46" s="27">
        <f>'County Summary'!B50</f>
        <v>0</v>
      </c>
      <c r="B46" s="41"/>
    </row>
    <row r="47" spans="1:2" ht="45" customHeight="1" x14ac:dyDescent="0.2">
      <c r="A47" s="27">
        <f>'County Summary'!B51</f>
        <v>0</v>
      </c>
      <c r="B47" s="41"/>
    </row>
    <row r="48" spans="1:2" ht="45" customHeight="1" x14ac:dyDescent="0.2">
      <c r="A48" s="27">
        <f>'County Summary'!B52</f>
        <v>0</v>
      </c>
      <c r="B48" s="41"/>
    </row>
    <row r="49" spans="1:2" ht="45" customHeight="1" x14ac:dyDescent="0.2">
      <c r="A49" s="27">
        <f>'County Summary'!B53</f>
        <v>0</v>
      </c>
      <c r="B49" s="41"/>
    </row>
    <row r="50" spans="1:2" ht="45" customHeight="1" x14ac:dyDescent="0.2">
      <c r="A50" s="27">
        <f>'County Summary'!B54</f>
        <v>0</v>
      </c>
      <c r="B50" s="41"/>
    </row>
    <row r="51" spans="1:2" ht="45" customHeight="1" x14ac:dyDescent="0.2">
      <c r="A51" s="27">
        <f>'County Summary'!B55</f>
        <v>0</v>
      </c>
      <c r="B51" s="41"/>
    </row>
    <row r="52" spans="1:2" ht="45" customHeight="1" x14ac:dyDescent="0.2">
      <c r="A52" s="27">
        <f>'County Summary'!B56</f>
        <v>0</v>
      </c>
      <c r="B52" s="41"/>
    </row>
    <row r="53" spans="1:2" ht="45" customHeight="1" x14ac:dyDescent="0.2">
      <c r="A53" s="27">
        <f>'County Summary'!B57</f>
        <v>0</v>
      </c>
      <c r="B53" s="41"/>
    </row>
    <row r="54" spans="1:2" ht="45" customHeight="1" x14ac:dyDescent="0.2">
      <c r="A54" s="27">
        <f>'County Summary'!B58</f>
        <v>0</v>
      </c>
      <c r="B54" s="41"/>
    </row>
    <row r="55" spans="1:2" ht="45" customHeight="1" x14ac:dyDescent="0.2">
      <c r="A55" s="27">
        <f>'County Summary'!B59</f>
        <v>0</v>
      </c>
      <c r="B55" s="41"/>
    </row>
    <row r="56" spans="1:2" ht="45" customHeight="1" x14ac:dyDescent="0.2">
      <c r="A56" s="27">
        <f>'County Summary'!B60</f>
        <v>0</v>
      </c>
      <c r="B56" s="41"/>
    </row>
    <row r="57" spans="1:2" ht="45" customHeight="1" x14ac:dyDescent="0.2">
      <c r="A57" s="27">
        <f>'County Summary'!B61</f>
        <v>0</v>
      </c>
      <c r="B57" s="41"/>
    </row>
    <row r="58" spans="1:2" ht="45" customHeight="1" x14ac:dyDescent="0.2">
      <c r="A58" s="27">
        <f>'County Summary'!B62</f>
        <v>0</v>
      </c>
      <c r="B58" s="41"/>
    </row>
    <row r="59" spans="1:2" ht="45" customHeight="1" x14ac:dyDescent="0.2">
      <c r="A59" s="27">
        <f>'County Summary'!B63</f>
        <v>0</v>
      </c>
      <c r="B59" s="41"/>
    </row>
    <row r="60" spans="1:2" ht="45" customHeight="1" x14ac:dyDescent="0.2">
      <c r="A60" s="27">
        <f>'County Summary'!B64</f>
        <v>0</v>
      </c>
      <c r="B60" s="41"/>
    </row>
    <row r="61" spans="1:2" ht="45" customHeight="1" x14ac:dyDescent="0.2">
      <c r="A61" s="27">
        <f>'County Summary'!B65</f>
        <v>0</v>
      </c>
      <c r="B61" s="41"/>
    </row>
    <row r="62" spans="1:2" ht="45" customHeight="1" x14ac:dyDescent="0.2">
      <c r="A62" s="27">
        <f>'County Summary'!B66</f>
        <v>0</v>
      </c>
      <c r="B62" s="41"/>
    </row>
    <row r="63" spans="1:2" ht="45" customHeight="1" x14ac:dyDescent="0.2">
      <c r="A63" s="27">
        <f>'County Summary'!B67</f>
        <v>0</v>
      </c>
      <c r="B63" s="41"/>
    </row>
    <row r="64" spans="1:2" ht="45" customHeight="1" x14ac:dyDescent="0.2">
      <c r="A64" s="27">
        <f>'County Summary'!B68</f>
        <v>0</v>
      </c>
      <c r="B64" s="41"/>
    </row>
    <row r="65" spans="1:2" ht="45" customHeight="1" x14ac:dyDescent="0.2">
      <c r="A65" s="27">
        <f>'County Summary'!B69</f>
        <v>0</v>
      </c>
      <c r="B65" s="41"/>
    </row>
    <row r="66" spans="1:2" ht="45" customHeight="1" x14ac:dyDescent="0.2">
      <c r="A66" s="27">
        <f>'County Summary'!B70</f>
        <v>0</v>
      </c>
      <c r="B66" s="41"/>
    </row>
    <row r="67" spans="1:2" ht="45" customHeight="1" x14ac:dyDescent="0.2">
      <c r="A67" s="27">
        <f>'County Summary'!B71</f>
        <v>0</v>
      </c>
      <c r="B67" s="41"/>
    </row>
    <row r="68" spans="1:2" ht="45" customHeight="1" x14ac:dyDescent="0.2">
      <c r="A68" s="27">
        <f>'County Summary'!B72</f>
        <v>0</v>
      </c>
      <c r="B68" s="41"/>
    </row>
    <row r="69" spans="1:2" ht="45" customHeight="1" x14ac:dyDescent="0.2">
      <c r="A69" s="27">
        <f>'County Summary'!B73</f>
        <v>0</v>
      </c>
      <c r="B69" s="41"/>
    </row>
    <row r="70" spans="1:2" ht="45" customHeight="1" x14ac:dyDescent="0.2">
      <c r="A70" s="27">
        <f>'County Summary'!B74</f>
        <v>0</v>
      </c>
      <c r="B70" s="41"/>
    </row>
    <row r="71" spans="1:2" ht="45" customHeight="1" x14ac:dyDescent="0.2">
      <c r="A71" s="27">
        <f>'County Summary'!B75</f>
        <v>0</v>
      </c>
      <c r="B71" s="41"/>
    </row>
    <row r="72" spans="1:2" ht="45" customHeight="1" x14ac:dyDescent="0.2">
      <c r="A72" s="27">
        <f>'County Summary'!B76</f>
        <v>0</v>
      </c>
      <c r="B72" s="41"/>
    </row>
    <row r="73" spans="1:2" ht="45" customHeight="1" x14ac:dyDescent="0.2">
      <c r="A73" s="27">
        <f>'County Summary'!B77</f>
        <v>0</v>
      </c>
      <c r="B73" s="41"/>
    </row>
    <row r="74" spans="1:2" ht="45" customHeight="1" x14ac:dyDescent="0.2">
      <c r="A74" s="27">
        <f>'County Summary'!B78</f>
        <v>0</v>
      </c>
      <c r="B74" s="41"/>
    </row>
    <row r="75" spans="1:2" ht="45" customHeight="1" x14ac:dyDescent="0.2">
      <c r="A75" s="27">
        <f>'County Summary'!B79</f>
        <v>0</v>
      </c>
      <c r="B75" s="41"/>
    </row>
    <row r="76" spans="1:2" ht="45" customHeight="1" x14ac:dyDescent="0.2">
      <c r="A76" s="27">
        <f>'County Summary'!B80</f>
        <v>0</v>
      </c>
      <c r="B76" s="41"/>
    </row>
    <row r="77" spans="1:2" ht="45" customHeight="1" x14ac:dyDescent="0.2">
      <c r="A77" s="27">
        <f>'County Summary'!B81</f>
        <v>0</v>
      </c>
      <c r="B77" s="41"/>
    </row>
    <row r="78" spans="1:2" ht="45" customHeight="1" x14ac:dyDescent="0.2">
      <c r="A78" s="27">
        <f>'County Summary'!B82</f>
        <v>0</v>
      </c>
      <c r="B78" s="41"/>
    </row>
    <row r="79" spans="1:2" ht="45" customHeight="1" x14ac:dyDescent="0.2">
      <c r="A79" s="27">
        <f>'County Summary'!B83</f>
        <v>0</v>
      </c>
      <c r="B79" s="41"/>
    </row>
    <row r="80" spans="1:2" ht="45" customHeight="1" x14ac:dyDescent="0.2">
      <c r="A80" s="27">
        <f>'County Summary'!B84</f>
        <v>0</v>
      </c>
      <c r="B80" s="41"/>
    </row>
    <row r="81" spans="1:2" ht="45" customHeight="1" x14ac:dyDescent="0.2">
      <c r="A81" s="27">
        <f>'County Summary'!B85</f>
        <v>0</v>
      </c>
      <c r="B81" s="41"/>
    </row>
    <row r="82" spans="1:2" ht="45" customHeight="1" x14ac:dyDescent="0.2">
      <c r="A82" s="27">
        <f>'County Summary'!B86</f>
        <v>0</v>
      </c>
      <c r="B82" s="41"/>
    </row>
    <row r="83" spans="1:2" ht="45" customHeight="1" x14ac:dyDescent="0.2">
      <c r="A83" s="27">
        <f>'County Summary'!B87</f>
        <v>0</v>
      </c>
      <c r="B83" s="41"/>
    </row>
    <row r="84" spans="1:2" ht="45" customHeight="1" x14ac:dyDescent="0.2">
      <c r="A84" s="27">
        <f>'County Summary'!B88</f>
        <v>0</v>
      </c>
      <c r="B84" s="41"/>
    </row>
    <row r="85" spans="1:2" ht="45" customHeight="1" x14ac:dyDescent="0.2">
      <c r="A85" s="27">
        <f>'County Summary'!B89</f>
        <v>0</v>
      </c>
      <c r="B85" s="41"/>
    </row>
    <row r="86" spans="1:2" ht="45" customHeight="1" x14ac:dyDescent="0.2">
      <c r="A86" s="27">
        <f>'County Summary'!B90</f>
        <v>0</v>
      </c>
      <c r="B86" s="41"/>
    </row>
    <row r="87" spans="1:2" ht="45" customHeight="1" x14ac:dyDescent="0.2">
      <c r="A87" s="27">
        <f>'County Summary'!B91</f>
        <v>0</v>
      </c>
      <c r="B87" s="41"/>
    </row>
    <row r="88" spans="1:2" ht="45" customHeight="1" x14ac:dyDescent="0.2">
      <c r="A88" s="27">
        <f>'County Summary'!B92</f>
        <v>0</v>
      </c>
      <c r="B88" s="41"/>
    </row>
    <row r="89" spans="1:2" ht="45" customHeight="1" x14ac:dyDescent="0.2">
      <c r="A89" s="27">
        <f>'County Summary'!B93</f>
        <v>0</v>
      </c>
      <c r="B89" s="41"/>
    </row>
    <row r="90" spans="1:2" ht="45" customHeight="1" x14ac:dyDescent="0.2">
      <c r="A90" s="27">
        <f>'County Summary'!B94</f>
        <v>0</v>
      </c>
      <c r="B90" s="41"/>
    </row>
    <row r="91" spans="1:2" ht="45" customHeight="1" x14ac:dyDescent="0.2">
      <c r="A91" s="27">
        <f>'County Summary'!B95</f>
        <v>0</v>
      </c>
      <c r="B91" s="41"/>
    </row>
    <row r="92" spans="1:2" ht="45" customHeight="1" x14ac:dyDescent="0.2">
      <c r="A92" s="27">
        <f>'County Summary'!B96</f>
        <v>0</v>
      </c>
      <c r="B92" s="41"/>
    </row>
    <row r="93" spans="1:2" ht="45" customHeight="1" x14ac:dyDescent="0.2">
      <c r="A93" s="27">
        <f>'County Summary'!B97</f>
        <v>0</v>
      </c>
      <c r="B93" s="41"/>
    </row>
    <row r="94" spans="1:2" ht="45" customHeight="1" x14ac:dyDescent="0.2">
      <c r="A94" s="27">
        <f>'County Summary'!B98</f>
        <v>0</v>
      </c>
      <c r="B94" s="41"/>
    </row>
    <row r="95" spans="1:2" ht="45" customHeight="1" x14ac:dyDescent="0.2">
      <c r="A95" s="27">
        <f>'County Summary'!B99</f>
        <v>0</v>
      </c>
      <c r="B95" s="41"/>
    </row>
    <row r="96" spans="1:2" ht="45" customHeight="1" x14ac:dyDescent="0.2">
      <c r="A96" s="27">
        <f>'County Summary'!B100</f>
        <v>0</v>
      </c>
      <c r="B96" s="41"/>
    </row>
    <row r="97" spans="1:2" ht="45" customHeight="1" x14ac:dyDescent="0.2">
      <c r="A97" s="27">
        <f>'County Summary'!B101</f>
        <v>0</v>
      </c>
      <c r="B97" s="41"/>
    </row>
    <row r="98" spans="1:2" ht="45" customHeight="1" x14ac:dyDescent="0.2">
      <c r="A98" s="27">
        <f>'County Summary'!B102</f>
        <v>0</v>
      </c>
      <c r="B98" s="41"/>
    </row>
    <row r="99" spans="1:2" ht="45" customHeight="1" x14ac:dyDescent="0.2">
      <c r="A99" s="27">
        <f>'County Summary'!B103</f>
        <v>0</v>
      </c>
      <c r="B99" s="41"/>
    </row>
    <row r="100" spans="1:2" ht="45" customHeight="1" x14ac:dyDescent="0.2">
      <c r="A100" s="27">
        <f>'County Summary'!B104</f>
        <v>0</v>
      </c>
      <c r="B100" s="41"/>
    </row>
  </sheetData>
  <sheetProtection formatCells="0" formatColumn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29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4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11" width="8.85546875" customWidth="1"/>
  </cols>
  <sheetData>
    <row r="1" spans="1:8" x14ac:dyDescent="0.2">
      <c r="A1" s="8" t="s">
        <v>164</v>
      </c>
    </row>
    <row r="2" spans="1:8" ht="15" customHeight="1" thickBot="1" x14ac:dyDescent="0.25">
      <c r="A2" s="23"/>
    </row>
    <row r="3" spans="1:8" ht="13.5" thickBot="1" x14ac:dyDescent="0.25">
      <c r="A3" s="7" t="s">
        <v>15</v>
      </c>
      <c r="C3" s="24" t="s">
        <v>16</v>
      </c>
    </row>
    <row r="4" spans="1:8" ht="15" x14ac:dyDescent="0.25">
      <c r="A4" s="3" t="str">
        <f>D4 &amp; " (" &amp;F4&amp; ")" &amp; " - " &amp;H4</f>
        <v>Adams County (20,654) - $100,378.44</v>
      </c>
      <c r="C4" t="s">
        <v>165</v>
      </c>
      <c r="D4" s="32" t="s">
        <v>22</v>
      </c>
      <c r="E4" s="30">
        <v>20654</v>
      </c>
      <c r="F4" s="35" t="s">
        <v>30</v>
      </c>
      <c r="G4" s="36">
        <f>E4*4.86</f>
        <v>100378.44</v>
      </c>
      <c r="H4" s="37" t="str">
        <f>TEXT(G4,"$#,##0.00")</f>
        <v>$100,378.44</v>
      </c>
    </row>
    <row r="5" spans="1:8" ht="15" x14ac:dyDescent="0.25">
      <c r="A5" s="3" t="str">
        <f t="shared" ref="A5:A68" si="0">D5 &amp; " (" &amp;F5&amp; ")" &amp; " - " &amp;H5</f>
        <v>Ashland County (16,027) - $77,891.22</v>
      </c>
      <c r="C5" t="s">
        <v>166</v>
      </c>
      <c r="D5" s="32" t="s">
        <v>102</v>
      </c>
      <c r="E5" s="30">
        <v>16027</v>
      </c>
      <c r="F5" s="35" t="s">
        <v>67</v>
      </c>
      <c r="G5" s="36">
        <f t="shared" ref="G5:G68" si="1">E5*4.86</f>
        <v>77891.22</v>
      </c>
      <c r="H5" s="37" t="str">
        <f t="shared" ref="H5:H68" si="2">TEXT(G5,"$#,##0.00")</f>
        <v>$77,891.22</v>
      </c>
    </row>
    <row r="6" spans="1:8" ht="15" x14ac:dyDescent="0.25">
      <c r="A6" s="3" t="str">
        <f t="shared" si="0"/>
        <v>Barron County (46,711) - $227,015.46</v>
      </c>
      <c r="C6" t="s">
        <v>178</v>
      </c>
      <c r="D6" s="32" t="s">
        <v>103</v>
      </c>
      <c r="E6" s="30">
        <v>46711</v>
      </c>
      <c r="F6" s="35" t="s">
        <v>31</v>
      </c>
      <c r="G6" s="36">
        <f t="shared" si="1"/>
        <v>227015.46000000002</v>
      </c>
      <c r="H6" s="37" t="str">
        <f t="shared" si="2"/>
        <v>$227,015.46</v>
      </c>
    </row>
    <row r="7" spans="1:8" ht="15" x14ac:dyDescent="0.25">
      <c r="A7" s="3" t="str">
        <f t="shared" si="0"/>
        <v>Bayfield County (16,220) - $78,829.20</v>
      </c>
      <c r="C7" t="s">
        <v>180</v>
      </c>
      <c r="D7" s="32" t="s">
        <v>104</v>
      </c>
      <c r="E7" s="30">
        <v>16220</v>
      </c>
      <c r="F7" s="35" t="s">
        <v>32</v>
      </c>
      <c r="G7" s="36">
        <f t="shared" si="1"/>
        <v>78829.200000000012</v>
      </c>
      <c r="H7" s="37" t="str">
        <f t="shared" si="2"/>
        <v>$78,829.20</v>
      </c>
    </row>
    <row r="8" spans="1:8" ht="15" x14ac:dyDescent="0.25">
      <c r="A8" s="3" t="str">
        <f t="shared" si="0"/>
        <v>Brown County (268,740) - $1,306,076.40</v>
      </c>
      <c r="C8" t="s">
        <v>167</v>
      </c>
      <c r="D8" s="32" t="s">
        <v>19</v>
      </c>
      <c r="E8" s="30">
        <v>268740</v>
      </c>
      <c r="F8" s="35" t="s">
        <v>33</v>
      </c>
      <c r="G8" s="36">
        <f t="shared" si="1"/>
        <v>1306076.4000000001</v>
      </c>
      <c r="H8" s="37" t="str">
        <f t="shared" si="2"/>
        <v>$1,306,076.40</v>
      </c>
    </row>
    <row r="9" spans="1:8" ht="15" x14ac:dyDescent="0.25">
      <c r="A9" s="3" t="str">
        <f t="shared" si="0"/>
        <v>Buffalo County (13,317) - $64,720.62</v>
      </c>
      <c r="C9" t="s">
        <v>168</v>
      </c>
      <c r="D9" s="32" t="s">
        <v>105</v>
      </c>
      <c r="E9" s="30">
        <v>13317</v>
      </c>
      <c r="F9" s="35" t="s">
        <v>34</v>
      </c>
      <c r="G9" s="36">
        <f t="shared" si="1"/>
        <v>64720.62</v>
      </c>
      <c r="H9" s="37" t="str">
        <f t="shared" si="2"/>
        <v>$64,720.62</v>
      </c>
    </row>
    <row r="10" spans="1:8" ht="15" x14ac:dyDescent="0.25">
      <c r="A10" s="3" t="str">
        <f t="shared" si="0"/>
        <v>Burnett County (16,526) - $80,316.36</v>
      </c>
      <c r="C10" t="s">
        <v>169</v>
      </c>
      <c r="D10" s="32" t="s">
        <v>106</v>
      </c>
      <c r="E10" s="30">
        <v>16526</v>
      </c>
      <c r="F10" s="35" t="s">
        <v>35</v>
      </c>
      <c r="G10" s="36">
        <f t="shared" si="1"/>
        <v>80316.36</v>
      </c>
      <c r="H10" s="37" t="str">
        <f t="shared" si="2"/>
        <v>$80,316.36</v>
      </c>
    </row>
    <row r="11" spans="1:8" ht="15" x14ac:dyDescent="0.25">
      <c r="A11" s="3" t="str">
        <f t="shared" si="0"/>
        <v>Calumet County (52,442) - $254,868.12</v>
      </c>
      <c r="C11" t="s">
        <v>176</v>
      </c>
      <c r="D11" s="32" t="s">
        <v>107</v>
      </c>
      <c r="E11" s="30">
        <v>52442</v>
      </c>
      <c r="F11" s="35" t="s">
        <v>36</v>
      </c>
      <c r="G11" s="36">
        <f t="shared" si="1"/>
        <v>254868.12000000002</v>
      </c>
      <c r="H11" s="37" t="str">
        <f t="shared" si="2"/>
        <v>$254,868.12</v>
      </c>
    </row>
    <row r="12" spans="1:8" ht="15" x14ac:dyDescent="0.25">
      <c r="A12" s="3" t="str">
        <f t="shared" si="0"/>
        <v>Chippewa County (66,297) - $322,203.42</v>
      </c>
      <c r="C12" t="s">
        <v>170</v>
      </c>
      <c r="D12" s="32" t="s">
        <v>108</v>
      </c>
      <c r="E12" s="30">
        <v>66297</v>
      </c>
      <c r="F12" s="35" t="s">
        <v>37</v>
      </c>
      <c r="G12" s="36">
        <f t="shared" si="1"/>
        <v>322203.42000000004</v>
      </c>
      <c r="H12" s="37" t="str">
        <f t="shared" si="2"/>
        <v>$322,203.42</v>
      </c>
    </row>
    <row r="13" spans="1:8" ht="15" x14ac:dyDescent="0.25">
      <c r="A13" s="3" t="str">
        <f t="shared" si="0"/>
        <v>Clark County (34,659) - $168,442.74</v>
      </c>
      <c r="C13" t="s">
        <v>175</v>
      </c>
      <c r="D13" s="32" t="s">
        <v>23</v>
      </c>
      <c r="E13" s="30">
        <v>34659</v>
      </c>
      <c r="F13" s="35" t="s">
        <v>38</v>
      </c>
      <c r="G13" s="36">
        <f t="shared" si="1"/>
        <v>168442.74000000002</v>
      </c>
      <c r="H13" s="37" t="str">
        <f t="shared" si="2"/>
        <v>$168,442.74</v>
      </c>
    </row>
    <row r="14" spans="1:8" ht="15" x14ac:dyDescent="0.25">
      <c r="A14" s="3" t="str">
        <f t="shared" si="0"/>
        <v>Columbia County (58,490) - $284,261.40</v>
      </c>
      <c r="C14" t="s">
        <v>177</v>
      </c>
      <c r="D14" s="32" t="s">
        <v>109</v>
      </c>
      <c r="E14" s="30">
        <v>58490</v>
      </c>
      <c r="F14" s="35" t="s">
        <v>39</v>
      </c>
      <c r="G14" s="36">
        <f t="shared" si="1"/>
        <v>284261.40000000002</v>
      </c>
      <c r="H14" s="37" t="str">
        <f t="shared" si="2"/>
        <v>$284,261.40</v>
      </c>
    </row>
    <row r="15" spans="1:8" ht="15" x14ac:dyDescent="0.25">
      <c r="A15" s="3" t="str">
        <f t="shared" si="0"/>
        <v>Crawford County (16,113) - $78,309.18</v>
      </c>
      <c r="C15" t="s">
        <v>171</v>
      </c>
      <c r="D15" s="32" t="s">
        <v>24</v>
      </c>
      <c r="E15" s="30">
        <v>16113</v>
      </c>
      <c r="F15" s="35" t="s">
        <v>40</v>
      </c>
      <c r="G15" s="36">
        <f t="shared" si="1"/>
        <v>78309.180000000008</v>
      </c>
      <c r="H15" s="37" t="str">
        <f t="shared" si="2"/>
        <v>$78,309.18</v>
      </c>
    </row>
    <row r="16" spans="1:8" ht="15" x14ac:dyDescent="0.25">
      <c r="A16" s="3" t="str">
        <f t="shared" si="0"/>
        <v>Dane County (561,504) - $2,728,909.44</v>
      </c>
      <c r="C16" t="s">
        <v>179</v>
      </c>
      <c r="D16" s="32" t="s">
        <v>110</v>
      </c>
      <c r="E16" s="30">
        <v>561504</v>
      </c>
      <c r="F16" s="35" t="s">
        <v>41</v>
      </c>
      <c r="G16" s="36">
        <f t="shared" si="1"/>
        <v>2728909.4400000004</v>
      </c>
      <c r="H16" s="37" t="str">
        <f t="shared" si="2"/>
        <v>$2,728,909.44</v>
      </c>
    </row>
    <row r="17" spans="1:8" ht="15" x14ac:dyDescent="0.25">
      <c r="A17" s="3" t="str">
        <f t="shared" si="0"/>
        <v>Dodge County (89,396) - $434,464.56</v>
      </c>
      <c r="C17" t="s">
        <v>172</v>
      </c>
      <c r="D17" s="32" t="s">
        <v>111</v>
      </c>
      <c r="E17" s="30">
        <v>89396</v>
      </c>
      <c r="F17" s="35" t="s">
        <v>42</v>
      </c>
      <c r="G17" s="36">
        <f t="shared" si="1"/>
        <v>434464.56000000006</v>
      </c>
      <c r="H17" s="37" t="str">
        <f t="shared" si="2"/>
        <v>$434,464.56</v>
      </c>
    </row>
    <row r="18" spans="1:8" ht="15" x14ac:dyDescent="0.25">
      <c r="A18" s="3" t="str">
        <f t="shared" si="0"/>
        <v>Door County (30,066) - $146,120.76</v>
      </c>
      <c r="C18" t="s">
        <v>173</v>
      </c>
      <c r="D18" s="32" t="s">
        <v>112</v>
      </c>
      <c r="E18" s="30">
        <v>30066</v>
      </c>
      <c r="F18" s="35" t="s">
        <v>43</v>
      </c>
      <c r="G18" s="36">
        <f t="shared" si="1"/>
        <v>146120.76</v>
      </c>
      <c r="H18" s="37" t="str">
        <f t="shared" si="2"/>
        <v>$146,120.76</v>
      </c>
    </row>
    <row r="19" spans="1:8" ht="15" x14ac:dyDescent="0.25">
      <c r="A19" s="3" t="str">
        <f t="shared" si="0"/>
        <v>Douglas County (44,295) - $215,273.70</v>
      </c>
      <c r="C19" t="s">
        <v>174</v>
      </c>
      <c r="D19" s="32" t="s">
        <v>28</v>
      </c>
      <c r="E19" s="30">
        <v>44295</v>
      </c>
      <c r="F19" s="35" t="s">
        <v>44</v>
      </c>
      <c r="G19" s="36">
        <f t="shared" si="1"/>
        <v>215273.7</v>
      </c>
      <c r="H19" s="37" t="str">
        <f t="shared" si="2"/>
        <v>$215,273.70</v>
      </c>
    </row>
    <row r="20" spans="1:8" ht="15" x14ac:dyDescent="0.25">
      <c r="A20" s="3" t="str">
        <f t="shared" si="0"/>
        <v>Dunn County (45,440) - $220,838.40</v>
      </c>
      <c r="C20" s="2"/>
      <c r="D20" s="32" t="s">
        <v>113</v>
      </c>
      <c r="E20" s="30">
        <v>45440</v>
      </c>
      <c r="F20" s="35" t="s">
        <v>45</v>
      </c>
      <c r="G20" s="36">
        <f t="shared" si="1"/>
        <v>220838.40000000002</v>
      </c>
      <c r="H20" s="37" t="str">
        <f t="shared" si="2"/>
        <v>$220,838.40</v>
      </c>
    </row>
    <row r="21" spans="1:8" ht="15" x14ac:dyDescent="0.25">
      <c r="A21" s="3" t="str">
        <f t="shared" si="0"/>
        <v>Eau Claire County (105,710) - $513,750.60</v>
      </c>
      <c r="C21" s="25"/>
      <c r="D21" s="32" t="s">
        <v>159</v>
      </c>
      <c r="E21" s="30">
        <v>105710</v>
      </c>
      <c r="F21" s="35" t="s">
        <v>46</v>
      </c>
      <c r="G21" s="36">
        <f t="shared" si="1"/>
        <v>513750.60000000003</v>
      </c>
      <c r="H21" s="37" t="str">
        <f t="shared" si="2"/>
        <v>$513,750.60</v>
      </c>
    </row>
    <row r="22" spans="1:8" ht="15" x14ac:dyDescent="0.25">
      <c r="A22" s="3" t="str">
        <f t="shared" si="0"/>
        <v>Florence County (4,558) - $22,151.88</v>
      </c>
      <c r="D22" s="32" t="s">
        <v>114</v>
      </c>
      <c r="E22" s="30">
        <v>4558</v>
      </c>
      <c r="F22" s="35" t="s">
        <v>47</v>
      </c>
      <c r="G22" s="36">
        <f t="shared" si="1"/>
        <v>22151.88</v>
      </c>
      <c r="H22" s="37" t="str">
        <f t="shared" si="2"/>
        <v>$22,151.88</v>
      </c>
    </row>
    <row r="23" spans="1:8" ht="15" x14ac:dyDescent="0.25">
      <c r="A23" s="3" t="str">
        <f t="shared" si="0"/>
        <v>Fond Du Loc County (104,154) - $506,188.44</v>
      </c>
      <c r="D23" s="32" t="s">
        <v>158</v>
      </c>
      <c r="E23" s="30">
        <v>104154</v>
      </c>
      <c r="F23" s="35" t="s">
        <v>48</v>
      </c>
      <c r="G23" s="36">
        <f t="shared" si="1"/>
        <v>506188.44000000006</v>
      </c>
      <c r="H23" s="37" t="str">
        <f t="shared" si="2"/>
        <v>$506,188.44</v>
      </c>
    </row>
    <row r="24" spans="1:8" ht="15" x14ac:dyDescent="0.25">
      <c r="A24" s="3" t="str">
        <f t="shared" si="0"/>
        <v>Forest County (9,179) - $44,609.94</v>
      </c>
      <c r="D24" s="32" t="s">
        <v>115</v>
      </c>
      <c r="E24" s="30">
        <v>9179</v>
      </c>
      <c r="F24" s="35" t="s">
        <v>49</v>
      </c>
      <c r="G24" s="36">
        <f t="shared" si="1"/>
        <v>44609.94</v>
      </c>
      <c r="H24" s="37" t="str">
        <f t="shared" si="2"/>
        <v>$44,609.94</v>
      </c>
    </row>
    <row r="25" spans="1:8" ht="15" x14ac:dyDescent="0.25">
      <c r="A25" s="3" t="str">
        <f t="shared" si="0"/>
        <v>Grant County (51,938) - $252,418.68</v>
      </c>
      <c r="D25" s="32" t="s">
        <v>116</v>
      </c>
      <c r="E25" s="30">
        <v>51938</v>
      </c>
      <c r="F25" s="35" t="s">
        <v>50</v>
      </c>
      <c r="G25" s="36">
        <f t="shared" si="1"/>
        <v>252418.68000000002</v>
      </c>
      <c r="H25" s="37" t="str">
        <f t="shared" si="2"/>
        <v>$252,418.68</v>
      </c>
    </row>
    <row r="26" spans="1:8" ht="15" x14ac:dyDescent="0.25">
      <c r="A26" s="3" t="str">
        <f t="shared" si="0"/>
        <v>Green County (37,093) - $180,271.98</v>
      </c>
      <c r="D26" s="32" t="s">
        <v>117</v>
      </c>
      <c r="E26" s="30">
        <v>37093</v>
      </c>
      <c r="F26" s="35" t="s">
        <v>51</v>
      </c>
      <c r="G26" s="36">
        <f t="shared" si="1"/>
        <v>180271.98</v>
      </c>
      <c r="H26" s="37" t="str">
        <f t="shared" si="2"/>
        <v>$180,271.98</v>
      </c>
    </row>
    <row r="27" spans="1:8" ht="15" x14ac:dyDescent="0.25">
      <c r="A27" s="3" t="str">
        <f t="shared" si="0"/>
        <v>Green Lake County (19,018) - $92,427.48</v>
      </c>
      <c r="D27" s="32" t="s">
        <v>160</v>
      </c>
      <c r="E27" s="30">
        <v>19018</v>
      </c>
      <c r="F27" s="35" t="s">
        <v>52</v>
      </c>
      <c r="G27" s="36">
        <f t="shared" si="1"/>
        <v>92427.48000000001</v>
      </c>
      <c r="H27" s="37" t="str">
        <f t="shared" si="2"/>
        <v>$92,427.48</v>
      </c>
    </row>
    <row r="28" spans="1:8" ht="15" x14ac:dyDescent="0.25">
      <c r="A28" s="3" t="str">
        <f t="shared" si="0"/>
        <v>Iowa County (23,709) - $115,225.74</v>
      </c>
      <c r="D28" s="32" t="s">
        <v>118</v>
      </c>
      <c r="E28" s="30">
        <v>23709</v>
      </c>
      <c r="F28" s="35" t="s">
        <v>53</v>
      </c>
      <c r="G28" s="36">
        <f t="shared" si="1"/>
        <v>115225.74</v>
      </c>
      <c r="H28" s="37" t="str">
        <f t="shared" si="2"/>
        <v>$115,225.74</v>
      </c>
    </row>
    <row r="29" spans="1:8" ht="15" x14ac:dyDescent="0.25">
      <c r="A29" s="3" t="str">
        <f t="shared" si="0"/>
        <v>Iron County (6,137) - $29,825.82</v>
      </c>
      <c r="D29" s="32" t="s">
        <v>119</v>
      </c>
      <c r="E29" s="30">
        <v>6137</v>
      </c>
      <c r="F29" s="35" t="s">
        <v>54</v>
      </c>
      <c r="G29" s="36">
        <f t="shared" si="1"/>
        <v>29825.820000000003</v>
      </c>
      <c r="H29" s="37" t="str">
        <f t="shared" si="2"/>
        <v>$29,825.82</v>
      </c>
    </row>
    <row r="30" spans="1:8" ht="15" x14ac:dyDescent="0.25">
      <c r="A30" s="3" t="str">
        <f t="shared" si="0"/>
        <v>Jackson County (21,145) - $102,764.70</v>
      </c>
      <c r="D30" s="32" t="s">
        <v>20</v>
      </c>
      <c r="E30" s="30">
        <v>21145</v>
      </c>
      <c r="F30" s="35" t="s">
        <v>55</v>
      </c>
      <c r="G30" s="36">
        <f t="shared" si="1"/>
        <v>102764.70000000001</v>
      </c>
      <c r="H30" s="37" t="str">
        <f t="shared" si="2"/>
        <v>$102,764.70</v>
      </c>
    </row>
    <row r="31" spans="1:8" ht="15" x14ac:dyDescent="0.25">
      <c r="A31" s="3" t="str">
        <f t="shared" si="0"/>
        <v>Jefferson County (84,900) - $412,614.00</v>
      </c>
      <c r="D31" s="32" t="s">
        <v>25</v>
      </c>
      <c r="E31" s="30">
        <v>84900</v>
      </c>
      <c r="F31" s="35" t="s">
        <v>56</v>
      </c>
      <c r="G31" s="36">
        <f t="shared" si="1"/>
        <v>412614</v>
      </c>
      <c r="H31" s="37" t="str">
        <f t="shared" si="2"/>
        <v>$412,614.00</v>
      </c>
    </row>
    <row r="32" spans="1:8" ht="15" x14ac:dyDescent="0.25">
      <c r="A32" s="3" t="str">
        <f t="shared" si="0"/>
        <v>Juneau County (26,718) - $129,849.48</v>
      </c>
      <c r="D32" s="32" t="s">
        <v>120</v>
      </c>
      <c r="E32" s="30">
        <v>26718</v>
      </c>
      <c r="F32" s="35" t="s">
        <v>57</v>
      </c>
      <c r="G32" s="36">
        <f t="shared" si="1"/>
        <v>129849.48000000001</v>
      </c>
      <c r="H32" s="37" t="str">
        <f t="shared" si="2"/>
        <v>$129,849.48</v>
      </c>
    </row>
    <row r="33" spans="1:8" ht="15" x14ac:dyDescent="0.25">
      <c r="A33" s="3" t="str">
        <f t="shared" si="0"/>
        <v>Kenosha County (169,151) - $822,073.86</v>
      </c>
      <c r="D33" s="32" t="s">
        <v>121</v>
      </c>
      <c r="E33" s="30">
        <v>169151</v>
      </c>
      <c r="F33" s="35" t="s">
        <v>58</v>
      </c>
      <c r="G33" s="36">
        <f t="shared" si="1"/>
        <v>822073.8600000001</v>
      </c>
      <c r="H33" s="37" t="str">
        <f t="shared" si="2"/>
        <v>$822,073.86</v>
      </c>
    </row>
    <row r="34" spans="1:8" ht="15" x14ac:dyDescent="0.25">
      <c r="A34" s="3" t="str">
        <f t="shared" si="0"/>
        <v>Kewaunee County (20,563) - $99,936.18</v>
      </c>
      <c r="D34" s="32" t="s">
        <v>122</v>
      </c>
      <c r="E34" s="30">
        <v>20563</v>
      </c>
      <c r="F34" s="35" t="s">
        <v>59</v>
      </c>
      <c r="G34" s="36">
        <f t="shared" si="1"/>
        <v>99936.180000000008</v>
      </c>
      <c r="H34" s="37" t="str">
        <f t="shared" si="2"/>
        <v>$99,936.18</v>
      </c>
    </row>
    <row r="35" spans="1:8" ht="15" x14ac:dyDescent="0.25">
      <c r="A35" s="3" t="str">
        <f t="shared" si="0"/>
        <v>La Cross County (120,784) - $587,010.24</v>
      </c>
      <c r="D35" s="32" t="s">
        <v>161</v>
      </c>
      <c r="E35" s="30">
        <v>120784</v>
      </c>
      <c r="F35" s="35" t="s">
        <v>60</v>
      </c>
      <c r="G35" s="36">
        <f t="shared" si="1"/>
        <v>587010.24</v>
      </c>
      <c r="H35" s="37" t="str">
        <f t="shared" si="2"/>
        <v>$587,010.24</v>
      </c>
    </row>
    <row r="36" spans="1:8" ht="15" x14ac:dyDescent="0.25">
      <c r="A36" s="3" t="str">
        <f t="shared" si="0"/>
        <v>Lafayette County (16,611) - $80,729.46</v>
      </c>
      <c r="D36" s="32" t="s">
        <v>123</v>
      </c>
      <c r="E36" s="30">
        <v>16611</v>
      </c>
      <c r="F36" s="35" t="s">
        <v>61</v>
      </c>
      <c r="G36" s="36">
        <f t="shared" si="1"/>
        <v>80729.460000000006</v>
      </c>
      <c r="H36" s="37" t="str">
        <f t="shared" si="2"/>
        <v>$80,729.46</v>
      </c>
    </row>
    <row r="37" spans="1:8" ht="15" x14ac:dyDescent="0.25">
      <c r="A37" s="3" t="str">
        <f t="shared" si="0"/>
        <v>Langlade County (19,491) - $94,726.26</v>
      </c>
      <c r="D37" s="32" t="s">
        <v>124</v>
      </c>
      <c r="E37" s="30">
        <v>19491</v>
      </c>
      <c r="F37" s="35" t="s">
        <v>62</v>
      </c>
      <c r="G37" s="36">
        <f t="shared" si="1"/>
        <v>94726.260000000009</v>
      </c>
      <c r="H37" s="37" t="str">
        <f t="shared" si="2"/>
        <v>$94,726.26</v>
      </c>
    </row>
    <row r="38" spans="1:8" ht="15" x14ac:dyDescent="0.25">
      <c r="A38" s="3" t="str">
        <f t="shared" si="0"/>
        <v>Lincoln County (28,415) - $138,096.90</v>
      </c>
      <c r="D38" s="32" t="s">
        <v>125</v>
      </c>
      <c r="E38" s="30">
        <v>28415</v>
      </c>
      <c r="F38" s="35" t="s">
        <v>63</v>
      </c>
      <c r="G38" s="36">
        <f t="shared" si="1"/>
        <v>138096.90000000002</v>
      </c>
      <c r="H38" s="37" t="str">
        <f t="shared" si="2"/>
        <v>$138,096.90</v>
      </c>
    </row>
    <row r="39" spans="1:8" ht="15" x14ac:dyDescent="0.25">
      <c r="A39" s="3" t="str">
        <f t="shared" si="0"/>
        <v>Manitowoc County (81,359) - $395,404.74</v>
      </c>
      <c r="D39" s="32" t="s">
        <v>126</v>
      </c>
      <c r="E39" s="30">
        <v>81359</v>
      </c>
      <c r="F39" s="35" t="s">
        <v>64</v>
      </c>
      <c r="G39" s="36">
        <f t="shared" si="1"/>
        <v>395404.74000000005</v>
      </c>
      <c r="H39" s="37" t="str">
        <f t="shared" si="2"/>
        <v>$395,404.74</v>
      </c>
    </row>
    <row r="40" spans="1:8" ht="15" x14ac:dyDescent="0.25">
      <c r="A40" s="3" t="str">
        <f t="shared" si="0"/>
        <v>Marathon County (138,013) - $670,743.18</v>
      </c>
      <c r="D40" s="32" t="s">
        <v>127</v>
      </c>
      <c r="E40" s="30">
        <v>138013</v>
      </c>
      <c r="F40" s="35" t="s">
        <v>65</v>
      </c>
      <c r="G40" s="36">
        <f t="shared" si="1"/>
        <v>670743.18000000005</v>
      </c>
      <c r="H40" s="37" t="str">
        <f t="shared" si="2"/>
        <v>$670,743.18</v>
      </c>
    </row>
    <row r="41" spans="1:8" ht="15" x14ac:dyDescent="0.25">
      <c r="A41" s="3" t="str">
        <f t="shared" si="0"/>
        <v>Marinette County (41,872) - $203,497.92</v>
      </c>
      <c r="D41" s="32" t="s">
        <v>128</v>
      </c>
      <c r="E41" s="30">
        <v>41872</v>
      </c>
      <c r="F41" s="35" t="s">
        <v>66</v>
      </c>
      <c r="G41" s="36">
        <f t="shared" si="1"/>
        <v>203497.92</v>
      </c>
      <c r="H41" s="37" t="str">
        <f t="shared" si="2"/>
        <v>$203,497.92</v>
      </c>
    </row>
    <row r="42" spans="1:8" ht="15" x14ac:dyDescent="0.25">
      <c r="A42" s="3" t="str">
        <f t="shared" si="0"/>
        <v>Marquette County (15,592) - $75,777.12</v>
      </c>
      <c r="D42" s="32" t="s">
        <v>129</v>
      </c>
      <c r="E42" s="30">
        <v>15592</v>
      </c>
      <c r="F42" s="35" t="s">
        <v>68</v>
      </c>
      <c r="G42" s="36">
        <f t="shared" si="1"/>
        <v>75777.12000000001</v>
      </c>
      <c r="H42" s="37" t="str">
        <f t="shared" si="2"/>
        <v>$75,777.12</v>
      </c>
    </row>
    <row r="43" spans="1:8" ht="15" x14ac:dyDescent="0.25">
      <c r="A43" s="3" t="str">
        <f t="shared" si="0"/>
        <v>Menominee County (4,255) - $20,679.30</v>
      </c>
      <c r="D43" s="32" t="s">
        <v>130</v>
      </c>
      <c r="E43" s="30">
        <v>4255</v>
      </c>
      <c r="F43" s="35" t="s">
        <v>69</v>
      </c>
      <c r="G43" s="36">
        <f t="shared" si="1"/>
        <v>20679.300000000003</v>
      </c>
      <c r="H43" s="37" t="str">
        <f t="shared" si="2"/>
        <v>$20,679.30</v>
      </c>
    </row>
    <row r="44" spans="1:8" ht="15" x14ac:dyDescent="0.25">
      <c r="A44" s="3" t="str">
        <f t="shared" si="0"/>
        <v>Milwaukee County (939,489) - $4,565,916.54</v>
      </c>
      <c r="D44" s="32" t="s">
        <v>131</v>
      </c>
      <c r="E44" s="30">
        <v>939489</v>
      </c>
      <c r="F44" s="35" t="s">
        <v>70</v>
      </c>
      <c r="G44" s="36">
        <f t="shared" si="1"/>
        <v>4565916.54</v>
      </c>
      <c r="H44" s="37" t="str">
        <f t="shared" si="2"/>
        <v>$4,565,916.54</v>
      </c>
    </row>
    <row r="45" spans="1:8" ht="15" x14ac:dyDescent="0.25">
      <c r="A45" s="3" t="str">
        <f t="shared" si="0"/>
        <v>Monroe County (46,274) - $224,891.64</v>
      </c>
      <c r="D45" s="32" t="s">
        <v>26</v>
      </c>
      <c r="E45" s="30">
        <v>46274</v>
      </c>
      <c r="F45" s="35" t="s">
        <v>71</v>
      </c>
      <c r="G45" s="36">
        <f t="shared" si="1"/>
        <v>224891.64</v>
      </c>
      <c r="H45" s="37" t="str">
        <f t="shared" si="2"/>
        <v>$224,891.64</v>
      </c>
    </row>
    <row r="46" spans="1:8" ht="15" x14ac:dyDescent="0.25">
      <c r="A46" s="3" t="str">
        <f t="shared" si="0"/>
        <v>Oconto County (38,965) - $189,369.90</v>
      </c>
      <c r="D46" s="32" t="s">
        <v>132</v>
      </c>
      <c r="E46" s="30">
        <v>38965</v>
      </c>
      <c r="F46" s="35" t="s">
        <v>72</v>
      </c>
      <c r="G46" s="36">
        <f t="shared" si="1"/>
        <v>189369.90000000002</v>
      </c>
      <c r="H46" s="37" t="str">
        <f t="shared" si="2"/>
        <v>$189,369.90</v>
      </c>
    </row>
    <row r="47" spans="1:8" ht="15" x14ac:dyDescent="0.25">
      <c r="A47" s="3" t="str">
        <f t="shared" si="0"/>
        <v>Oneida County (37,845) - $183,926.70</v>
      </c>
      <c r="D47" s="32" t="s">
        <v>133</v>
      </c>
      <c r="E47" s="30">
        <v>37845</v>
      </c>
      <c r="F47" s="35" t="s">
        <v>73</v>
      </c>
      <c r="G47" s="36">
        <f t="shared" si="1"/>
        <v>183926.7</v>
      </c>
      <c r="H47" s="37" t="str">
        <f t="shared" si="2"/>
        <v>$183,926.70</v>
      </c>
    </row>
    <row r="48" spans="1:8" ht="15" x14ac:dyDescent="0.25">
      <c r="A48" s="3" t="str">
        <f t="shared" si="0"/>
        <v>Outagamie County (190,705) - $926,826.30</v>
      </c>
      <c r="D48" s="32" t="s">
        <v>134</v>
      </c>
      <c r="E48" s="30">
        <v>190705</v>
      </c>
      <c r="F48" s="35" t="s">
        <v>74</v>
      </c>
      <c r="G48" s="36">
        <f t="shared" si="1"/>
        <v>926826.3</v>
      </c>
      <c r="H48" s="37" t="str">
        <f t="shared" si="2"/>
        <v>$926,826.30</v>
      </c>
    </row>
    <row r="49" spans="1:8" ht="15" x14ac:dyDescent="0.25">
      <c r="A49" s="3" t="str">
        <f t="shared" si="0"/>
        <v>Ozaukee County (91,503) - $444,704.58</v>
      </c>
      <c r="D49" s="32" t="s">
        <v>135</v>
      </c>
      <c r="E49" s="30">
        <v>91503</v>
      </c>
      <c r="F49" s="35" t="s">
        <v>75</v>
      </c>
      <c r="G49" s="36">
        <f t="shared" si="1"/>
        <v>444704.58</v>
      </c>
      <c r="H49" s="37" t="str">
        <f t="shared" si="2"/>
        <v>$444,704.58</v>
      </c>
    </row>
    <row r="50" spans="1:8" ht="15" x14ac:dyDescent="0.25">
      <c r="A50" s="3" t="str">
        <f t="shared" si="0"/>
        <v>Pepin County (7,318) - $35,565.48</v>
      </c>
      <c r="D50" s="32" t="s">
        <v>136</v>
      </c>
      <c r="E50" s="30">
        <v>7318</v>
      </c>
      <c r="F50" s="35" t="s">
        <v>76</v>
      </c>
      <c r="G50" s="36">
        <f t="shared" si="1"/>
        <v>35565.480000000003</v>
      </c>
      <c r="H50" s="37" t="str">
        <f t="shared" si="2"/>
        <v>$35,565.48</v>
      </c>
    </row>
    <row r="51" spans="1:8" ht="15" x14ac:dyDescent="0.25">
      <c r="A51" s="3" t="str">
        <f t="shared" si="0"/>
        <v>Pierce County (42,212) - $205,150.32</v>
      </c>
      <c r="D51" s="32" t="s">
        <v>137</v>
      </c>
      <c r="E51" s="30">
        <v>42212</v>
      </c>
      <c r="F51" s="35" t="s">
        <v>77</v>
      </c>
      <c r="G51" s="36">
        <f t="shared" si="1"/>
        <v>205150.32</v>
      </c>
      <c r="H51" s="37" t="str">
        <f t="shared" si="2"/>
        <v>$205,150.32</v>
      </c>
    </row>
    <row r="52" spans="1:8" ht="15" x14ac:dyDescent="0.25">
      <c r="A52" s="3" t="str">
        <f t="shared" si="0"/>
        <v>Polk County (44,977) - $218,588.22</v>
      </c>
      <c r="D52" s="32" t="s">
        <v>138</v>
      </c>
      <c r="E52" s="30">
        <v>44977</v>
      </c>
      <c r="F52" s="35" t="s">
        <v>78</v>
      </c>
      <c r="G52" s="36">
        <f t="shared" si="1"/>
        <v>218588.22</v>
      </c>
      <c r="H52" s="37" t="str">
        <f t="shared" si="2"/>
        <v>$218,588.22</v>
      </c>
    </row>
    <row r="53" spans="1:8" ht="15" x14ac:dyDescent="0.25">
      <c r="A53" s="3" t="str">
        <f t="shared" si="0"/>
        <v>Portage County (70,377) - $342,032.22</v>
      </c>
      <c r="D53" s="32" t="s">
        <v>139</v>
      </c>
      <c r="E53" s="30">
        <v>70377</v>
      </c>
      <c r="F53" s="35" t="s">
        <v>79</v>
      </c>
      <c r="G53" s="36">
        <f t="shared" si="1"/>
        <v>342032.22000000003</v>
      </c>
      <c r="H53" s="37" t="str">
        <f t="shared" si="2"/>
        <v>$342,032.22</v>
      </c>
    </row>
    <row r="54" spans="1:8" ht="15" x14ac:dyDescent="0.25">
      <c r="A54" s="3" t="str">
        <f t="shared" si="0"/>
        <v>Price County (14,054) - $68,302.44</v>
      </c>
      <c r="D54" s="32" t="s">
        <v>140</v>
      </c>
      <c r="E54" s="30">
        <v>14054</v>
      </c>
      <c r="F54" s="35" t="s">
        <v>80</v>
      </c>
      <c r="G54" s="36">
        <f t="shared" si="1"/>
        <v>68302.44</v>
      </c>
      <c r="H54" s="37" t="str">
        <f t="shared" si="2"/>
        <v>$68,302.44</v>
      </c>
    </row>
    <row r="55" spans="1:8" ht="15" x14ac:dyDescent="0.25">
      <c r="A55" s="3" t="str">
        <f t="shared" si="0"/>
        <v>Racine County (197,727) - $960,953.22</v>
      </c>
      <c r="D55" s="32" t="s">
        <v>141</v>
      </c>
      <c r="E55" s="30">
        <v>197727</v>
      </c>
      <c r="F55" s="35" t="s">
        <v>81</v>
      </c>
      <c r="G55" s="36">
        <f t="shared" si="1"/>
        <v>960953.22000000009</v>
      </c>
      <c r="H55" s="37" t="str">
        <f t="shared" si="2"/>
        <v>$960,953.22</v>
      </c>
    </row>
    <row r="56" spans="1:8" ht="15" x14ac:dyDescent="0.25">
      <c r="A56" s="3" t="str">
        <f t="shared" si="0"/>
        <v>Richland County (17,304) - $84,097.44</v>
      </c>
      <c r="D56" s="32" t="s">
        <v>27</v>
      </c>
      <c r="E56" s="30">
        <v>17304</v>
      </c>
      <c r="F56" s="35" t="s">
        <v>82</v>
      </c>
      <c r="G56" s="36">
        <f t="shared" si="1"/>
        <v>84097.44</v>
      </c>
      <c r="H56" s="37" t="str">
        <f t="shared" si="2"/>
        <v>$84,097.44</v>
      </c>
    </row>
    <row r="57" spans="1:8" ht="15" x14ac:dyDescent="0.25">
      <c r="A57" s="3" t="str">
        <f t="shared" si="0"/>
        <v>Rock County (163,687) - $795,518.82</v>
      </c>
      <c r="D57" s="32" t="s">
        <v>142</v>
      </c>
      <c r="E57" s="30">
        <v>163687</v>
      </c>
      <c r="F57" s="35" t="s">
        <v>83</v>
      </c>
      <c r="G57" s="36">
        <f t="shared" si="1"/>
        <v>795518.82000000007</v>
      </c>
      <c r="H57" s="37" t="str">
        <f t="shared" si="2"/>
        <v>$795,518.82</v>
      </c>
    </row>
    <row r="58" spans="1:8" ht="15" x14ac:dyDescent="0.25">
      <c r="A58" s="3" t="str">
        <f t="shared" si="0"/>
        <v>Rusk County (14,188) - $68,953.68</v>
      </c>
      <c r="D58" s="32" t="s">
        <v>143</v>
      </c>
      <c r="E58" s="30">
        <v>14188</v>
      </c>
      <c r="F58" s="35" t="s">
        <v>84</v>
      </c>
      <c r="G58" s="36">
        <f t="shared" si="1"/>
        <v>68953.680000000008</v>
      </c>
      <c r="H58" s="37" t="str">
        <f t="shared" si="2"/>
        <v>$68,953.68</v>
      </c>
    </row>
    <row r="59" spans="1:8" ht="15" x14ac:dyDescent="0.25">
      <c r="A59" s="3" t="str">
        <f t="shared" si="0"/>
        <v>St.Croix County (93,536) - $454,584.96</v>
      </c>
      <c r="D59" s="32" t="s">
        <v>162</v>
      </c>
      <c r="E59" s="30">
        <v>93536</v>
      </c>
      <c r="F59" s="35" t="s">
        <v>85</v>
      </c>
      <c r="G59" s="36">
        <f t="shared" si="1"/>
        <v>454584.96</v>
      </c>
      <c r="H59" s="37" t="str">
        <f t="shared" si="2"/>
        <v>$454,584.96</v>
      </c>
    </row>
    <row r="60" spans="1:8" ht="15" x14ac:dyDescent="0.25">
      <c r="A60" s="3" t="str">
        <f t="shared" si="0"/>
        <v>Sauk County (65,763) - $319,608.18</v>
      </c>
      <c r="D60" s="32" t="s">
        <v>144</v>
      </c>
      <c r="E60" s="30">
        <v>65763</v>
      </c>
      <c r="F60" s="35" t="s">
        <v>86</v>
      </c>
      <c r="G60" s="36">
        <f t="shared" si="1"/>
        <v>319608.18</v>
      </c>
      <c r="H60" s="37" t="str">
        <f t="shared" si="2"/>
        <v>$319,608.18</v>
      </c>
    </row>
    <row r="61" spans="1:8" ht="15" x14ac:dyDescent="0.25">
      <c r="A61" s="3" t="str">
        <f t="shared" si="0"/>
        <v>Sawyer County (18,074) - $87,839.64</v>
      </c>
      <c r="D61" s="32" t="s">
        <v>145</v>
      </c>
      <c r="E61" s="30">
        <v>18074</v>
      </c>
      <c r="F61" s="35" t="s">
        <v>87</v>
      </c>
      <c r="G61" s="36">
        <f t="shared" si="1"/>
        <v>87839.64</v>
      </c>
      <c r="H61" s="37" t="str">
        <f t="shared" si="2"/>
        <v>$87,839.64</v>
      </c>
    </row>
    <row r="62" spans="1:8" ht="15" x14ac:dyDescent="0.25">
      <c r="A62" s="3" t="str">
        <f t="shared" si="0"/>
        <v>Shawano County (40,881) - $198,681.66</v>
      </c>
      <c r="D62" s="32" t="s">
        <v>146</v>
      </c>
      <c r="E62" s="30">
        <v>40881</v>
      </c>
      <c r="F62" s="35" t="s">
        <v>88</v>
      </c>
      <c r="G62" s="36">
        <f t="shared" si="1"/>
        <v>198681.66</v>
      </c>
      <c r="H62" s="37" t="str">
        <f t="shared" si="2"/>
        <v>$198,681.66</v>
      </c>
    </row>
    <row r="63" spans="1:8" ht="15" x14ac:dyDescent="0.25">
      <c r="A63" s="3" t="str">
        <f t="shared" si="0"/>
        <v>Sheboygan County (118,034) - $573,645.24</v>
      </c>
      <c r="D63" s="32" t="s">
        <v>147</v>
      </c>
      <c r="E63" s="30">
        <v>118034</v>
      </c>
      <c r="F63" s="35" t="s">
        <v>89</v>
      </c>
      <c r="G63" s="36">
        <f t="shared" si="1"/>
        <v>573645.24</v>
      </c>
      <c r="H63" s="37" t="str">
        <f t="shared" si="2"/>
        <v>$573,645.24</v>
      </c>
    </row>
    <row r="64" spans="1:8" ht="15" x14ac:dyDescent="0.25">
      <c r="A64" s="3" t="str">
        <f t="shared" si="0"/>
        <v>Taylor County (19,913) - $96,777.18</v>
      </c>
      <c r="D64" s="32" t="s">
        <v>148</v>
      </c>
      <c r="E64" s="30">
        <v>19913</v>
      </c>
      <c r="F64" s="35" t="s">
        <v>90</v>
      </c>
      <c r="G64" s="36">
        <f t="shared" si="1"/>
        <v>96777.180000000008</v>
      </c>
      <c r="H64" s="37" t="str">
        <f t="shared" si="2"/>
        <v>$96,777.18</v>
      </c>
    </row>
    <row r="65" spans="1:8" ht="15" x14ac:dyDescent="0.25">
      <c r="A65" s="3" t="str">
        <f t="shared" si="0"/>
        <v>Trempealeau County (30,760) - $149,493.60</v>
      </c>
      <c r="D65" s="32" t="s">
        <v>149</v>
      </c>
      <c r="E65" s="30">
        <v>30760</v>
      </c>
      <c r="F65" s="35" t="s">
        <v>91</v>
      </c>
      <c r="G65" s="36">
        <f t="shared" si="1"/>
        <v>149493.6</v>
      </c>
      <c r="H65" s="37" t="str">
        <f t="shared" si="2"/>
        <v>$149,493.60</v>
      </c>
    </row>
    <row r="66" spans="1:8" ht="15" x14ac:dyDescent="0.25">
      <c r="A66" s="3" t="str">
        <f t="shared" si="0"/>
        <v>Vernon County (30,714) - $149,270.04</v>
      </c>
      <c r="D66" s="32" t="s">
        <v>150</v>
      </c>
      <c r="E66" s="30">
        <v>30714</v>
      </c>
      <c r="F66" s="35" t="s">
        <v>92</v>
      </c>
      <c r="G66" s="36">
        <f t="shared" si="1"/>
        <v>149270.04</v>
      </c>
      <c r="H66" s="37" t="str">
        <f t="shared" si="2"/>
        <v>$149,270.04</v>
      </c>
    </row>
    <row r="67" spans="1:8" ht="15" x14ac:dyDescent="0.25">
      <c r="A67" s="3" t="str">
        <f t="shared" si="0"/>
        <v>Vilas County (23,047) - $112,008.42</v>
      </c>
      <c r="D67" s="32" t="s">
        <v>151</v>
      </c>
      <c r="E67" s="30">
        <v>23047</v>
      </c>
      <c r="F67" s="35" t="s">
        <v>93</v>
      </c>
      <c r="G67" s="36">
        <f t="shared" si="1"/>
        <v>112008.42000000001</v>
      </c>
      <c r="H67" s="37" t="str">
        <f t="shared" si="2"/>
        <v>$112,008.42</v>
      </c>
    </row>
    <row r="68" spans="1:8" ht="15" x14ac:dyDescent="0.25">
      <c r="A68" s="3" t="str">
        <f t="shared" si="0"/>
        <v>Walworth County (106,478) - $517,483.08</v>
      </c>
      <c r="D68" s="32" t="s">
        <v>152</v>
      </c>
      <c r="E68" s="30">
        <v>106478</v>
      </c>
      <c r="F68" s="35" t="s">
        <v>94</v>
      </c>
      <c r="G68" s="36">
        <f t="shared" si="1"/>
        <v>517483.08</v>
      </c>
      <c r="H68" s="37" t="str">
        <f t="shared" si="2"/>
        <v>$517,483.08</v>
      </c>
    </row>
    <row r="69" spans="1:8" ht="15" x14ac:dyDescent="0.25">
      <c r="A69" s="3" t="str">
        <f t="shared" ref="A69:A75" si="3">D69 &amp; " (" &amp;F69&amp; ")" &amp; " - " &amp;H69</f>
        <v>Washburn County (16,623) - $80,787.78</v>
      </c>
      <c r="D69" s="32" t="s">
        <v>153</v>
      </c>
      <c r="E69" s="30">
        <v>16623</v>
      </c>
      <c r="F69" s="35" t="s">
        <v>95</v>
      </c>
      <c r="G69" s="36">
        <f t="shared" ref="G69:G75" si="4">E69*4.86</f>
        <v>80787.78</v>
      </c>
      <c r="H69" s="37" t="str">
        <f t="shared" ref="H69:H75" si="5">TEXT(G69,"$#,##0.00")</f>
        <v>$80,787.78</v>
      </c>
    </row>
    <row r="70" spans="1:8" ht="15" x14ac:dyDescent="0.25">
      <c r="A70" s="3" t="str">
        <f t="shared" si="3"/>
        <v>Washington County (136,761) - $664,658.46</v>
      </c>
      <c r="D70" s="32" t="s">
        <v>21</v>
      </c>
      <c r="E70" s="30">
        <v>136761</v>
      </c>
      <c r="F70" s="35" t="s">
        <v>96</v>
      </c>
      <c r="G70" s="36">
        <f t="shared" si="4"/>
        <v>664658.46000000008</v>
      </c>
      <c r="H70" s="37" t="str">
        <f t="shared" si="5"/>
        <v>$664,658.46</v>
      </c>
    </row>
    <row r="71" spans="1:8" ht="15" x14ac:dyDescent="0.25">
      <c r="A71" s="3" t="str">
        <f t="shared" si="3"/>
        <v>Waukesha County (406,978) - $1,977,913.08</v>
      </c>
      <c r="D71" s="32" t="s">
        <v>154</v>
      </c>
      <c r="E71" s="30">
        <v>406978</v>
      </c>
      <c r="F71" s="35" t="s">
        <v>97</v>
      </c>
      <c r="G71" s="36">
        <f t="shared" si="4"/>
        <v>1977913.08</v>
      </c>
      <c r="H71" s="37" t="str">
        <f t="shared" si="5"/>
        <v>$1,977,913.08</v>
      </c>
    </row>
    <row r="72" spans="1:8" ht="15" x14ac:dyDescent="0.25">
      <c r="A72" s="3" t="str">
        <f t="shared" si="3"/>
        <v>Waupaca County (51,812) - $251,806.32</v>
      </c>
      <c r="D72" s="32" t="s">
        <v>155</v>
      </c>
      <c r="E72" s="30">
        <v>51812</v>
      </c>
      <c r="F72" s="35" t="s">
        <v>98</v>
      </c>
      <c r="G72" s="36">
        <f t="shared" si="4"/>
        <v>251806.32</v>
      </c>
      <c r="H72" s="37" t="str">
        <f t="shared" si="5"/>
        <v>$251,806.32</v>
      </c>
    </row>
    <row r="73" spans="1:8" ht="15" x14ac:dyDescent="0.25">
      <c r="A73" s="3" t="str">
        <f t="shared" si="3"/>
        <v>Waushara County (24,520) - $119,167.20</v>
      </c>
      <c r="D73" s="32" t="s">
        <v>156</v>
      </c>
      <c r="E73" s="30">
        <v>24520</v>
      </c>
      <c r="F73" s="35" t="s">
        <v>99</v>
      </c>
      <c r="G73" s="36">
        <f t="shared" si="4"/>
        <v>119167.20000000001</v>
      </c>
      <c r="H73" s="37" t="str">
        <f t="shared" si="5"/>
        <v>$119,167.20</v>
      </c>
    </row>
    <row r="74" spans="1:8" ht="15" x14ac:dyDescent="0.25">
      <c r="A74" s="3" t="str">
        <f t="shared" si="3"/>
        <v>Winnebago County (171,730) - $834,607.80</v>
      </c>
      <c r="D74" s="32" t="s">
        <v>29</v>
      </c>
      <c r="E74" s="30">
        <v>171730</v>
      </c>
      <c r="F74" s="35" t="s">
        <v>100</v>
      </c>
      <c r="G74" s="36">
        <f t="shared" si="4"/>
        <v>834607.8</v>
      </c>
      <c r="H74" s="37" t="str">
        <f t="shared" si="5"/>
        <v>$834,607.80</v>
      </c>
    </row>
    <row r="75" spans="1:8" ht="15" x14ac:dyDescent="0.25">
      <c r="A75" s="3" t="str">
        <f t="shared" si="3"/>
        <v>Wood County (74,207) - $360,646.02</v>
      </c>
      <c r="D75" s="33" t="s">
        <v>157</v>
      </c>
      <c r="E75" s="31">
        <v>74207</v>
      </c>
      <c r="F75" s="35" t="s">
        <v>101</v>
      </c>
      <c r="G75" s="36">
        <f t="shared" si="4"/>
        <v>360646.02</v>
      </c>
      <c r="H75" s="37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51337-8392-4D46-B1EE-43F2B42A9FDC}">
  <ds:schemaRefs>
    <ds:schemaRef ds:uri="538c035d-569c-47ab-a864-fdd8ae3d4516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4f1a833c-a938-4a5e-81e3-99cd1b92e526"/>
    <ds:schemaRef ds:uri="http://purl.org/dc/terms/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EBEA6D-22D6-4B0A-A89F-F7474B2A0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LaMarca, Lindsay</cp:lastModifiedBy>
  <cp:lastPrinted>2021-08-11T17:13:15Z</cp:lastPrinted>
  <dcterms:created xsi:type="dcterms:W3CDTF">2000-06-27T13:20:49Z</dcterms:created>
  <dcterms:modified xsi:type="dcterms:W3CDTF">2026-07-16T14:12:23Z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