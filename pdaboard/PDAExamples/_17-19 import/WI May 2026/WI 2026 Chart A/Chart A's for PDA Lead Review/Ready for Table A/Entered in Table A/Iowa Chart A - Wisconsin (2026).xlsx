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/Damage Data/Chart A's for PDA Lead Review/Ready for Table A/Entered in Table A/"/>
    </mc:Choice>
  </mc:AlternateContent>
  <xr:revisionPtr revIDLastSave="165" documentId="13_ncr:1_{8E083EAB-3749-4216-906A-8A0C9AD27406}" xr6:coauthVersionLast="47" xr6:coauthVersionMax="47" xr10:uidLastSave="{39FBF302-48F2-4E82-A970-798CD68B081B}"/>
  <bookViews>
    <workbookView xWindow="60825" yWindow="2235" windowWidth="21615" windowHeight="11190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<sst xmlns="http://schemas.openxmlformats.org/spreadsheetml/2006/main" count="208" uniqueCount="199">
  <si>
    <t>County (Population) - Threshold</t>
  </si>
  <si>
    <t>FEMA Inspector</t>
  </si>
  <si>
    <t>Emergency Work</t>
  </si>
  <si>
    <t>Permanent Work</t>
  </si>
  <si>
    <t>Total</t>
  </si>
  <si>
    <t>Iowa County (23,709) - $115,225.74</t>
  </si>
  <si>
    <t>Angel Felix</t>
  </si>
  <si>
    <t>Applicant</t>
  </si>
  <si>
    <t>Type</t>
  </si>
  <si>
    <t>Status</t>
  </si>
  <si>
    <t>A</t>
  </si>
  <si>
    <t>B</t>
  </si>
  <si>
    <t>C</t>
  </si>
  <si>
    <t>D</t>
  </si>
  <si>
    <t>E</t>
  </si>
  <si>
    <t>F</t>
  </si>
  <si>
    <t>G</t>
  </si>
  <si>
    <t>Applicant Total</t>
  </si>
  <si>
    <t>Hazel Dell Historic School District</t>
  </si>
  <si>
    <t>Other</t>
  </si>
  <si>
    <t>Complete</t>
  </si>
  <si>
    <t>Iowa County Highway</t>
  </si>
  <si>
    <t>County</t>
  </si>
  <si>
    <t>Township of Dodgeville</t>
  </si>
  <si>
    <t>City</t>
  </si>
  <si>
    <t>Township of Eden</t>
  </si>
  <si>
    <t>Township of Highland</t>
  </si>
  <si>
    <t>Government</t>
  </si>
  <si>
    <t>Department of Transportation</t>
  </si>
  <si>
    <t>Comments</t>
  </si>
  <si>
    <r>
      <rPr>
        <b/>
        <sz val="10"/>
        <rFont val="Arial"/>
        <family val="2"/>
      </rPr>
      <t xml:space="preserve">CAT E: Estimated </t>
    </r>
    <r>
      <rPr>
        <sz val="10"/>
        <rFont val="Arial"/>
        <family val="2"/>
      </rPr>
      <t xml:space="preserve">$29,708.85 for damages to historic school building.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$29,708.85 utilizing applicants estimates and photos.</t>
    </r>
  </si>
  <si>
    <r>
      <rPr>
        <b/>
        <sz val="10"/>
        <rFont val="Arial"/>
        <family val="2"/>
      </rPr>
      <t xml:space="preserve">CAT C: Estimated: </t>
    </r>
    <r>
      <rPr>
        <sz val="10"/>
        <rFont val="Arial"/>
        <family val="2"/>
      </rPr>
      <t xml:space="preserve">$22,669.14 for damages to road shoulder and roadside.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$22,669.14 utilizing applicants provided invoice.</t>
    </r>
  </si>
  <si>
    <r>
      <rPr>
        <b/>
        <sz val="10"/>
        <rFont val="Arial"/>
        <family val="2"/>
      </rPr>
      <t>CAT C: Estimated:</t>
    </r>
    <r>
      <rPr>
        <sz val="10"/>
        <rFont val="Arial"/>
        <family val="2"/>
      </rPr>
      <t xml:space="preserve"> $29,678 for road washouts, shoulder repair, culvert repair and breakage of asphalt on 12 roads).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$29,678 utilizing applicant provided descriptions, maps, and updated cost estimates summary.</t>
    </r>
  </si>
  <si>
    <r>
      <rPr>
        <b/>
        <sz val="10"/>
        <rFont val="Arial"/>
        <family val="2"/>
      </rPr>
      <t xml:space="preserve">CAT B: Estimated: </t>
    </r>
    <r>
      <rPr>
        <sz val="10"/>
        <rFont val="Arial"/>
        <family val="2"/>
      </rPr>
      <t>$237.40 for patroling</t>
    </r>
    <r>
      <rPr>
        <b/>
        <sz val="10"/>
        <rFont val="Arial"/>
        <family val="2"/>
      </rPr>
      <t xml:space="preserve"> Reduced: </t>
    </r>
    <r>
      <rPr>
        <sz val="10"/>
        <rFont val="Arial"/>
        <family val="2"/>
      </rPr>
      <t>$237.40 for not meeting FY26 minimum project threshold of $4,100.</t>
    </r>
    <r>
      <rPr>
        <b/>
        <sz val="10"/>
        <rFont val="Arial"/>
        <family val="2"/>
      </rPr>
      <t xml:space="preserve">
CAT C: Estimated: </t>
    </r>
    <r>
      <rPr>
        <sz val="10"/>
        <rFont val="Arial"/>
        <family val="2"/>
      </rPr>
      <t xml:space="preserve">$4,895.06 for road washout and damage to a culvert of 1 road.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$4,895.06 utilizing applicant provided descriptions, maps, and updated cost estimates summary</t>
    </r>
  </si>
  <si>
    <r>
      <rPr>
        <b/>
        <sz val="10"/>
        <rFont val="Arial"/>
        <family val="2"/>
      </rPr>
      <t xml:space="preserve">Cat A: </t>
    </r>
    <r>
      <rPr>
        <sz val="10"/>
        <rFont val="Arial"/>
        <family val="2"/>
      </rPr>
      <t>Estimated $200 for debris cleanup.</t>
    </r>
    <r>
      <rPr>
        <b/>
        <sz val="10"/>
        <rFont val="Arial"/>
        <family val="2"/>
      </rPr>
      <t xml:space="preserve"> Reduced: </t>
    </r>
    <r>
      <rPr>
        <sz val="10"/>
        <rFont val="Arial"/>
        <family val="2"/>
      </rPr>
      <t>$200 for not meeting FY26 minimum project threshold of $4,100.</t>
    </r>
    <r>
      <rPr>
        <b/>
        <sz val="10"/>
        <rFont val="Arial"/>
        <family val="2"/>
      </rPr>
      <t xml:space="preserve">
CAT C: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$53,687 for damages to 10 roads including severe gravel washouts, ruts cut by water and several culverts damaged by flood driven debris. </t>
    </r>
    <r>
      <rPr>
        <b/>
        <sz val="10"/>
        <rFont val="Arial"/>
        <family val="2"/>
      </rPr>
      <t xml:space="preserve">Reduced: </t>
    </r>
    <r>
      <rPr>
        <sz val="10"/>
        <rFont val="Arial"/>
        <family val="2"/>
      </rPr>
      <t xml:space="preserve">$5,200 for being a FHWA road not eligible for FEMA PA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 xml:space="preserve">$48,487 utilizing applicant provided descriptions, maps, and updated cost estimates summary. </t>
    </r>
  </si>
  <si>
    <r>
      <rPr>
        <b/>
        <sz val="10"/>
        <rFont val="Arial"/>
        <family val="2"/>
      </rPr>
      <t xml:space="preserve">CAT A: Estimated: $3,000.00 </t>
    </r>
    <r>
      <rPr>
        <sz val="10"/>
        <rFont val="Arial"/>
        <family val="2"/>
      </rPr>
      <t>debris removal due to flooding. Validated: $3,000.00 utilizing applicant provided summary sheets.</t>
    </r>
  </si>
  <si>
    <t>Created by Charles Annerino</t>
  </si>
  <si>
    <t>Charles.Annerino@fema.dhs.gov</t>
  </si>
  <si>
    <t>Wisconsin (5,893,718) - $11,433,813</t>
  </si>
  <si>
    <t>Team Leads</t>
  </si>
  <si>
    <t>Anessa Jones</t>
  </si>
  <si>
    <t>Adams County</t>
  </si>
  <si>
    <t>20,654</t>
  </si>
  <si>
    <t>Ashland County</t>
  </si>
  <si>
    <t>16,027</t>
  </si>
  <si>
    <t>Bassam Efein</t>
  </si>
  <si>
    <t>Barron County</t>
  </si>
  <si>
    <t>46,711</t>
  </si>
  <si>
    <t>Catherine Warren</t>
  </si>
  <si>
    <t>Bayfield County</t>
  </si>
  <si>
    <t>16,220</t>
  </si>
  <si>
    <t>Connor Blevins</t>
  </si>
  <si>
    <t>Brown County</t>
  </si>
  <si>
    <t>268,740</t>
  </si>
  <si>
    <t>James Cathey</t>
  </si>
  <si>
    <t>Buffalo County</t>
  </si>
  <si>
    <t>13,317</t>
  </si>
  <si>
    <t>Javon Cotton</t>
  </si>
  <si>
    <t>Burnett County</t>
  </si>
  <si>
    <t>16,526</t>
  </si>
  <si>
    <t>Jessica Price</t>
  </si>
  <si>
    <t>Calumet County</t>
  </si>
  <si>
    <t>52,442</t>
  </si>
  <si>
    <t>Lindsay LaMarca</t>
  </si>
  <si>
    <t>Chippewa County</t>
  </si>
  <si>
    <t>66,297</t>
  </si>
  <si>
    <t>Maxwell Novoselac</t>
  </si>
  <si>
    <t>Clark County</t>
  </si>
  <si>
    <t>34,659</t>
  </si>
  <si>
    <t>Natalie Schrader</t>
  </si>
  <si>
    <t>Columbia County</t>
  </si>
  <si>
    <t>58,490</t>
  </si>
  <si>
    <t>Richard Chiarello</t>
  </si>
  <si>
    <t>Crawford County</t>
  </si>
  <si>
    <t>16,113</t>
  </si>
  <si>
    <t>Roopak Hanna</t>
  </si>
  <si>
    <t>Dane County</t>
  </si>
  <si>
    <t>561,504</t>
  </si>
  <si>
    <t>Seth Crawford</t>
  </si>
  <si>
    <t>Dodge County</t>
  </si>
  <si>
    <t>89,396</t>
  </si>
  <si>
    <t>Shawana Thomas</t>
  </si>
  <si>
    <t>Door County</t>
  </si>
  <si>
    <t>30,066</t>
  </si>
  <si>
    <t>Tracie Smith</t>
  </si>
  <si>
    <t>Douglas County</t>
  </si>
  <si>
    <t>44,295</t>
  </si>
  <si>
    <t>Dunn County</t>
  </si>
  <si>
    <t>45,440</t>
  </si>
  <si>
    <t>Eau Claire County</t>
  </si>
  <si>
    <t>105,710</t>
  </si>
  <si>
    <t>Florence County</t>
  </si>
  <si>
    <t>4,558</t>
  </si>
  <si>
    <t>Fond Du Loc County</t>
  </si>
  <si>
    <t>104,154</t>
  </si>
  <si>
    <t>Forest County</t>
  </si>
  <si>
    <t>9,179</t>
  </si>
  <si>
    <t>Grant County</t>
  </si>
  <si>
    <t>51,938</t>
  </si>
  <si>
    <t>Green County</t>
  </si>
  <si>
    <t>37,093</t>
  </si>
  <si>
    <t>Green Lake County</t>
  </si>
  <si>
    <t>19,018</t>
  </si>
  <si>
    <t>Iowa County</t>
  </si>
  <si>
    <t>23,709</t>
  </si>
  <si>
    <t>Iron County</t>
  </si>
  <si>
    <t>6,137</t>
  </si>
  <si>
    <t>Jackson County</t>
  </si>
  <si>
    <t>21,145</t>
  </si>
  <si>
    <t>Jefferson County</t>
  </si>
  <si>
    <t>84,900</t>
  </si>
  <si>
    <t>Juneau County</t>
  </si>
  <si>
    <t>26,718</t>
  </si>
  <si>
    <t>Kenosha County</t>
  </si>
  <si>
    <t>169,151</t>
  </si>
  <si>
    <t>Kewaunee County</t>
  </si>
  <si>
    <t>20,563</t>
  </si>
  <si>
    <t>La Cross County</t>
  </si>
  <si>
    <t>120,784</t>
  </si>
  <si>
    <t>Lafayette County</t>
  </si>
  <si>
    <t>16,611</t>
  </si>
  <si>
    <t>Langlade County</t>
  </si>
  <si>
    <t>19,491</t>
  </si>
  <si>
    <t>Lincoln County</t>
  </si>
  <si>
    <t>28,415</t>
  </si>
  <si>
    <t>Manitowoc County</t>
  </si>
  <si>
    <t>81,359</t>
  </si>
  <si>
    <t>Marathon County</t>
  </si>
  <si>
    <t>138,013</t>
  </si>
  <si>
    <t>Marinette County</t>
  </si>
  <si>
    <t>41,872</t>
  </si>
  <si>
    <t>Marquette County</t>
  </si>
  <si>
    <t>15,592</t>
  </si>
  <si>
    <t>Menominee County</t>
  </si>
  <si>
    <t>4,255</t>
  </si>
  <si>
    <t>Milwaukee County</t>
  </si>
  <si>
    <t>939,489</t>
  </si>
  <si>
    <t>Monroe County</t>
  </si>
  <si>
    <t>46,274</t>
  </si>
  <si>
    <t>Oconto County</t>
  </si>
  <si>
    <t>38,965</t>
  </si>
  <si>
    <t>Oneida County</t>
  </si>
  <si>
    <t>37,845</t>
  </si>
  <si>
    <t>Outagamie County</t>
  </si>
  <si>
    <t>190,705</t>
  </si>
  <si>
    <t>Ozaukee County</t>
  </si>
  <si>
    <t>91,503</t>
  </si>
  <si>
    <t>Pepin County</t>
  </si>
  <si>
    <t>7,318</t>
  </si>
  <si>
    <t>Pierce County</t>
  </si>
  <si>
    <t>42,212</t>
  </si>
  <si>
    <t>Polk County</t>
  </si>
  <si>
    <t>44,977</t>
  </si>
  <si>
    <t>Portage County</t>
  </si>
  <si>
    <t>70,377</t>
  </si>
  <si>
    <t>Price County</t>
  </si>
  <si>
    <t>14,054</t>
  </si>
  <si>
    <t>Racine County</t>
  </si>
  <si>
    <t>197,727</t>
  </si>
  <si>
    <t>Richland County</t>
  </si>
  <si>
    <t>17,304</t>
  </si>
  <si>
    <t>Rock County</t>
  </si>
  <si>
    <t>163,687</t>
  </si>
  <si>
    <t>Rusk County</t>
  </si>
  <si>
    <t>14,188</t>
  </si>
  <si>
    <t>St.Croix County</t>
  </si>
  <si>
    <t>93,536</t>
  </si>
  <si>
    <t>Sauk County</t>
  </si>
  <si>
    <t>65,763</t>
  </si>
  <si>
    <t>Sawyer County</t>
  </si>
  <si>
    <t>18,074</t>
  </si>
  <si>
    <t>Shawano County</t>
  </si>
  <si>
    <t>40,881</t>
  </si>
  <si>
    <t>Sheboygan County</t>
  </si>
  <si>
    <t>118,034</t>
  </si>
  <si>
    <t>Taylor County</t>
  </si>
  <si>
    <t>19,913</t>
  </si>
  <si>
    <t>Trempealeau County</t>
  </si>
  <si>
    <t>30,760</t>
  </si>
  <si>
    <t>Vernon County</t>
  </si>
  <si>
    <t>30,714</t>
  </si>
  <si>
    <t>Vilas County</t>
  </si>
  <si>
    <t>23,047</t>
  </si>
  <si>
    <t>Walworth County</t>
  </si>
  <si>
    <t>106,478</t>
  </si>
  <si>
    <t>Washburn County</t>
  </si>
  <si>
    <t>16,623</t>
  </si>
  <si>
    <t>Washington County</t>
  </si>
  <si>
    <t>136,761</t>
  </si>
  <si>
    <t>Waukesha County</t>
  </si>
  <si>
    <t>406,978</t>
  </si>
  <si>
    <t>Waupaca County</t>
  </si>
  <si>
    <t>51,812</t>
  </si>
  <si>
    <t>Waushara County</t>
  </si>
  <si>
    <t>24,520</t>
  </si>
  <si>
    <t>Winnebago County</t>
  </si>
  <si>
    <t>171,730</t>
  </si>
  <si>
    <t>Wood County</t>
  </si>
  <si>
    <t>74,207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</si>
</sst>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AEDFB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164" fontId="15" fillId="10" borderId="0" xfId="0" applyNumberFormat="1" applyFont="1" applyFill="1" applyProtection="1">
      <protection locked="0"/>
    </xf>
    <xf numFmtId="0" fontId="2" fillId="0" borderId="0" xfId="0" applyFont="1" applyAlignment="1" applyProtection="1">
      <alignment wrapText="1"/>
      <protection locked="0"/>
    </xf>
    <xf numFmtId="0" fontId="0" fillId="0" borderId="0" xfId="0" applyAlignment="1"/>
    <xf numFmtId="0" fontId="16" fillId="0" borderId="0" xfId="0" applyFont="1" applyProtection="1">
      <protection locked="0"/>
    </xf>
    <xf numFmtId="0" fontId="7" fillId="4" borderId="8" xfId="0" quotePrefix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237765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237765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237765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7621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personal/0347530947_fema_dhs_gov/Documents/Desktop/PDA/MASTER/New%20Table%20A.xlsx" TargetMode="External"/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17" headerRowBorderDxfId="16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15"/>
    <tableColumn id="2" xr3:uid="{CEF0DEE3-5FBC-4431-8D20-44ADFA086565}" name="Status"/>
    <tableColumn id="3" xr3:uid="{6AE4775A-6962-48E5-A1C4-9FCA9AB9D84E}" name="A" dataDxfId="14"/>
    <tableColumn id="4" xr3:uid="{95329002-0451-4E1E-945B-2C92D7F26AE1}" name="B" dataDxfId="13"/>
    <tableColumn id="5" xr3:uid="{C9970892-8DCE-47CB-869D-F16FA0BD7E06}" name="C" dataDxfId="12"/>
    <tableColumn id="6" xr3:uid="{F0DCACBD-52FF-4FE4-84B1-2D6B25D65311}" name="D" dataDxfId="11"/>
    <tableColumn id="7" xr3:uid="{205919F4-D5DE-486C-90D6-F5D967AC39EC}" name="E" dataDxfId="10"/>
    <tableColumn id="8" xr3:uid="{F9D328E0-74CC-4868-B431-49B3E35EFE9D}" name="F" dataDxfId="9"/>
    <tableColumn id="9" xr3:uid="{03019066-5B79-4995-97FF-5CAED36BB984}" name="G" dataDxfId="8"/>
    <tableColumn id="10" xr3:uid="{1D74BABD-09F2-423C-A7DE-83A1A9B01B7A}" name="Applicant Total" dataDxfId="7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6" headerRowBorderDxfId="5">
  <autoFilter ref="A1:B100" xr:uid="{29F1571E-2DE1-4178-B308-3670BEB5628D}"/>
  <tableColumns count="2">
    <tableColumn id="1" xr3:uid="{511D19C6-A0F9-419D-8333-A1AF52B58914}" name="Applicant" dataDxfId="4">
      <calculatedColumnFormula>'County Summary'!B6</calculatedColumnFormula>
    </tableColumn>
    <tableColumn id="2" xr3:uid="{013B6BC0-C6D4-4D70-B3B0-8E99805BD467}" name="Comments" dataDxfId="3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2" headerRowBorderDxfId="1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0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bottomRight" activeCell="G21" sqref="G21"/>
      <selection pane="bottomLeft" activeCell="A6" sqref="A6"/>
      <selection pane="topRight" activeCell="B1" sqref="B1"/>
    </sheetView>
  </sheetViews>
  <sheetFormatPr defaultColWidth="16.7109375" defaultRowHeight="12.75"/>
  <cols>
    <col min="1" max="1" width="0.7109375" style="45" customWidth="1"/>
    <col min="2" max="2" width="31.7109375" customWidth="1"/>
    <col min="3" max="3" width="13.7109375" customWidth="1"/>
    <col min="4" max="4" width="16.7109375" customWidth="1"/>
    <col min="12" max="12" width="26.28515625" customWidth="1"/>
  </cols>
  <sheetData>
    <row r="1" spans="1:12" ht="13.15" customHeight="1" thickBot="1"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s="1" customFormat="1" ht="20.100000000000001" customHeight="1" thickTop="1" thickBot="1">
      <c r="A2" s="45"/>
      <c r="B2" s="59" t="s">
        <v>0</v>
      </c>
      <c r="C2" s="60"/>
      <c r="D2" s="43" t="s">
        <v>1</v>
      </c>
      <c r="E2" s="55" t="s">
        <v>2</v>
      </c>
      <c r="F2" s="56"/>
      <c r="G2" s="46" t="s">
        <v>3</v>
      </c>
      <c r="H2" s="47"/>
      <c r="I2" s="47"/>
      <c r="J2" s="47"/>
      <c r="K2" s="48"/>
      <c r="L2" s="5" t="s">
        <v>4</v>
      </c>
    </row>
    <row r="3" spans="1:12" s="1" customFormat="1" ht="31.15" customHeight="1" thickTop="1" thickBot="1">
      <c r="A3" s="45"/>
      <c r="B3" s="61" t="s">
        <v>5</v>
      </c>
      <c r="C3" s="62"/>
      <c r="D3" s="13" t="s">
        <v>6</v>
      </c>
      <c r="E3" s="57">
        <f>SUM(Table6[[A]:[B]])</f>
        <v>3000</v>
      </c>
      <c r="F3" s="58"/>
      <c r="G3" s="49">
        <f>SUM(Table6[[C]:[G]])</f>
        <v>135438.04999999999</v>
      </c>
      <c r="H3" s="50"/>
      <c r="I3" s="50"/>
      <c r="J3" s="50"/>
      <c r="K3" s="51"/>
      <c r="L3" s="8">
        <f>SUM(Table6[Applicant Total])</f>
        <v>138438.04999999999</v>
      </c>
    </row>
    <row r="4" spans="1:12" ht="14.25" thickTop="1" thickBot="1">
      <c r="B4" s="52"/>
      <c r="C4" s="53"/>
      <c r="D4" s="53"/>
      <c r="E4" s="53"/>
      <c r="F4" s="53"/>
      <c r="G4" s="53"/>
      <c r="H4" s="53"/>
      <c r="I4" s="53"/>
      <c r="J4" s="53"/>
      <c r="K4" s="53"/>
      <c r="L4" s="54"/>
    </row>
    <row r="5" spans="1:12" ht="13.5" thickBot="1">
      <c r="B5" s="15" t="s">
        <v>7</v>
      </c>
      <c r="C5" s="38" t="s">
        <v>8</v>
      </c>
      <c r="D5" s="16" t="s">
        <v>9</v>
      </c>
      <c r="E5" s="17" t="s">
        <v>10</v>
      </c>
      <c r="F5" s="18" t="s">
        <v>11</v>
      </c>
      <c r="G5" s="19" t="s">
        <v>12</v>
      </c>
      <c r="H5" s="20" t="s">
        <v>13</v>
      </c>
      <c r="I5" s="20" t="s">
        <v>14</v>
      </c>
      <c r="J5" s="20" t="s">
        <v>15</v>
      </c>
      <c r="K5" s="21" t="s">
        <v>16</v>
      </c>
      <c r="L5" s="28" t="s">
        <v>17</v>
      </c>
    </row>
    <row r="6" spans="1:12">
      <c r="B6" s="9" t="s">
        <v>18</v>
      </c>
      <c r="C6" s="9" t="s">
        <v>19</v>
      </c>
      <c r="D6" s="10" t="s">
        <v>20</v>
      </c>
      <c r="E6" s="12"/>
      <c r="F6" s="11"/>
      <c r="G6" s="11"/>
      <c r="H6" s="12"/>
      <c r="I6" s="12">
        <v>29708.85</v>
      </c>
      <c r="J6" s="12"/>
      <c r="K6" s="12"/>
      <c r="L6" s="14">
        <f>SUM(Table6[[#This Row],[A]:[G]])</f>
        <v>29708.85</v>
      </c>
    </row>
    <row r="7" spans="1:12">
      <c r="B7" s="9" t="s">
        <v>21</v>
      </c>
      <c r="C7" s="9" t="s">
        <v>22</v>
      </c>
      <c r="D7" s="10" t="s">
        <v>20</v>
      </c>
      <c r="E7" s="12"/>
      <c r="F7" s="12"/>
      <c r="G7" s="11">
        <v>22669.14</v>
      </c>
      <c r="H7" s="11"/>
      <c r="I7" s="12"/>
      <c r="J7" s="12"/>
      <c r="K7" s="12"/>
      <c r="L7" s="14">
        <f>SUM(Table6[[#This Row],[A]:[G]])</f>
        <v>22669.14</v>
      </c>
    </row>
    <row r="8" spans="1:12">
      <c r="B8" s="9" t="s">
        <v>23</v>
      </c>
      <c r="C8" s="9" t="s">
        <v>24</v>
      </c>
      <c r="D8" s="10" t="s">
        <v>20</v>
      </c>
      <c r="E8" s="12"/>
      <c r="F8" s="12"/>
      <c r="G8" s="12">
        <v>29678</v>
      </c>
      <c r="H8" s="12"/>
      <c r="I8" s="12"/>
      <c r="J8" s="12"/>
      <c r="K8" s="12"/>
      <c r="L8" s="14">
        <f>SUM(Table6[[#This Row],[A]:[G]])</f>
        <v>29678</v>
      </c>
    </row>
    <row r="9" spans="1:12">
      <c r="B9" s="9" t="s">
        <v>25</v>
      </c>
      <c r="C9" s="9" t="s">
        <v>24</v>
      </c>
      <c r="D9" s="10" t="s">
        <v>20</v>
      </c>
      <c r="E9" s="12"/>
      <c r="F9" s="12"/>
      <c r="G9" s="12">
        <v>4895.0600000000004</v>
      </c>
      <c r="H9" s="12"/>
      <c r="I9" s="12"/>
      <c r="J9" s="12"/>
      <c r="K9" s="12"/>
      <c r="L9" s="14">
        <f>SUM(Table6[[#This Row],[A]:[G]])</f>
        <v>4895.0600000000004</v>
      </c>
    </row>
    <row r="10" spans="1:12" ht="15">
      <c r="B10" s="9" t="s">
        <v>26</v>
      </c>
      <c r="C10" s="9" t="s">
        <v>27</v>
      </c>
      <c r="D10" s="10" t="s">
        <v>20</v>
      </c>
      <c r="E10" s="12"/>
      <c r="F10" s="12">
        <v>0</v>
      </c>
      <c r="G10" s="39">
        <v>48487</v>
      </c>
      <c r="H10" s="12"/>
      <c r="I10" s="12"/>
      <c r="J10" s="12"/>
      <c r="K10" s="12"/>
      <c r="L10" s="14">
        <f>SUM(Table6[[#This Row],[A]:[G]])</f>
        <v>48487</v>
      </c>
    </row>
    <row r="11" spans="1:12" ht="15">
      <c r="B11" s="42" t="s">
        <v>28</v>
      </c>
      <c r="C11" s="9"/>
      <c r="D11" s="10" t="s">
        <v>20</v>
      </c>
      <c r="E11" s="12">
        <v>3000</v>
      </c>
      <c r="F11" s="12"/>
      <c r="G11" s="12"/>
      <c r="H11" s="12"/>
      <c r="I11" s="12"/>
      <c r="J11" s="12"/>
      <c r="K11" s="12"/>
      <c r="L11" s="14">
        <f>SUM(Table6[[#This Row],[A]:[G]])</f>
        <v>3000</v>
      </c>
    </row>
    <row r="12" spans="1:12">
      <c r="B12" s="9"/>
      <c r="C12" s="9"/>
      <c r="D12" s="10"/>
      <c r="E12" s="11"/>
      <c r="F12" s="12"/>
      <c r="G12" s="12"/>
      <c r="H12" s="12"/>
      <c r="I12" s="12"/>
      <c r="J12" s="12"/>
      <c r="K12" s="12"/>
      <c r="L12" s="14">
        <f>SUM(Table6[[#This Row],[A]:[G]])</f>
        <v>0</v>
      </c>
    </row>
    <row r="13" spans="1:12"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14">
        <f>SUM(Table6[[#This Row],[A]:[G]])</f>
        <v>0</v>
      </c>
    </row>
    <row r="14" spans="1:12"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14">
        <f>SUM(Table6[[#This Row],[A]:[G]])</f>
        <v>0</v>
      </c>
    </row>
    <row r="15" spans="1:12"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14">
        <f>SUM(Table6[[#This Row],[A]:[G]])</f>
        <v>0</v>
      </c>
    </row>
    <row r="16" spans="1:12"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14">
        <f>SUM(Table6[[#This Row],[A]:[G]])</f>
        <v>0</v>
      </c>
    </row>
    <row r="17" spans="2:12">
      <c r="B17" s="9"/>
      <c r="C17" s="9"/>
      <c r="D17" s="10"/>
      <c r="E17" s="12"/>
      <c r="F17" s="12"/>
      <c r="G17" s="12"/>
      <c r="H17" s="12"/>
      <c r="I17" s="12"/>
      <c r="J17" s="12"/>
      <c r="K17" s="12"/>
      <c r="L17" s="14">
        <f>SUM(Table6[[#This Row],[A]:[G]])</f>
        <v>0</v>
      </c>
    </row>
    <row r="18" spans="2:12">
      <c r="B18" s="9"/>
      <c r="C18" s="9"/>
      <c r="D18" s="10"/>
      <c r="E18" s="12"/>
      <c r="F18" s="12"/>
      <c r="G18" s="12"/>
      <c r="H18" s="12"/>
      <c r="I18" s="12"/>
      <c r="J18" s="12"/>
      <c r="K18" s="12"/>
      <c r="L18" s="14">
        <f>SUM(Table6[[#This Row],[A]:[G]])</f>
        <v>0</v>
      </c>
    </row>
    <row r="19" spans="2:12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14">
        <f>SUM(Table6[[#This Row],[A]:[G]])</f>
        <v>0</v>
      </c>
    </row>
    <row r="20" spans="2:12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14">
        <f>SUM(Table6[[#This Row],[A]:[G]])</f>
        <v>0</v>
      </c>
    </row>
    <row r="21" spans="2:12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14">
        <f>SUM(Table6[[#This Row],[A]:[G]])</f>
        <v>0</v>
      </c>
    </row>
    <row r="22" spans="2:12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14">
        <f>SUM(Table6[[#This Row],[A]:[G]])</f>
        <v>0</v>
      </c>
    </row>
    <row r="23" spans="2:12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14">
        <f>SUM(Table6[[#This Row],[A]:[G]])</f>
        <v>0</v>
      </c>
    </row>
    <row r="24" spans="2:12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14">
        <f>SUM(Table6[[#This Row],[A]:[G]])</f>
        <v>0</v>
      </c>
    </row>
    <row r="25" spans="2:12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14">
        <f>SUM(Table6[[#This Row],[A]:[G]])</f>
        <v>0</v>
      </c>
    </row>
    <row r="26" spans="2:12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14">
        <f>SUM(Table6[[#This Row],[A]:[G]])</f>
        <v>0</v>
      </c>
    </row>
    <row r="27" spans="2:12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14">
        <f>SUM(Table6[[#This Row],[A]:[G]])</f>
        <v>0</v>
      </c>
    </row>
    <row r="28" spans="2:12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14">
        <f>SUM(Table6[[#This Row],[A]:[G]])</f>
        <v>0</v>
      </c>
    </row>
    <row r="29" spans="2:12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14">
        <f>SUM(Table6[[#This Row],[A]:[G]])</f>
        <v>0</v>
      </c>
    </row>
    <row r="30" spans="2:12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14">
        <f>SUM(Table6[[#This Row],[A]:[G]])</f>
        <v>0</v>
      </c>
    </row>
    <row r="31" spans="2:12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14">
        <f>SUM(Table6[[#This Row],[A]:[G]])</f>
        <v>0</v>
      </c>
    </row>
    <row r="32" spans="2:12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14">
        <f>SUM(Table6[[#This Row],[A]:[G]])</f>
        <v>0</v>
      </c>
    </row>
    <row r="33" spans="2:12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14">
        <f>SUM(Table6[[#This Row],[A]:[G]])</f>
        <v>0</v>
      </c>
    </row>
    <row r="34" spans="2:12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14">
        <f>SUM(Table6[[#This Row],[A]:[G]])</f>
        <v>0</v>
      </c>
    </row>
    <row r="35" spans="2:12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14">
        <f>SUM(Table6[[#This Row],[A]:[G]])</f>
        <v>0</v>
      </c>
    </row>
    <row r="36" spans="2:12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14">
        <f>SUM(Table6[[#This Row],[A]:[G]])</f>
        <v>0</v>
      </c>
    </row>
    <row r="37" spans="2:12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14">
        <f>SUM(Table6[[#This Row],[A]:[G]])</f>
        <v>0</v>
      </c>
    </row>
    <row r="38" spans="2:12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14">
        <f>SUM(Table6[[#This Row],[A]:[G]])</f>
        <v>0</v>
      </c>
    </row>
    <row r="39" spans="2:12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14">
        <f>SUM(Table6[[#This Row],[A]:[G]])</f>
        <v>0</v>
      </c>
    </row>
    <row r="40" spans="2:12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14">
        <f>SUM(Table6[[#This Row],[A]:[G]])</f>
        <v>0</v>
      </c>
    </row>
    <row r="41" spans="2:12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14">
        <f>SUM(Table6[[#This Row],[A]:[G]])</f>
        <v>0</v>
      </c>
    </row>
    <row r="42" spans="2:12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14">
        <f>SUM(Table6[[#This Row],[A]:[G]])</f>
        <v>0</v>
      </c>
    </row>
    <row r="43" spans="2:12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14">
        <f>SUM(Table6[[#This Row],[A]:[G]])</f>
        <v>0</v>
      </c>
    </row>
    <row r="44" spans="2:12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14">
        <f>SUM(Table6[[#This Row],[A]:[G]])</f>
        <v>0</v>
      </c>
    </row>
    <row r="45" spans="2:12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14">
        <f>SUM(Table6[[#This Row],[A]:[G]])</f>
        <v>0</v>
      </c>
    </row>
    <row r="46" spans="2:12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14">
        <f>SUM(Table6[[#This Row],[A]:[G]])</f>
        <v>0</v>
      </c>
    </row>
    <row r="47" spans="2:12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14">
        <f>SUM(Table6[[#This Row],[A]:[G]])</f>
        <v>0</v>
      </c>
    </row>
    <row r="48" spans="2:12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14">
        <f>SUM(Table6[[#This Row],[A]:[G]])</f>
        <v>0</v>
      </c>
    </row>
    <row r="49" spans="2:12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14">
        <f>SUM(Table6[[#This Row],[A]:[G]])</f>
        <v>0</v>
      </c>
    </row>
    <row r="50" spans="2:12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14">
        <f>SUM(Table6[[#This Row],[A]:[G]])</f>
        <v>0</v>
      </c>
    </row>
    <row r="51" spans="2:12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14">
        <f>SUM(Table6[[#This Row],[A]:[G]])</f>
        <v>0</v>
      </c>
    </row>
    <row r="52" spans="2:12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14">
        <f>SUM(Table6[[#This Row],[A]:[G]])</f>
        <v>0</v>
      </c>
    </row>
    <row r="53" spans="2:12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14">
        <f>SUM(Table6[[#This Row],[A]:[G]])</f>
        <v>0</v>
      </c>
    </row>
    <row r="54" spans="2:12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14">
        <f>SUM(Table6[[#This Row],[A]:[G]])</f>
        <v>0</v>
      </c>
    </row>
    <row r="55" spans="2:12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14">
        <f>SUM(Table6[[#This Row],[A]:[G]])</f>
        <v>0</v>
      </c>
    </row>
    <row r="56" spans="2:12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14">
        <f>SUM(Table6[[#This Row],[A]:[G]])</f>
        <v>0</v>
      </c>
    </row>
    <row r="57" spans="2:12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14">
        <f>SUM(Table6[[#This Row],[A]:[G]])</f>
        <v>0</v>
      </c>
    </row>
    <row r="58" spans="2:12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14">
        <f>SUM(Table6[[#This Row],[A]:[G]])</f>
        <v>0</v>
      </c>
    </row>
    <row r="59" spans="2:12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14">
        <f>SUM(Table6[[#This Row],[A]:[G]])</f>
        <v>0</v>
      </c>
    </row>
    <row r="60" spans="2:12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14">
        <f>SUM(Table6[[#This Row],[A]:[G]])</f>
        <v>0</v>
      </c>
    </row>
    <row r="61" spans="2:12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14">
        <f>SUM(Table6[[#This Row],[A]:[G]])</f>
        <v>0</v>
      </c>
    </row>
    <row r="62" spans="2:12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14">
        <f>SUM(Table6[[#This Row],[A]:[G]])</f>
        <v>0</v>
      </c>
    </row>
    <row r="63" spans="2:12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14">
        <f>SUM(Table6[[#This Row],[A]:[G]])</f>
        <v>0</v>
      </c>
    </row>
    <row r="64" spans="2:12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14">
        <f>SUM(Table6[[#This Row],[A]:[G]])</f>
        <v>0</v>
      </c>
    </row>
    <row r="65" spans="2:12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14">
        <f>SUM(Table6[[#This Row],[A]:[G]])</f>
        <v>0</v>
      </c>
    </row>
    <row r="66" spans="2:12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14">
        <f>SUM(Table6[[#This Row],[A]:[G]])</f>
        <v>0</v>
      </c>
    </row>
    <row r="67" spans="2:12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14">
        <f>SUM(Table6[[#This Row],[A]:[G]])</f>
        <v>0</v>
      </c>
    </row>
    <row r="68" spans="2:12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14">
        <f>SUM(Table6[[#This Row],[A]:[G]])</f>
        <v>0</v>
      </c>
    </row>
    <row r="69" spans="2:12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14">
        <f>SUM(Table6[[#This Row],[A]:[G]])</f>
        <v>0</v>
      </c>
    </row>
    <row r="70" spans="2:12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14">
        <f>SUM(Table6[[#This Row],[A]:[G]])</f>
        <v>0</v>
      </c>
    </row>
    <row r="71" spans="2:12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14">
        <f>SUM(Table6[[#This Row],[A]:[G]])</f>
        <v>0</v>
      </c>
    </row>
    <row r="72" spans="2:12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14">
        <f>SUM(Table6[[#This Row],[A]:[G]])</f>
        <v>0</v>
      </c>
    </row>
    <row r="73" spans="2:12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14">
        <f>SUM(Table6[[#This Row],[A]:[G]])</f>
        <v>0</v>
      </c>
    </row>
    <row r="74" spans="2:12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14">
        <f>SUM(Table6[[#This Row],[A]:[G]])</f>
        <v>0</v>
      </c>
    </row>
    <row r="75" spans="2:12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14">
        <f>SUM(Table6[[#This Row],[A]:[G]])</f>
        <v>0</v>
      </c>
    </row>
    <row r="76" spans="2:12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14">
        <f>SUM(Table6[[#This Row],[A]:[G]])</f>
        <v>0</v>
      </c>
    </row>
    <row r="77" spans="2:12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14">
        <f>SUM(Table6[[#This Row],[A]:[G]])</f>
        <v>0</v>
      </c>
    </row>
    <row r="78" spans="2:12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14">
        <f>SUM(Table6[[#This Row],[A]:[G]])</f>
        <v>0</v>
      </c>
    </row>
    <row r="79" spans="2:12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14">
        <f>SUM(Table6[[#This Row],[A]:[G]])</f>
        <v>0</v>
      </c>
    </row>
    <row r="80" spans="2:12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14">
        <f>SUM(Table6[[#This Row],[A]:[G]])</f>
        <v>0</v>
      </c>
    </row>
    <row r="81" spans="2:12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14">
        <f>SUM(Table6[[#This Row],[A]:[G]])</f>
        <v>0</v>
      </c>
    </row>
    <row r="82" spans="2:12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14">
        <f>SUM(Table6[[#This Row],[A]:[G]])</f>
        <v>0</v>
      </c>
    </row>
    <row r="83" spans="2:12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14">
        <f>SUM(Table6[[#This Row],[A]:[G]])</f>
        <v>0</v>
      </c>
    </row>
    <row r="84" spans="2:12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14">
        <f>SUM(Table6[[#This Row],[A]:[G]])</f>
        <v>0</v>
      </c>
    </row>
    <row r="85" spans="2:12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14">
        <f>SUM(Table6[[#This Row],[A]:[G]])</f>
        <v>0</v>
      </c>
    </row>
    <row r="86" spans="2:12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14">
        <f>SUM(Table6[[#This Row],[A]:[G]])</f>
        <v>0</v>
      </c>
    </row>
    <row r="87" spans="2:12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14">
        <f>SUM(Table6[[#This Row],[A]:[G]])</f>
        <v>0</v>
      </c>
    </row>
    <row r="88" spans="2:12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14">
        <f>SUM(Table6[[#This Row],[A]:[G]])</f>
        <v>0</v>
      </c>
    </row>
    <row r="89" spans="2:12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14">
        <f>SUM(Table6[[#This Row],[A]:[G]])</f>
        <v>0</v>
      </c>
    </row>
    <row r="90" spans="2:12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14">
        <f>SUM(Table6[[#This Row],[A]:[G]])</f>
        <v>0</v>
      </c>
    </row>
    <row r="91" spans="2:12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14">
        <f>SUM(Table6[[#This Row],[A]:[G]])</f>
        <v>0</v>
      </c>
    </row>
    <row r="92" spans="2:12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14">
        <f>SUM(Table6[[#This Row],[A]:[G]])</f>
        <v>0</v>
      </c>
    </row>
    <row r="93" spans="2:12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14">
        <f>SUM(Table6[[#This Row],[A]:[G]])</f>
        <v>0</v>
      </c>
    </row>
    <row r="94" spans="2:12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14">
        <f>SUM(Table6[[#This Row],[A]:[G]])</f>
        <v>0</v>
      </c>
    </row>
    <row r="95" spans="2:12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14">
        <f>SUM(Table6[[#This Row],[A]:[G]])</f>
        <v>0</v>
      </c>
    </row>
    <row r="96" spans="2:12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14">
        <f>SUM(Table6[[#This Row],[A]:[G]])</f>
        <v>0</v>
      </c>
    </row>
    <row r="97" spans="2:12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14">
        <f>SUM(Table6[[#This Row],[A]:[G]])</f>
        <v>0</v>
      </c>
    </row>
    <row r="98" spans="2:12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14">
        <f>SUM(Table6[[#This Row],[A]:[G]])</f>
        <v>0</v>
      </c>
    </row>
    <row r="99" spans="2:12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14">
        <f>SUM(Table6[[#This Row],[A]:[G]])</f>
        <v>0</v>
      </c>
    </row>
    <row r="100" spans="2:12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14">
        <f>SUM(Table6[[#This Row],[A]:[G]])</f>
        <v>0</v>
      </c>
    </row>
    <row r="101" spans="2:12">
      <c r="B101" s="2"/>
      <c r="C101" s="2"/>
      <c r="E101" s="4"/>
      <c r="F101" s="4"/>
      <c r="G101" s="4"/>
      <c r="H101" s="4"/>
      <c r="I101" s="4"/>
      <c r="J101" s="4"/>
      <c r="K101" s="4"/>
      <c r="L101" s="14">
        <f>SUM(Table6[[#This Row],[A]:[G]])</f>
        <v>0</v>
      </c>
    </row>
    <row r="102" spans="2:12">
      <c r="E102" s="4"/>
      <c r="F102" s="4"/>
      <c r="G102" s="4"/>
      <c r="H102" s="4"/>
      <c r="I102" s="4"/>
      <c r="J102" s="4"/>
    </row>
    <row r="103" spans="2:12">
      <c r="E103" s="4"/>
      <c r="F103" s="4"/>
      <c r="G103" s="4"/>
      <c r="H103" s="4"/>
      <c r="I103" s="4"/>
      <c r="J103" s="4"/>
      <c r="L103" s="4"/>
    </row>
    <row r="104" spans="2:12">
      <c r="E104" s="4"/>
      <c r="F104" s="4"/>
      <c r="G104" s="4"/>
      <c r="H104" s="4"/>
      <c r="I104" s="4"/>
      <c r="J104" s="4"/>
      <c r="L104" s="4"/>
    </row>
    <row r="105" spans="2:12">
      <c r="E105" s="4"/>
      <c r="F105" s="4"/>
      <c r="G105" s="4"/>
      <c r="H105" s="4"/>
      <c r="I105" s="4"/>
      <c r="J105" s="4"/>
      <c r="L105" s="4"/>
    </row>
    <row r="106" spans="2:12">
      <c r="E106" s="4"/>
      <c r="F106" s="4"/>
      <c r="G106" s="4"/>
      <c r="H106" s="4"/>
      <c r="I106" s="4"/>
      <c r="J106" s="4"/>
      <c r="L106" s="4"/>
    </row>
    <row r="107" spans="2:12">
      <c r="E107" s="4"/>
      <c r="F107" s="4"/>
      <c r="G107" s="4"/>
      <c r="H107" s="4"/>
      <c r="I107" s="4"/>
      <c r="J107" s="4"/>
      <c r="L107" s="4"/>
    </row>
    <row r="108" spans="2:12">
      <c r="E108" s="4"/>
      <c r="F108" s="4"/>
      <c r="G108" s="4"/>
      <c r="H108" s="4"/>
      <c r="I108" s="4"/>
      <c r="J108" s="4"/>
      <c r="L108" s="4"/>
    </row>
    <row r="109" spans="2:12">
      <c r="E109" s="4"/>
      <c r="F109" s="4"/>
      <c r="G109" s="4"/>
      <c r="H109" s="4"/>
      <c r="I109" s="4"/>
      <c r="J109" s="4"/>
      <c r="L109" s="4"/>
    </row>
    <row r="110" spans="2:12">
      <c r="E110" s="4"/>
      <c r="F110" s="4"/>
      <c r="G110" s="4"/>
      <c r="H110" s="4"/>
      <c r="I110" s="4"/>
      <c r="J110" s="4"/>
      <c r="L110" s="4"/>
    </row>
    <row r="111" spans="2:12">
      <c r="E111" s="4"/>
      <c r="F111" s="4"/>
      <c r="G111" s="4"/>
      <c r="H111" s="4"/>
      <c r="I111" s="4"/>
      <c r="J111" s="4"/>
      <c r="L111" s="4"/>
    </row>
    <row r="112" spans="2:12">
      <c r="E112" s="4"/>
      <c r="F112" s="4"/>
      <c r="G112" s="4"/>
      <c r="H112" s="4"/>
      <c r="I112" s="4"/>
      <c r="J112" s="4"/>
      <c r="L112" s="4"/>
    </row>
    <row r="113" spans="5:12">
      <c r="E113" s="4"/>
      <c r="F113" s="4"/>
      <c r="G113" s="4"/>
      <c r="H113" s="4"/>
      <c r="I113" s="4"/>
      <c r="J113" s="4"/>
      <c r="L113" s="4"/>
    </row>
    <row r="114" spans="5:12">
      <c r="E114" s="4"/>
      <c r="F114" s="4"/>
      <c r="G114" s="4"/>
      <c r="H114" s="4"/>
      <c r="I114" s="4"/>
      <c r="J114" s="4"/>
      <c r="L114" s="4"/>
    </row>
    <row r="115" spans="5:12">
      <c r="E115" s="4"/>
      <c r="F115" s="4"/>
      <c r="G115" s="4"/>
      <c r="H115" s="4"/>
      <c r="I115" s="4"/>
      <c r="J115" s="4"/>
      <c r="L115" s="4"/>
    </row>
    <row r="116" spans="5:12">
      <c r="E116" s="4"/>
      <c r="F116" s="4"/>
      <c r="G116" s="4"/>
      <c r="H116" s="4"/>
      <c r="I116" s="4"/>
      <c r="J116" s="4"/>
      <c r="L116" s="4"/>
    </row>
    <row r="117" spans="5:12">
      <c r="E117" s="4"/>
      <c r="F117" s="4"/>
      <c r="G117" s="4"/>
      <c r="H117" s="4"/>
      <c r="I117" s="4"/>
      <c r="J117" s="4"/>
      <c r="L117" s="4"/>
    </row>
    <row r="118" spans="5:12">
      <c r="E118" s="4"/>
      <c r="F118" s="4"/>
      <c r="G118" s="4"/>
      <c r="H118" s="4"/>
      <c r="I118" s="4"/>
      <c r="J118" s="4"/>
      <c r="L118" s="4"/>
    </row>
    <row r="119" spans="5:12">
      <c r="E119" s="4"/>
      <c r="F119" s="4"/>
      <c r="G119" s="4"/>
      <c r="H119" s="4"/>
      <c r="I119" s="4"/>
      <c r="J119" s="4"/>
      <c r="L119" s="4"/>
    </row>
    <row r="120" spans="5:12">
      <c r="E120" s="4"/>
      <c r="F120" s="4"/>
      <c r="G120" s="4"/>
      <c r="H120" s="4"/>
      <c r="I120" s="4"/>
      <c r="J120" s="4"/>
      <c r="L120" s="4"/>
    </row>
    <row r="121" spans="5:12">
      <c r="E121" s="4"/>
      <c r="F121" s="4"/>
      <c r="G121" s="4"/>
      <c r="H121" s="4"/>
      <c r="I121" s="4"/>
      <c r="J121" s="4"/>
      <c r="L121" s="4"/>
    </row>
    <row r="122" spans="5:12">
      <c r="E122" s="4"/>
      <c r="F122" s="4"/>
      <c r="G122" s="4"/>
      <c r="H122" s="4"/>
      <c r="I122" s="4"/>
      <c r="J122" s="4"/>
      <c r="L122" s="4"/>
    </row>
    <row r="123" spans="5:12">
      <c r="E123" s="4"/>
      <c r="F123" s="4"/>
      <c r="G123" s="4"/>
      <c r="H123" s="4"/>
      <c r="I123" s="4"/>
      <c r="J123" s="4"/>
      <c r="L123" s="4"/>
    </row>
    <row r="124" spans="5:12">
      <c r="E124" s="4"/>
      <c r="F124" s="4"/>
      <c r="G124" s="4"/>
      <c r="H124" s="4"/>
      <c r="I124" s="4"/>
      <c r="J124" s="4"/>
      <c r="L124" s="4"/>
    </row>
    <row r="125" spans="5:12">
      <c r="E125" s="4"/>
      <c r="F125" s="4"/>
      <c r="G125" s="4"/>
      <c r="H125" s="4"/>
      <c r="I125" s="4"/>
      <c r="J125" s="4"/>
      <c r="L125" s="4"/>
    </row>
    <row r="126" spans="5:12">
      <c r="E126" s="4"/>
      <c r="F126" s="4"/>
      <c r="G126" s="4"/>
      <c r="H126" s="4"/>
      <c r="I126" s="4"/>
      <c r="J126" s="4"/>
      <c r="L126" s="4"/>
    </row>
    <row r="127" spans="5:12">
      <c r="E127" s="4"/>
      <c r="F127" s="4"/>
      <c r="G127" s="4"/>
      <c r="H127" s="4"/>
      <c r="I127" s="4"/>
      <c r="J127" s="4"/>
      <c r="L127" s="4"/>
    </row>
    <row r="128" spans="5:12">
      <c r="E128" s="4"/>
      <c r="F128" s="4"/>
      <c r="G128" s="4"/>
      <c r="H128" s="4"/>
      <c r="I128" s="4"/>
      <c r="J128" s="4"/>
      <c r="L128" s="4"/>
    </row>
    <row r="129" spans="5:12">
      <c r="E129" s="4"/>
      <c r="F129" s="4"/>
      <c r="G129" s="4"/>
      <c r="H129" s="4"/>
      <c r="I129" s="4"/>
      <c r="J129" s="4"/>
      <c r="L129" s="4"/>
    </row>
    <row r="130" spans="5:12">
      <c r="E130" s="4"/>
      <c r="F130" s="4"/>
      <c r="G130" s="4"/>
      <c r="H130" s="4"/>
      <c r="I130" s="4"/>
      <c r="J130" s="4"/>
      <c r="L130" s="4"/>
    </row>
    <row r="131" spans="5:12">
      <c r="E131" s="4"/>
      <c r="F131" s="4"/>
      <c r="G131" s="4"/>
      <c r="H131" s="4"/>
      <c r="I131" s="4"/>
      <c r="J131" s="4"/>
      <c r="L131" s="4"/>
    </row>
    <row r="132" spans="5:12">
      <c r="E132" s="4"/>
      <c r="F132" s="4"/>
      <c r="G132" s="4"/>
      <c r="H132" s="4"/>
      <c r="I132" s="4"/>
      <c r="J132" s="4"/>
      <c r="L132" s="4"/>
    </row>
    <row r="133" spans="5:12">
      <c r="E133" s="4"/>
      <c r="F133" s="4"/>
      <c r="G133" s="4"/>
      <c r="H133" s="4"/>
      <c r="I133" s="4"/>
      <c r="J133" s="4"/>
      <c r="L133" s="4"/>
    </row>
    <row r="134" spans="5:12">
      <c r="E134" s="4"/>
      <c r="F134" s="4"/>
      <c r="G134" s="4"/>
      <c r="H134" s="4"/>
      <c r="I134" s="4"/>
      <c r="J134" s="4"/>
      <c r="L134" s="4"/>
    </row>
    <row r="135" spans="5:12">
      <c r="E135" s="4"/>
      <c r="F135" s="4"/>
      <c r="G135" s="4"/>
      <c r="H135" s="4"/>
      <c r="I135" s="4"/>
      <c r="J135" s="4"/>
      <c r="L135" s="4"/>
    </row>
    <row r="136" spans="5:12">
      <c r="E136" s="4"/>
      <c r="F136" s="4"/>
      <c r="G136" s="4"/>
      <c r="H136" s="4"/>
      <c r="I136" s="4"/>
      <c r="J136" s="4"/>
      <c r="L136" s="4"/>
    </row>
    <row r="137" spans="5:12">
      <c r="E137" s="4"/>
      <c r="F137" s="4"/>
      <c r="G137" s="4"/>
      <c r="H137" s="4"/>
      <c r="I137" s="4"/>
      <c r="J137" s="4"/>
      <c r="L137" s="4"/>
    </row>
    <row r="138" spans="5:12">
      <c r="E138" s="4"/>
      <c r="F138" s="4"/>
      <c r="G138" s="4"/>
      <c r="H138" s="4"/>
      <c r="I138" s="4"/>
      <c r="J138" s="4"/>
      <c r="L138" s="4"/>
    </row>
    <row r="139" spans="5:12">
      <c r="E139" s="4"/>
      <c r="F139" s="4"/>
      <c r="G139" s="4"/>
      <c r="H139" s="4"/>
      <c r="I139" s="4"/>
      <c r="J139" s="4"/>
      <c r="L139" s="4"/>
    </row>
    <row r="140" spans="5:12">
      <c r="E140" s="4"/>
      <c r="F140" s="4"/>
      <c r="G140" s="4"/>
      <c r="H140" s="4"/>
      <c r="I140" s="4"/>
      <c r="J140" s="4"/>
      <c r="L140" s="4"/>
    </row>
    <row r="141" spans="5:12">
      <c r="E141" s="4"/>
      <c r="F141" s="4"/>
      <c r="G141" s="4"/>
      <c r="H141" s="4"/>
      <c r="I141" s="4"/>
      <c r="J141" s="4"/>
      <c r="L141" s="4"/>
    </row>
    <row r="142" spans="5:12">
      <c r="E142" s="4"/>
      <c r="F142" s="4"/>
      <c r="G142" s="4"/>
      <c r="H142" s="4"/>
      <c r="I142" s="4"/>
      <c r="J142" s="4"/>
      <c r="L142" s="4"/>
    </row>
    <row r="143" spans="5:12">
      <c r="E143" s="4"/>
      <c r="F143" s="4"/>
      <c r="G143" s="4"/>
      <c r="H143" s="4"/>
      <c r="I143" s="4"/>
      <c r="J143" s="4"/>
      <c r="L143" s="4"/>
    </row>
    <row r="144" spans="5:12">
      <c r="E144" s="4"/>
      <c r="F144" s="4"/>
      <c r="G144" s="4"/>
      <c r="H144" s="4"/>
      <c r="I144" s="4"/>
      <c r="J144" s="4"/>
      <c r="L144" s="4"/>
    </row>
    <row r="145" spans="5:12">
      <c r="E145" s="4"/>
      <c r="F145" s="4"/>
      <c r="G145" s="4"/>
      <c r="H145" s="4"/>
      <c r="I145" s="4"/>
      <c r="J145" s="4"/>
      <c r="L145" s="4"/>
    </row>
    <row r="146" spans="5:12">
      <c r="E146" s="4"/>
      <c r="F146" s="4"/>
      <c r="G146" s="4"/>
      <c r="H146" s="4"/>
      <c r="I146" s="4"/>
      <c r="J146" s="4"/>
      <c r="L146" s="4"/>
    </row>
    <row r="147" spans="5:12">
      <c r="E147" s="4"/>
      <c r="F147" s="4"/>
      <c r="G147" s="4"/>
      <c r="H147" s="4"/>
      <c r="I147" s="4"/>
      <c r="J147" s="4"/>
      <c r="L147" s="4"/>
    </row>
    <row r="148" spans="5:12">
      <c r="E148" s="4"/>
      <c r="F148" s="4"/>
      <c r="G148" s="4"/>
      <c r="H148" s="4"/>
      <c r="I148" s="4"/>
      <c r="J148" s="4"/>
      <c r="L148" s="4"/>
    </row>
    <row r="149" spans="5:12">
      <c r="E149" s="4"/>
      <c r="F149" s="4"/>
      <c r="G149" s="4"/>
      <c r="H149" s="4"/>
      <c r="I149" s="4"/>
      <c r="J149" s="4"/>
      <c r="L149" s="4"/>
    </row>
    <row r="150" spans="5:12">
      <c r="E150" s="4"/>
      <c r="F150" s="4"/>
      <c r="G150" s="4"/>
      <c r="H150" s="4"/>
      <c r="I150" s="4"/>
      <c r="J150" s="4"/>
      <c r="L150" s="4"/>
    </row>
    <row r="151" spans="5:12">
      <c r="E151" s="4"/>
      <c r="F151" s="4"/>
      <c r="G151" s="4"/>
      <c r="H151" s="4"/>
      <c r="I151" s="4"/>
      <c r="J151" s="4"/>
      <c r="L151" s="4"/>
    </row>
    <row r="152" spans="5:12">
      <c r="E152" s="4"/>
      <c r="F152" s="4"/>
      <c r="G152" s="4"/>
      <c r="H152" s="4"/>
      <c r="I152" s="4"/>
      <c r="J152" s="4"/>
      <c r="L152" s="4"/>
    </row>
    <row r="153" spans="5:12">
      <c r="E153" s="4"/>
      <c r="F153" s="4"/>
      <c r="G153" s="4"/>
      <c r="H153" s="4"/>
      <c r="I153" s="4"/>
      <c r="J153" s="4"/>
      <c r="L153" s="4"/>
    </row>
    <row r="154" spans="5:12">
      <c r="E154" s="4"/>
      <c r="F154" s="4"/>
      <c r="G154" s="4"/>
      <c r="H154" s="4"/>
      <c r="I154" s="4"/>
      <c r="J154" s="4"/>
      <c r="L154" s="4"/>
    </row>
    <row r="155" spans="5:12">
      <c r="E155" s="4"/>
      <c r="F155" s="4"/>
      <c r="G155" s="4"/>
      <c r="H155" s="4"/>
      <c r="I155" s="4"/>
      <c r="J155" s="4"/>
      <c r="L155" s="4"/>
    </row>
    <row r="156" spans="5:12">
      <c r="E156" s="4"/>
      <c r="F156" s="4"/>
      <c r="G156" s="4"/>
      <c r="H156" s="4"/>
      <c r="I156" s="4"/>
      <c r="J156" s="4"/>
      <c r="L156" s="4"/>
    </row>
    <row r="157" spans="5:12">
      <c r="E157" s="4"/>
      <c r="F157" s="4"/>
      <c r="G157" s="4"/>
      <c r="H157" s="4"/>
      <c r="I157" s="4"/>
      <c r="J157" s="4"/>
      <c r="L157" s="4"/>
    </row>
    <row r="158" spans="5:12">
      <c r="E158" s="4"/>
      <c r="F158" s="4"/>
      <c r="G158" s="4"/>
      <c r="H158" s="4"/>
      <c r="I158" s="4"/>
      <c r="J158" s="4"/>
      <c r="L158" s="4"/>
    </row>
    <row r="159" spans="5:12">
      <c r="E159" s="4"/>
      <c r="F159" s="4"/>
      <c r="G159" s="4"/>
      <c r="H159" s="4"/>
      <c r="I159" s="4"/>
      <c r="J159" s="4"/>
      <c r="L159" s="4"/>
    </row>
    <row r="160" spans="5:12">
      <c r="E160" s="4"/>
      <c r="F160" s="4"/>
      <c r="G160" s="4"/>
      <c r="H160" s="4"/>
      <c r="I160" s="4"/>
      <c r="J160" s="4"/>
      <c r="L160" s="4"/>
    </row>
    <row r="161" spans="5:12">
      <c r="E161" s="4"/>
      <c r="F161" s="4"/>
      <c r="G161" s="4"/>
      <c r="H161" s="4"/>
      <c r="I161" s="4"/>
      <c r="J161" s="4"/>
      <c r="L161" s="4"/>
    </row>
    <row r="162" spans="5:12">
      <c r="E162" s="4"/>
      <c r="F162" s="4"/>
      <c r="G162" s="4"/>
      <c r="H162" s="4"/>
      <c r="I162" s="4"/>
      <c r="J162" s="4"/>
      <c r="L162" s="4"/>
    </row>
    <row r="163" spans="5:12">
      <c r="E163" s="4"/>
      <c r="F163" s="4"/>
      <c r="G163" s="4"/>
      <c r="H163" s="4"/>
      <c r="I163" s="4"/>
      <c r="J163" s="4"/>
      <c r="L163" s="4"/>
    </row>
    <row r="164" spans="5:12">
      <c r="E164" s="4"/>
      <c r="F164" s="4"/>
      <c r="G164" s="4"/>
      <c r="H164" s="4"/>
      <c r="I164" s="4"/>
      <c r="J164" s="4"/>
      <c r="L164" s="4"/>
    </row>
    <row r="165" spans="5:12">
      <c r="E165" s="4"/>
      <c r="F165" s="4"/>
      <c r="G165" s="4"/>
      <c r="H165" s="4"/>
      <c r="I165" s="4"/>
      <c r="J165" s="4"/>
      <c r="L165" s="4"/>
    </row>
    <row r="166" spans="5:12">
      <c r="E166" s="4"/>
      <c r="F166" s="4"/>
      <c r="G166" s="4"/>
      <c r="H166" s="4"/>
      <c r="I166" s="4"/>
      <c r="J166" s="4"/>
      <c r="L166" s="4"/>
    </row>
    <row r="167" spans="5:12">
      <c r="E167" s="4"/>
      <c r="F167" s="4"/>
      <c r="G167" s="4"/>
      <c r="H167" s="4"/>
      <c r="I167" s="4"/>
      <c r="J167" s="4"/>
      <c r="L167" s="4"/>
    </row>
    <row r="168" spans="5:12">
      <c r="E168" s="4"/>
      <c r="F168" s="4"/>
      <c r="G168" s="4"/>
      <c r="H168" s="4"/>
      <c r="I168" s="4"/>
      <c r="J168" s="4"/>
      <c r="L168" s="4"/>
    </row>
    <row r="169" spans="5:12">
      <c r="E169" s="4"/>
      <c r="F169" s="4"/>
      <c r="G169" s="4"/>
      <c r="H169" s="4"/>
      <c r="I169" s="4"/>
      <c r="J169" s="4"/>
      <c r="L169" s="4"/>
    </row>
    <row r="170" spans="5:12">
      <c r="E170" s="4"/>
      <c r="F170" s="4"/>
      <c r="G170" s="4"/>
      <c r="H170" s="4"/>
      <c r="I170" s="4"/>
      <c r="J170" s="4"/>
      <c r="L170" s="4"/>
    </row>
    <row r="171" spans="5:12">
      <c r="E171" s="4"/>
      <c r="F171" s="4"/>
      <c r="G171" s="4"/>
      <c r="H171" s="4"/>
      <c r="I171" s="4"/>
      <c r="J171" s="4"/>
      <c r="L171" s="4"/>
    </row>
    <row r="172" spans="5:12">
      <c r="E172" s="4"/>
      <c r="F172" s="4"/>
      <c r="G172" s="4"/>
      <c r="H172" s="4"/>
      <c r="I172" s="4"/>
      <c r="J172" s="4"/>
      <c r="L172" s="4"/>
    </row>
    <row r="173" spans="5:12">
      <c r="E173" s="4"/>
      <c r="F173" s="4"/>
      <c r="G173" s="4"/>
      <c r="H173" s="4"/>
      <c r="I173" s="4"/>
      <c r="J173" s="4"/>
      <c r="L173" s="4"/>
    </row>
    <row r="174" spans="5:12">
      <c r="E174" s="4"/>
      <c r="F174" s="4"/>
      <c r="G174" s="4"/>
      <c r="H174" s="4"/>
      <c r="I174" s="4"/>
      <c r="J174" s="4"/>
      <c r="L174" s="4"/>
    </row>
    <row r="175" spans="5:12">
      <c r="E175" s="4"/>
      <c r="F175" s="4"/>
      <c r="G175" s="4"/>
      <c r="H175" s="4"/>
      <c r="I175" s="4"/>
      <c r="J175" s="4"/>
      <c r="L175" s="4"/>
    </row>
    <row r="176" spans="5:12">
      <c r="E176" s="4"/>
      <c r="F176" s="4"/>
      <c r="G176" s="4"/>
      <c r="H176" s="4"/>
      <c r="I176" s="4"/>
      <c r="J176" s="4"/>
      <c r="L176" s="4"/>
    </row>
    <row r="177" spans="5:12">
      <c r="E177" s="4"/>
      <c r="F177" s="4"/>
      <c r="G177" s="4"/>
      <c r="H177" s="4"/>
      <c r="I177" s="4"/>
      <c r="J177" s="4"/>
      <c r="L177" s="4"/>
    </row>
    <row r="178" spans="5:12">
      <c r="E178" s="4"/>
      <c r="F178" s="4"/>
      <c r="G178" s="4"/>
      <c r="H178" s="4"/>
      <c r="I178" s="4"/>
      <c r="J178" s="4"/>
      <c r="L178" s="4"/>
    </row>
    <row r="179" spans="5:12">
      <c r="E179" s="4"/>
      <c r="F179" s="4"/>
      <c r="G179" s="4"/>
      <c r="H179" s="4"/>
      <c r="I179" s="4"/>
      <c r="J179" s="4"/>
      <c r="L179" s="4"/>
    </row>
    <row r="180" spans="5:12">
      <c r="E180" s="4"/>
      <c r="F180" s="4"/>
      <c r="G180" s="4"/>
      <c r="H180" s="4"/>
      <c r="I180" s="4"/>
      <c r="J180" s="4"/>
      <c r="L180" s="4"/>
    </row>
    <row r="181" spans="5:12">
      <c r="E181" s="4"/>
      <c r="F181" s="4"/>
      <c r="G181" s="4"/>
      <c r="H181" s="4"/>
      <c r="I181" s="4"/>
      <c r="J181" s="4"/>
      <c r="L181" s="4"/>
    </row>
    <row r="182" spans="5:12">
      <c r="E182" s="4"/>
      <c r="F182" s="4"/>
      <c r="G182" s="4"/>
      <c r="H182" s="4"/>
      <c r="I182" s="4"/>
      <c r="J182" s="4"/>
      <c r="L182" s="4"/>
    </row>
    <row r="183" spans="5:12">
      <c r="E183" s="4"/>
      <c r="F183" s="4"/>
      <c r="G183" s="4"/>
      <c r="H183" s="4"/>
      <c r="I183" s="4"/>
      <c r="J183" s="4"/>
      <c r="L183" s="4"/>
    </row>
    <row r="184" spans="5:12">
      <c r="E184" s="4"/>
      <c r="F184" s="4"/>
      <c r="G184" s="4"/>
      <c r="H184" s="4"/>
      <c r="I184" s="4"/>
      <c r="J184" s="4"/>
      <c r="L184" s="4"/>
    </row>
    <row r="185" spans="5:12">
      <c r="E185" s="4"/>
      <c r="F185" s="4"/>
      <c r="G185" s="4"/>
      <c r="H185" s="4"/>
      <c r="I185" s="4"/>
      <c r="J185" s="4"/>
      <c r="L185" s="4"/>
    </row>
    <row r="186" spans="5:12">
      <c r="E186" s="4"/>
      <c r="F186" s="4"/>
      <c r="G186" s="4"/>
      <c r="H186" s="4"/>
      <c r="I186" s="4"/>
      <c r="J186" s="4"/>
      <c r="L186" s="4"/>
    </row>
    <row r="187" spans="5:12">
      <c r="E187" s="4"/>
      <c r="F187" s="4"/>
      <c r="G187" s="4"/>
      <c r="H187" s="4"/>
      <c r="I187" s="4"/>
      <c r="J187" s="4"/>
      <c r="L187" s="4"/>
    </row>
    <row r="188" spans="5:12">
      <c r="E188" s="4"/>
      <c r="F188" s="4"/>
      <c r="G188" s="4"/>
      <c r="H188" s="4"/>
      <c r="I188" s="4"/>
      <c r="J188" s="4"/>
      <c r="L188" s="4"/>
    </row>
    <row r="189" spans="5:12">
      <c r="E189" s="4"/>
      <c r="F189" s="4"/>
      <c r="G189" s="4"/>
      <c r="H189" s="4"/>
      <c r="I189" s="4"/>
      <c r="J189" s="4"/>
      <c r="L189" s="4"/>
    </row>
    <row r="190" spans="5:12">
      <c r="E190" s="4"/>
      <c r="F190" s="4"/>
      <c r="G190" s="4"/>
      <c r="H190" s="4"/>
      <c r="I190" s="4"/>
      <c r="J190" s="4"/>
      <c r="L190" s="4"/>
    </row>
    <row r="191" spans="5:12">
      <c r="E191" s="4"/>
      <c r="F191" s="4"/>
      <c r="G191" s="4"/>
      <c r="H191" s="4"/>
      <c r="I191" s="4"/>
      <c r="J191" s="4"/>
      <c r="L191" s="4"/>
    </row>
    <row r="192" spans="5:12">
      <c r="E192" s="4"/>
      <c r="F192" s="4"/>
      <c r="G192" s="4"/>
      <c r="H192" s="4"/>
      <c r="I192" s="4"/>
      <c r="J192" s="4"/>
      <c r="L192" s="4"/>
    </row>
    <row r="193" spans="5:12">
      <c r="E193" s="4"/>
      <c r="F193" s="4"/>
      <c r="G193" s="4"/>
      <c r="H193" s="4"/>
      <c r="I193" s="4"/>
      <c r="J193" s="4"/>
      <c r="L193" s="4"/>
    </row>
    <row r="194" spans="5:12">
      <c r="E194" s="4"/>
      <c r="F194" s="4"/>
      <c r="G194" s="4"/>
      <c r="H194" s="4"/>
      <c r="I194" s="4"/>
      <c r="J194" s="4"/>
      <c r="L194" s="4"/>
    </row>
    <row r="195" spans="5:12">
      <c r="E195" s="4"/>
      <c r="F195" s="4"/>
      <c r="G195" s="4"/>
      <c r="H195" s="4"/>
      <c r="I195" s="4"/>
      <c r="J195" s="4"/>
      <c r="L195" s="4"/>
    </row>
    <row r="196" spans="5:12">
      <c r="E196" s="4"/>
      <c r="F196" s="4"/>
      <c r="G196" s="4"/>
      <c r="H196" s="4"/>
      <c r="I196" s="4"/>
      <c r="J196" s="4"/>
      <c r="L196" s="4"/>
    </row>
    <row r="197" spans="5:12">
      <c r="E197" s="4"/>
      <c r="F197" s="4"/>
      <c r="G197" s="4"/>
      <c r="H197" s="4"/>
      <c r="I197" s="4"/>
      <c r="J197" s="4"/>
      <c r="L197" s="4"/>
    </row>
    <row r="198" spans="5:12">
      <c r="E198" s="4"/>
      <c r="F198" s="4"/>
      <c r="G198" s="4"/>
      <c r="H198" s="4"/>
      <c r="I198" s="4"/>
      <c r="J198" s="4"/>
      <c r="L198" s="4"/>
    </row>
    <row r="199" spans="5:12">
      <c r="E199" s="4"/>
      <c r="F199" s="4"/>
      <c r="G199" s="4"/>
      <c r="H199" s="4"/>
      <c r="I199" s="4"/>
      <c r="J199" s="4"/>
      <c r="L199" s="4"/>
    </row>
    <row r="200" spans="5:12">
      <c r="E200" s="4"/>
      <c r="F200" s="4"/>
      <c r="G200" s="4"/>
      <c r="H200" s="4"/>
      <c r="I200" s="4"/>
      <c r="J200" s="4"/>
      <c r="L200" s="4"/>
    </row>
    <row r="201" spans="5:12">
      <c r="E201" s="4"/>
      <c r="F201" s="4"/>
      <c r="G201" s="4"/>
      <c r="H201" s="4"/>
      <c r="I201" s="4"/>
      <c r="J201" s="4"/>
      <c r="L201" s="4"/>
    </row>
  </sheetData>
  <sheetProtection algorithmName="SHA-512" hashValue="B2cx2Miy471sN+r4wkPrnfNLZx7KzyrmbvjG8ya9pZXqc0tPTY36EozKCQMSGXOIoluscMba4xX4fczU7DnBuw==" saltValue="oiiawGLYm8/WXPh7qjT0Bw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22" priority="1">
      <formula>$D6="In Progress"</formula>
    </cfRule>
    <cfRule type="expression" dxfId="21" priority="2">
      <formula>$D6="Complete"</formula>
    </cfRule>
    <cfRule type="expression" dxfId="20" priority="3">
      <formula>$D6="Not Started"</formula>
    </cfRule>
    <cfRule type="expression" dxfId="19" priority="4">
      <formula>$D6="Withdrawn"</formula>
    </cfRule>
    <cfRule type="expression" dxfId="18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6" sqref="B6"/>
    </sheetView>
  </sheetViews>
  <sheetFormatPr defaultRowHeight="45" customHeight="1"/>
  <cols>
    <col min="1" max="1" width="55.7109375" style="27" customWidth="1"/>
    <col min="2" max="2" width="151" customWidth="1"/>
  </cols>
  <sheetData>
    <row r="1" spans="1:2" ht="45" customHeight="1" thickBot="1">
      <c r="A1" s="26" t="s">
        <v>7</v>
      </c>
      <c r="B1" s="25" t="s">
        <v>29</v>
      </c>
    </row>
    <row r="2" spans="1:2" ht="45" customHeight="1">
      <c r="A2" s="27" t="str">
        <f>'County Summary'!B6</f>
        <v>Hazel Dell Historic School District</v>
      </c>
      <c r="B2" s="9" t="s">
        <v>30</v>
      </c>
    </row>
    <row r="3" spans="1:2" ht="45" customHeight="1">
      <c r="A3" s="27" t="str">
        <f>'County Summary'!B7</f>
        <v>Iowa County Highway</v>
      </c>
      <c r="B3" s="9" t="s">
        <v>31</v>
      </c>
    </row>
    <row r="4" spans="1:2" ht="45" customHeight="1">
      <c r="A4" s="27" t="str">
        <f>'County Summary'!B8</f>
        <v>Township of Dodgeville</v>
      </c>
      <c r="B4" s="40" t="s">
        <v>32</v>
      </c>
    </row>
    <row r="5" spans="1:2" ht="45" customHeight="1">
      <c r="A5" s="27" t="str">
        <f>'County Summary'!B9</f>
        <v>Township of Eden</v>
      </c>
      <c r="B5" s="40" t="s">
        <v>33</v>
      </c>
    </row>
    <row r="6" spans="1:2" ht="45" customHeight="1">
      <c r="A6" s="27" t="str">
        <f>'County Summary'!B10</f>
        <v>Township of Highland</v>
      </c>
      <c r="B6" s="40" t="s">
        <v>34</v>
      </c>
    </row>
    <row r="7" spans="1:2" ht="45" customHeight="1">
      <c r="A7" s="27" t="str">
        <f>'County Summary'!B11</f>
        <v>Department of Transportation</v>
      </c>
      <c r="B7" s="41" t="s">
        <v>35</v>
      </c>
    </row>
    <row r="8" spans="1:2" ht="45" customHeight="1">
      <c r="A8" s="27">
        <f>'County Summary'!B12</f>
        <v>0</v>
      </c>
      <c r="B8" s="10"/>
    </row>
    <row r="9" spans="1:2" ht="45" customHeight="1">
      <c r="A9" s="27">
        <f>'County Summary'!B13</f>
        <v>0</v>
      </c>
      <c r="B9" s="10"/>
    </row>
    <row r="10" spans="1:2" ht="45" customHeight="1">
      <c r="A10" s="27">
        <f>'County Summary'!B14</f>
        <v>0</v>
      </c>
      <c r="B10" s="10"/>
    </row>
    <row r="11" spans="1:2" ht="45" customHeight="1">
      <c r="A11" s="27">
        <f>'County Summary'!B15</f>
        <v>0</v>
      </c>
      <c r="B11" s="10"/>
    </row>
    <row r="12" spans="1:2" ht="45" customHeight="1">
      <c r="A12" s="27">
        <f>'County Summary'!B16</f>
        <v>0</v>
      </c>
      <c r="B12" s="10"/>
    </row>
    <row r="13" spans="1:2" ht="45" customHeight="1">
      <c r="A13" s="27">
        <f>'County Summary'!B17</f>
        <v>0</v>
      </c>
      <c r="B13" s="10"/>
    </row>
    <row r="14" spans="1:2" ht="45" customHeight="1">
      <c r="A14" s="27">
        <f>'County Summary'!B18</f>
        <v>0</v>
      </c>
      <c r="B14" s="10"/>
    </row>
    <row r="15" spans="1:2" ht="45" customHeight="1">
      <c r="A15" s="27">
        <f>'County Summary'!B19</f>
        <v>0</v>
      </c>
      <c r="B15" s="10"/>
    </row>
    <row r="16" spans="1:2" ht="45" customHeight="1">
      <c r="A16" s="27">
        <f>'County Summary'!B20</f>
        <v>0</v>
      </c>
      <c r="B16" s="10"/>
    </row>
    <row r="17" spans="1:2" ht="45" customHeight="1">
      <c r="A17" s="27">
        <f>'County Summary'!B21</f>
        <v>0</v>
      </c>
      <c r="B17" s="10"/>
    </row>
    <row r="18" spans="1:2" ht="45" customHeight="1">
      <c r="A18" s="27">
        <f>'County Summary'!B22</f>
        <v>0</v>
      </c>
      <c r="B18" s="10"/>
    </row>
    <row r="19" spans="1:2" ht="45" customHeight="1">
      <c r="A19" s="27">
        <f>'County Summary'!B23</f>
        <v>0</v>
      </c>
      <c r="B19" s="10"/>
    </row>
    <row r="20" spans="1:2" ht="45" customHeight="1">
      <c r="A20" s="27">
        <f>'County Summary'!B24</f>
        <v>0</v>
      </c>
      <c r="B20" s="10"/>
    </row>
    <row r="21" spans="1:2" ht="45" customHeight="1">
      <c r="A21" s="27">
        <f>'County Summary'!B25</f>
        <v>0</v>
      </c>
      <c r="B21" s="10"/>
    </row>
    <row r="22" spans="1:2" ht="45" customHeight="1">
      <c r="A22" s="27">
        <f>'County Summary'!B26</f>
        <v>0</v>
      </c>
      <c r="B22" s="10"/>
    </row>
    <row r="23" spans="1:2" ht="45" customHeight="1">
      <c r="A23" s="27">
        <f>'County Summary'!B27</f>
        <v>0</v>
      </c>
      <c r="B23" s="10"/>
    </row>
    <row r="24" spans="1:2" ht="45" customHeight="1">
      <c r="A24" s="27">
        <f>'County Summary'!B28</f>
        <v>0</v>
      </c>
      <c r="B24" s="10"/>
    </row>
    <row r="25" spans="1:2" ht="45" customHeight="1">
      <c r="A25" s="27">
        <f>'County Summary'!B29</f>
        <v>0</v>
      </c>
      <c r="B25" s="10"/>
    </row>
    <row r="26" spans="1:2" ht="45" customHeight="1">
      <c r="A26" s="27">
        <f>'County Summary'!B30</f>
        <v>0</v>
      </c>
      <c r="B26" s="10"/>
    </row>
    <row r="27" spans="1:2" ht="45" customHeight="1">
      <c r="A27" s="27">
        <f>'County Summary'!B31</f>
        <v>0</v>
      </c>
      <c r="B27" s="10"/>
    </row>
    <row r="28" spans="1:2" ht="45" customHeight="1">
      <c r="A28" s="27">
        <f>'County Summary'!B32</f>
        <v>0</v>
      </c>
      <c r="B28" s="10"/>
    </row>
    <row r="29" spans="1:2" ht="45" customHeight="1">
      <c r="A29" s="27">
        <f>'County Summary'!B33</f>
        <v>0</v>
      </c>
      <c r="B29" s="10"/>
    </row>
    <row r="30" spans="1:2" ht="45" customHeight="1">
      <c r="A30" s="27">
        <f>'County Summary'!B34</f>
        <v>0</v>
      </c>
      <c r="B30" s="10"/>
    </row>
    <row r="31" spans="1:2" ht="45" customHeight="1">
      <c r="A31" s="27">
        <f>'County Summary'!B35</f>
        <v>0</v>
      </c>
      <c r="B31" s="10"/>
    </row>
    <row r="32" spans="1:2" ht="45" customHeight="1">
      <c r="A32" s="27">
        <f>'County Summary'!B36</f>
        <v>0</v>
      </c>
      <c r="B32" s="10"/>
    </row>
    <row r="33" spans="1:2" ht="45" customHeight="1">
      <c r="A33" s="27">
        <f>'County Summary'!B37</f>
        <v>0</v>
      </c>
      <c r="B33" s="10"/>
    </row>
    <row r="34" spans="1:2" ht="45" customHeight="1">
      <c r="A34" s="27">
        <f>'County Summary'!B38</f>
        <v>0</v>
      </c>
      <c r="B34" s="10"/>
    </row>
    <row r="35" spans="1:2" ht="45" customHeight="1">
      <c r="A35" s="27">
        <f>'County Summary'!B39</f>
        <v>0</v>
      </c>
      <c r="B35" s="10"/>
    </row>
    <row r="36" spans="1:2" ht="45" customHeight="1">
      <c r="A36" s="27">
        <f>'County Summary'!B40</f>
        <v>0</v>
      </c>
      <c r="B36" s="10"/>
    </row>
    <row r="37" spans="1:2" ht="45" customHeight="1">
      <c r="A37" s="27">
        <f>'County Summary'!B41</f>
        <v>0</v>
      </c>
      <c r="B37" s="10"/>
    </row>
    <row r="38" spans="1:2" ht="45" customHeight="1">
      <c r="A38" s="27">
        <f>'County Summary'!B42</f>
        <v>0</v>
      </c>
      <c r="B38" s="10"/>
    </row>
    <row r="39" spans="1:2" ht="45" customHeight="1">
      <c r="A39" s="27">
        <f>'County Summary'!B43</f>
        <v>0</v>
      </c>
      <c r="B39" s="10"/>
    </row>
    <row r="40" spans="1:2" ht="45" customHeight="1">
      <c r="A40" s="27">
        <f>'County Summary'!B44</f>
        <v>0</v>
      </c>
      <c r="B40" s="10"/>
    </row>
    <row r="41" spans="1:2" ht="45" customHeight="1">
      <c r="A41" s="27">
        <f>'County Summary'!B45</f>
        <v>0</v>
      </c>
      <c r="B41" s="10"/>
    </row>
    <row r="42" spans="1:2" ht="45" customHeight="1">
      <c r="A42" s="27">
        <f>'County Summary'!B46</f>
        <v>0</v>
      </c>
      <c r="B42" s="10"/>
    </row>
    <row r="43" spans="1:2" ht="45" customHeight="1">
      <c r="A43" s="27">
        <f>'County Summary'!B47</f>
        <v>0</v>
      </c>
      <c r="B43" s="10"/>
    </row>
    <row r="44" spans="1:2" ht="45" customHeight="1">
      <c r="A44" s="27">
        <f>'County Summary'!B48</f>
        <v>0</v>
      </c>
      <c r="B44" s="10"/>
    </row>
    <row r="45" spans="1:2" ht="45" customHeight="1">
      <c r="A45" s="27">
        <f>'County Summary'!B49</f>
        <v>0</v>
      </c>
      <c r="B45" s="10"/>
    </row>
    <row r="46" spans="1:2" ht="45" customHeight="1">
      <c r="A46" s="27">
        <f>'County Summary'!B50</f>
        <v>0</v>
      </c>
      <c r="B46" s="10"/>
    </row>
    <row r="47" spans="1:2" ht="45" customHeight="1">
      <c r="A47" s="27">
        <f>'County Summary'!B51</f>
        <v>0</v>
      </c>
      <c r="B47" s="10"/>
    </row>
    <row r="48" spans="1:2" ht="45" customHeight="1">
      <c r="A48" s="27">
        <f>'County Summary'!B52</f>
        <v>0</v>
      </c>
      <c r="B48" s="10"/>
    </row>
    <row r="49" spans="1:2" ht="45" customHeight="1">
      <c r="A49" s="27">
        <f>'County Summary'!B53</f>
        <v>0</v>
      </c>
      <c r="B49" s="10"/>
    </row>
    <row r="50" spans="1:2" ht="45" customHeight="1">
      <c r="A50" s="27">
        <f>'County Summary'!B54</f>
        <v>0</v>
      </c>
      <c r="B50" s="10"/>
    </row>
    <row r="51" spans="1:2" ht="45" customHeight="1">
      <c r="A51" s="27">
        <f>'County Summary'!B55</f>
        <v>0</v>
      </c>
      <c r="B51" s="10"/>
    </row>
    <row r="52" spans="1:2" ht="45" customHeight="1">
      <c r="A52" s="27">
        <f>'County Summary'!B56</f>
        <v>0</v>
      </c>
      <c r="B52" s="10"/>
    </row>
    <row r="53" spans="1:2" ht="45" customHeight="1">
      <c r="A53" s="27">
        <f>'County Summary'!B57</f>
        <v>0</v>
      </c>
      <c r="B53" s="10"/>
    </row>
    <row r="54" spans="1:2" ht="45" customHeight="1">
      <c r="A54" s="27">
        <f>'County Summary'!B58</f>
        <v>0</v>
      </c>
      <c r="B54" s="10"/>
    </row>
    <row r="55" spans="1:2" ht="45" customHeight="1">
      <c r="A55" s="27">
        <f>'County Summary'!B59</f>
        <v>0</v>
      </c>
      <c r="B55" s="10"/>
    </row>
    <row r="56" spans="1:2" ht="45" customHeight="1">
      <c r="A56" s="27">
        <f>'County Summary'!B60</f>
        <v>0</v>
      </c>
      <c r="B56" s="10"/>
    </row>
    <row r="57" spans="1:2" ht="45" customHeight="1">
      <c r="A57" s="27">
        <f>'County Summary'!B61</f>
        <v>0</v>
      </c>
      <c r="B57" s="10"/>
    </row>
    <row r="58" spans="1:2" ht="45" customHeight="1">
      <c r="A58" s="27">
        <f>'County Summary'!B62</f>
        <v>0</v>
      </c>
      <c r="B58" s="10"/>
    </row>
    <row r="59" spans="1:2" ht="45" customHeight="1">
      <c r="A59" s="27">
        <f>'County Summary'!B63</f>
        <v>0</v>
      </c>
      <c r="B59" s="10"/>
    </row>
    <row r="60" spans="1:2" ht="45" customHeight="1">
      <c r="A60" s="27">
        <f>'County Summary'!B64</f>
        <v>0</v>
      </c>
      <c r="B60" s="10"/>
    </row>
    <row r="61" spans="1:2" ht="45" customHeight="1">
      <c r="A61" s="27">
        <f>'County Summary'!B65</f>
        <v>0</v>
      </c>
      <c r="B61" s="10"/>
    </row>
    <row r="62" spans="1:2" ht="45" customHeight="1">
      <c r="A62" s="27">
        <f>'County Summary'!B66</f>
        <v>0</v>
      </c>
      <c r="B62" s="10"/>
    </row>
    <row r="63" spans="1:2" ht="45" customHeight="1">
      <c r="A63" s="27">
        <f>'County Summary'!B67</f>
        <v>0</v>
      </c>
      <c r="B63" s="10"/>
    </row>
    <row r="64" spans="1:2" ht="45" customHeight="1">
      <c r="A64" s="27">
        <f>'County Summary'!B68</f>
        <v>0</v>
      </c>
      <c r="B64" s="10"/>
    </row>
    <row r="65" spans="1:2" ht="45" customHeight="1">
      <c r="A65" s="27">
        <f>'County Summary'!B69</f>
        <v>0</v>
      </c>
      <c r="B65" s="10"/>
    </row>
    <row r="66" spans="1:2" ht="45" customHeight="1">
      <c r="A66" s="27">
        <f>'County Summary'!B70</f>
        <v>0</v>
      </c>
      <c r="B66" s="10"/>
    </row>
    <row r="67" spans="1:2" ht="45" customHeight="1">
      <c r="A67" s="27">
        <f>'County Summary'!B71</f>
        <v>0</v>
      </c>
      <c r="B67" s="10"/>
    </row>
    <row r="68" spans="1:2" ht="45" customHeight="1">
      <c r="A68" s="27">
        <f>'County Summary'!B72</f>
        <v>0</v>
      </c>
      <c r="B68" s="10"/>
    </row>
    <row r="69" spans="1:2" ht="45" customHeight="1">
      <c r="A69" s="27">
        <f>'County Summary'!B73</f>
        <v>0</v>
      </c>
      <c r="B69" s="10"/>
    </row>
    <row r="70" spans="1:2" ht="45" customHeight="1">
      <c r="A70" s="27">
        <f>'County Summary'!B74</f>
        <v>0</v>
      </c>
      <c r="B70" s="10"/>
    </row>
    <row r="71" spans="1:2" ht="45" customHeight="1">
      <c r="A71" s="27">
        <f>'County Summary'!B75</f>
        <v>0</v>
      </c>
      <c r="B71" s="10"/>
    </row>
    <row r="72" spans="1:2" ht="45" customHeight="1">
      <c r="A72" s="27">
        <f>'County Summary'!B76</f>
        <v>0</v>
      </c>
      <c r="B72" s="10"/>
    </row>
    <row r="73" spans="1:2" ht="45" customHeight="1">
      <c r="A73" s="27">
        <f>'County Summary'!B77</f>
        <v>0</v>
      </c>
      <c r="B73" s="10"/>
    </row>
    <row r="74" spans="1:2" ht="45" customHeight="1">
      <c r="A74" s="27">
        <f>'County Summary'!B78</f>
        <v>0</v>
      </c>
      <c r="B74" s="10"/>
    </row>
    <row r="75" spans="1:2" ht="45" customHeight="1">
      <c r="A75" s="27">
        <f>'County Summary'!B79</f>
        <v>0</v>
      </c>
      <c r="B75" s="10"/>
    </row>
    <row r="76" spans="1:2" ht="45" customHeight="1">
      <c r="A76" s="27">
        <f>'County Summary'!B80</f>
        <v>0</v>
      </c>
      <c r="B76" s="10"/>
    </row>
    <row r="77" spans="1:2" ht="45" customHeight="1">
      <c r="A77" s="27">
        <f>'County Summary'!B81</f>
        <v>0</v>
      </c>
      <c r="B77" s="10"/>
    </row>
    <row r="78" spans="1:2" ht="45" customHeight="1">
      <c r="A78" s="27">
        <f>'County Summary'!B82</f>
        <v>0</v>
      </c>
      <c r="B78" s="10"/>
    </row>
    <row r="79" spans="1:2" ht="45" customHeight="1">
      <c r="A79" s="27">
        <f>'County Summary'!B83</f>
        <v>0</v>
      </c>
      <c r="B79" s="10"/>
    </row>
    <row r="80" spans="1:2" ht="45" customHeight="1">
      <c r="A80" s="27">
        <f>'County Summary'!B84</f>
        <v>0</v>
      </c>
      <c r="B80" s="10"/>
    </row>
    <row r="81" spans="1:2" ht="45" customHeight="1">
      <c r="A81" s="27">
        <f>'County Summary'!B85</f>
        <v>0</v>
      </c>
      <c r="B81" s="10"/>
    </row>
    <row r="82" spans="1:2" ht="45" customHeight="1">
      <c r="A82" s="27">
        <f>'County Summary'!B86</f>
        <v>0</v>
      </c>
      <c r="B82" s="10"/>
    </row>
    <row r="83" spans="1:2" ht="45" customHeight="1">
      <c r="A83" s="27">
        <f>'County Summary'!B87</f>
        <v>0</v>
      </c>
      <c r="B83" s="10"/>
    </row>
    <row r="84" spans="1:2" ht="45" customHeight="1">
      <c r="A84" s="27">
        <f>'County Summary'!B88</f>
        <v>0</v>
      </c>
      <c r="B84" s="10"/>
    </row>
    <row r="85" spans="1:2" ht="45" customHeight="1">
      <c r="A85" s="27">
        <f>'County Summary'!B89</f>
        <v>0</v>
      </c>
      <c r="B85" s="10"/>
    </row>
    <row r="86" spans="1:2" ht="45" customHeight="1">
      <c r="A86" s="27">
        <f>'County Summary'!B90</f>
        <v>0</v>
      </c>
      <c r="B86" s="10"/>
    </row>
    <row r="87" spans="1:2" ht="45" customHeight="1">
      <c r="A87" s="27">
        <f>'County Summary'!B91</f>
        <v>0</v>
      </c>
      <c r="B87" s="10"/>
    </row>
    <row r="88" spans="1:2" ht="45" customHeight="1">
      <c r="A88" s="27">
        <f>'County Summary'!B92</f>
        <v>0</v>
      </c>
      <c r="B88" s="10"/>
    </row>
    <row r="89" spans="1:2" ht="45" customHeight="1">
      <c r="A89" s="27">
        <f>'County Summary'!B93</f>
        <v>0</v>
      </c>
      <c r="B89" s="10"/>
    </row>
    <row r="90" spans="1:2" ht="45" customHeight="1">
      <c r="A90" s="27">
        <f>'County Summary'!B94</f>
        <v>0</v>
      </c>
      <c r="B90" s="10"/>
    </row>
    <row r="91" spans="1:2" ht="45" customHeight="1">
      <c r="A91" s="27">
        <f>'County Summary'!B95</f>
        <v>0</v>
      </c>
      <c r="B91" s="10"/>
    </row>
    <row r="92" spans="1:2" ht="45" customHeight="1">
      <c r="A92" s="27">
        <f>'County Summary'!B96</f>
        <v>0</v>
      </c>
      <c r="B92" s="10"/>
    </row>
    <row r="93" spans="1:2" ht="45" customHeight="1">
      <c r="A93" s="27">
        <f>'County Summary'!B97</f>
        <v>0</v>
      </c>
      <c r="B93" s="10"/>
    </row>
    <row r="94" spans="1:2" ht="45" customHeight="1">
      <c r="A94" s="27">
        <f>'County Summary'!B98</f>
        <v>0</v>
      </c>
      <c r="B94" s="10"/>
    </row>
    <row r="95" spans="1:2" ht="45" customHeight="1">
      <c r="A95" s="27">
        <f>'County Summary'!B99</f>
        <v>0</v>
      </c>
      <c r="B95" s="10"/>
    </row>
    <row r="96" spans="1:2" ht="45" customHeight="1">
      <c r="A96" s="27">
        <f>'County Summary'!B100</f>
        <v>0</v>
      </c>
      <c r="B96" s="10"/>
    </row>
    <row r="97" spans="1:2" ht="45" customHeight="1">
      <c r="A97" s="27">
        <f>'County Summary'!B101</f>
        <v>0</v>
      </c>
      <c r="B97" s="10"/>
    </row>
    <row r="98" spans="1:2" ht="45" customHeight="1">
      <c r="A98" s="27">
        <f>'County Summary'!B102</f>
        <v>0</v>
      </c>
      <c r="B98" s="10"/>
    </row>
    <row r="99" spans="1:2" ht="45" customHeight="1">
      <c r="A99" s="27">
        <f>'County Summary'!B103</f>
        <v>0</v>
      </c>
      <c r="B99" s="10"/>
    </row>
    <row r="100" spans="1:2" ht="45" customHeight="1">
      <c r="A100" s="27">
        <f>'County Summary'!B104</f>
        <v>0</v>
      </c>
      <c r="B100" s="10"/>
    </row>
  </sheetData>
  <sheetProtection algorithmName="SHA-512" hashValue="EtK2+3fLCxYD0Dihzxfhp1Tt2jZvhhOZR573KCHG+QwJhAtX1XP7l9mR94ooMxvC6ytDe2bTmNiUbz4Fz33kkg==" saltValue="ptlZPMn9mbBerYhXgQoBgA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2.75"/>
  <cols>
    <col min="1" max="1" width="28.85546875" customWidth="1"/>
  </cols>
  <sheetData>
    <row r="1" spans="1:1">
      <c r="A1" t="s">
        <v>36</v>
      </c>
    </row>
    <row r="2" spans="1:1">
      <c r="A2" s="29" t="s">
        <v>37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2.75"/>
  <cols>
    <col min="1" max="1" width="42.42578125" customWidth="1"/>
    <col min="3" max="3" width="27" customWidth="1"/>
    <col min="4" max="4" width="28.42578125" style="34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11" width="8.85546875" customWidth="1"/>
  </cols>
  <sheetData>
    <row r="1" spans="1:8">
      <c r="A1" s="7" t="s">
        <v>38</v>
      </c>
    </row>
    <row r="2" spans="1:8" ht="15" customHeight="1" thickBot="1">
      <c r="A2" s="22"/>
    </row>
    <row r="3" spans="1:8" ht="13.5" thickBot="1">
      <c r="A3" s="6" t="s">
        <v>0</v>
      </c>
      <c r="C3" s="23" t="s">
        <v>39</v>
      </c>
    </row>
    <row r="4" spans="1:8" ht="15">
      <c r="A4" s="3" t="str">
        <f>D4 &amp; " (" &amp;F4&amp; ")" &amp; " - " &amp;H4</f>
        <v>Adams County (20,654) - $100,378.44</v>
      </c>
      <c r="C4" t="s">
        <v>40</v>
      </c>
      <c r="D4" s="32" t="s">
        <v>41</v>
      </c>
      <c r="E4" s="30">
        <v>20654</v>
      </c>
      <c r="F4" s="35" t="s">
        <v>42</v>
      </c>
      <c r="G4" s="36">
        <f>E4*4.86</f>
        <v>100378.44</v>
      </c>
      <c r="H4" s="37" t="str">
        <f>TEXT(G4,"$#,##0.00")</f>
        <v>$100,378.44</v>
      </c>
    </row>
    <row r="5" spans="1:8" ht="15">
      <c r="A5" s="3" t="str">
        <f t="shared" ref="A5:A68" si="0">D5 &amp; " (" &amp;F5&amp; ")" &amp; " - " &amp;H5</f>
        <v>Ashland County (16,027) - $77,891.22</v>
      </c>
      <c r="C5" t="s">
        <v>6</v>
      </c>
      <c r="D5" s="32" t="s">
        <v>43</v>
      </c>
      <c r="E5" s="30">
        <v>16027</v>
      </c>
      <c r="F5" s="35" t="s">
        <v>44</v>
      </c>
      <c r="G5" s="36">
        <f t="shared" ref="G5:G68" si="1">E5*4.86</f>
        <v>77891.22</v>
      </c>
      <c r="H5" s="37" t="str">
        <f t="shared" ref="H5:H68" si="2">TEXT(G5,"$#,##0.00")</f>
        <v>$77,891.22</v>
      </c>
    </row>
    <row r="6" spans="1:8" ht="15">
      <c r="A6" s="3" t="str">
        <f t="shared" si="0"/>
        <v>Barron County (46,711) - $227,015.46</v>
      </c>
      <c r="C6" t="s">
        <v>45</v>
      </c>
      <c r="D6" s="32" t="s">
        <v>46</v>
      </c>
      <c r="E6" s="30">
        <v>46711</v>
      </c>
      <c r="F6" s="35" t="s">
        <v>47</v>
      </c>
      <c r="G6" s="36">
        <f t="shared" si="1"/>
        <v>227015.46000000002</v>
      </c>
      <c r="H6" s="37" t="str">
        <f t="shared" si="2"/>
        <v>$227,015.46</v>
      </c>
    </row>
    <row r="7" spans="1:8" ht="15">
      <c r="A7" s="3" t="str">
        <f t="shared" si="0"/>
        <v>Bayfield County (16,220) - $78,829.20</v>
      </c>
      <c r="C7" t="s">
        <v>48</v>
      </c>
      <c r="D7" s="32" t="s">
        <v>49</v>
      </c>
      <c r="E7" s="30">
        <v>16220</v>
      </c>
      <c r="F7" s="35" t="s">
        <v>50</v>
      </c>
      <c r="G7" s="36">
        <f t="shared" si="1"/>
        <v>78829.200000000012</v>
      </c>
      <c r="H7" s="37" t="str">
        <f t="shared" si="2"/>
        <v>$78,829.20</v>
      </c>
    </row>
    <row r="8" spans="1:8" ht="15">
      <c r="A8" s="3" t="str">
        <f t="shared" si="0"/>
        <v>Brown County (268,740) - $1,306,076.40</v>
      </c>
      <c r="C8" t="s">
        <v>51</v>
      </c>
      <c r="D8" s="32" t="s">
        <v>52</v>
      </c>
      <c r="E8" s="30">
        <v>268740</v>
      </c>
      <c r="F8" s="35" t="s">
        <v>53</v>
      </c>
      <c r="G8" s="36">
        <f t="shared" si="1"/>
        <v>1306076.4000000001</v>
      </c>
      <c r="H8" s="37" t="str">
        <f t="shared" si="2"/>
        <v>$1,306,076.40</v>
      </c>
    </row>
    <row r="9" spans="1:8" ht="15">
      <c r="A9" s="3" t="str">
        <f t="shared" si="0"/>
        <v>Buffalo County (13,317) - $64,720.62</v>
      </c>
      <c r="C9" t="s">
        <v>54</v>
      </c>
      <c r="D9" s="32" t="s">
        <v>55</v>
      </c>
      <c r="E9" s="30">
        <v>13317</v>
      </c>
      <c r="F9" s="35" t="s">
        <v>56</v>
      </c>
      <c r="G9" s="36">
        <f t="shared" si="1"/>
        <v>64720.62</v>
      </c>
      <c r="H9" s="37" t="str">
        <f t="shared" si="2"/>
        <v>$64,720.62</v>
      </c>
    </row>
    <row r="10" spans="1:8" ht="15">
      <c r="A10" s="3" t="str">
        <f t="shared" si="0"/>
        <v>Burnett County (16,526) - $80,316.36</v>
      </c>
      <c r="C10" t="s">
        <v>57</v>
      </c>
      <c r="D10" s="32" t="s">
        <v>58</v>
      </c>
      <c r="E10" s="30">
        <v>16526</v>
      </c>
      <c r="F10" s="35" t="s">
        <v>59</v>
      </c>
      <c r="G10" s="36">
        <f t="shared" si="1"/>
        <v>80316.36</v>
      </c>
      <c r="H10" s="37" t="str">
        <f t="shared" si="2"/>
        <v>$80,316.36</v>
      </c>
    </row>
    <row r="11" spans="1:8" ht="15">
      <c r="A11" s="3" t="str">
        <f t="shared" si="0"/>
        <v>Calumet County (52,442) - $254,868.12</v>
      </c>
      <c r="C11" t="s">
        <v>60</v>
      </c>
      <c r="D11" s="32" t="s">
        <v>61</v>
      </c>
      <c r="E11" s="30">
        <v>52442</v>
      </c>
      <c r="F11" s="35" t="s">
        <v>62</v>
      </c>
      <c r="G11" s="36">
        <f t="shared" si="1"/>
        <v>254868.12000000002</v>
      </c>
      <c r="H11" s="37" t="str">
        <f t="shared" si="2"/>
        <v>$254,868.12</v>
      </c>
    </row>
    <row r="12" spans="1:8" ht="15">
      <c r="A12" s="3" t="str">
        <f t="shared" si="0"/>
        <v>Chippewa County (66,297) - $322,203.42</v>
      </c>
      <c r="C12" t="s">
        <v>63</v>
      </c>
      <c r="D12" s="32" t="s">
        <v>64</v>
      </c>
      <c r="E12" s="30">
        <v>66297</v>
      </c>
      <c r="F12" s="35" t="s">
        <v>65</v>
      </c>
      <c r="G12" s="36">
        <f t="shared" si="1"/>
        <v>322203.42000000004</v>
      </c>
      <c r="H12" s="37" t="str">
        <f t="shared" si="2"/>
        <v>$322,203.42</v>
      </c>
    </row>
    <row r="13" spans="1:8" ht="15">
      <c r="A13" s="3" t="str">
        <f t="shared" si="0"/>
        <v>Clark County (34,659) - $168,442.74</v>
      </c>
      <c r="C13" t="s">
        <v>66</v>
      </c>
      <c r="D13" s="32" t="s">
        <v>67</v>
      </c>
      <c r="E13" s="30">
        <v>34659</v>
      </c>
      <c r="F13" s="35" t="s">
        <v>68</v>
      </c>
      <c r="G13" s="36">
        <f t="shared" si="1"/>
        <v>168442.74000000002</v>
      </c>
      <c r="H13" s="37" t="str">
        <f t="shared" si="2"/>
        <v>$168,442.74</v>
      </c>
    </row>
    <row r="14" spans="1:8" ht="15">
      <c r="A14" s="3" t="str">
        <f t="shared" si="0"/>
        <v>Columbia County (58,490) - $284,261.40</v>
      </c>
      <c r="C14" t="s">
        <v>69</v>
      </c>
      <c r="D14" s="32" t="s">
        <v>70</v>
      </c>
      <c r="E14" s="30">
        <v>58490</v>
      </c>
      <c r="F14" s="35" t="s">
        <v>71</v>
      </c>
      <c r="G14" s="36">
        <f t="shared" si="1"/>
        <v>284261.40000000002</v>
      </c>
      <c r="H14" s="37" t="str">
        <f t="shared" si="2"/>
        <v>$284,261.40</v>
      </c>
    </row>
    <row r="15" spans="1:8" ht="15">
      <c r="A15" s="3" t="str">
        <f t="shared" si="0"/>
        <v>Crawford County (16,113) - $78,309.18</v>
      </c>
      <c r="C15" t="s">
        <v>72</v>
      </c>
      <c r="D15" s="32" t="s">
        <v>73</v>
      </c>
      <c r="E15" s="30">
        <v>16113</v>
      </c>
      <c r="F15" s="35" t="s">
        <v>74</v>
      </c>
      <c r="G15" s="36">
        <f t="shared" si="1"/>
        <v>78309.180000000008</v>
      </c>
      <c r="H15" s="37" t="str">
        <f t="shared" si="2"/>
        <v>$78,309.18</v>
      </c>
    </row>
    <row r="16" spans="1:8" ht="15">
      <c r="A16" s="3" t="str">
        <f t="shared" si="0"/>
        <v>Dane County (561,504) - $2,728,909.44</v>
      </c>
      <c r="C16" t="s">
        <v>75</v>
      </c>
      <c r="D16" s="32" t="s">
        <v>76</v>
      </c>
      <c r="E16" s="30">
        <v>561504</v>
      </c>
      <c r="F16" s="35" t="s">
        <v>77</v>
      </c>
      <c r="G16" s="36">
        <f t="shared" si="1"/>
        <v>2728909.4400000004</v>
      </c>
      <c r="H16" s="37" t="str">
        <f t="shared" si="2"/>
        <v>$2,728,909.44</v>
      </c>
    </row>
    <row r="17" spans="1:8" ht="15">
      <c r="A17" s="3" t="str">
        <f t="shared" si="0"/>
        <v>Dodge County (89,396) - $434,464.56</v>
      </c>
      <c r="C17" t="s">
        <v>78</v>
      </c>
      <c r="D17" s="32" t="s">
        <v>79</v>
      </c>
      <c r="E17" s="30">
        <v>89396</v>
      </c>
      <c r="F17" s="35" t="s">
        <v>80</v>
      </c>
      <c r="G17" s="36">
        <f t="shared" si="1"/>
        <v>434464.56000000006</v>
      </c>
      <c r="H17" s="37" t="str">
        <f t="shared" si="2"/>
        <v>$434,464.56</v>
      </c>
    </row>
    <row r="18" spans="1:8" ht="15">
      <c r="A18" s="3" t="str">
        <f t="shared" si="0"/>
        <v>Door County (30,066) - $146,120.76</v>
      </c>
      <c r="C18" t="s">
        <v>81</v>
      </c>
      <c r="D18" s="32" t="s">
        <v>82</v>
      </c>
      <c r="E18" s="30">
        <v>30066</v>
      </c>
      <c r="F18" s="35" t="s">
        <v>83</v>
      </c>
      <c r="G18" s="36">
        <f t="shared" si="1"/>
        <v>146120.76</v>
      </c>
      <c r="H18" s="37" t="str">
        <f t="shared" si="2"/>
        <v>$146,120.76</v>
      </c>
    </row>
    <row r="19" spans="1:8" ht="15">
      <c r="A19" s="3" t="str">
        <f t="shared" si="0"/>
        <v>Douglas County (44,295) - $215,273.70</v>
      </c>
      <c r="C19" t="s">
        <v>84</v>
      </c>
      <c r="D19" s="32" t="s">
        <v>85</v>
      </c>
      <c r="E19" s="30">
        <v>44295</v>
      </c>
      <c r="F19" s="35" t="s">
        <v>86</v>
      </c>
      <c r="G19" s="36">
        <f t="shared" si="1"/>
        <v>215273.7</v>
      </c>
      <c r="H19" s="37" t="str">
        <f t="shared" si="2"/>
        <v>$215,273.70</v>
      </c>
    </row>
    <row r="20" spans="1:8" ht="15">
      <c r="A20" s="3" t="str">
        <f t="shared" si="0"/>
        <v>Dunn County (45,440) - $220,838.40</v>
      </c>
      <c r="C20" s="2"/>
      <c r="D20" s="32" t="s">
        <v>87</v>
      </c>
      <c r="E20" s="30">
        <v>45440</v>
      </c>
      <c r="F20" s="35" t="s">
        <v>88</v>
      </c>
      <c r="G20" s="36">
        <f t="shared" si="1"/>
        <v>220838.40000000002</v>
      </c>
      <c r="H20" s="37" t="str">
        <f t="shared" si="2"/>
        <v>$220,838.40</v>
      </c>
    </row>
    <row r="21" spans="1:8" ht="15">
      <c r="A21" s="3" t="str">
        <f t="shared" si="0"/>
        <v>Eau Claire County (105,710) - $513,750.60</v>
      </c>
      <c r="C21" s="24"/>
      <c r="D21" s="32" t="s">
        <v>89</v>
      </c>
      <c r="E21" s="30">
        <v>105710</v>
      </c>
      <c r="F21" s="35" t="s">
        <v>90</v>
      </c>
      <c r="G21" s="36">
        <f t="shared" si="1"/>
        <v>513750.60000000003</v>
      </c>
      <c r="H21" s="37" t="str">
        <f t="shared" si="2"/>
        <v>$513,750.60</v>
      </c>
    </row>
    <row r="22" spans="1:8" ht="15">
      <c r="A22" s="3" t="str">
        <f t="shared" si="0"/>
        <v>Florence County (4,558) - $22,151.88</v>
      </c>
      <c r="D22" s="32" t="s">
        <v>91</v>
      </c>
      <c r="E22" s="30">
        <v>4558</v>
      </c>
      <c r="F22" s="35" t="s">
        <v>92</v>
      </c>
      <c r="G22" s="36">
        <f t="shared" si="1"/>
        <v>22151.88</v>
      </c>
      <c r="H22" s="37" t="str">
        <f t="shared" si="2"/>
        <v>$22,151.88</v>
      </c>
    </row>
    <row r="23" spans="1:8" ht="15">
      <c r="A23" s="3" t="str">
        <f t="shared" si="0"/>
        <v>Fond Du Loc County (104,154) - $506,188.44</v>
      </c>
      <c r="D23" s="32" t="s">
        <v>93</v>
      </c>
      <c r="E23" s="30">
        <v>104154</v>
      </c>
      <c r="F23" s="35" t="s">
        <v>94</v>
      </c>
      <c r="G23" s="36">
        <f t="shared" si="1"/>
        <v>506188.44000000006</v>
      </c>
      <c r="H23" s="37" t="str">
        <f t="shared" si="2"/>
        <v>$506,188.44</v>
      </c>
    </row>
    <row r="24" spans="1:8" ht="15">
      <c r="A24" s="3" t="str">
        <f t="shared" si="0"/>
        <v>Forest County (9,179) - $44,609.94</v>
      </c>
      <c r="D24" s="32" t="s">
        <v>95</v>
      </c>
      <c r="E24" s="30">
        <v>9179</v>
      </c>
      <c r="F24" s="35" t="s">
        <v>96</v>
      </c>
      <c r="G24" s="36">
        <f t="shared" si="1"/>
        <v>44609.94</v>
      </c>
      <c r="H24" s="37" t="str">
        <f t="shared" si="2"/>
        <v>$44,609.94</v>
      </c>
    </row>
    <row r="25" spans="1:8" ht="15">
      <c r="A25" s="3" t="str">
        <f t="shared" si="0"/>
        <v>Grant County (51,938) - $252,418.68</v>
      </c>
      <c r="D25" s="32" t="s">
        <v>97</v>
      </c>
      <c r="E25" s="30">
        <v>51938</v>
      </c>
      <c r="F25" s="35" t="s">
        <v>98</v>
      </c>
      <c r="G25" s="36">
        <f t="shared" si="1"/>
        <v>252418.68000000002</v>
      </c>
      <c r="H25" s="37" t="str">
        <f t="shared" si="2"/>
        <v>$252,418.68</v>
      </c>
    </row>
    <row r="26" spans="1:8" ht="15">
      <c r="A26" s="3" t="str">
        <f t="shared" si="0"/>
        <v>Green County (37,093) - $180,271.98</v>
      </c>
      <c r="D26" s="32" t="s">
        <v>99</v>
      </c>
      <c r="E26" s="30">
        <v>37093</v>
      </c>
      <c r="F26" s="35" t="s">
        <v>100</v>
      </c>
      <c r="G26" s="36">
        <f t="shared" si="1"/>
        <v>180271.98</v>
      </c>
      <c r="H26" s="37" t="str">
        <f t="shared" si="2"/>
        <v>$180,271.98</v>
      </c>
    </row>
    <row r="27" spans="1:8" ht="15">
      <c r="A27" s="3" t="str">
        <f t="shared" si="0"/>
        <v>Green Lake County (19,018) - $92,427.48</v>
      </c>
      <c r="D27" s="32" t="s">
        <v>101</v>
      </c>
      <c r="E27" s="30">
        <v>19018</v>
      </c>
      <c r="F27" s="35" t="s">
        <v>102</v>
      </c>
      <c r="G27" s="36">
        <f t="shared" si="1"/>
        <v>92427.48000000001</v>
      </c>
      <c r="H27" s="37" t="str">
        <f t="shared" si="2"/>
        <v>$92,427.48</v>
      </c>
    </row>
    <row r="28" spans="1:8" ht="15">
      <c r="A28" s="3" t="str">
        <f t="shared" si="0"/>
        <v>Iowa County (23,709) - $115,225.74</v>
      </c>
      <c r="D28" s="32" t="s">
        <v>103</v>
      </c>
      <c r="E28" s="30">
        <v>23709</v>
      </c>
      <c r="F28" s="35" t="s">
        <v>104</v>
      </c>
      <c r="G28" s="36">
        <f t="shared" si="1"/>
        <v>115225.74</v>
      </c>
      <c r="H28" s="37" t="str">
        <f t="shared" si="2"/>
        <v>$115,225.74</v>
      </c>
    </row>
    <row r="29" spans="1:8" ht="15">
      <c r="A29" s="3" t="str">
        <f t="shared" si="0"/>
        <v>Iron County (6,137) - $29,825.82</v>
      </c>
      <c r="D29" s="32" t="s">
        <v>105</v>
      </c>
      <c r="E29" s="30">
        <v>6137</v>
      </c>
      <c r="F29" s="35" t="s">
        <v>106</v>
      </c>
      <c r="G29" s="36">
        <f t="shared" si="1"/>
        <v>29825.820000000003</v>
      </c>
      <c r="H29" s="37" t="str">
        <f t="shared" si="2"/>
        <v>$29,825.82</v>
      </c>
    </row>
    <row r="30" spans="1:8" ht="15">
      <c r="A30" s="3" t="str">
        <f t="shared" si="0"/>
        <v>Jackson County (21,145) - $102,764.70</v>
      </c>
      <c r="D30" s="32" t="s">
        <v>107</v>
      </c>
      <c r="E30" s="30">
        <v>21145</v>
      </c>
      <c r="F30" s="35" t="s">
        <v>108</v>
      </c>
      <c r="G30" s="36">
        <f t="shared" si="1"/>
        <v>102764.70000000001</v>
      </c>
      <c r="H30" s="37" t="str">
        <f t="shared" si="2"/>
        <v>$102,764.70</v>
      </c>
    </row>
    <row r="31" spans="1:8" ht="15">
      <c r="A31" s="3" t="str">
        <f t="shared" si="0"/>
        <v>Jefferson County (84,900) - $412,614.00</v>
      </c>
      <c r="D31" s="32" t="s">
        <v>109</v>
      </c>
      <c r="E31" s="30">
        <v>84900</v>
      </c>
      <c r="F31" s="35" t="s">
        <v>110</v>
      </c>
      <c r="G31" s="36">
        <f t="shared" si="1"/>
        <v>412614</v>
      </c>
      <c r="H31" s="37" t="str">
        <f t="shared" si="2"/>
        <v>$412,614.00</v>
      </c>
    </row>
    <row r="32" spans="1:8" ht="15">
      <c r="A32" s="3" t="str">
        <f t="shared" si="0"/>
        <v>Juneau County (26,718) - $129,849.48</v>
      </c>
      <c r="D32" s="32" t="s">
        <v>111</v>
      </c>
      <c r="E32" s="30">
        <v>26718</v>
      </c>
      <c r="F32" s="35" t="s">
        <v>112</v>
      </c>
      <c r="G32" s="36">
        <f t="shared" si="1"/>
        <v>129849.48000000001</v>
      </c>
      <c r="H32" s="37" t="str">
        <f t="shared" si="2"/>
        <v>$129,849.48</v>
      </c>
    </row>
    <row r="33" spans="1:8" ht="15">
      <c r="A33" s="3" t="str">
        <f t="shared" si="0"/>
        <v>Kenosha County (169,151) - $822,073.86</v>
      </c>
      <c r="D33" s="32" t="s">
        <v>113</v>
      </c>
      <c r="E33" s="30">
        <v>169151</v>
      </c>
      <c r="F33" s="35" t="s">
        <v>114</v>
      </c>
      <c r="G33" s="36">
        <f t="shared" si="1"/>
        <v>822073.8600000001</v>
      </c>
      <c r="H33" s="37" t="str">
        <f t="shared" si="2"/>
        <v>$822,073.86</v>
      </c>
    </row>
    <row r="34" spans="1:8" ht="15">
      <c r="A34" s="3" t="str">
        <f t="shared" si="0"/>
        <v>Kewaunee County (20,563) - $99,936.18</v>
      </c>
      <c r="D34" s="32" t="s">
        <v>115</v>
      </c>
      <c r="E34" s="30">
        <v>20563</v>
      </c>
      <c r="F34" s="35" t="s">
        <v>116</v>
      </c>
      <c r="G34" s="36">
        <f t="shared" si="1"/>
        <v>99936.180000000008</v>
      </c>
      <c r="H34" s="37" t="str">
        <f t="shared" si="2"/>
        <v>$99,936.18</v>
      </c>
    </row>
    <row r="35" spans="1:8" ht="15">
      <c r="A35" s="3" t="str">
        <f t="shared" si="0"/>
        <v>La Cross County (120,784) - $587,010.24</v>
      </c>
      <c r="D35" s="32" t="s">
        <v>117</v>
      </c>
      <c r="E35" s="30">
        <v>120784</v>
      </c>
      <c r="F35" s="35" t="s">
        <v>118</v>
      </c>
      <c r="G35" s="36">
        <f t="shared" si="1"/>
        <v>587010.24</v>
      </c>
      <c r="H35" s="37" t="str">
        <f t="shared" si="2"/>
        <v>$587,010.24</v>
      </c>
    </row>
    <row r="36" spans="1:8" ht="15">
      <c r="A36" s="3" t="str">
        <f t="shared" si="0"/>
        <v>Lafayette County (16,611) - $80,729.46</v>
      </c>
      <c r="D36" s="32" t="s">
        <v>119</v>
      </c>
      <c r="E36" s="30">
        <v>16611</v>
      </c>
      <c r="F36" s="35" t="s">
        <v>120</v>
      </c>
      <c r="G36" s="36">
        <f t="shared" si="1"/>
        <v>80729.460000000006</v>
      </c>
      <c r="H36" s="37" t="str">
        <f t="shared" si="2"/>
        <v>$80,729.46</v>
      </c>
    </row>
    <row r="37" spans="1:8" ht="15">
      <c r="A37" s="3" t="str">
        <f t="shared" si="0"/>
        <v>Langlade County (19,491) - $94,726.26</v>
      </c>
      <c r="D37" s="32" t="s">
        <v>121</v>
      </c>
      <c r="E37" s="30">
        <v>19491</v>
      </c>
      <c r="F37" s="35" t="s">
        <v>122</v>
      </c>
      <c r="G37" s="36">
        <f t="shared" si="1"/>
        <v>94726.260000000009</v>
      </c>
      <c r="H37" s="37" t="str">
        <f t="shared" si="2"/>
        <v>$94,726.26</v>
      </c>
    </row>
    <row r="38" spans="1:8" ht="15">
      <c r="A38" s="3" t="str">
        <f t="shared" si="0"/>
        <v>Lincoln County (28,415) - $138,096.90</v>
      </c>
      <c r="D38" s="32" t="s">
        <v>123</v>
      </c>
      <c r="E38" s="30">
        <v>28415</v>
      </c>
      <c r="F38" s="35" t="s">
        <v>124</v>
      </c>
      <c r="G38" s="36">
        <f t="shared" si="1"/>
        <v>138096.90000000002</v>
      </c>
      <c r="H38" s="37" t="str">
        <f t="shared" si="2"/>
        <v>$138,096.90</v>
      </c>
    </row>
    <row r="39" spans="1:8" ht="15">
      <c r="A39" s="3" t="str">
        <f t="shared" si="0"/>
        <v>Manitowoc County (81,359) - $395,404.74</v>
      </c>
      <c r="D39" s="32" t="s">
        <v>125</v>
      </c>
      <c r="E39" s="30">
        <v>81359</v>
      </c>
      <c r="F39" s="35" t="s">
        <v>126</v>
      </c>
      <c r="G39" s="36">
        <f t="shared" si="1"/>
        <v>395404.74000000005</v>
      </c>
      <c r="H39" s="37" t="str">
        <f t="shared" si="2"/>
        <v>$395,404.74</v>
      </c>
    </row>
    <row r="40" spans="1:8" ht="15">
      <c r="A40" s="3" t="str">
        <f t="shared" si="0"/>
        <v>Marathon County (138,013) - $670,743.18</v>
      </c>
      <c r="D40" s="32" t="s">
        <v>127</v>
      </c>
      <c r="E40" s="30">
        <v>138013</v>
      </c>
      <c r="F40" s="35" t="s">
        <v>128</v>
      </c>
      <c r="G40" s="36">
        <f t="shared" si="1"/>
        <v>670743.18000000005</v>
      </c>
      <c r="H40" s="37" t="str">
        <f t="shared" si="2"/>
        <v>$670,743.18</v>
      </c>
    </row>
    <row r="41" spans="1:8" ht="15">
      <c r="A41" s="3" t="str">
        <f t="shared" si="0"/>
        <v>Marinette County (41,872) - $203,497.92</v>
      </c>
      <c r="D41" s="32" t="s">
        <v>129</v>
      </c>
      <c r="E41" s="30">
        <v>41872</v>
      </c>
      <c r="F41" s="35" t="s">
        <v>130</v>
      </c>
      <c r="G41" s="36">
        <f t="shared" si="1"/>
        <v>203497.92</v>
      </c>
      <c r="H41" s="37" t="str">
        <f t="shared" si="2"/>
        <v>$203,497.92</v>
      </c>
    </row>
    <row r="42" spans="1:8" ht="15">
      <c r="A42" s="3" t="str">
        <f t="shared" si="0"/>
        <v>Marquette County (15,592) - $75,777.12</v>
      </c>
      <c r="D42" s="32" t="s">
        <v>131</v>
      </c>
      <c r="E42" s="30">
        <v>15592</v>
      </c>
      <c r="F42" s="35" t="s">
        <v>132</v>
      </c>
      <c r="G42" s="36">
        <f t="shared" si="1"/>
        <v>75777.12000000001</v>
      </c>
      <c r="H42" s="37" t="str">
        <f t="shared" si="2"/>
        <v>$75,777.12</v>
      </c>
    </row>
    <row r="43" spans="1:8" ht="15">
      <c r="A43" s="3" t="str">
        <f t="shared" si="0"/>
        <v>Menominee County (4,255) - $20,679.30</v>
      </c>
      <c r="D43" s="32" t="s">
        <v>133</v>
      </c>
      <c r="E43" s="30">
        <v>4255</v>
      </c>
      <c r="F43" s="35" t="s">
        <v>134</v>
      </c>
      <c r="G43" s="36">
        <f t="shared" si="1"/>
        <v>20679.300000000003</v>
      </c>
      <c r="H43" s="37" t="str">
        <f t="shared" si="2"/>
        <v>$20,679.30</v>
      </c>
    </row>
    <row r="44" spans="1:8" ht="15">
      <c r="A44" s="3" t="str">
        <f t="shared" si="0"/>
        <v>Milwaukee County (939,489) - $4,565,916.54</v>
      </c>
      <c r="D44" s="32" t="s">
        <v>135</v>
      </c>
      <c r="E44" s="30">
        <v>939489</v>
      </c>
      <c r="F44" s="35" t="s">
        <v>136</v>
      </c>
      <c r="G44" s="36">
        <f t="shared" si="1"/>
        <v>4565916.54</v>
      </c>
      <c r="H44" s="37" t="str">
        <f t="shared" si="2"/>
        <v>$4,565,916.54</v>
      </c>
    </row>
    <row r="45" spans="1:8" ht="15">
      <c r="A45" s="3" t="str">
        <f t="shared" si="0"/>
        <v>Monroe County (46,274) - $224,891.64</v>
      </c>
      <c r="D45" s="32" t="s">
        <v>137</v>
      </c>
      <c r="E45" s="30">
        <v>46274</v>
      </c>
      <c r="F45" s="35" t="s">
        <v>138</v>
      </c>
      <c r="G45" s="36">
        <f t="shared" si="1"/>
        <v>224891.64</v>
      </c>
      <c r="H45" s="37" t="str">
        <f t="shared" si="2"/>
        <v>$224,891.64</v>
      </c>
    </row>
    <row r="46" spans="1:8" ht="15">
      <c r="A46" s="3" t="str">
        <f t="shared" si="0"/>
        <v>Oconto County (38,965) - $189,369.90</v>
      </c>
      <c r="D46" s="32" t="s">
        <v>139</v>
      </c>
      <c r="E46" s="30">
        <v>38965</v>
      </c>
      <c r="F46" s="35" t="s">
        <v>140</v>
      </c>
      <c r="G46" s="36">
        <f t="shared" si="1"/>
        <v>189369.90000000002</v>
      </c>
      <c r="H46" s="37" t="str">
        <f t="shared" si="2"/>
        <v>$189,369.90</v>
      </c>
    </row>
    <row r="47" spans="1:8" ht="15">
      <c r="A47" s="3" t="str">
        <f t="shared" si="0"/>
        <v>Oneida County (37,845) - $183,926.70</v>
      </c>
      <c r="D47" s="32" t="s">
        <v>141</v>
      </c>
      <c r="E47" s="30">
        <v>37845</v>
      </c>
      <c r="F47" s="35" t="s">
        <v>142</v>
      </c>
      <c r="G47" s="36">
        <f t="shared" si="1"/>
        <v>183926.7</v>
      </c>
      <c r="H47" s="37" t="str">
        <f t="shared" si="2"/>
        <v>$183,926.70</v>
      </c>
    </row>
    <row r="48" spans="1:8" ht="15">
      <c r="A48" s="3" t="str">
        <f t="shared" si="0"/>
        <v>Outagamie County (190,705) - $926,826.30</v>
      </c>
      <c r="D48" s="32" t="s">
        <v>143</v>
      </c>
      <c r="E48" s="30">
        <v>190705</v>
      </c>
      <c r="F48" s="35" t="s">
        <v>144</v>
      </c>
      <c r="G48" s="36">
        <f t="shared" si="1"/>
        <v>926826.3</v>
      </c>
      <c r="H48" s="37" t="str">
        <f t="shared" si="2"/>
        <v>$926,826.30</v>
      </c>
    </row>
    <row r="49" spans="1:8" ht="15">
      <c r="A49" s="3" t="str">
        <f t="shared" si="0"/>
        <v>Ozaukee County (91,503) - $444,704.58</v>
      </c>
      <c r="D49" s="32" t="s">
        <v>145</v>
      </c>
      <c r="E49" s="30">
        <v>91503</v>
      </c>
      <c r="F49" s="35" t="s">
        <v>146</v>
      </c>
      <c r="G49" s="36">
        <f t="shared" si="1"/>
        <v>444704.58</v>
      </c>
      <c r="H49" s="37" t="str">
        <f t="shared" si="2"/>
        <v>$444,704.58</v>
      </c>
    </row>
    <row r="50" spans="1:8" ht="15">
      <c r="A50" s="3" t="str">
        <f t="shared" si="0"/>
        <v>Pepin County (7,318) - $35,565.48</v>
      </c>
      <c r="D50" s="32" t="s">
        <v>147</v>
      </c>
      <c r="E50" s="30">
        <v>7318</v>
      </c>
      <c r="F50" s="35" t="s">
        <v>148</v>
      </c>
      <c r="G50" s="36">
        <f t="shared" si="1"/>
        <v>35565.480000000003</v>
      </c>
      <c r="H50" s="37" t="str">
        <f t="shared" si="2"/>
        <v>$35,565.48</v>
      </c>
    </row>
    <row r="51" spans="1:8" ht="15">
      <c r="A51" s="3" t="str">
        <f t="shared" si="0"/>
        <v>Pierce County (42,212) - $205,150.32</v>
      </c>
      <c r="D51" s="32" t="s">
        <v>149</v>
      </c>
      <c r="E51" s="30">
        <v>42212</v>
      </c>
      <c r="F51" s="35" t="s">
        <v>150</v>
      </c>
      <c r="G51" s="36">
        <f t="shared" si="1"/>
        <v>205150.32</v>
      </c>
      <c r="H51" s="37" t="str">
        <f t="shared" si="2"/>
        <v>$205,150.32</v>
      </c>
    </row>
    <row r="52" spans="1:8" ht="15">
      <c r="A52" s="3" t="str">
        <f t="shared" si="0"/>
        <v>Polk County (44,977) - $218,588.22</v>
      </c>
      <c r="D52" s="32" t="s">
        <v>151</v>
      </c>
      <c r="E52" s="30">
        <v>44977</v>
      </c>
      <c r="F52" s="35" t="s">
        <v>152</v>
      </c>
      <c r="G52" s="36">
        <f t="shared" si="1"/>
        <v>218588.22</v>
      </c>
      <c r="H52" s="37" t="str">
        <f t="shared" si="2"/>
        <v>$218,588.22</v>
      </c>
    </row>
    <row r="53" spans="1:8" ht="15">
      <c r="A53" s="3" t="str">
        <f t="shared" si="0"/>
        <v>Portage County (70,377) - $342,032.22</v>
      </c>
      <c r="D53" s="32" t="s">
        <v>153</v>
      </c>
      <c r="E53" s="30">
        <v>70377</v>
      </c>
      <c r="F53" s="35" t="s">
        <v>154</v>
      </c>
      <c r="G53" s="36">
        <f t="shared" si="1"/>
        <v>342032.22000000003</v>
      </c>
      <c r="H53" s="37" t="str">
        <f t="shared" si="2"/>
        <v>$342,032.22</v>
      </c>
    </row>
    <row r="54" spans="1:8" ht="15">
      <c r="A54" s="3" t="str">
        <f t="shared" si="0"/>
        <v>Price County (14,054) - $68,302.44</v>
      </c>
      <c r="D54" s="32" t="s">
        <v>155</v>
      </c>
      <c r="E54" s="30">
        <v>14054</v>
      </c>
      <c r="F54" s="35" t="s">
        <v>156</v>
      </c>
      <c r="G54" s="36">
        <f t="shared" si="1"/>
        <v>68302.44</v>
      </c>
      <c r="H54" s="37" t="str">
        <f t="shared" si="2"/>
        <v>$68,302.44</v>
      </c>
    </row>
    <row r="55" spans="1:8" ht="15">
      <c r="A55" s="3" t="str">
        <f t="shared" si="0"/>
        <v>Racine County (197,727) - $960,953.22</v>
      </c>
      <c r="D55" s="32" t="s">
        <v>157</v>
      </c>
      <c r="E55" s="30">
        <v>197727</v>
      </c>
      <c r="F55" s="35" t="s">
        <v>158</v>
      </c>
      <c r="G55" s="36">
        <f t="shared" si="1"/>
        <v>960953.22000000009</v>
      </c>
      <c r="H55" s="37" t="str">
        <f t="shared" si="2"/>
        <v>$960,953.22</v>
      </c>
    </row>
    <row r="56" spans="1:8" ht="15">
      <c r="A56" s="3" t="str">
        <f t="shared" si="0"/>
        <v>Richland County (17,304) - $84,097.44</v>
      </c>
      <c r="D56" s="32" t="s">
        <v>159</v>
      </c>
      <c r="E56" s="30">
        <v>17304</v>
      </c>
      <c r="F56" s="35" t="s">
        <v>160</v>
      </c>
      <c r="G56" s="36">
        <f t="shared" si="1"/>
        <v>84097.44</v>
      </c>
      <c r="H56" s="37" t="str">
        <f t="shared" si="2"/>
        <v>$84,097.44</v>
      </c>
    </row>
    <row r="57" spans="1:8" ht="15">
      <c r="A57" s="3" t="str">
        <f t="shared" si="0"/>
        <v>Rock County (163,687) - $795,518.82</v>
      </c>
      <c r="D57" s="32" t="s">
        <v>161</v>
      </c>
      <c r="E57" s="30">
        <v>163687</v>
      </c>
      <c r="F57" s="35" t="s">
        <v>162</v>
      </c>
      <c r="G57" s="36">
        <f t="shared" si="1"/>
        <v>795518.82000000007</v>
      </c>
      <c r="H57" s="37" t="str">
        <f t="shared" si="2"/>
        <v>$795,518.82</v>
      </c>
    </row>
    <row r="58" spans="1:8" ht="15">
      <c r="A58" s="3" t="str">
        <f t="shared" si="0"/>
        <v>Rusk County (14,188) - $68,953.68</v>
      </c>
      <c r="D58" s="32" t="s">
        <v>163</v>
      </c>
      <c r="E58" s="30">
        <v>14188</v>
      </c>
      <c r="F58" s="35" t="s">
        <v>164</v>
      </c>
      <c r="G58" s="36">
        <f t="shared" si="1"/>
        <v>68953.680000000008</v>
      </c>
      <c r="H58" s="37" t="str">
        <f t="shared" si="2"/>
        <v>$68,953.68</v>
      </c>
    </row>
    <row r="59" spans="1:8" ht="15">
      <c r="A59" s="3" t="str">
        <f t="shared" si="0"/>
        <v>St.Croix County (93,536) - $454,584.96</v>
      </c>
      <c r="D59" s="32" t="s">
        <v>165</v>
      </c>
      <c r="E59" s="30">
        <v>93536</v>
      </c>
      <c r="F59" s="35" t="s">
        <v>166</v>
      </c>
      <c r="G59" s="36">
        <f t="shared" si="1"/>
        <v>454584.96</v>
      </c>
      <c r="H59" s="37" t="str">
        <f t="shared" si="2"/>
        <v>$454,584.96</v>
      </c>
    </row>
    <row r="60" spans="1:8" ht="15">
      <c r="A60" s="3" t="str">
        <f t="shared" si="0"/>
        <v>Sauk County (65,763) - $319,608.18</v>
      </c>
      <c r="D60" s="32" t="s">
        <v>167</v>
      </c>
      <c r="E60" s="30">
        <v>65763</v>
      </c>
      <c r="F60" s="35" t="s">
        <v>168</v>
      </c>
      <c r="G60" s="36">
        <f t="shared" si="1"/>
        <v>319608.18</v>
      </c>
      <c r="H60" s="37" t="str">
        <f t="shared" si="2"/>
        <v>$319,608.18</v>
      </c>
    </row>
    <row r="61" spans="1:8" ht="15">
      <c r="A61" s="3" t="str">
        <f t="shared" si="0"/>
        <v>Sawyer County (18,074) - $87,839.64</v>
      </c>
      <c r="D61" s="32" t="s">
        <v>169</v>
      </c>
      <c r="E61" s="30">
        <v>18074</v>
      </c>
      <c r="F61" s="35" t="s">
        <v>170</v>
      </c>
      <c r="G61" s="36">
        <f t="shared" si="1"/>
        <v>87839.64</v>
      </c>
      <c r="H61" s="37" t="str">
        <f t="shared" si="2"/>
        <v>$87,839.64</v>
      </c>
    </row>
    <row r="62" spans="1:8" ht="15">
      <c r="A62" s="3" t="str">
        <f t="shared" si="0"/>
        <v>Shawano County (40,881) - $198,681.66</v>
      </c>
      <c r="D62" s="32" t="s">
        <v>171</v>
      </c>
      <c r="E62" s="30">
        <v>40881</v>
      </c>
      <c r="F62" s="35" t="s">
        <v>172</v>
      </c>
      <c r="G62" s="36">
        <f t="shared" si="1"/>
        <v>198681.66</v>
      </c>
      <c r="H62" s="37" t="str">
        <f t="shared" si="2"/>
        <v>$198,681.66</v>
      </c>
    </row>
    <row r="63" spans="1:8" ht="15">
      <c r="A63" s="3" t="str">
        <f t="shared" si="0"/>
        <v>Sheboygan County (118,034) - $573,645.24</v>
      </c>
      <c r="D63" s="32" t="s">
        <v>173</v>
      </c>
      <c r="E63" s="30">
        <v>118034</v>
      </c>
      <c r="F63" s="35" t="s">
        <v>174</v>
      </c>
      <c r="G63" s="36">
        <f t="shared" si="1"/>
        <v>573645.24</v>
      </c>
      <c r="H63" s="37" t="str">
        <f t="shared" si="2"/>
        <v>$573,645.24</v>
      </c>
    </row>
    <row r="64" spans="1:8" ht="15">
      <c r="A64" s="3" t="str">
        <f t="shared" si="0"/>
        <v>Taylor County (19,913) - $96,777.18</v>
      </c>
      <c r="D64" s="32" t="s">
        <v>175</v>
      </c>
      <c r="E64" s="30">
        <v>19913</v>
      </c>
      <c r="F64" s="35" t="s">
        <v>176</v>
      </c>
      <c r="G64" s="36">
        <f t="shared" si="1"/>
        <v>96777.180000000008</v>
      </c>
      <c r="H64" s="37" t="str">
        <f t="shared" si="2"/>
        <v>$96,777.18</v>
      </c>
    </row>
    <row r="65" spans="1:8" ht="15">
      <c r="A65" s="3" t="str">
        <f t="shared" si="0"/>
        <v>Trempealeau County (30,760) - $149,493.60</v>
      </c>
      <c r="D65" s="32" t="s">
        <v>177</v>
      </c>
      <c r="E65" s="30">
        <v>30760</v>
      </c>
      <c r="F65" s="35" t="s">
        <v>178</v>
      </c>
      <c r="G65" s="36">
        <f t="shared" si="1"/>
        <v>149493.6</v>
      </c>
      <c r="H65" s="37" t="str">
        <f t="shared" si="2"/>
        <v>$149,493.60</v>
      </c>
    </row>
    <row r="66" spans="1:8" ht="15">
      <c r="A66" s="3" t="str">
        <f t="shared" si="0"/>
        <v>Vernon County (30,714) - $149,270.04</v>
      </c>
      <c r="D66" s="32" t="s">
        <v>179</v>
      </c>
      <c r="E66" s="30">
        <v>30714</v>
      </c>
      <c r="F66" s="35" t="s">
        <v>180</v>
      </c>
      <c r="G66" s="36">
        <f t="shared" si="1"/>
        <v>149270.04</v>
      </c>
      <c r="H66" s="37" t="str">
        <f t="shared" si="2"/>
        <v>$149,270.04</v>
      </c>
    </row>
    <row r="67" spans="1:8" ht="15">
      <c r="A67" s="3" t="str">
        <f t="shared" si="0"/>
        <v>Vilas County (23,047) - $112,008.42</v>
      </c>
      <c r="D67" s="32" t="s">
        <v>181</v>
      </c>
      <c r="E67" s="30">
        <v>23047</v>
      </c>
      <c r="F67" s="35" t="s">
        <v>182</v>
      </c>
      <c r="G67" s="36">
        <f t="shared" si="1"/>
        <v>112008.42000000001</v>
      </c>
      <c r="H67" s="37" t="str">
        <f t="shared" si="2"/>
        <v>$112,008.42</v>
      </c>
    </row>
    <row r="68" spans="1:8" ht="15">
      <c r="A68" s="3" t="str">
        <f t="shared" si="0"/>
        <v>Walworth County (106,478) - $517,483.08</v>
      </c>
      <c r="D68" s="32" t="s">
        <v>183</v>
      </c>
      <c r="E68" s="30">
        <v>106478</v>
      </c>
      <c r="F68" s="35" t="s">
        <v>184</v>
      </c>
      <c r="G68" s="36">
        <f t="shared" si="1"/>
        <v>517483.08</v>
      </c>
      <c r="H68" s="37" t="str">
        <f t="shared" si="2"/>
        <v>$517,483.08</v>
      </c>
    </row>
    <row r="69" spans="1:8" ht="15">
      <c r="A69" s="3" t="str">
        <f t="shared" ref="A69:A75" si="3">D69 &amp; " (" &amp;F69&amp; ")" &amp; " - " &amp;H69</f>
        <v>Washburn County (16,623) - $80,787.78</v>
      </c>
      <c r="D69" s="32" t="s">
        <v>185</v>
      </c>
      <c r="E69" s="30">
        <v>16623</v>
      </c>
      <c r="F69" s="35" t="s">
        <v>186</v>
      </c>
      <c r="G69" s="36">
        <f t="shared" ref="G69:G75" si="4">E69*4.86</f>
        <v>80787.78</v>
      </c>
      <c r="H69" s="37" t="str">
        <f t="shared" ref="H69:H75" si="5">TEXT(G69,"$#,##0.00")</f>
        <v>$80,787.78</v>
      </c>
    </row>
    <row r="70" spans="1:8" ht="15">
      <c r="A70" s="3" t="str">
        <f t="shared" si="3"/>
        <v>Washington County (136,761) - $664,658.46</v>
      </c>
      <c r="D70" s="32" t="s">
        <v>187</v>
      </c>
      <c r="E70" s="30">
        <v>136761</v>
      </c>
      <c r="F70" s="35" t="s">
        <v>188</v>
      </c>
      <c r="G70" s="36">
        <f t="shared" si="4"/>
        <v>664658.46000000008</v>
      </c>
      <c r="H70" s="37" t="str">
        <f t="shared" si="5"/>
        <v>$664,658.46</v>
      </c>
    </row>
    <row r="71" spans="1:8" ht="15">
      <c r="A71" s="3" t="str">
        <f t="shared" si="3"/>
        <v>Waukesha County (406,978) - $1,977,913.08</v>
      </c>
      <c r="D71" s="32" t="s">
        <v>189</v>
      </c>
      <c r="E71" s="30">
        <v>406978</v>
      </c>
      <c r="F71" s="35" t="s">
        <v>190</v>
      </c>
      <c r="G71" s="36">
        <f t="shared" si="4"/>
        <v>1977913.08</v>
      </c>
      <c r="H71" s="37" t="str">
        <f t="shared" si="5"/>
        <v>$1,977,913.08</v>
      </c>
    </row>
    <row r="72" spans="1:8" ht="15">
      <c r="A72" s="3" t="str">
        <f t="shared" si="3"/>
        <v>Waupaca County (51,812) - $251,806.32</v>
      </c>
      <c r="D72" s="32" t="s">
        <v>191</v>
      </c>
      <c r="E72" s="30">
        <v>51812</v>
      </c>
      <c r="F72" s="35" t="s">
        <v>192</v>
      </c>
      <c r="G72" s="36">
        <f t="shared" si="4"/>
        <v>251806.32</v>
      </c>
      <c r="H72" s="37" t="str">
        <f t="shared" si="5"/>
        <v>$251,806.32</v>
      </c>
    </row>
    <row r="73" spans="1:8" ht="15">
      <c r="A73" s="3" t="str">
        <f t="shared" si="3"/>
        <v>Waushara County (24,520) - $119,167.20</v>
      </c>
      <c r="D73" s="32" t="s">
        <v>193</v>
      </c>
      <c r="E73" s="30">
        <v>24520</v>
      </c>
      <c r="F73" s="35" t="s">
        <v>194</v>
      </c>
      <c r="G73" s="36">
        <f t="shared" si="4"/>
        <v>119167.20000000001</v>
      </c>
      <c r="H73" s="37" t="str">
        <f t="shared" si="5"/>
        <v>$119,167.20</v>
      </c>
    </row>
    <row r="74" spans="1:8" ht="15">
      <c r="A74" s="3" t="str">
        <f t="shared" si="3"/>
        <v>Winnebago County (171,730) - $834,607.80</v>
      </c>
      <c r="D74" s="32" t="s">
        <v>195</v>
      </c>
      <c r="E74" s="30">
        <v>171730</v>
      </c>
      <c r="F74" s="35" t="s">
        <v>196</v>
      </c>
      <c r="G74" s="36">
        <f t="shared" si="4"/>
        <v>834607.8</v>
      </c>
      <c r="H74" s="37" t="str">
        <f t="shared" si="5"/>
        <v>$834,607.80</v>
      </c>
    </row>
    <row r="75" spans="1:8" ht="15">
      <c r="A75" s="3" t="str">
        <f t="shared" si="3"/>
        <v>Wood County (74,207) - $360,646.02</v>
      </c>
      <c r="D75" s="33" t="s">
        <v>197</v>
      </c>
      <c r="E75" s="31">
        <v>74207</v>
      </c>
      <c r="F75" s="35" t="s">
        <v>198</v>
      </c>
      <c r="G75" s="36">
        <f t="shared" si="4"/>
        <v>360646.02</v>
      </c>
      <c r="H75" s="37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951337-8392-4D46-B1EE-43F2B42A9FDC}"/>
</file>

<file path=customXml/itemProps2.xml><?xml version="1.0" encoding="utf-8"?>
<ds:datastoreItem xmlns:ds="http://schemas.openxmlformats.org/officeDocument/2006/customXml" ds:itemID="{EB4A9E63-9AC4-49CD-A09F-CFB5005F6FC1}"/>
</file>

<file path=customXml/itemProps3.xml><?xml version="1.0" encoding="utf-8"?>
<ds:datastoreItem xmlns:ds="http://schemas.openxmlformats.org/officeDocument/2006/customXml" ds:itemID="{8AC111C9-F2EB-4052-9CAF-1C6676F7EE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FEMA Region VII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FEMA</dc:creator>
  <cp:keywords/>
  <dc:description/>
  <cp:lastModifiedBy>Felix, Angel</cp:lastModifiedBy>
  <cp:revision/>
  <dcterms:created xsi:type="dcterms:W3CDTF">2000-06-27T13:20:49Z</dcterms:created>
  <dcterms:modified xsi:type="dcterms:W3CDTF">2026-07-13T13:20:49Z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