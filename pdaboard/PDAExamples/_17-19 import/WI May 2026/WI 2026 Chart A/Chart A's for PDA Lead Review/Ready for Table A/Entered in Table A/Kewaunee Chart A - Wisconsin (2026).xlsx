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hart A's for PDA Lead Review/Ready for Table A/"/>
    </mc:Choice>
  </mc:AlternateContent>
  <xr:revisionPtr revIDLastSave="117" documentId="13_ncr:1_{8E083EAB-3749-4216-906A-8A0C9AD27406}" xr6:coauthVersionLast="47" xr6:coauthVersionMax="47" xr10:uidLastSave="{9D74FF12-E6DC-4F2D-9626-24B27F535969}"/>
  <bookViews>
    <workbookView minimized="1" xWindow="348" yWindow="1356" windowWidth="21600" windowHeight="11232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<sst xmlns="http://schemas.openxmlformats.org/spreadsheetml/2006/main" count="205" uniqueCount="194">
  <si>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</si>
  <si>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</si>
  <si>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</si>
  <si>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</si>
  <si>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</si>
  <si>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</si>
  <si>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</si>
  <si>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</si>
  <si>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</si>
  <si>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</si>
  <si>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</si>
  <si>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</si>
  <si>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</si>
  <si>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</si>
  <si>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</si>
  <si>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</si>
  <si>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</si>
  <si>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</si>
  <si>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</si>
  <si>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</si>
  <si>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</si>
  <si>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</si>
  <si>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</si>
  <si>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</si>
  <si>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</si>
  <si>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</si>
  <si>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</si>
  <si>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</si>
  <si>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</si>
  <si>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</si>
  <si>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</si>
  <si>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</si>
  <si>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</si>
  <si>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</si>
  <si>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</si>
  <si>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</si>
  <si>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</si>
  <si>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</si>
  <si>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</si>
  <si>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</si>
  <si>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</si>
  <si>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</si>
  <si>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</si>
  <si>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</si>
  <si>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</si>
  <si>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</si>
  <si>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</si>
  <si>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</si>
  <si>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</si>
  <si>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</si>
  <si>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</si>
  <si>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</si>
  <si>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</si>
  <si>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</si>
  <si>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</si>
  <si>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</si>
  <si>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</si>
  <si>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</si>
  <si>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</si>
  <si>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</si>
  <si>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</si>
  <si>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</si>
  <si>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</si>
  <si>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</si>
  <si>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</si>
  <si>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</si>
  <si>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</si>
  <si>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</si>
  <si>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</si>
  <si>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</si>
  <si>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</si>
  <si>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</si>
  <si>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</si>
  <si>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</si>
  <si>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</si>
  <si>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</si>
  <si>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</si>
  <si>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</si>
  <si>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</si>
  <si>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</si>
  <si>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</si>
  <si>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</si>
  <si>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</si>
  <si>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</si>
  <si>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</si>
  <si>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</si>
  <si>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</si>
  <si>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</si>
  <si>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</si>
  <si>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</si>
  <si>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</si>
  <si>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</si>
  <si>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</si>
  <si>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</si>
  <si>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</si>
  <si>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</si>
  <si>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</si>
  <si>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</si>
  <si>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</si>
  <si>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</si>
  <si>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</si>
  <si>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</si>
  <si>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</si>
  <si>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</si>
  <si>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</si>
  <si>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</si>
  <si>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</si>
  <si>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</si>
  <si>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</si>
  <si>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</si>
  <si>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</si>
  <si>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</si>
  <si>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</si>
  <si>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</si>
  <si>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</si>
  <si>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</si>
  <si>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</si>
  <si>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</si>
  <si>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</si>
  <si>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</si>
  <si>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</si>
  <si>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</si>
  <si>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</si>
  <si>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</si>
  <si>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</si>
  <si>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</si>
  <si>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</si>
  <si>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</si>
  <si>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</si>
  <si>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</si>
  <si>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</si>
  <si>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</si>
  <si>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</si>
  <si>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</si>
  <si>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</si>
  <si>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</si>
  <si>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</si>
  <si>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</si>
  <si>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</si>
  <si>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</si>
  <si>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</si>
  <si>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</si>
  <si>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</si>
  <si>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</si>
  <si>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</si>
  <si>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</si>
  <si>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</si>
  <si>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</si>
  <si>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</si>
  <si>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</si>
  <si>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</si>
  <si>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</si>
  <si>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</si>
  <si>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</si>
  <si>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</si>
  <si>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</si>
  <si>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</si>
  <si>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</si>
  <si>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</si>
  <si>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</si>
  <si>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</si>
  <si>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</si>
  <si>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</si>
  <si>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</si>
  <si>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</si>
  <si>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</si>
  <si>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</si>
  <si>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</si>
  <si>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</si>
  <si>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</si>
  <si>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</si>
  <si>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</si>
  <si>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</si>
  <si>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</si>
  <si>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</si>
  <si>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</si>
  <si>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</si>
  <si>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</si>
  <si>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</si>
  <si>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</si>
  <si>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</si>
  <si>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Kewaunee County (20,563) - $99,936.18</t>
  </si>
  <si>
    <t>County</t>
  </si>
  <si>
    <t>Complete</t>
  </si>
  <si>
    <r>
      <rPr>
        <b/>
        <sz val="10"/>
        <rFont val="Arial"/>
        <family val="2"/>
      </rPr>
      <t xml:space="preserve">CAT A: Estimated: </t>
    </r>
    <r>
      <rPr>
        <sz val="10"/>
        <rFont val="Arial"/>
        <family val="2"/>
      </rPr>
      <t>$11,000 of debris removal county wide, specifically 7 roads.</t>
    </r>
    <r>
      <rPr>
        <b/>
        <sz val="10"/>
        <rFont val="Arial"/>
        <family val="2"/>
      </rPr>
      <t xml:space="preserve"> Validated</t>
    </r>
    <r>
      <rPr>
        <sz val="10"/>
        <rFont val="Arial"/>
        <family val="2"/>
      </rPr>
      <t xml:space="preserve">: $11,000 utilizing Applicant description, locations/map, and cost estimate.
</t>
    </r>
    <r>
      <rPr>
        <b/>
        <sz val="10"/>
        <rFont val="Arial"/>
        <family val="2"/>
      </rPr>
      <t xml:space="preserve">CAT B: Estimated: </t>
    </r>
    <r>
      <rPr>
        <sz val="10"/>
        <rFont val="Arial"/>
        <family val="2"/>
      </rPr>
      <t xml:space="preserve">$17,000 for EMPs on approximately 22 roads.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$17,000 utilizing Applicant description, locations/map, and cost estimate.
</t>
    </r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$228,000 for shoulder, ditch, and road washout and culvert replacement and guardrail repair on approximately 24 roads.</t>
    </r>
    <r>
      <rPr>
        <b/>
        <sz val="10"/>
        <rFont val="Arial"/>
        <family val="2"/>
      </rPr>
      <t xml:space="preserve"> Reduced: </t>
    </r>
    <r>
      <rPr>
        <sz val="10"/>
        <rFont val="Arial"/>
        <family val="2"/>
      </rPr>
      <t xml:space="preserve">$60,000 for FHWA roads.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$168,000 utilizing Applicant description, locations/map, and cost estimate.</t>
    </r>
    <r>
      <rPr>
        <b/>
        <sz val="10"/>
        <rFont val="Arial"/>
        <family val="2"/>
      </rPr>
      <t xml:space="preserve">
CAT G: Estimated:</t>
    </r>
    <r>
      <rPr>
        <sz val="10"/>
        <rFont val="Arial"/>
        <family val="2"/>
      </rPr>
      <t xml:space="preserve"> $65,000 for Trail and Park Debris Clean Up/trail damage and road washouts.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$65,000 utilizing Applicant description, locations/map, and cost estimate.</t>
    </r>
  </si>
  <si>
    <t>Lincoln, Town of</t>
  </si>
  <si>
    <t>City</t>
  </si>
  <si>
    <r>
      <t>CAT A: Estimated:</t>
    </r>
    <r>
      <rPr>
        <sz val="10"/>
        <rFont val="Arial"/>
        <family val="2"/>
      </rPr>
      <t xml:space="preserve"> $2,768.75 for debris removal at four road sites.</t>
    </r>
    <r>
      <rPr>
        <b/>
        <sz val="10"/>
        <rFont val="Arial"/>
        <family val="2"/>
      </rPr>
      <t xml:space="preserve"> Reduced:</t>
    </r>
    <r>
      <rPr>
        <sz val="10"/>
        <rFont val="Arial"/>
        <family val="2"/>
      </rPr>
      <t xml:space="preserve">  $2,768.75 for not meeting FY26 minimum project threshold of $4,100</t>
    </r>
    <r>
      <rPr>
        <b/>
        <sz val="10"/>
        <rFont val="Arial"/>
        <family val="2"/>
      </rPr>
      <t xml:space="preserve">. Validated $0.00.
CAT C: Estimated: </t>
    </r>
    <r>
      <rPr>
        <sz val="10"/>
        <rFont val="Arial"/>
        <family val="2"/>
      </rPr>
      <t xml:space="preserve">$9,500 for road/culvert repairs at three road sites.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$9,500 utilizing applicant provided descriptions, maps, and cost estimates.</t>
    </r>
  </si>
  <si>
    <t xml:space="preserve">Pierce, Town of </t>
  </si>
  <si>
    <t>Red River, Town of</t>
  </si>
  <si>
    <r>
      <rPr>
        <b/>
        <sz val="10"/>
        <rFont val="Arial"/>
        <family val="2"/>
      </rPr>
      <t xml:space="preserve">CAT C: Estimated </t>
    </r>
    <r>
      <rPr>
        <sz val="10"/>
        <rFont val="Arial"/>
        <family val="2"/>
      </rPr>
      <t xml:space="preserve">$5483 for damages to Kay Road.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$5483 utilizing applicant  provided descriptions, maps, and cost estimates.</t>
    </r>
  </si>
  <si>
    <t xml:space="preserve">West Kewaunee, Town of </t>
  </si>
  <si>
    <r>
      <rPr>
        <b/>
        <sz val="10"/>
        <rFont val="Arial"/>
        <family val="2"/>
      </rPr>
      <t>CAT C: Estimated</t>
    </r>
    <r>
      <rPr>
        <sz val="10"/>
        <rFont val="Arial"/>
        <family val="2"/>
      </rPr>
      <t xml:space="preserve"> $17,718 for damages to four road.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$17,718 utilizing applicant provided descriptions, maps, and updated cost estimates summary.</t>
    </r>
  </si>
  <si>
    <r>
      <rPr>
        <b/>
        <sz val="10"/>
        <rFont val="Arial"/>
        <family val="2"/>
      </rPr>
      <t>CAT C: Estimated</t>
    </r>
    <r>
      <rPr>
        <sz val="10"/>
        <rFont val="Arial"/>
        <family val="2"/>
      </rPr>
      <t xml:space="preserve"> $7,657 for damages to three roads.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$7,657 utilizing applicant provided descriptions, maps, and updated cost estimates summary.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</si>
</sst>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237765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237765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8" sqref="I18"/>
    </sheetView>
  </sheetViews>
  <sheetFormatPr defaultColWidth="16.77734375" defaultRowHeight="13.2" x14ac:dyDescent="0.25"/>
  <cols>
    <col min="1" max="1" width="0.77734375" style="43" customWidth="1"/>
    <col min="2" max="2" width="31.6640625" customWidth="1"/>
    <col min="3" max="3" width="13.7773437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1" customFormat="1" ht="20.100000000000001" customHeight="1" thickTop="1" thickBot="1" x14ac:dyDescent="0.3">
      <c r="A2" s="43"/>
      <c r="B2" s="57" t="s">
        <v>15</v>
      </c>
      <c r="C2" s="58"/>
      <c r="D2" s="5" t="s">
        <v>7</v>
      </c>
      <c r="E2" s="53" t="s">
        <v>9</v>
      </c>
      <c r="F2" s="54"/>
      <c r="G2" s="44" t="s">
        <v>13</v>
      </c>
      <c r="H2" s="45"/>
      <c r="I2" s="45"/>
      <c r="J2" s="45"/>
      <c r="K2" s="46"/>
      <c r="L2" s="6" t="s">
        <v>11</v>
      </c>
    </row>
    <row r="3" spans="1:12" s="1" customFormat="1" ht="31.2" customHeight="1" thickTop="1" thickBot="1" x14ac:dyDescent="0.3">
      <c r="A3" s="43"/>
      <c r="B3" s="59" t="s">
        <v>181</v>
      </c>
      <c r="C3" s="60"/>
      <c r="D3" s="14" t="s">
        <v>180</v>
      </c>
      <c r="E3" s="55">
        <f>SUM(Table6[[A]:[B]])</f>
        <v>27500</v>
      </c>
      <c r="F3" s="56"/>
      <c r="G3" s="47">
        <f>SUM(Table6[[C]:[G]])</f>
        <v>273360</v>
      </c>
      <c r="H3" s="48"/>
      <c r="I3" s="48"/>
      <c r="J3" s="48"/>
      <c r="K3" s="49"/>
      <c r="L3" s="9">
        <f>SUM(Table6[Applicant Total])</f>
        <v>300860</v>
      </c>
    </row>
    <row r="4" spans="1:12" ht="14.4" thickTop="1" thickBot="1" x14ac:dyDescent="0.3">
      <c r="B4" s="50"/>
      <c r="C4" s="51"/>
      <c r="D4" s="51"/>
      <c r="E4" s="51"/>
      <c r="F4" s="51"/>
      <c r="G4" s="51"/>
      <c r="H4" s="51"/>
      <c r="I4" s="51"/>
      <c r="J4" s="51"/>
      <c r="K4" s="51"/>
      <c r="L4" s="52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122</v>
      </c>
      <c r="C6" s="10" t="s">
        <v>182</v>
      </c>
      <c r="D6" s="11" t="s">
        <v>183</v>
      </c>
      <c r="E6" s="13">
        <v>10500</v>
      </c>
      <c r="F6" s="12">
        <v>17000</v>
      </c>
      <c r="G6" s="12">
        <v>168000</v>
      </c>
      <c r="H6" s="13"/>
      <c r="I6" s="13"/>
      <c r="J6" s="13"/>
      <c r="K6" s="13">
        <v>65000</v>
      </c>
      <c r="L6" s="15">
        <f>SUM(Table6[[#This Row],[A]:[G]])</f>
        <v>260500</v>
      </c>
    </row>
    <row r="7" spans="1:12" x14ac:dyDescent="0.25">
      <c r="B7" s="10" t="s">
        <v>185</v>
      </c>
      <c r="C7" s="10" t="s">
        <v>186</v>
      </c>
      <c r="D7" s="11" t="s">
        <v>183</v>
      </c>
      <c r="E7" s="13"/>
      <c r="F7" s="13"/>
      <c r="G7" s="12">
        <v>9500</v>
      </c>
      <c r="H7" s="12"/>
      <c r="I7" s="13"/>
      <c r="J7" s="13"/>
      <c r="K7" s="13"/>
      <c r="L7" s="15">
        <f>SUM(Table6[[#This Row],[A]:[G]])</f>
        <v>9500</v>
      </c>
    </row>
    <row r="8" spans="1:12" x14ac:dyDescent="0.25">
      <c r="B8" s="10" t="s">
        <v>188</v>
      </c>
      <c r="C8" s="10" t="s">
        <v>186</v>
      </c>
      <c r="D8" s="11" t="s">
        <v>183</v>
      </c>
      <c r="E8" s="13"/>
      <c r="F8" s="13"/>
      <c r="G8" s="13">
        <v>5483</v>
      </c>
      <c r="H8" s="13"/>
      <c r="I8" s="13"/>
      <c r="J8" s="13"/>
      <c r="K8" s="13"/>
      <c r="L8" s="15">
        <f>SUM(Table6[[#This Row],[A]:[G]])</f>
        <v>5483</v>
      </c>
    </row>
    <row r="9" spans="1:12" x14ac:dyDescent="0.25">
      <c r="B9" s="10" t="s">
        <v>189</v>
      </c>
      <c r="C9" s="10" t="s">
        <v>186</v>
      </c>
      <c r="D9" s="11" t="s">
        <v>183</v>
      </c>
      <c r="E9" s="13"/>
      <c r="F9" s="13"/>
      <c r="G9" s="13">
        <v>17718</v>
      </c>
      <c r="H9" s="13"/>
      <c r="I9" s="13"/>
      <c r="J9" s="13"/>
      <c r="K9" s="13"/>
      <c r="L9" s="15">
        <f>SUM(Table6[[#This Row],[A]:[G]])</f>
        <v>17718</v>
      </c>
    </row>
    <row r="10" spans="1:12" x14ac:dyDescent="0.25">
      <c r="B10" s="10" t="s">
        <v>191</v>
      </c>
      <c r="C10" s="10" t="s">
        <v>186</v>
      </c>
      <c r="D10" s="11" t="s">
        <v>183</v>
      </c>
      <c r="E10" s="13"/>
      <c r="F10" s="13"/>
      <c r="G10" s="13">
        <v>7659</v>
      </c>
      <c r="H10" s="13"/>
      <c r="I10" s="13"/>
      <c r="J10" s="13"/>
      <c r="K10" s="13"/>
      <c r="L10" s="15">
        <f>SUM(Table6[[#This Row],[A]:[G]])</f>
        <v>7659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79.2" x14ac:dyDescent="0.25">
      <c r="A2" s="28" t="str">
        <f>'County Summary'!B6</f>
        <v>Kewaunee County</v>
      </c>
      <c r="B2" s="40" t="s">
        <v>184</v>
      </c>
    </row>
    <row r="3" spans="1:2" ht="45" customHeight="1" x14ac:dyDescent="0.25">
      <c r="A3" s="28" t="str">
        <f>'County Summary'!B7</f>
        <v>Lincoln, Town of</v>
      </c>
      <c r="B3" s="41" t="s">
        <v>187</v>
      </c>
    </row>
    <row r="4" spans="1:2" ht="45" customHeight="1" x14ac:dyDescent="0.25">
      <c r="A4" s="28" t="str">
        <f>'County Summary'!B8</f>
        <v xml:space="preserve">Pierce, Town of </v>
      </c>
      <c r="B4" s="10" t="s">
        <v>190</v>
      </c>
    </row>
    <row r="5" spans="1:2" ht="45" customHeight="1" x14ac:dyDescent="0.25">
      <c r="A5" s="28" t="str">
        <f>'County Summary'!B9</f>
        <v>Red River, Town of</v>
      </c>
      <c r="B5" s="10" t="s">
        <v>192</v>
      </c>
    </row>
    <row r="6" spans="1:2" ht="45" customHeight="1" x14ac:dyDescent="0.25">
      <c r="A6" s="28" t="str">
        <f>'County Summary'!B10</f>
        <v xml:space="preserve">West Kewaunee, Town of </v>
      </c>
      <c r="B6" s="10" t="s">
        <v>193</v>
      </c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93021-69EF-4615-8BE6-62024F48991D}"/>
</file>

<file path=customXml/itemProps2.xml><?xml version="1.0" encoding="utf-8"?>
<ds:datastoreItem xmlns:ds="http://schemas.openxmlformats.org/officeDocument/2006/customXml" ds:itemID="{E2951337-8392-4D46-B1EE-43F2B42A9FDC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f1a833c-a938-4a5e-81e3-99cd1b92e526"/>
    <ds:schemaRef ds:uri="http://purl.org/dc/dcmitype/"/>
    <ds:schemaRef ds:uri="http://schemas.microsoft.com/office/infopath/2007/PartnerControls"/>
    <ds:schemaRef ds:uri="http://www.w3.org/XML/1998/namespace"/>
    <ds:schemaRef ds:uri="538c035d-569c-47ab-a864-fdd8ae3d451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2026-05-12T15:24:37Z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