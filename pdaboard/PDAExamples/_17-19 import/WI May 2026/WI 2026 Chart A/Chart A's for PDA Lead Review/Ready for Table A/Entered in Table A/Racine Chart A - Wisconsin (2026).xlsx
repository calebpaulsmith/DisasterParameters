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ounty Folders/Racine/"/>
    </mc:Choice>
  </mc:AlternateContent>
  <xr:revisionPtr revIDLastSave="116" documentId="13_ncr:1_{8E083EAB-3749-4216-906A-8A0C9AD27406}" xr6:coauthVersionLast="47" xr6:coauthVersionMax="47" xr10:uidLastSave="{721657C7-2315-42A4-897E-A8AB23908EB9}"/>
  <bookViews>
    <workbookView xWindow="-108" yWindow="-108" windowWidth="23256" windowHeight="12456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<sst xmlns="http://schemas.openxmlformats.org/spreadsheetml/2006/main" count="204" uniqueCount="195">
  <si>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</si>
  <si>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</si>
  <si>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</si>
  <si>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</si>
  <si>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</si>
  <si>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</si>
  <si>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</si>
  <si>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</si>
  <si>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</si>
  <si>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</si>
  <si>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</si>
  <si>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</si>
  <si>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</si>
  <si>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</si>
  <si>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</si>
  <si>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</si>
  <si>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</si>
  <si>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</si>
  <si>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</si>
  <si>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</si>
  <si>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</si>
  <si>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</si>
  <si>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</si>
  <si>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</si>
  <si>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</si>
  <si>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</si>
  <si>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</si>
  <si>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</si>
  <si>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</si>
  <si>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</si>
  <si>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</si>
  <si>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</si>
  <si>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</si>
  <si>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</si>
  <si>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</si>
  <si>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</si>
  <si>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</si>
  <si>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</si>
  <si>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</si>
  <si>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</si>
  <si>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</si>
  <si>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</si>
  <si>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</si>
  <si>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</si>
  <si>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</si>
  <si>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</si>
  <si>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</si>
  <si>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</si>
  <si>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</si>
  <si>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</si>
  <si>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</si>
  <si>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</si>
  <si>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</si>
  <si>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</si>
  <si>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</si>
  <si>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</si>
  <si>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</si>
  <si>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</si>
  <si>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</si>
  <si>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</si>
  <si>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</si>
  <si>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</si>
  <si>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</si>
  <si>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</si>
  <si>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</si>
  <si>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</si>
  <si>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</si>
  <si>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</si>
  <si>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</si>
  <si>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</si>
  <si>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</si>
  <si>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</si>
  <si>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</si>
  <si>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</si>
  <si>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</si>
  <si>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</si>
  <si>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</si>
  <si>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</si>
  <si>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</si>
  <si>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</si>
  <si>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</si>
  <si>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</si>
  <si>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</si>
  <si>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</si>
  <si>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</si>
  <si>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</si>
  <si>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</si>
  <si>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</si>
  <si>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</si>
  <si>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</si>
  <si>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</si>
  <si>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</si>
  <si>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</si>
  <si>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</si>
  <si>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</si>
  <si>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</si>
  <si>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</si>
  <si>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</si>
  <si>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</si>
  <si>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</si>
  <si>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</si>
  <si>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</si>
  <si>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</si>
  <si>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</si>
  <si>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</si>
  <si>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</si>
  <si>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</si>
  <si>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</si>
  <si>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</si>
  <si>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</si>
  <si>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</si>
  <si>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</si>
  <si>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</si>
  <si>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</si>
  <si>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</si>
  <si>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</si>
  <si>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</si>
  <si>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</si>
  <si>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</si>
  <si>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</si>
  <si>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</si>
  <si>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</si>
  <si>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</si>
  <si>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</si>
  <si>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</si>
  <si>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</si>
  <si>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</si>
  <si>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</si>
  <si>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</si>
  <si>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</si>
  <si>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</si>
  <si>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</si>
  <si>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</si>
  <si>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</si>
  <si>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</si>
  <si>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</si>
  <si>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</si>
  <si>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</si>
  <si>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</si>
  <si>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</si>
  <si>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</si>
  <si>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</si>
  <si>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</si>
  <si>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</si>
  <si>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</si>
  <si>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</si>
  <si>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</si>
  <si>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</si>
  <si>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</si>
  <si>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</si>
  <si>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</si>
  <si>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</si>
  <si>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</si>
  <si>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</si>
  <si>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</si>
  <si>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</si>
  <si>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</si>
  <si>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</si>
  <si>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</si>
  <si>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</si>
  <si>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</si>
  <si>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</si>
  <si>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</si>
  <si>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</si>
  <si>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</si>
  <si>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</si>
  <si>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</si>
  <si>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</si>
  <si>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</si>
  <si>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</si>
  <si>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</si>
  <si>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</si>
  <si>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</si>
  <si>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</si>
  <si>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</si>
  <si>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</si>
  <si>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</si>
  <si>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</si>
  <si>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</si>
  <si>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</si>
  <si>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</si>
  <si>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 xml:space="preserve">Burlington, City of </t>
  </si>
  <si>
    <t>City</t>
  </si>
  <si>
    <t>County</t>
  </si>
  <si>
    <t>Waterford, Town of</t>
  </si>
  <si>
    <t>Yorkville, Village of</t>
  </si>
  <si>
    <t>Complete</t>
  </si>
  <si>
    <r>
      <rPr>
        <b/>
        <sz val="10"/>
        <rFont val="Arial"/>
        <family val="2"/>
      </rPr>
      <t>CAT G:  Estimated:</t>
    </r>
    <r>
      <rPr>
        <sz val="10"/>
        <rFont val="Arial"/>
        <family val="2"/>
      </rPr>
      <t xml:space="preserve"> $15,690 for damages to a pedestrian bridge and city basketball court.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$15,690 utilizing photos and Applicant provided cost estimate. </t>
    </r>
  </si>
  <si>
    <t>Racine County (197,727) - $960,953.22</t>
  </si>
  <si>
    <r>
      <rPr>
        <b/>
        <sz val="10"/>
        <rFont val="Arial"/>
        <family val="2"/>
      </rPr>
      <t>CAT A: Estimated:</t>
    </r>
    <r>
      <rPr>
        <sz val="10"/>
        <rFont val="Arial"/>
        <family val="2"/>
      </rPr>
      <t xml:space="preserve"> $7,500 for debris removal around bridge.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>: $7,500 utilizing Applicant provided photos and cost estimate.</t>
    </r>
  </si>
  <si>
    <t>Government</t>
  </si>
  <si>
    <t>Wisconsin Department of Transportation</t>
  </si>
  <si>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$793,852 for six roads damage sites - culvert washout/replacement, shoulder washout, ashpalt road damages, and sink holes. Validated: $793,852 utilizing applicant provided photos, cost estimates, and damage descriptions and FEMA site visit.</t>
    </r>
  </si>
  <si>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$157,203.04 for four asphalt/culvert damaged sites.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$98,816.52 - three of the sites do not clearly identify disaster related damages, the claimed damaged asphalt appears to be in a state of disrepair before the disater.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$58,386.52 utilizing applicant provided photos and cost estimates.  </t>
    </r>
  </si>
  <si>
    <r>
      <rPr>
        <b/>
        <sz val="10"/>
        <rFont val="Arial"/>
        <family val="2"/>
      </rPr>
      <t xml:space="preserve">Cat B: Estimated: </t>
    </r>
    <r>
      <rPr>
        <sz val="10"/>
        <rFont val="Arial"/>
        <family val="2"/>
      </rPr>
      <t xml:space="preserve">$2,000 for traffic control costs due to road closures from flooding.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 xml:space="preserve">$2,000 using applicant provided summary sheets.
</t>
    </r>
    <r>
      <rPr>
        <b/>
        <sz val="10"/>
        <rFont val="Arial"/>
        <family val="2"/>
      </rPr>
      <t>Cat B: Estimated:</t>
    </r>
    <r>
      <rPr>
        <sz val="10"/>
        <rFont val="Arial"/>
        <family val="2"/>
      </rPr>
      <t xml:space="preserve"> $13,500 for road damages due to flooding.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$13,500 road is FWHA eligible.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</si>
</sst>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237765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237765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7" sqref="D7"/>
    </sheetView>
  </sheetViews>
  <sheetFormatPr defaultColWidth="16.77734375" defaultRowHeight="13.2" x14ac:dyDescent="0.25"/>
  <cols>
    <col min="1" max="1" width="0.77734375" style="42" customWidth="1"/>
    <col min="2" max="2" width="31.6640625" customWidth="1"/>
    <col min="3" max="3" width="13.7773437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s="1" customFormat="1" ht="20.100000000000001" customHeight="1" thickTop="1" thickBot="1" x14ac:dyDescent="0.3">
      <c r="A2" s="42"/>
      <c r="B2" s="56" t="s">
        <v>15</v>
      </c>
      <c r="C2" s="57"/>
      <c r="D2" s="5" t="s">
        <v>7</v>
      </c>
      <c r="E2" s="52" t="s">
        <v>9</v>
      </c>
      <c r="F2" s="53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42"/>
      <c r="B3" s="58" t="s">
        <v>188</v>
      </c>
      <c r="C3" s="59"/>
      <c r="D3" s="14"/>
      <c r="E3" s="54">
        <f>SUM(Table6[[A]:[B]])</f>
        <v>9500</v>
      </c>
      <c r="F3" s="55"/>
      <c r="G3" s="46">
        <f>SUM(Table6[[C]:[G]])</f>
        <v>867928.33000000007</v>
      </c>
      <c r="H3" s="47"/>
      <c r="I3" s="47"/>
      <c r="J3" s="47"/>
      <c r="K3" s="48"/>
      <c r="L3" s="9">
        <f>SUM(Table6[Applicant Total])</f>
        <v>877428.33000000007</v>
      </c>
    </row>
    <row r="4" spans="1:12" ht="14.4" thickTop="1" thickBot="1" x14ac:dyDescent="0.3">
      <c r="B4" s="49"/>
      <c r="C4" s="50"/>
      <c r="D4" s="50"/>
      <c r="E4" s="50"/>
      <c r="F4" s="50"/>
      <c r="G4" s="50"/>
      <c r="H4" s="50"/>
      <c r="I4" s="50"/>
      <c r="J4" s="50"/>
      <c r="K4" s="50"/>
      <c r="L4" s="51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181</v>
      </c>
      <c r="C6" s="10" t="s">
        <v>182</v>
      </c>
      <c r="D6" s="11" t="s">
        <v>186</v>
      </c>
      <c r="E6" s="13"/>
      <c r="F6" s="12"/>
      <c r="G6" s="12"/>
      <c r="H6" s="13"/>
      <c r="I6" s="13"/>
      <c r="J6" s="13"/>
      <c r="K6" s="13">
        <v>15690</v>
      </c>
      <c r="L6" s="15">
        <f>SUM(Table6[[#This Row],[A]:[G]])</f>
        <v>15690</v>
      </c>
    </row>
    <row r="7" spans="1:12" x14ac:dyDescent="0.25">
      <c r="B7" s="10" t="s">
        <v>141</v>
      </c>
      <c r="C7" s="10" t="s">
        <v>183</v>
      </c>
      <c r="D7" s="11" t="s">
        <v>186</v>
      </c>
      <c r="E7" s="13"/>
      <c r="F7" s="13"/>
      <c r="G7" s="12">
        <v>793851.81</v>
      </c>
      <c r="H7" s="12"/>
      <c r="I7" s="13"/>
      <c r="J7" s="13"/>
      <c r="K7" s="13"/>
      <c r="L7" s="15">
        <f>SUM(Table6[[#This Row],[A]:[G]])</f>
        <v>793851.81</v>
      </c>
    </row>
    <row r="8" spans="1:12" x14ac:dyDescent="0.25">
      <c r="B8" s="10" t="s">
        <v>184</v>
      </c>
      <c r="C8" s="10" t="s">
        <v>182</v>
      </c>
      <c r="D8" s="11" t="s">
        <v>186</v>
      </c>
      <c r="E8" s="13"/>
      <c r="F8" s="13"/>
      <c r="G8" s="13">
        <v>58386.52</v>
      </c>
      <c r="H8" s="13"/>
      <c r="I8" s="13"/>
      <c r="J8" s="13"/>
      <c r="K8" s="13"/>
      <c r="L8" s="15">
        <f>SUM(Table6[[#This Row],[A]:[G]])</f>
        <v>58386.52</v>
      </c>
    </row>
    <row r="9" spans="1:12" x14ac:dyDescent="0.25">
      <c r="B9" s="10" t="s">
        <v>185</v>
      </c>
      <c r="C9" s="10" t="s">
        <v>182</v>
      </c>
      <c r="D9" s="11" t="s">
        <v>186</v>
      </c>
      <c r="E9" s="13">
        <v>7500</v>
      </c>
      <c r="F9" s="13"/>
      <c r="G9" s="13"/>
      <c r="H9" s="13"/>
      <c r="I9" s="13"/>
      <c r="J9" s="13"/>
      <c r="K9" s="13"/>
      <c r="L9" s="15">
        <f>SUM(Table6[[#This Row],[A]:[G]])</f>
        <v>7500</v>
      </c>
    </row>
    <row r="10" spans="1:12" x14ac:dyDescent="0.25">
      <c r="B10" s="10" t="s">
        <v>191</v>
      </c>
      <c r="C10" s="10" t="s">
        <v>190</v>
      </c>
      <c r="D10" s="11" t="s">
        <v>186</v>
      </c>
      <c r="E10" s="13"/>
      <c r="F10" s="13">
        <v>2000</v>
      </c>
      <c r="G10" s="13"/>
      <c r="H10" s="13"/>
      <c r="I10" s="13"/>
      <c r="J10" s="13"/>
      <c r="K10" s="13"/>
      <c r="L10" s="15">
        <f>SUM(Table6[[#This Row],[A]:[G]])</f>
        <v>2000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 xml:space="preserve">Burlington, City of </v>
      </c>
      <c r="B2" s="10" t="s">
        <v>187</v>
      </c>
    </row>
    <row r="3" spans="1:2" ht="45" customHeight="1" x14ac:dyDescent="0.25">
      <c r="A3" s="28" t="str">
        <f>'County Summary'!B7</f>
        <v>Racine County</v>
      </c>
      <c r="B3" s="40" t="s">
        <v>192</v>
      </c>
    </row>
    <row r="4" spans="1:2" ht="45" customHeight="1" x14ac:dyDescent="0.25">
      <c r="A4" s="28" t="str">
        <f>'County Summary'!B8</f>
        <v>Waterford, Town of</v>
      </c>
      <c r="B4" s="40" t="s">
        <v>193</v>
      </c>
    </row>
    <row r="5" spans="1:2" ht="45" customHeight="1" x14ac:dyDescent="0.25">
      <c r="A5" s="28" t="str">
        <f>'County Summary'!B9</f>
        <v>Yorkville, Village of</v>
      </c>
      <c r="B5" s="10" t="s">
        <v>189</v>
      </c>
    </row>
    <row r="6" spans="1:2" ht="45" customHeight="1" x14ac:dyDescent="0.25">
      <c r="A6" s="28" t="str">
        <f>'County Summary'!B10</f>
        <v>Wisconsin Department of Transportation</v>
      </c>
      <c r="B6" s="40" t="s">
        <v>194</v>
      </c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951337-8392-4D46-B1EE-43F2B42A9FDC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538c035d-569c-47ab-a864-fdd8ae3d4516"/>
    <ds:schemaRef ds:uri="4f1a833c-a938-4a5e-81e3-99cd1b92e526"/>
  </ds:schemaRefs>
</ds:datastoreItem>
</file>

<file path=customXml/itemProps3.xml><?xml version="1.0" encoding="utf-8"?>
<ds:datastoreItem xmlns:ds="http://schemas.openxmlformats.org/officeDocument/2006/customXml" ds:itemID="{3AE09B12-88B8-4B32-98EB-0D4B068C1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2026-05-13T17:01:33Z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