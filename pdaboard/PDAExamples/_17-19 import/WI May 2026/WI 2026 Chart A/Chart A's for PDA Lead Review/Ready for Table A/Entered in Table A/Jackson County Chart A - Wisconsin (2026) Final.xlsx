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hart A's for PDA Lead Review/Ready for Table A/Entered in Table A/"/>
    </mc:Choice>
  </mc:AlternateContent>
  <xr:revisionPtr revIDLastSave="102" documentId="13_ncr:1_{8E083EAB-3749-4216-906A-8A0C9AD27406}" xr6:coauthVersionLast="47" xr6:coauthVersionMax="47" xr10:uidLastSave="{FB8EB993-E5A9-463B-8429-EF733F22D67C}"/>
  <bookViews>
    <workbookView xWindow="-108" yWindow="-108" windowWidth="23256" windowHeight="12456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<sst xmlns="http://schemas.openxmlformats.org/spreadsheetml/2006/main" count="197" uniqueCount="192">
  <si>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</si>
  <si>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</si>
  <si>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</si>
  <si>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</si>
  <si>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</si>
  <si>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</si>
  <si>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</si>
  <si>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</si>
  <si>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</si>
  <si>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</si>
  <si>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</si>
  <si>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</si>
  <si>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</si>
  <si>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</si>
  <si>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</si>
  <si>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</si>
  <si>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</si>
  <si>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</si>
  <si>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</si>
  <si>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</si>
  <si>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</si>
  <si>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</si>
  <si>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</si>
  <si>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</si>
  <si>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</si>
  <si>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</si>
  <si>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</si>
  <si>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</si>
  <si>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</si>
  <si>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</si>
  <si>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</si>
  <si>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</si>
  <si>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</si>
  <si>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</si>
  <si>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</si>
  <si>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</si>
  <si>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</si>
  <si>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</si>
  <si>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</si>
  <si>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</si>
  <si>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</si>
  <si>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</si>
  <si>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</si>
  <si>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</si>
  <si>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</si>
  <si>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</si>
  <si>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</si>
  <si>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</si>
  <si>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</si>
  <si>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</si>
  <si>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</si>
  <si>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</si>
  <si>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</si>
  <si>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</si>
  <si>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</si>
  <si>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</si>
  <si>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</si>
  <si>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</si>
  <si>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</si>
  <si>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</si>
  <si>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</si>
  <si>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</si>
  <si>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</si>
  <si>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</si>
  <si>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</si>
  <si>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</si>
  <si>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</si>
  <si>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</si>
  <si>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</si>
  <si>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</si>
  <si>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</si>
  <si>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</si>
  <si>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</si>
  <si>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</si>
  <si>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</si>
  <si>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</si>
  <si>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</si>
  <si>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</si>
  <si>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</si>
  <si>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</si>
  <si>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</si>
  <si>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</si>
  <si>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</si>
  <si>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</si>
  <si>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</si>
  <si>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</si>
  <si>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</si>
  <si>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</si>
  <si>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</si>
  <si>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</si>
  <si>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</si>
  <si>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</si>
  <si>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</si>
  <si>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</si>
  <si>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</si>
  <si>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</si>
  <si>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</si>
  <si>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</si>
  <si>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</si>
  <si>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</si>
  <si>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</si>
  <si>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</si>
  <si>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</si>
  <si>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</si>
  <si>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</si>
  <si>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</si>
  <si>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</si>
  <si>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</si>
  <si>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</si>
  <si>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</si>
  <si>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</si>
  <si>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</si>
  <si>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</si>
  <si>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</si>
  <si>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</si>
  <si>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</si>
  <si>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</si>
  <si>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</si>
  <si>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</si>
  <si>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</si>
  <si>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</si>
  <si>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</si>
  <si>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</si>
  <si>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</si>
  <si>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</si>
  <si>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</si>
  <si>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</si>
  <si>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</si>
  <si>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</si>
  <si>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</si>
  <si>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</si>
  <si>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</si>
  <si>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</si>
  <si>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</si>
  <si>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</si>
  <si>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</si>
  <si>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</si>
  <si>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</si>
  <si>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</si>
  <si>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</si>
  <si>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</si>
  <si>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</si>
  <si>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</si>
  <si>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</si>
  <si>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</si>
  <si>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</si>
  <si>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</si>
  <si>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</si>
  <si>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</si>
  <si>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</si>
  <si>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</si>
  <si>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</si>
  <si>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</si>
  <si>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</si>
  <si>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</si>
  <si>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</si>
  <si>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</si>
  <si>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</si>
  <si>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</si>
  <si>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</si>
  <si>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</si>
  <si>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</si>
  <si>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</si>
  <si>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</si>
  <si>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</si>
  <si>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</si>
  <si>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</si>
  <si>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</si>
  <si>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</si>
  <si>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</si>
  <si>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</si>
  <si>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</si>
  <si>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</si>
  <si>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</si>
  <si>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</si>
  <si>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</si>
  <si>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</si>
  <si>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</si>
  <si>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</si>
  <si>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</si>
  <si>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</si>
  <si>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Jackson County (21,145) - $102,764.70</t>
  </si>
  <si>
    <t>Ho Chunk</t>
  </si>
  <si>
    <t>Other</t>
  </si>
  <si>
    <t>Township of Komensky</t>
  </si>
  <si>
    <t>Government</t>
  </si>
  <si>
    <t>Jackson Electric Cooperative</t>
  </si>
  <si>
    <t>Co Op</t>
  </si>
  <si>
    <t>Complete</t>
  </si>
  <si>
    <r>
      <rPr>
        <b/>
        <sz val="10"/>
        <rFont val="Arial"/>
        <family val="2"/>
      </rPr>
      <t xml:space="preserve">Cat F: Estimated </t>
    </r>
    <r>
      <rPr>
        <sz val="10"/>
        <rFont val="Arial"/>
        <family val="2"/>
      </rPr>
      <t xml:space="preserve">$41,267.41 for storm damaged electric transmission lines and components that needed to be replaced. FAL, FAE, FAM.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$41,267.41 utilizing applicant provided invoices and estimates</t>
    </r>
  </si>
  <si>
    <r>
      <rPr>
        <b/>
        <sz val="10"/>
        <rFont val="Arial"/>
        <family val="2"/>
      </rPr>
      <t xml:space="preserve">Cat A: Estimated </t>
    </r>
    <r>
      <rPr>
        <sz val="10"/>
        <rFont val="Arial"/>
        <family val="2"/>
      </rPr>
      <t xml:space="preserve">$98,707.21 for vegetative debris removal from roads, right of way, blocking public access. FAL, FAM, FAE.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$98,707.21 utilizing applicant provided invoices and estimates</t>
    </r>
  </si>
  <si>
    <r>
      <rPr>
        <b/>
        <sz val="10"/>
        <rFont val="Arial"/>
        <family val="2"/>
      </rPr>
      <t>CAT A: Estimated</t>
    </r>
    <r>
      <rPr>
        <sz val="10"/>
        <rFont val="Arial"/>
        <family val="2"/>
      </rPr>
      <t xml:space="preserve"> $15,365.86 Force Account cleared downed trees across county highway and side roads.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$15,365.86 utilizing applicant provided photos, damage description and FAL/E cost estimates
</t>
    </r>
    <r>
      <rPr>
        <b/>
        <sz val="10"/>
        <rFont val="Arial"/>
        <family val="2"/>
      </rPr>
      <t>CAT B: Estimated</t>
    </r>
    <r>
      <rPr>
        <sz val="10"/>
        <rFont val="Arial"/>
        <family val="2"/>
      </rPr>
      <t xml:space="preserve"> $2,014.89 cleared downed power lines for emergency purposes, search and rescue, and traffic control.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$2,014.89 for not meeting FY26 minimum project threshold of $4,100.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</si>
</sst>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904133</xdr:colOff>
      <xdr:row>1</xdr:row>
      <xdr:rowOff>235860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313583</xdr:colOff>
      <xdr:row>1</xdr:row>
      <xdr:rowOff>235860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1380383</xdr:colOff>
      <xdr:row>1</xdr:row>
      <xdr:rowOff>235860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1583690</xdr:colOff>
      <xdr:row>5</xdr:row>
      <xdr:rowOff>5716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7" sqref="F7"/>
    </sheetView>
  </sheetViews>
  <sheetFormatPr defaultColWidth="16.6640625" defaultRowHeight="13.2" x14ac:dyDescent="0.25"/>
  <cols>
    <col min="1" max="1" width="0.6640625" style="42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s="1" customFormat="1" ht="20.100000000000001" customHeight="1" thickTop="1" thickBot="1" x14ac:dyDescent="0.3">
      <c r="A2" s="42"/>
      <c r="B2" s="56" t="s">
        <v>15</v>
      </c>
      <c r="C2" s="57"/>
      <c r="D2" s="5" t="s">
        <v>7</v>
      </c>
      <c r="E2" s="52" t="s">
        <v>9</v>
      </c>
      <c r="F2" s="53"/>
      <c r="G2" s="43" t="s">
        <v>13</v>
      </c>
      <c r="H2" s="44"/>
      <c r="I2" s="44"/>
      <c r="J2" s="44"/>
      <c r="K2" s="45"/>
      <c r="L2" s="6" t="s">
        <v>11</v>
      </c>
    </row>
    <row r="3" spans="1:12" s="1" customFormat="1" ht="31.2" customHeight="1" thickTop="1" thickBot="1" x14ac:dyDescent="0.3">
      <c r="A3" s="42"/>
      <c r="B3" s="58" t="s">
        <v>181</v>
      </c>
      <c r="C3" s="59"/>
      <c r="D3" s="14" t="s">
        <v>170</v>
      </c>
      <c r="E3" s="54">
        <f>SUM(Table6[[A]:[B]])</f>
        <v>114073.07</v>
      </c>
      <c r="F3" s="55"/>
      <c r="G3" s="46">
        <f>SUM(Table6[[C]:[G]])</f>
        <v>41267.410000000003</v>
      </c>
      <c r="H3" s="47"/>
      <c r="I3" s="47"/>
      <c r="J3" s="47"/>
      <c r="K3" s="48"/>
      <c r="L3" s="9">
        <f>SUM(Table6[Applicant Total])</f>
        <v>155340.48000000001</v>
      </c>
    </row>
    <row r="4" spans="1:12" ht="14.4" thickTop="1" thickBot="1" x14ac:dyDescent="0.3">
      <c r="B4" s="49"/>
      <c r="C4" s="50"/>
      <c r="D4" s="50"/>
      <c r="E4" s="50"/>
      <c r="F4" s="50"/>
      <c r="G4" s="50"/>
      <c r="H4" s="50"/>
      <c r="I4" s="50"/>
      <c r="J4" s="50"/>
      <c r="K4" s="50"/>
      <c r="L4" s="51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182</v>
      </c>
      <c r="C6" s="10" t="s">
        <v>183</v>
      </c>
      <c r="D6" s="11" t="s">
        <v>188</v>
      </c>
      <c r="E6" s="13">
        <v>98707.21</v>
      </c>
      <c r="F6" s="12"/>
      <c r="G6" s="12"/>
      <c r="H6" s="13"/>
      <c r="I6" s="13"/>
      <c r="J6" s="13"/>
      <c r="K6" s="13"/>
      <c r="L6" s="15">
        <f>SUM(Table6[[#This Row],[A]:[G]])</f>
        <v>98707.21</v>
      </c>
    </row>
    <row r="7" spans="1:12" x14ac:dyDescent="0.25">
      <c r="B7" s="10" t="s">
        <v>184</v>
      </c>
      <c r="C7" s="10" t="s">
        <v>185</v>
      </c>
      <c r="D7" s="11" t="s">
        <v>188</v>
      </c>
      <c r="E7" s="13">
        <v>15365.86</v>
      </c>
      <c r="F7" s="13"/>
      <c r="G7" s="12"/>
      <c r="H7" s="12"/>
      <c r="I7" s="13"/>
      <c r="J7" s="13"/>
      <c r="K7" s="13"/>
      <c r="L7" s="15">
        <f>SUM(Table6[[#This Row],[A]:[G]])</f>
        <v>15365.86</v>
      </c>
    </row>
    <row r="8" spans="1:12" x14ac:dyDescent="0.25">
      <c r="B8" s="10" t="s">
        <v>186</v>
      </c>
      <c r="C8" s="10" t="s">
        <v>187</v>
      </c>
      <c r="D8" s="11" t="s">
        <v>188</v>
      </c>
      <c r="E8" s="13"/>
      <c r="F8" s="13"/>
      <c r="G8" s="13"/>
      <c r="H8" s="13"/>
      <c r="I8" s="13"/>
      <c r="J8" s="13">
        <v>41267.410000000003</v>
      </c>
      <c r="K8" s="13"/>
      <c r="L8" s="15">
        <f>SUM(Table6[[#This Row],[A]:[G]])</f>
        <v>41267.410000000003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5" sqref="B5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Ho Chunk</v>
      </c>
      <c r="B2" s="2" t="s">
        <v>190</v>
      </c>
    </row>
    <row r="3" spans="1:2" ht="56.25" customHeight="1" x14ac:dyDescent="0.25">
      <c r="A3" s="28" t="str">
        <f>'County Summary'!B7</f>
        <v>Township of Komensky</v>
      </c>
      <c r="B3" s="40" t="s">
        <v>191</v>
      </c>
    </row>
    <row r="4" spans="1:2" ht="45" customHeight="1" x14ac:dyDescent="0.25">
      <c r="A4" s="28" t="str">
        <f>'County Summary'!B8</f>
        <v>Jackson Electric Cooperative</v>
      </c>
      <c r="B4" s="2" t="s">
        <v>189</v>
      </c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0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A9384-D7F0-476F-8D6B-E294306DB971}"/>
</file>

<file path=customXml/itemProps3.xml><?xml version="1.0" encoding="utf-8"?>
<ds:datastoreItem xmlns:ds="http://schemas.openxmlformats.org/officeDocument/2006/customXml" ds:itemID="{E2951337-8392-4D46-B1EE-43F2B42A9FDC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538c035d-569c-47ab-a864-fdd8ae3d4516"/>
    <ds:schemaRef ds:uri="http://purl.org/dc/elements/1.1/"/>
    <ds:schemaRef ds:uri="4f1a833c-a938-4a5e-81e3-99cd1b92e526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2026-05-12T20:46:59Z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