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ounty Folders/Marathon/"/>
    </mc:Choice>
  </mc:AlternateContent>
  <xr:revisionPtr revIDLastSave="172" documentId="13_ncr:1_{8E083EAB-3749-4216-906A-8A0C9AD27406}" xr6:coauthVersionLast="47" xr6:coauthVersionMax="47" xr10:uidLastSave="{6708AE72-D297-489E-A800-790D4B0B385F}"/>
  <bookViews>
    <workbookView xWindow="-108" yWindow="-108" windowWidth="23256" windowHeight="12456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<sst xmlns="http://schemas.openxmlformats.org/spreadsheetml/2006/main" count="203" uniqueCount="195">
  <si>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</si>
  <si>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</si>
  <si>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</si>
  <si>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</si>
  <si>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</si>
  <si>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</si>
  <si>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</si>
  <si>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</si>
  <si>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</si>
  <si>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</si>
  <si>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</si>
  <si>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</si>
  <si>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</si>
  <si>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</si>
  <si>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</si>
  <si>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</si>
  <si>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</si>
  <si>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</si>
  <si>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</si>
  <si>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</si>
  <si>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</si>
  <si>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</si>
  <si>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</si>
  <si>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</si>
  <si>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</si>
  <si>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</si>
  <si>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</si>
  <si>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</si>
  <si>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</si>
  <si>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</si>
  <si>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</si>
  <si>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</si>
  <si>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</si>
  <si>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</si>
  <si>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</si>
  <si>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</si>
  <si>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</si>
  <si>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</si>
  <si>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</si>
  <si>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</si>
  <si>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</si>
  <si>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</si>
  <si>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</si>
  <si>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</si>
  <si>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</si>
  <si>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</si>
  <si>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</si>
  <si>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</si>
  <si>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</si>
  <si>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</si>
  <si>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</si>
  <si>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</si>
  <si>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</si>
  <si>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</si>
  <si>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</si>
  <si>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</si>
  <si>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</si>
  <si>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</si>
  <si>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</si>
  <si>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</si>
  <si>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</si>
  <si>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</si>
  <si>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</si>
  <si>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</si>
  <si>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</si>
  <si>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</si>
  <si>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</si>
  <si>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</si>
  <si>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</si>
  <si>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</si>
  <si>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</si>
  <si>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</si>
  <si>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</si>
  <si>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</si>
  <si>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</si>
  <si>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</si>
  <si>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</si>
  <si>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</si>
  <si>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</si>
  <si>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</si>
  <si>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</si>
  <si>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</si>
  <si>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</si>
  <si>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</si>
  <si>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</si>
  <si>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</si>
  <si>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</si>
  <si>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</si>
  <si>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</si>
  <si>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</si>
  <si>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</si>
  <si>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</si>
  <si>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</si>
  <si>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</si>
  <si>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</si>
  <si>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</si>
  <si>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</si>
  <si>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</si>
  <si>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</si>
  <si>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</si>
  <si>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</si>
  <si>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</si>
  <si>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</si>
  <si>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</si>
  <si>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</si>
  <si>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</si>
  <si>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</si>
  <si>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</si>
  <si>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</si>
  <si>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</si>
  <si>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</si>
  <si>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</si>
  <si>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</si>
  <si>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</si>
  <si>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</si>
  <si>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</si>
  <si>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</si>
  <si>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</si>
  <si>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</si>
  <si>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</si>
  <si>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</si>
  <si>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</si>
  <si>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</si>
  <si>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</si>
  <si>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</si>
  <si>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</si>
  <si>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</si>
  <si>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</si>
  <si>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</si>
  <si>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</si>
  <si>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</si>
  <si>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</si>
  <si>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</si>
  <si>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</si>
  <si>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</si>
  <si>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</si>
  <si>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</si>
  <si>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</si>
  <si>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</si>
  <si>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</si>
  <si>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</si>
  <si>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</si>
  <si>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</si>
  <si>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</si>
  <si>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</si>
  <si>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</si>
  <si>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</si>
  <si>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</si>
  <si>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</si>
  <si>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</si>
  <si>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</si>
  <si>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</si>
  <si>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</si>
  <si>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</si>
  <si>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</si>
  <si>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</si>
  <si>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</si>
  <si>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</si>
  <si>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</si>
  <si>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</si>
  <si>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</si>
  <si>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</si>
  <si>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</si>
  <si>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</si>
  <si>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</si>
  <si>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</si>
  <si>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</si>
  <si>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</si>
  <si>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</si>
  <si>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</si>
  <si>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</si>
  <si>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</si>
  <si>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</si>
  <si>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</si>
  <si>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</si>
  <si>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</si>
  <si>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</si>
  <si>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</si>
  <si>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</si>
  <si>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</si>
  <si>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</si>
  <si>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Marathon County (138,013) - $670,743.18</t>
  </si>
  <si>
    <t>Town of Bergen</t>
  </si>
  <si>
    <t>Town of Day</t>
  </si>
  <si>
    <t>Town of Emmet</t>
  </si>
  <si>
    <t>Town of Ringle</t>
  </si>
  <si>
    <t>DC Everest School</t>
  </si>
  <si>
    <t>Central Wisonsin Airport</t>
  </si>
  <si>
    <r>
      <rPr>
        <b/>
        <sz val="10"/>
        <rFont val="Arial"/>
        <family val="2"/>
      </rPr>
      <t xml:space="preserve">CAT C: Estimated: </t>
    </r>
    <r>
      <rPr>
        <sz val="10"/>
        <rFont val="Arial"/>
        <family val="2"/>
      </rPr>
      <t xml:space="preserve">$105,165.05 for severe road washouts and multiple culvert failures needing replacement.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$105,165.05 utilizing applicant cost summaries including FAL, FAE, materials and contracts.</t>
    </r>
  </si>
  <si>
    <r>
      <rPr>
        <b/>
        <sz val="10"/>
        <rFont val="Arial"/>
        <family val="2"/>
      </rPr>
      <t xml:space="preserve">CAT C: Estimated: </t>
    </r>
    <r>
      <rPr>
        <sz val="10"/>
        <rFont val="Arial"/>
        <family val="2"/>
      </rPr>
      <t xml:space="preserve">$28,845 for repairs of a main road with 1,000 ft of deep washouts.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$28,845 using applicant cost summaries of materials and contract labor.</t>
    </r>
  </si>
  <si>
    <r>
      <rPr>
        <b/>
        <sz val="10"/>
        <rFont val="Arial"/>
        <family val="2"/>
      </rPr>
      <t>CAT C: Estimated</t>
    </r>
    <r>
      <rPr>
        <sz val="10"/>
        <rFont val="Arial"/>
        <family val="2"/>
      </rPr>
      <t xml:space="preserve">: $6,467.44 for culvert replacement and road repairs due to washouts of Sugar Bush, West Twin Creek, and Maple Leaf roads: </t>
    </r>
    <r>
      <rPr>
        <b/>
        <sz val="10"/>
        <rFont val="Arial"/>
        <family val="2"/>
      </rPr>
      <t>Validated $6,467.44</t>
    </r>
    <r>
      <rPr>
        <sz val="10"/>
        <rFont val="Arial"/>
        <family val="2"/>
      </rPr>
      <t xml:space="preserve"> utilizing the Applicant's cost summary which listed the total costs for FAL, Equipment, and Materials. All roads have been checked and are not FHWA.</t>
    </r>
  </si>
  <si>
    <t>Complete</t>
  </si>
  <si>
    <r>
      <rPr>
        <b/>
        <sz val="10"/>
        <rFont val="Arial"/>
        <family val="2"/>
      </rPr>
      <t xml:space="preserve">CAT E: Estimated: </t>
    </r>
    <r>
      <rPr>
        <sz val="10"/>
        <rFont val="Arial"/>
        <family val="2"/>
      </rPr>
      <t xml:space="preserve">$95,400.71 for repairs to 3 buildings damaged by the storm and additonal electrical repairs. </t>
    </r>
    <r>
      <rPr>
        <b/>
        <sz val="10"/>
        <rFont val="Arial"/>
        <family val="2"/>
      </rPr>
      <t xml:space="preserve">Reduced: </t>
    </r>
    <r>
      <rPr>
        <sz val="10"/>
        <rFont val="Arial"/>
        <family val="2"/>
      </rPr>
      <t xml:space="preserve">$45,400.71 covered by insurance. </t>
    </r>
    <r>
      <rPr>
        <b/>
        <sz val="10"/>
        <rFont val="Arial"/>
        <family val="2"/>
      </rPr>
      <t xml:space="preserve">Validated: </t>
    </r>
    <r>
      <rPr>
        <sz val="10"/>
        <rFont val="Arial"/>
        <family val="2"/>
      </rPr>
      <t>$50,000 deductible applied.</t>
    </r>
  </si>
  <si>
    <r>
      <rPr>
        <b/>
        <sz val="10"/>
        <rFont val="Arial"/>
        <family val="2"/>
      </rPr>
      <t>CAT E: Estimated</t>
    </r>
    <r>
      <rPr>
        <sz val="10"/>
        <rFont val="Arial"/>
        <family val="2"/>
      </rPr>
      <t xml:space="preserve">: $25,000 for the insurance deductible for Riverside Elementary school to repair roofing, rebuild exterior walls windows of the 80,797 square foot building.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>: $25,000 deductible using applicant provided estimates, insurance policy, and verification from meeting Applicant and Emergency Manager.</t>
    </r>
  </si>
  <si>
    <r>
      <rPr>
        <b/>
        <sz val="10"/>
        <rFont val="Arial"/>
        <family val="2"/>
      </rPr>
      <t>CAT A: Estimated:</t>
    </r>
    <r>
      <rPr>
        <sz val="10"/>
        <rFont val="Arial"/>
        <family val="2"/>
      </rPr>
      <t xml:space="preserve"> $23,506.92 in FAL, Equipment and Contract costs for removal of debris and right of way per Applicant description and estimate.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$23,506.92 utilizing the Applicant's cost summaries.
</t>
    </r>
    <r>
      <rPr>
        <b/>
        <sz val="10"/>
        <rFont val="Arial"/>
        <family val="2"/>
      </rPr>
      <t>CAT B: Estimated:</t>
    </r>
    <r>
      <rPr>
        <sz val="10"/>
        <rFont val="Arial"/>
        <family val="2"/>
      </rPr>
      <t xml:space="preserve"> $32,955.12 for emergency protective measures in response to a tornado, including FAL for volunteer fire personnel and the procurement of materials and equipment.</t>
    </r>
    <r>
      <rPr>
        <b/>
        <sz val="10"/>
        <rFont val="Arial"/>
        <family val="2"/>
      </rPr>
      <t xml:space="preserve"> Validated:</t>
    </r>
    <r>
      <rPr>
        <sz val="10"/>
        <rFont val="Arial"/>
        <family val="2"/>
      </rPr>
      <t xml:space="preserve"> $32,955.12 utilizing the Applicant's cost summaries. Also, volunteer labor costs totaling $406.00 listed in the "volunteer labor" tab of the Applicant's cost summary report, were not claimed in the summary.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</si>
</sst>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wrapText="1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904133</xdr:colOff>
      <xdr:row>1</xdr:row>
      <xdr:rowOff>235860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313583</xdr:colOff>
      <xdr:row>1</xdr:row>
      <xdr:rowOff>235860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1380383</xdr:colOff>
      <xdr:row>1</xdr:row>
      <xdr:rowOff>235860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1583690</xdr:colOff>
      <xdr:row>5</xdr:row>
      <xdr:rowOff>5716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zoomScale="14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0" sqref="E10"/>
    </sheetView>
  </sheetViews>
  <sheetFormatPr defaultColWidth="16.6640625" defaultRowHeight="13.2" x14ac:dyDescent="0.25"/>
  <cols>
    <col min="1" max="1" width="0.6640625" style="43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1" customFormat="1" ht="20.100000000000001" customHeight="1" thickTop="1" thickBot="1" x14ac:dyDescent="0.3">
      <c r="A2" s="43"/>
      <c r="B2" s="57" t="s">
        <v>15</v>
      </c>
      <c r="C2" s="58"/>
      <c r="D2" s="5" t="s">
        <v>7</v>
      </c>
      <c r="E2" s="53" t="s">
        <v>9</v>
      </c>
      <c r="F2" s="54"/>
      <c r="G2" s="44" t="s">
        <v>13</v>
      </c>
      <c r="H2" s="45"/>
      <c r="I2" s="45"/>
      <c r="J2" s="45"/>
      <c r="K2" s="46"/>
      <c r="L2" s="6" t="s">
        <v>11</v>
      </c>
    </row>
    <row r="3" spans="1:12" s="1" customFormat="1" ht="31.2" customHeight="1" thickTop="1" thickBot="1" x14ac:dyDescent="0.3">
      <c r="A3" s="43"/>
      <c r="B3" s="59" t="s">
        <v>181</v>
      </c>
      <c r="C3" s="60"/>
      <c r="D3" s="14" t="s">
        <v>166</v>
      </c>
      <c r="E3" s="55">
        <f>SUM(Table6[[A]:[B]])</f>
        <v>56462.04</v>
      </c>
      <c r="F3" s="56"/>
      <c r="G3" s="47">
        <f>SUM(Table6[[C]:[G]])</f>
        <v>215477.49</v>
      </c>
      <c r="H3" s="48"/>
      <c r="I3" s="48"/>
      <c r="J3" s="48"/>
      <c r="K3" s="49"/>
      <c r="L3" s="9">
        <f>SUM(Table6[Applicant Total])</f>
        <v>271939.53000000003</v>
      </c>
    </row>
    <row r="4" spans="1:12" ht="14.4" thickTop="1" thickBot="1" x14ac:dyDescent="0.3">
      <c r="B4" s="50"/>
      <c r="C4" s="51"/>
      <c r="D4" s="51"/>
      <c r="E4" s="51"/>
      <c r="F4" s="51"/>
      <c r="G4" s="51"/>
      <c r="H4" s="51"/>
      <c r="I4" s="51"/>
      <c r="J4" s="51"/>
      <c r="K4" s="51"/>
      <c r="L4" s="52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187</v>
      </c>
      <c r="C6" s="10"/>
      <c r="D6" s="11" t="s">
        <v>191</v>
      </c>
      <c r="E6" s="13"/>
      <c r="F6" s="12"/>
      <c r="G6" s="12"/>
      <c r="H6" s="13"/>
      <c r="I6" s="13">
        <v>50000</v>
      </c>
      <c r="J6" s="13"/>
      <c r="K6" s="13"/>
      <c r="L6" s="15">
        <f>SUM(Table6[[#This Row],[A]:[G]])</f>
        <v>50000</v>
      </c>
    </row>
    <row r="7" spans="1:12" x14ac:dyDescent="0.25">
      <c r="B7" s="10" t="s">
        <v>182</v>
      </c>
      <c r="C7" s="10"/>
      <c r="D7" s="11" t="s">
        <v>191</v>
      </c>
      <c r="E7" s="13"/>
      <c r="F7" s="13"/>
      <c r="G7" s="12">
        <v>105165.05</v>
      </c>
      <c r="H7" s="12"/>
      <c r="I7" s="13"/>
      <c r="J7" s="13"/>
      <c r="K7" s="13"/>
      <c r="L7" s="15">
        <f>SUM(Table6[[#This Row],[A]:[G]])</f>
        <v>105165.05</v>
      </c>
    </row>
    <row r="8" spans="1:12" x14ac:dyDescent="0.25">
      <c r="B8" s="10" t="s">
        <v>183</v>
      </c>
      <c r="C8" s="10"/>
      <c r="D8" s="11" t="s">
        <v>191</v>
      </c>
      <c r="E8" s="13"/>
      <c r="F8" s="13"/>
      <c r="G8" s="13">
        <v>28845</v>
      </c>
      <c r="H8" s="13"/>
      <c r="I8" s="13"/>
      <c r="J8" s="13"/>
      <c r="K8" s="13"/>
      <c r="L8" s="15">
        <f>SUM(Table6[[#This Row],[A]:[G]])</f>
        <v>28845</v>
      </c>
    </row>
    <row r="9" spans="1:12" x14ac:dyDescent="0.25">
      <c r="B9" s="10" t="s">
        <v>184</v>
      </c>
      <c r="C9" s="10"/>
      <c r="D9" s="11" t="s">
        <v>191</v>
      </c>
      <c r="E9" s="13"/>
      <c r="F9" s="13"/>
      <c r="G9" s="13">
        <v>6467.44</v>
      </c>
      <c r="H9" s="13"/>
      <c r="I9" s="13"/>
      <c r="J9" s="13"/>
      <c r="K9" s="13"/>
      <c r="L9" s="15">
        <f>SUM(Table6[[#This Row],[A]:[G]])</f>
        <v>6467.44</v>
      </c>
    </row>
    <row r="10" spans="1:12" x14ac:dyDescent="0.25">
      <c r="B10" s="10" t="s">
        <v>185</v>
      </c>
      <c r="C10" s="10"/>
      <c r="D10" s="11" t="s">
        <v>191</v>
      </c>
      <c r="E10" s="13">
        <v>23506.92</v>
      </c>
      <c r="F10" s="13">
        <v>32955.120000000003</v>
      </c>
      <c r="G10" s="13"/>
      <c r="H10" s="13"/>
      <c r="I10" s="13"/>
      <c r="J10" s="13"/>
      <c r="K10" s="13"/>
      <c r="L10" s="15">
        <f>SUM(Table6[[#This Row],[A]:[G]])</f>
        <v>56462.04</v>
      </c>
    </row>
    <row r="11" spans="1:12" x14ac:dyDescent="0.25">
      <c r="B11" s="10" t="s">
        <v>186</v>
      </c>
      <c r="C11" s="10"/>
      <c r="D11" s="11" t="s">
        <v>191</v>
      </c>
      <c r="E11" s="13"/>
      <c r="F11" s="13"/>
      <c r="G11" s="13"/>
      <c r="H11" s="13"/>
      <c r="I11" s="13">
        <v>25000</v>
      </c>
      <c r="J11" s="13"/>
      <c r="K11" s="13"/>
      <c r="L11" s="15">
        <f>SUM(Table6[[#This Row],[A]:[G]])</f>
        <v>25000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zoomScale="120" zoomScaleNormal="120" workbookViewId="0">
      <pane ySplit="1" topLeftCell="A3" activePane="bottomLeft" state="frozen"/>
      <selection pane="bottomLeft" activeCell="B7" sqref="B7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Central Wisonsin Airport</v>
      </c>
      <c r="B2" s="41" t="s">
        <v>192</v>
      </c>
    </row>
    <row r="3" spans="1:2" ht="45" customHeight="1" x14ac:dyDescent="0.25">
      <c r="A3" s="28" t="str">
        <f>'County Summary'!B7</f>
        <v>Town of Bergen</v>
      </c>
      <c r="B3" s="40" t="s">
        <v>188</v>
      </c>
    </row>
    <row r="4" spans="1:2" ht="45" customHeight="1" x14ac:dyDescent="0.25">
      <c r="A4" s="28" t="str">
        <f>'County Summary'!B8</f>
        <v>Town of Day</v>
      </c>
      <c r="B4" t="s">
        <v>189</v>
      </c>
    </row>
    <row r="5" spans="1:2" ht="45" customHeight="1" x14ac:dyDescent="0.25">
      <c r="A5" s="28" t="str">
        <f>'County Summary'!B9</f>
        <v>Town of Emmet</v>
      </c>
      <c r="B5" s="40" t="s">
        <v>190</v>
      </c>
    </row>
    <row r="6" spans="1:2" ht="79.5" customHeight="1" x14ac:dyDescent="0.25">
      <c r="A6" s="28" t="str">
        <f>'County Summary'!B10</f>
        <v>Town of Ringle</v>
      </c>
      <c r="B6" s="61" t="s">
        <v>194</v>
      </c>
    </row>
    <row r="7" spans="1:2" ht="45" customHeight="1" x14ac:dyDescent="0.25">
      <c r="A7" s="28" t="str">
        <f>'County Summary'!B11</f>
        <v>DC Everest School</v>
      </c>
      <c r="B7" s="41" t="s">
        <v>193</v>
      </c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951337-8392-4D46-B1EE-43F2B42A9FDC}">
  <ds:schemaRefs>
    <ds:schemaRef ds:uri="http://schemas.microsoft.com/office/2006/metadata/properties"/>
    <ds:schemaRef ds:uri="http://purl.org/dc/terms/"/>
    <ds:schemaRef ds:uri="http://www.w3.org/XML/1998/namespace"/>
    <ds:schemaRef ds:uri="538c035d-569c-47ab-a864-fdd8ae3d4516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f1a833c-a938-4a5e-81e3-99cd1b92e52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E09B12-88B8-4B32-98EB-0D4B068C1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Felix, Angel</cp:lastModifiedBy>
  <cp:lastPrinted>2021-08-11T17:13:15Z</cp:lastPrinted>
  <dcterms:created xsi:type="dcterms:W3CDTF">2000-06-27T13:20:49Z</dcterms:created>
  <dcterms:modified xsi:type="dcterms:W3CDTF">2026-05-14T19:46:59Z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