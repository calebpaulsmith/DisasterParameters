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WI PDA May 2026/Damage Data/Chart A's for PDA Lead Review/Ready for Table A/Entered in Table A/"/>
    </mc:Choice>
  </mc:AlternateContent>
  <xr:revisionPtr revIDLastSave="373" documentId="13_ncr:1_{8E083EAB-3749-4216-906A-8A0C9AD27406}" xr6:coauthVersionLast="47" xr6:coauthVersionMax="47" xr10:uidLastSave="{0586F0A8-AB64-4ED2-9107-E5AC0FC221C5}"/>
  <bookViews>
    <workbookView xWindow="57480" yWindow="-120" windowWidth="29040" windowHeight="15720" activeTab="1" xr2:uid="{00000000-000D-0000-FFFF-FFFF00000000}"/>
  </bookViews>
  <sheets>
    <sheet name="County Summary" sheetId="4" r:id="rId1"/>
    <sheet name="Deduction Comments" sheetId="10" r:id="rId2"/>
    <sheet name="Notes" sheetId="11" state="hidden" r:id="rId3"/>
    <sheet name="County Population and Threshold" sheetId="9" state="hidden" r:id="rId4"/>
  </sheets>
  <externalReferences>
    <externalReference r:id="rId5"/>
  </externalReferences>
  <definedNames>
    <definedName name="_xlnm._FilterDatabase" localSheetId="3" hidden="1">'County Population and Threshold'!$C$3:$C$21</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 i="9" l="1"/>
  <c r="G4" i="9"/>
  <c r="A3" i="10"/>
  <c r="A2" i="10"/>
  <c r="H24" i="9" l="1"/>
  <c r="A24" i="9" s="1"/>
  <c r="H25" i="9"/>
  <c r="A25" i="9" s="1"/>
  <c r="H26" i="9"/>
  <c r="A26" i="9" s="1"/>
  <c r="H27" i="9"/>
  <c r="A27" i="9" s="1"/>
  <c r="H28" i="9"/>
  <c r="A28" i="9" s="1"/>
  <c r="H29" i="9"/>
  <c r="A29" i="9" s="1"/>
  <c r="H30" i="9"/>
  <c r="A30" i="9" s="1"/>
  <c r="H31" i="9"/>
  <c r="A31" i="9" s="1"/>
  <c r="H40" i="9"/>
  <c r="H41" i="9"/>
  <c r="A41" i="9" s="1"/>
  <c r="H42" i="9"/>
  <c r="A42" i="9" s="1"/>
  <c r="H43" i="9"/>
  <c r="A43" i="9" s="1"/>
  <c r="H44" i="9"/>
  <c r="A44" i="9" s="1"/>
  <c r="H45" i="9"/>
  <c r="A45" i="9" s="1"/>
  <c r="H46" i="9"/>
  <c r="A46" i="9" s="1"/>
  <c r="H47" i="9"/>
  <c r="A47" i="9" s="1"/>
  <c r="H56" i="9"/>
  <c r="H57" i="9"/>
  <c r="H58" i="9"/>
  <c r="A58" i="9" s="1"/>
  <c r="H59" i="9"/>
  <c r="A59" i="9" s="1"/>
  <c r="H60" i="9"/>
  <c r="A60" i="9" s="1"/>
  <c r="H61" i="9"/>
  <c r="A61" i="9" s="1"/>
  <c r="H62" i="9"/>
  <c r="H63" i="9"/>
  <c r="A63" i="9" s="1"/>
  <c r="H72" i="9"/>
  <c r="A72" i="9" s="1"/>
  <c r="H73" i="9"/>
  <c r="A73" i="9" s="1"/>
  <c r="H74" i="9"/>
  <c r="A74" i="9" s="1"/>
  <c r="H75" i="9"/>
  <c r="A75" i="9" s="1"/>
  <c r="A4" i="9"/>
  <c r="G5" i="9"/>
  <c r="H5" i="9" s="1"/>
  <c r="A5" i="9" s="1"/>
  <c r="G6" i="9"/>
  <c r="H6" i="9" s="1"/>
  <c r="A6" i="9" s="1"/>
  <c r="G7" i="9"/>
  <c r="H7" i="9" s="1"/>
  <c r="A7" i="9" s="1"/>
  <c r="G8" i="9"/>
  <c r="H8" i="9" s="1"/>
  <c r="A8" i="9" s="1"/>
  <c r="G9" i="9"/>
  <c r="H9" i="9" s="1"/>
  <c r="A9" i="9" s="1"/>
  <c r="G10" i="9"/>
  <c r="H10" i="9" s="1"/>
  <c r="A10" i="9" s="1"/>
  <c r="G11" i="9"/>
  <c r="H11" i="9" s="1"/>
  <c r="A11" i="9" s="1"/>
  <c r="G12" i="9"/>
  <c r="H12" i="9" s="1"/>
  <c r="A12" i="9" s="1"/>
  <c r="G13" i="9"/>
  <c r="H13" i="9" s="1"/>
  <c r="A13" i="9" s="1"/>
  <c r="G14" i="9"/>
  <c r="H14" i="9" s="1"/>
  <c r="A14" i="9" s="1"/>
  <c r="G15" i="9"/>
  <c r="H15" i="9" s="1"/>
  <c r="A15" i="9" s="1"/>
  <c r="G16" i="9"/>
  <c r="H16" i="9" s="1"/>
  <c r="A16" i="9" s="1"/>
  <c r="G17" i="9"/>
  <c r="H17" i="9" s="1"/>
  <c r="A17" i="9" s="1"/>
  <c r="G18" i="9"/>
  <c r="H18" i="9" s="1"/>
  <c r="A18" i="9" s="1"/>
  <c r="G19" i="9"/>
  <c r="H19" i="9" s="1"/>
  <c r="A19" i="9" s="1"/>
  <c r="G20" i="9"/>
  <c r="H20" i="9" s="1"/>
  <c r="A20" i="9" s="1"/>
  <c r="G21" i="9"/>
  <c r="H21" i="9" s="1"/>
  <c r="A21" i="9" s="1"/>
  <c r="G22" i="9"/>
  <c r="H22" i="9" s="1"/>
  <c r="A22" i="9" s="1"/>
  <c r="G23" i="9"/>
  <c r="H23" i="9" s="1"/>
  <c r="A23" i="9" s="1"/>
  <c r="G24" i="9"/>
  <c r="G25" i="9"/>
  <c r="G26" i="9"/>
  <c r="G27" i="9"/>
  <c r="G28" i="9"/>
  <c r="G29" i="9"/>
  <c r="G30" i="9"/>
  <c r="G31" i="9"/>
  <c r="G32" i="9"/>
  <c r="H32" i="9" s="1"/>
  <c r="A32" i="9" s="1"/>
  <c r="G33" i="9"/>
  <c r="H33" i="9" s="1"/>
  <c r="A33" i="9" s="1"/>
  <c r="G34" i="9"/>
  <c r="H34" i="9" s="1"/>
  <c r="A34" i="9" s="1"/>
  <c r="G35" i="9"/>
  <c r="H35" i="9" s="1"/>
  <c r="A35" i="9" s="1"/>
  <c r="G36" i="9"/>
  <c r="H36" i="9" s="1"/>
  <c r="A36" i="9" s="1"/>
  <c r="G37" i="9"/>
  <c r="H37" i="9" s="1"/>
  <c r="A37" i="9" s="1"/>
  <c r="G38" i="9"/>
  <c r="H38" i="9" s="1"/>
  <c r="A38" i="9" s="1"/>
  <c r="G39" i="9"/>
  <c r="H39" i="9" s="1"/>
  <c r="A39" i="9" s="1"/>
  <c r="G40" i="9"/>
  <c r="G41" i="9"/>
  <c r="G42" i="9"/>
  <c r="G43" i="9"/>
  <c r="G44" i="9"/>
  <c r="G45" i="9"/>
  <c r="G46" i="9"/>
  <c r="G47" i="9"/>
  <c r="G48" i="9"/>
  <c r="H48" i="9" s="1"/>
  <c r="A48" i="9" s="1"/>
  <c r="G49" i="9"/>
  <c r="H49" i="9" s="1"/>
  <c r="A49" i="9" s="1"/>
  <c r="G50" i="9"/>
  <c r="H50" i="9" s="1"/>
  <c r="A50" i="9" s="1"/>
  <c r="G51" i="9"/>
  <c r="H51" i="9" s="1"/>
  <c r="A51" i="9" s="1"/>
  <c r="G52" i="9"/>
  <c r="H52" i="9" s="1"/>
  <c r="A52" i="9" s="1"/>
  <c r="G53" i="9"/>
  <c r="H53" i="9" s="1"/>
  <c r="A53" i="9" s="1"/>
  <c r="G54" i="9"/>
  <c r="H54" i="9" s="1"/>
  <c r="A54" i="9" s="1"/>
  <c r="G55" i="9"/>
  <c r="H55" i="9" s="1"/>
  <c r="A55" i="9" s="1"/>
  <c r="G56" i="9"/>
  <c r="G57" i="9"/>
  <c r="G58" i="9"/>
  <c r="G59" i="9"/>
  <c r="G60" i="9"/>
  <c r="G61" i="9"/>
  <c r="G62" i="9"/>
  <c r="G63" i="9"/>
  <c r="G64" i="9"/>
  <c r="H64" i="9" s="1"/>
  <c r="A64" i="9" s="1"/>
  <c r="G65" i="9"/>
  <c r="H65" i="9" s="1"/>
  <c r="A65" i="9" s="1"/>
  <c r="G66" i="9"/>
  <c r="H66" i="9" s="1"/>
  <c r="A66" i="9" s="1"/>
  <c r="G67" i="9"/>
  <c r="H67" i="9" s="1"/>
  <c r="A67" i="9" s="1"/>
  <c r="G68" i="9"/>
  <c r="H68" i="9" s="1"/>
  <c r="A68" i="9" s="1"/>
  <c r="G69" i="9"/>
  <c r="H69" i="9" s="1"/>
  <c r="A69" i="9" s="1"/>
  <c r="G70" i="9"/>
  <c r="H70" i="9" s="1"/>
  <c r="A70" i="9" s="1"/>
  <c r="G71" i="9"/>
  <c r="H71" i="9" s="1"/>
  <c r="A71" i="9" s="1"/>
  <c r="G72" i="9"/>
  <c r="G73" i="9"/>
  <c r="G74" i="9"/>
  <c r="G75" i="9"/>
  <c r="A40" i="9"/>
  <c r="A56" i="9"/>
  <c r="A57" i="9"/>
  <c r="A62" i="9"/>
  <c r="A6" i="10" l="1"/>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6" i="4"/>
  <c r="E3" i="4"/>
  <c r="G3" i="4"/>
  <c r="L3" i="4" l="1"/>
</calcChain>
</file>

<file path=xl/sharedStrings.xml><?xml version="1.0" encoding="utf-8"?>
<sst xmlns="http://schemas.openxmlformats.org/spreadsheetml/2006/main" count="297" uniqueCount="239">
  <si>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</si>
  <si>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</si>
  <si>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</si>
  <si>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</si>
  <si>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</si>
  <si>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</si>
  <si>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</si>
  <si>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</si>
  <si>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</si>
  <si>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</si>
  <si>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</si>
  <si>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</si>
  <si>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</si>
  <si>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</si>
  <si>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</si>
  <si>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</si>
  <si>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</si>
  <si>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</si>
  <si>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</si>
  <si>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Brown County</t>
  </si>
  <si>
    <t>Jackson County</t>
  </si>
  <si>
    <t>Washington County</t>
  </si>
  <si>
    <t>Adams County</t>
  </si>
  <si>
    <t>Clark County</t>
  </si>
  <si>
    <t>Crawford County</t>
  </si>
  <si>
    <t>Jefferson County</t>
  </si>
  <si>
    <t>Monroe County</t>
  </si>
  <si>
    <t>Richland County</t>
  </si>
  <si>
    <t>Douglas County</t>
  </si>
  <si>
    <t>Winnebago County</t>
  </si>
  <si>
    <t>20,654</t>
  </si>
  <si>
    <t>46,711</t>
  </si>
  <si>
    <t>16,220</t>
  </si>
  <si>
    <t>268,740</t>
  </si>
  <si>
    <t>13,317</t>
  </si>
  <si>
    <t>16,526</t>
  </si>
  <si>
    <t>52,442</t>
  </si>
  <si>
    <t>66,297</t>
  </si>
  <si>
    <t>34,659</t>
  </si>
  <si>
    <t>58,490</t>
  </si>
  <si>
    <t>16,113</t>
  </si>
  <si>
    <t>561,504</t>
  </si>
  <si>
    <t>89,396</t>
  </si>
  <si>
    <t>30,066</t>
  </si>
  <si>
    <t>44,295</t>
  </si>
  <si>
    <t>45,440</t>
  </si>
  <si>
    <t>105,710</t>
  </si>
  <si>
    <t>4,558</t>
  </si>
  <si>
    <t>104,154</t>
  </si>
  <si>
    <t>9,179</t>
  </si>
  <si>
    <t>51,938</t>
  </si>
  <si>
    <t>37,093</t>
  </si>
  <si>
    <t>19,018</t>
  </si>
  <si>
    <t>23,709</t>
  </si>
  <si>
    <t>6,137</t>
  </si>
  <si>
    <t>21,145</t>
  </si>
  <si>
    <t>84,900</t>
  </si>
  <si>
    <t>26,718</t>
  </si>
  <si>
    <t>169,151</t>
  </si>
  <si>
    <t>20,563</t>
  </si>
  <si>
    <t>120,784</t>
  </si>
  <si>
    <t>16,611</t>
  </si>
  <si>
    <t>19,491</t>
  </si>
  <si>
    <t>28,415</t>
  </si>
  <si>
    <t>81,359</t>
  </si>
  <si>
    <t>138,013</t>
  </si>
  <si>
    <t>41,872</t>
  </si>
  <si>
    <t>16,027</t>
  </si>
  <si>
    <t>15,592</t>
  </si>
  <si>
    <t>4,255</t>
  </si>
  <si>
    <t>939,489</t>
  </si>
  <si>
    <t>46,274</t>
  </si>
  <si>
    <t>38,965</t>
  </si>
  <si>
    <t>37,845</t>
  </si>
  <si>
    <t>190,705</t>
  </si>
  <si>
    <t>91,503</t>
  </si>
  <si>
    <t>7,318</t>
  </si>
  <si>
    <t>42,212</t>
  </si>
  <si>
    <t>44,977</t>
  </si>
  <si>
    <t>70,377</t>
  </si>
  <si>
    <t>14,054</t>
  </si>
  <si>
    <t>197,727</t>
  </si>
  <si>
    <t>17,304</t>
  </si>
  <si>
    <t>163,687</t>
  </si>
  <si>
    <t>14,188</t>
  </si>
  <si>
    <t>93,536</t>
  </si>
  <si>
    <t>65,763</t>
  </si>
  <si>
    <t>18,074</t>
  </si>
  <si>
    <t>40,881</t>
  </si>
  <si>
    <t>118,034</t>
  </si>
  <si>
    <t>19,913</t>
  </si>
  <si>
    <t>30,760</t>
  </si>
  <si>
    <t>30,714</t>
  </si>
  <si>
    <t>23,047</t>
  </si>
  <si>
    <t>106,478</t>
  </si>
  <si>
    <t>16,623</t>
  </si>
  <si>
    <t>136,761</t>
  </si>
  <si>
    <t>406,978</t>
  </si>
  <si>
    <t>51,812</t>
  </si>
  <si>
    <t>24,520</t>
  </si>
  <si>
    <t>171,730</t>
  </si>
  <si>
    <t>74,207</t>
  </si>
  <si>
    <t>Ashland County</t>
  </si>
  <si>
    <t>Barron County</t>
  </si>
  <si>
    <t>Bayfield County</t>
  </si>
  <si>
    <t>Buffalo County</t>
  </si>
  <si>
    <t>Burnett County</t>
  </si>
  <si>
    <t>Calumet County</t>
  </si>
  <si>
    <t>Chippewa County</t>
  </si>
  <si>
    <t>Columbia County</t>
  </si>
  <si>
    <t>Dane County</t>
  </si>
  <si>
    <t>Dodge County</t>
  </si>
  <si>
    <t>Door County</t>
  </si>
  <si>
    <t>Dunn County</t>
  </si>
  <si>
    <t>Florence County</t>
  </si>
  <si>
    <t>Forest County</t>
  </si>
  <si>
    <t>Grant County</t>
  </si>
  <si>
    <t>Green County</t>
  </si>
  <si>
    <t>Iowa County</t>
  </si>
  <si>
    <t>Iron County</t>
  </si>
  <si>
    <t>Juneau County</t>
  </si>
  <si>
    <t>Kenosha County</t>
  </si>
  <si>
    <t>Kewaunee County</t>
  </si>
  <si>
    <t>Lafayette County</t>
  </si>
  <si>
    <t>Langlade County</t>
  </si>
  <si>
    <t>Lincoln County</t>
  </si>
  <si>
    <t>Manitowoc County</t>
  </si>
  <si>
    <t>Marathon County</t>
  </si>
  <si>
    <t>Marinette County</t>
  </si>
  <si>
    <t>Marquette County</t>
  </si>
  <si>
    <t>Menominee County</t>
  </si>
  <si>
    <t>Milwaukee County</t>
  </si>
  <si>
    <t>Oconto County</t>
  </si>
  <si>
    <t>Oneida County</t>
  </si>
  <si>
    <t>Outagamie County</t>
  </si>
  <si>
    <t>Ozaukee County</t>
  </si>
  <si>
    <t>Pepin County</t>
  </si>
  <si>
    <t>Pierce County</t>
  </si>
  <si>
    <t>Polk County</t>
  </si>
  <si>
    <t>Portage County</t>
  </si>
  <si>
    <t>Price County</t>
  </si>
  <si>
    <t>Racine County</t>
  </si>
  <si>
    <t>Rock County</t>
  </si>
  <si>
    <t>Rusk County</t>
  </si>
  <si>
    <t>Sauk County</t>
  </si>
  <si>
    <t>Sawyer County</t>
  </si>
  <si>
    <t>Shawano County</t>
  </si>
  <si>
    <t>Sheboygan County</t>
  </si>
  <si>
    <t>Taylor County</t>
  </si>
  <si>
    <t>Trempealeau County</t>
  </si>
  <si>
    <t>Vernon County</t>
  </si>
  <si>
    <t>Vilas County</t>
  </si>
  <si>
    <t>Walworth County</t>
  </si>
  <si>
    <t>Washburn County</t>
  </si>
  <si>
    <t>Waukesha County</t>
  </si>
  <si>
    <t>Waupaca County</t>
  </si>
  <si>
    <t>Waushara County</t>
  </si>
  <si>
    <t>Wood County</t>
  </si>
  <si>
    <t>Fond Du Loc County</t>
  </si>
  <si>
    <t>Eau Claire County</t>
  </si>
  <si>
    <t>Green Lake County</t>
  </si>
  <si>
    <t>La Cross County</t>
  </si>
  <si>
    <t>St.Croix County</t>
  </si>
  <si>
    <t>Type</t>
  </si>
  <si>
    <t>Wisconsin (5,893,718) - $11,433,813</t>
  </si>
  <si>
    <t>Anessa Jones</t>
  </si>
  <si>
    <t>Angel Felix</t>
  </si>
  <si>
    <t>Connor Blevins</t>
  </si>
  <si>
    <t>James Cathey</t>
  </si>
  <si>
    <t>Javon Cotton</t>
  </si>
  <si>
    <t>Lindsay LaMarca</t>
  </si>
  <si>
    <t>Richard Chiarello</t>
  </si>
  <si>
    <t>Seth Crawford</t>
  </si>
  <si>
    <t>Shawana Thomas</t>
  </si>
  <si>
    <t>Tracie Smith</t>
  </si>
  <si>
    <t>Maxwell Novoselac</t>
  </si>
  <si>
    <t>Jessica Price</t>
  </si>
  <si>
    <t>Natalie Schrader</t>
  </si>
  <si>
    <t>Bassam Efein</t>
  </si>
  <si>
    <t>Roopak Hanna</t>
  </si>
  <si>
    <t>Catherine Warren</t>
  </si>
  <si>
    <t>Jefferson County (84,900) - $412,614.00</t>
  </si>
  <si>
    <t>City of Fort Atkinson</t>
  </si>
  <si>
    <t>City</t>
  </si>
  <si>
    <t>Complete</t>
  </si>
  <si>
    <t>City of Jefferson</t>
  </si>
  <si>
    <t>City of Lake Mills</t>
  </si>
  <si>
    <t>City of Waterloo</t>
  </si>
  <si>
    <t>City of Watertown</t>
  </si>
  <si>
    <t>City of Whitewater</t>
  </si>
  <si>
    <t>Jefferson Utilities</t>
  </si>
  <si>
    <t>County</t>
  </si>
  <si>
    <t>Town of Aztalan</t>
  </si>
  <si>
    <t>Town of Cold Spring</t>
  </si>
  <si>
    <t>Town of Concord</t>
  </si>
  <si>
    <t xml:space="preserve">Town of Farmington </t>
  </si>
  <si>
    <t>Town of Hebron</t>
  </si>
  <si>
    <t>Village of Sullivan</t>
  </si>
  <si>
    <t>Village of Palmyra</t>
  </si>
  <si>
    <t>Village of Johnson Creek</t>
  </si>
  <si>
    <t>Village of Cambridge</t>
  </si>
  <si>
    <t>Town of Watertown</t>
  </si>
  <si>
    <t>Town of Waterloo</t>
  </si>
  <si>
    <t>Town of Sumner</t>
  </si>
  <si>
    <t>Town of Sullivan</t>
  </si>
  <si>
    <t>Town of Palmyra</t>
  </si>
  <si>
    <t>Town of Oakland</t>
  </si>
  <si>
    <t>Town of Milford</t>
  </si>
  <si>
    <t>Town of Lake Mills</t>
  </si>
  <si>
    <t>Town of Koshkonong</t>
  </si>
  <si>
    <t>Town of Jefferson</t>
  </si>
  <si>
    <t>Town of Ixonia</t>
  </si>
  <si>
    <t>Government</t>
  </si>
  <si>
    <r>
      <t xml:space="preserve">Cat A: </t>
    </r>
    <r>
      <rPr>
        <b/>
        <sz val="10"/>
        <rFont val="Arial"/>
        <family val="2"/>
      </rPr>
      <t>Estimated: $2,554</t>
    </r>
    <r>
      <rPr>
        <sz val="10"/>
        <rFont val="Arial"/>
        <family val="2"/>
      </rPr>
      <t xml:space="preserve"> Vegetative debris removed from roads, culverts, and downed power line. FAL, FAE.</t>
    </r>
    <r>
      <rPr>
        <b/>
        <sz val="10"/>
        <rFont val="Arial"/>
        <family val="2"/>
      </rPr>
      <t xml:space="preserve"> Reduced $2,554</t>
    </r>
    <r>
      <rPr>
        <sz val="10"/>
        <rFont val="Arial"/>
        <family val="2"/>
      </rPr>
      <t xml:space="preserve"> below the FY26 threshold </t>
    </r>
    <r>
      <rPr>
        <b/>
        <sz val="10"/>
        <rFont val="Arial"/>
        <family val="2"/>
      </rPr>
      <t>Validated: $0</t>
    </r>
    <r>
      <rPr>
        <sz val="10"/>
        <rFont val="Arial"/>
        <family val="2"/>
      </rPr>
      <t xml:space="preserve"> due to reductions
</t>
    </r>
    <r>
      <rPr>
        <b/>
        <sz val="10"/>
        <rFont val="Arial"/>
        <family val="2"/>
      </rPr>
      <t xml:space="preserve">Cat C: Estimated: $2,087 </t>
    </r>
    <r>
      <rPr>
        <sz val="10"/>
        <rFont val="Arial"/>
        <family val="2"/>
      </rPr>
      <t xml:space="preserve">Culvert undermining S Farmington rd, culvert washout on Saucer rd. FAL, FAE, FAM. </t>
    </r>
    <r>
      <rPr>
        <b/>
        <sz val="10"/>
        <rFont val="Arial"/>
        <family val="2"/>
      </rPr>
      <t>Reduced</t>
    </r>
    <r>
      <rPr>
        <sz val="10"/>
        <rFont val="Arial"/>
        <family val="2"/>
      </rPr>
      <t xml:space="preserve">: $2087 below the FY26 threshold </t>
    </r>
    <r>
      <rPr>
        <b/>
        <sz val="10"/>
        <rFont val="Arial"/>
        <family val="2"/>
      </rPr>
      <t>Validated</t>
    </r>
    <r>
      <rPr>
        <sz val="10"/>
        <rFont val="Arial"/>
        <family val="2"/>
      </rPr>
      <t xml:space="preserve">: $0 due to reductions </t>
    </r>
  </si>
  <si>
    <r>
      <rPr>
        <b/>
        <sz val="10"/>
        <rFont val="Arial"/>
        <family val="2"/>
      </rPr>
      <t>Estimated: $0</t>
    </r>
    <r>
      <rPr>
        <sz val="10"/>
        <rFont val="Arial"/>
        <family val="2"/>
      </rPr>
      <t xml:space="preserve"> No documents uploaded, no damages. State Emergency manager notes indicated from a phone call that there were no damages </t>
    </r>
    <r>
      <rPr>
        <b/>
        <sz val="10"/>
        <rFont val="Arial"/>
        <family val="2"/>
      </rPr>
      <t>Validated</t>
    </r>
    <r>
      <rPr>
        <sz val="10"/>
        <rFont val="Arial"/>
        <family val="2"/>
      </rPr>
      <t>: $0 due to the applicant having no damages</t>
    </r>
  </si>
  <si>
    <r>
      <t xml:space="preserve">Cat A: </t>
    </r>
    <r>
      <rPr>
        <b/>
        <sz val="10"/>
        <rFont val="Arial"/>
        <family val="2"/>
      </rPr>
      <t>Estimated: $17,497</t>
    </r>
    <r>
      <rPr>
        <sz val="10"/>
        <rFont val="Arial"/>
        <family val="2"/>
      </rPr>
      <t xml:space="preserve"> Vegetative debris removed from roads, ditches, and culverts. </t>
    </r>
    <r>
      <rPr>
        <b/>
        <sz val="10"/>
        <rFont val="Arial"/>
        <family val="2"/>
      </rPr>
      <t>Validated:</t>
    </r>
    <r>
      <rPr>
        <sz val="10"/>
        <rFont val="Arial"/>
        <family val="2"/>
      </rPr>
      <t xml:space="preserve"> $17,497 utilizing applicant provided estimates and photos.
Cat C: </t>
    </r>
    <r>
      <rPr>
        <b/>
        <sz val="10"/>
        <rFont val="Arial"/>
        <family val="2"/>
      </rPr>
      <t>Estimated: $5,307.53</t>
    </r>
    <r>
      <rPr>
        <sz val="10"/>
        <rFont val="Arial"/>
        <family val="2"/>
      </rPr>
      <t xml:space="preserve"> Piper road cuvlert picture shows undermining, applicant completed a temporary road repair but did not provide costs for a permanent fix. </t>
    </r>
    <r>
      <rPr>
        <b/>
        <sz val="10"/>
        <rFont val="Arial"/>
        <family val="2"/>
      </rPr>
      <t>Validated:</t>
    </r>
    <r>
      <rPr>
        <sz val="10"/>
        <rFont val="Arial"/>
        <family val="2"/>
      </rPr>
      <t xml:space="preserve"> $5,307.53 utilizing applicant provided estimate and photos.</t>
    </r>
  </si>
  <si>
    <r>
      <rPr>
        <b/>
        <sz val="10"/>
        <rFont val="Arial"/>
        <family val="2"/>
      </rPr>
      <t>Estimated: $0</t>
    </r>
    <r>
      <rPr>
        <sz val="10"/>
        <rFont val="Arial"/>
        <family val="2"/>
      </rPr>
      <t xml:space="preserve"> No documents uploaded, EM notes mention they followed up with the applicant who stated they had no damages. </t>
    </r>
    <r>
      <rPr>
        <b/>
        <sz val="10"/>
        <rFont val="Arial"/>
        <family val="2"/>
      </rPr>
      <t>Validated</t>
    </r>
    <r>
      <rPr>
        <sz val="10"/>
        <rFont val="Arial"/>
        <family val="2"/>
      </rPr>
      <t xml:space="preserve"> $0 due to the applicant having no damages</t>
    </r>
  </si>
  <si>
    <r>
      <t xml:space="preserve">Cat A: </t>
    </r>
    <r>
      <rPr>
        <b/>
        <sz val="10"/>
        <rFont val="Arial"/>
        <family val="2"/>
      </rPr>
      <t xml:space="preserve">Estimated: $16,011.32 </t>
    </r>
    <r>
      <rPr>
        <sz val="10"/>
        <rFont val="Arial"/>
        <family val="2"/>
      </rPr>
      <t xml:space="preserve">Vegetative debris removal from streets, dam, culverts, and waterways. Debris was reduced by chipping. FAL, FAE, and Contract. </t>
    </r>
    <r>
      <rPr>
        <b/>
        <sz val="10"/>
        <rFont val="Arial"/>
        <family val="2"/>
      </rPr>
      <t>Validated</t>
    </r>
    <r>
      <rPr>
        <sz val="10"/>
        <rFont val="Arial"/>
        <family val="2"/>
      </rPr>
      <t xml:space="preserve"> $16,011.32 Utilizing applicant provided estimates and invoices
Cat B: </t>
    </r>
    <r>
      <rPr>
        <b/>
        <sz val="10"/>
        <rFont val="Arial"/>
        <family val="2"/>
      </rPr>
      <t xml:space="preserve">Estimated: $5,797.33 </t>
    </r>
    <r>
      <rPr>
        <sz val="10"/>
        <rFont val="Arial"/>
        <family val="2"/>
      </rPr>
      <t xml:space="preserve">Barricading facilities, sandbagging, emergency pumping. FAE, FAL, FAM. </t>
    </r>
    <r>
      <rPr>
        <b/>
        <sz val="10"/>
        <rFont val="Arial"/>
        <family val="2"/>
      </rPr>
      <t>Validated</t>
    </r>
    <r>
      <rPr>
        <sz val="10"/>
        <rFont val="Arial"/>
        <family val="2"/>
      </rPr>
      <t xml:space="preserve"> $5,797.33 Utilizing applicant provided invoices 
Cat C: </t>
    </r>
    <r>
      <rPr>
        <b/>
        <sz val="10"/>
        <rFont val="Arial"/>
        <family val="2"/>
      </rPr>
      <t>Estimated: $38,254.69</t>
    </r>
    <r>
      <rPr>
        <sz val="10"/>
        <rFont val="Arial"/>
        <family val="2"/>
      </rPr>
      <t xml:space="preserve"> Damage to culverts, loss of road base and shoulders, loss of embankment and rip rap, loss of surface gravel and re-grade. FAL, FAE, FAM, Contract. </t>
    </r>
    <r>
      <rPr>
        <b/>
        <sz val="10"/>
        <rFont val="Arial"/>
        <family val="2"/>
      </rPr>
      <t>Validated</t>
    </r>
    <r>
      <rPr>
        <sz val="10"/>
        <rFont val="Arial"/>
        <family val="2"/>
      </rPr>
      <t xml:space="preserve"> $38,254.69 Utilizing applicant provided invoices 
Cat D: </t>
    </r>
    <r>
      <rPr>
        <b/>
        <sz val="10"/>
        <rFont val="Arial"/>
        <family val="2"/>
      </rPr>
      <t>Estimated: $288</t>
    </r>
    <r>
      <rPr>
        <sz val="10"/>
        <rFont val="Arial"/>
        <family val="2"/>
      </rPr>
      <t xml:space="preserve"> Stream erosion of embankment near dam and culvert. FAL. </t>
    </r>
    <r>
      <rPr>
        <b/>
        <sz val="10"/>
        <rFont val="Arial"/>
        <family val="2"/>
      </rPr>
      <t xml:space="preserve">Reduced: </t>
    </r>
    <r>
      <rPr>
        <sz val="10"/>
        <rFont val="Arial"/>
        <family val="2"/>
      </rPr>
      <t xml:space="preserve">$288 below threshold for FY26 </t>
    </r>
    <r>
      <rPr>
        <b/>
        <sz val="10"/>
        <rFont val="Arial"/>
        <family val="2"/>
      </rPr>
      <t>Validated</t>
    </r>
    <r>
      <rPr>
        <sz val="10"/>
        <rFont val="Arial"/>
        <family val="2"/>
      </rPr>
      <t xml:space="preserve"> $0 due to reduction
Cat E: </t>
    </r>
    <r>
      <rPr>
        <b/>
        <sz val="10"/>
        <rFont val="Arial"/>
        <family val="2"/>
      </rPr>
      <t xml:space="preserve">Estimated: $69,860.14 </t>
    </r>
    <r>
      <rPr>
        <sz val="10"/>
        <rFont val="Arial"/>
        <family val="2"/>
      </rPr>
      <t xml:space="preserve">Damage to municipal airport lights and transformer, FAE, FAL, FAM, Contract. </t>
    </r>
    <r>
      <rPr>
        <b/>
        <sz val="10"/>
        <rFont val="Arial"/>
        <family val="2"/>
      </rPr>
      <t>Validated $</t>
    </r>
    <r>
      <rPr>
        <sz val="10"/>
        <rFont val="Arial"/>
        <family val="2"/>
      </rPr>
      <t xml:space="preserve">69,860.14 Utilizing applicant provided estimates and invoices 
Cat G: </t>
    </r>
    <r>
      <rPr>
        <b/>
        <sz val="10"/>
        <rFont val="Arial"/>
        <family val="2"/>
      </rPr>
      <t>Estimated: $1,904.80</t>
    </r>
    <r>
      <rPr>
        <sz val="10"/>
        <rFont val="Arial"/>
        <family val="2"/>
      </rPr>
      <t xml:space="preserve"> Loss of mulch and soil along walking path in park. Additional loss of rip rap along park path. Erosion and loss of material at kayak launching site and parking lot. </t>
    </r>
    <r>
      <rPr>
        <b/>
        <sz val="10"/>
        <rFont val="Arial"/>
        <family val="2"/>
      </rPr>
      <t xml:space="preserve">Reduced: </t>
    </r>
    <r>
      <rPr>
        <sz val="10"/>
        <rFont val="Arial"/>
        <family val="2"/>
      </rPr>
      <t xml:space="preserve">1,904.80 below the threshold for FY26 </t>
    </r>
    <r>
      <rPr>
        <b/>
        <sz val="10"/>
        <rFont val="Arial"/>
        <family val="2"/>
      </rPr>
      <t>Validated</t>
    </r>
    <r>
      <rPr>
        <sz val="10"/>
        <rFont val="Arial"/>
        <family val="2"/>
      </rPr>
      <t xml:space="preserve"> $0 due to reductions</t>
    </r>
  </si>
  <si>
    <r>
      <t xml:space="preserve">Cat A: </t>
    </r>
    <r>
      <rPr>
        <b/>
        <sz val="10"/>
        <rFont val="Arial"/>
        <family val="2"/>
      </rPr>
      <t>Estimated: $53,795.63</t>
    </r>
    <r>
      <rPr>
        <sz val="10"/>
        <rFont val="Arial"/>
        <family val="2"/>
      </rPr>
      <t xml:space="preserve"> Debris removal throughout the city, from roads, from powerlines. FAL, FAE. </t>
    </r>
    <r>
      <rPr>
        <b/>
        <sz val="10"/>
        <rFont val="Arial"/>
        <family val="2"/>
      </rPr>
      <t>Validated:</t>
    </r>
    <r>
      <rPr>
        <sz val="10"/>
        <rFont val="Arial"/>
        <family val="2"/>
      </rPr>
      <t xml:space="preserve"> $53,795.63 utilizing applicant provided cost estimates and invoices 
Cat B: </t>
    </r>
    <r>
      <rPr>
        <b/>
        <sz val="10"/>
        <rFont val="Arial"/>
        <family val="2"/>
      </rPr>
      <t xml:space="preserve">Estimated: $14,753.93 </t>
    </r>
    <r>
      <rPr>
        <sz val="10"/>
        <rFont val="Arial"/>
        <family val="2"/>
      </rPr>
      <t xml:space="preserve">Emergency protective measures, search and rescue, FAL, FAE. </t>
    </r>
    <r>
      <rPr>
        <b/>
        <sz val="10"/>
        <rFont val="Arial"/>
        <family val="2"/>
      </rPr>
      <t>Reduced</t>
    </r>
    <r>
      <rPr>
        <sz val="10"/>
        <rFont val="Arial"/>
        <family val="2"/>
      </rPr>
      <t xml:space="preserve">: $2,518.84. Activities were not eligible under cat B, activity was described as weather watch and standby time for equipment. </t>
    </r>
    <r>
      <rPr>
        <b/>
        <sz val="10"/>
        <rFont val="Arial"/>
        <family val="2"/>
      </rPr>
      <t>Validated:</t>
    </r>
    <r>
      <rPr>
        <sz val="10"/>
        <rFont val="Arial"/>
        <family val="2"/>
      </rPr>
      <t xml:space="preserve"> $10,235.09 utilizing applicant provided cost estimates and invoices </t>
    </r>
  </si>
  <si>
    <r>
      <rPr>
        <b/>
        <sz val="10"/>
        <rFont val="Arial"/>
        <family val="2"/>
      </rPr>
      <t>Estimated: $0</t>
    </r>
    <r>
      <rPr>
        <sz val="10"/>
        <rFont val="Arial"/>
        <family val="2"/>
      </rPr>
      <t xml:space="preserve"> No documents uploaded, no damages. State Emergency Manager notes indicate that a call was made but the city did not return the call. </t>
    </r>
    <r>
      <rPr>
        <b/>
        <sz val="10"/>
        <rFont val="Arial"/>
        <family val="2"/>
      </rPr>
      <t>Validated:</t>
    </r>
    <r>
      <rPr>
        <sz val="10"/>
        <rFont val="Arial"/>
        <family val="2"/>
      </rPr>
      <t xml:space="preserve"> $0 As the applicant did not submit costs to FEMA</t>
    </r>
  </si>
  <si>
    <r>
      <rPr>
        <b/>
        <sz val="10"/>
        <rFont val="Arial"/>
        <family val="2"/>
      </rPr>
      <t>Estimated: $0</t>
    </r>
    <r>
      <rPr>
        <sz val="10"/>
        <rFont val="Arial"/>
        <family val="2"/>
      </rPr>
      <t xml:space="preserve"> The documents provided for costs are for Jefferson Utilities which has already been covered. No new documents or costs have been provided. </t>
    </r>
    <r>
      <rPr>
        <b/>
        <sz val="10"/>
        <rFont val="Arial"/>
        <family val="2"/>
      </rPr>
      <t>Validated</t>
    </r>
    <r>
      <rPr>
        <sz val="10"/>
        <rFont val="Arial"/>
        <family val="2"/>
      </rPr>
      <t>: $0 as the costs provided are already covered under the Jefferson Utilities applicant</t>
    </r>
  </si>
  <si>
    <r>
      <rPr>
        <b/>
        <sz val="10"/>
        <rFont val="Arial"/>
        <family val="2"/>
      </rPr>
      <t>Estimated: $0</t>
    </r>
    <r>
      <rPr>
        <sz val="10"/>
        <rFont val="Arial"/>
        <family val="2"/>
      </rPr>
      <t xml:space="preserve"> Applicant uploaded an email indicating that there was no damage to businesses or homes and that the applicant had no overtime costs related to the event. Applicant responded to RFI and stated that they were no longer interested in participating in the PDA. </t>
    </r>
    <r>
      <rPr>
        <b/>
        <sz val="10"/>
        <rFont val="Arial"/>
        <family val="2"/>
      </rPr>
      <t>Validated</t>
    </r>
    <r>
      <rPr>
        <sz val="10"/>
        <rFont val="Arial"/>
        <family val="2"/>
      </rPr>
      <t xml:space="preserve"> $0 as the applicant is not submitting costs for the PDA</t>
    </r>
  </si>
  <si>
    <r>
      <rPr>
        <b/>
        <sz val="10"/>
        <rFont val="Arial"/>
        <family val="2"/>
      </rPr>
      <t>Estimated: $0</t>
    </r>
    <r>
      <rPr>
        <sz val="10"/>
        <rFont val="Arial"/>
        <family val="2"/>
      </rPr>
      <t xml:space="preserve"> No damages identified. Validated $0</t>
    </r>
  </si>
  <si>
    <r>
      <rPr>
        <b/>
        <sz val="10"/>
        <rFont val="Arial"/>
        <family val="2"/>
      </rPr>
      <t>CAT A: Estimated $48,000</t>
    </r>
    <r>
      <rPr>
        <sz val="10"/>
        <rFont val="Arial"/>
        <family val="2"/>
      </rPr>
      <t xml:space="preserve"> for wash out of ditches on two roads, initial road clean up, and personal property damage N8295 hwy 89 of roof and vehicle. </t>
    </r>
    <r>
      <rPr>
        <b/>
        <sz val="10"/>
        <rFont val="Arial"/>
        <family val="2"/>
      </rPr>
      <t>Validated</t>
    </r>
    <r>
      <rPr>
        <sz val="10"/>
        <rFont val="Arial"/>
        <family val="2"/>
      </rPr>
      <t xml:space="preserve">: $8,000 utilizing applicant provided damage description and FAL/E cost estimates </t>
    </r>
    <r>
      <rPr>
        <b/>
        <sz val="10"/>
        <rFont val="Arial"/>
        <family val="2"/>
      </rPr>
      <t>Reduced</t>
    </r>
    <r>
      <rPr>
        <sz val="10"/>
        <rFont val="Arial"/>
        <family val="2"/>
      </rPr>
      <t xml:space="preserve">: $40,000 for personal property damage ineligibility </t>
    </r>
  </si>
  <si>
    <r>
      <rPr>
        <b/>
        <sz val="10"/>
        <rFont val="Arial"/>
        <family val="2"/>
      </rPr>
      <t>CAT A</t>
    </r>
    <r>
      <rPr>
        <sz val="10"/>
        <rFont val="Arial"/>
        <family val="2"/>
      </rPr>
      <t xml:space="preserve">: </t>
    </r>
    <r>
      <rPr>
        <b/>
        <sz val="10"/>
        <rFont val="Arial"/>
        <family val="2"/>
      </rPr>
      <t>Estimated $8,000</t>
    </r>
    <r>
      <rPr>
        <sz val="10"/>
        <rFont val="Arial"/>
        <family val="2"/>
      </rPr>
      <t xml:space="preserve"> for fallen trees and debris clean up. Cost estimate provided in email. </t>
    </r>
    <r>
      <rPr>
        <b/>
        <sz val="10"/>
        <rFont val="Arial"/>
        <family val="2"/>
      </rPr>
      <t>Validated</t>
    </r>
    <r>
      <rPr>
        <sz val="10"/>
        <rFont val="Arial"/>
        <family val="2"/>
      </rPr>
      <t>: $8,000 utilizing applicant provided damage description and cost estimates</t>
    </r>
  </si>
  <si>
    <r>
      <rPr>
        <b/>
        <sz val="10"/>
        <rFont val="Arial"/>
        <family val="2"/>
      </rPr>
      <t>Estimated: $0</t>
    </r>
    <r>
      <rPr>
        <sz val="10"/>
        <rFont val="Arial"/>
        <family val="2"/>
      </rPr>
      <t xml:space="preserve"> No damages reported $0</t>
    </r>
  </si>
  <si>
    <r>
      <rPr>
        <b/>
        <sz val="10"/>
        <rFont val="Arial"/>
        <family val="2"/>
      </rPr>
      <t>Estimated: $0</t>
    </r>
    <r>
      <rPr>
        <sz val="10"/>
        <rFont val="Arial"/>
        <family val="2"/>
      </rPr>
      <t xml:space="preserve"> No damages identified. </t>
    </r>
    <r>
      <rPr>
        <b/>
        <sz val="10"/>
        <rFont val="Arial"/>
        <family val="2"/>
      </rPr>
      <t>Validated</t>
    </r>
    <r>
      <rPr>
        <sz val="10"/>
        <rFont val="Arial"/>
        <family val="2"/>
      </rPr>
      <t xml:space="preserve"> $0</t>
    </r>
  </si>
  <si>
    <r>
      <rPr>
        <b/>
        <sz val="10"/>
        <rFont val="Arial"/>
        <family val="2"/>
      </rPr>
      <t xml:space="preserve">Estimated: $0 </t>
    </r>
    <r>
      <rPr>
        <sz val="10"/>
        <rFont val="Arial"/>
        <family val="2"/>
      </rPr>
      <t xml:space="preserve">No damages identified. </t>
    </r>
    <r>
      <rPr>
        <b/>
        <sz val="10"/>
        <rFont val="Arial"/>
        <family val="2"/>
      </rPr>
      <t>Validated</t>
    </r>
    <r>
      <rPr>
        <sz val="10"/>
        <rFont val="Arial"/>
        <family val="2"/>
      </rPr>
      <t xml:space="preserve"> $0</t>
    </r>
  </si>
  <si>
    <r>
      <rPr>
        <b/>
        <sz val="10"/>
        <rFont val="Arial"/>
        <family val="2"/>
      </rPr>
      <t>CAT A</t>
    </r>
    <r>
      <rPr>
        <sz val="10"/>
        <rFont val="Arial"/>
        <family val="2"/>
      </rPr>
      <t xml:space="preserve">: </t>
    </r>
    <r>
      <rPr>
        <b/>
        <sz val="10"/>
        <rFont val="Arial"/>
        <family val="2"/>
      </rPr>
      <t>Estimated</t>
    </r>
    <r>
      <rPr>
        <sz val="10"/>
        <rFont val="Arial"/>
        <family val="2"/>
      </rPr>
      <t xml:space="preserve">: $17,727.00 for debris removal on multiple roads throughout jurisdiction. Costs validated with contract estimates. Applicant included Insurance summary of coverages and premiums. </t>
    </r>
    <r>
      <rPr>
        <b/>
        <sz val="10"/>
        <rFont val="Arial"/>
        <family val="2"/>
      </rPr>
      <t xml:space="preserve">Validated: </t>
    </r>
    <r>
      <rPr>
        <sz val="10"/>
        <rFont val="Arial"/>
        <family val="2"/>
      </rPr>
      <t>$17,727.00</t>
    </r>
  </si>
  <si>
    <r>
      <rPr>
        <b/>
        <sz val="10"/>
        <rFont val="Arial"/>
        <family val="2"/>
      </rPr>
      <t xml:space="preserve">Estimated: $0 </t>
    </r>
    <r>
      <rPr>
        <sz val="10"/>
        <rFont val="Arial"/>
        <family val="2"/>
      </rPr>
      <t xml:space="preserve">No damages identified. </t>
    </r>
    <r>
      <rPr>
        <b/>
        <sz val="10"/>
        <rFont val="Arial"/>
        <family val="2"/>
      </rPr>
      <t>Validated $0</t>
    </r>
  </si>
  <si>
    <r>
      <rPr>
        <b/>
        <sz val="10"/>
        <rFont val="Arial"/>
        <family val="2"/>
      </rPr>
      <t>Estimated: $0</t>
    </r>
    <r>
      <rPr>
        <sz val="10"/>
        <rFont val="Arial"/>
        <family val="2"/>
      </rPr>
      <t xml:space="preserve"> Documents indicate there may be cat A and cat B related costs. RFI sent on 5/11 for costs. The applicant did not respond to the RFI or provide any costs.</t>
    </r>
    <r>
      <rPr>
        <b/>
        <sz val="10"/>
        <rFont val="Arial"/>
        <family val="2"/>
      </rPr>
      <t xml:space="preserve"> Validated</t>
    </r>
    <r>
      <rPr>
        <sz val="10"/>
        <rFont val="Arial"/>
        <family val="2"/>
      </rPr>
      <t xml:space="preserve">: $0 as the applicant did not provide costs or documents or respond to the RFI. </t>
    </r>
  </si>
  <si>
    <t>Department of Transportation</t>
  </si>
  <si>
    <t>Municipality</t>
  </si>
  <si>
    <r>
      <t>Cat F:</t>
    </r>
    <r>
      <rPr>
        <b/>
        <sz val="10"/>
        <rFont val="Arial"/>
        <family val="2"/>
      </rPr>
      <t xml:space="preserve"> Estimated: $26,478.61</t>
    </r>
    <r>
      <rPr>
        <sz val="10"/>
        <rFont val="Arial"/>
        <family val="2"/>
      </rPr>
      <t xml:space="preserve"> High winds knocked over 10 electrical poles and further compromised 2 poles. FAM, FAL, Contract (mutual aid). </t>
    </r>
    <r>
      <rPr>
        <b/>
        <sz val="10"/>
        <rFont val="Arial"/>
        <family val="2"/>
      </rPr>
      <t>Validated</t>
    </r>
    <r>
      <rPr>
        <sz val="10"/>
        <rFont val="Arial"/>
        <family val="2"/>
      </rPr>
      <t xml:space="preserve"> $26,478.61 utilizing applicant provided invoices and photos.</t>
    </r>
  </si>
  <si>
    <r>
      <rPr>
        <b/>
        <sz val="10"/>
        <rFont val="Arial"/>
        <family val="2"/>
      </rPr>
      <t>CAT A</t>
    </r>
    <r>
      <rPr>
        <sz val="10"/>
        <rFont val="Arial"/>
        <family val="2"/>
      </rPr>
      <t xml:space="preserve">: Estimated $17,872.05 for debris clean-up on approximately 11 roads and cemetery. </t>
    </r>
    <r>
      <rPr>
        <b/>
        <sz val="10"/>
        <rFont val="Arial"/>
        <family val="2"/>
      </rPr>
      <t>Validated:</t>
    </r>
    <r>
      <rPr>
        <sz val="10"/>
        <rFont val="Arial"/>
        <family val="2"/>
      </rPr>
      <t xml:space="preserve"> $17,872.05 utilizing applicant provided photos, damage description and FAL/E cost estimates
</t>
    </r>
    <r>
      <rPr>
        <b/>
        <sz val="10"/>
        <rFont val="Arial"/>
        <family val="2"/>
      </rPr>
      <t>CAT B:</t>
    </r>
    <r>
      <rPr>
        <sz val="10"/>
        <rFont val="Arial"/>
        <family val="2"/>
      </rPr>
      <t xml:space="preserve"> $490.00 for storm damage documentation for emergency protection measures. </t>
    </r>
    <r>
      <rPr>
        <b/>
        <sz val="10"/>
        <rFont val="Arial"/>
        <family val="2"/>
      </rPr>
      <t>Validated</t>
    </r>
    <r>
      <rPr>
        <sz val="10"/>
        <rFont val="Arial"/>
        <family val="2"/>
      </rPr>
      <t xml:space="preserve"> $0. </t>
    </r>
    <r>
      <rPr>
        <b/>
        <sz val="10"/>
        <rFont val="Arial"/>
        <family val="2"/>
      </rPr>
      <t>Reduced</t>
    </r>
    <r>
      <rPr>
        <sz val="10"/>
        <rFont val="Arial"/>
        <family val="2"/>
      </rPr>
      <t xml:space="preserve">: $490.00 for costs below the minimum threshold. </t>
    </r>
  </si>
  <si>
    <r>
      <t xml:space="preserve">CAT A: </t>
    </r>
    <r>
      <rPr>
        <b/>
        <sz val="10"/>
        <rFont val="Arial"/>
        <family val="2"/>
      </rPr>
      <t>Estimated:</t>
    </r>
    <r>
      <rPr>
        <sz val="10"/>
        <rFont val="Arial"/>
        <family val="2"/>
      </rPr>
      <t xml:space="preserve"> $609.37 for several trees fall into the roadway and walk path on Bakertown road. DPW went at night to clear roadway and than went in daylight hours to clear all debris. DPW used skid steer, 1 ton dump truck, and chainsaw to remove debris ($510.50) A metal barn roof blow off a structure and landed in the roadway. Once noticed by DPW cones were set out to protect traffic. During daylight DPW used skid steer and 1 ton dump truck to remove roof from roadway($98.87). </t>
    </r>
    <r>
      <rPr>
        <b/>
        <sz val="10"/>
        <rFont val="Arial"/>
        <family val="2"/>
      </rPr>
      <t>Reduced:</t>
    </r>
    <r>
      <rPr>
        <sz val="10"/>
        <rFont val="Arial"/>
        <family val="2"/>
      </rPr>
      <t xml:space="preserve"> $609.37for costs below minimum project threshold. </t>
    </r>
    <r>
      <rPr>
        <b/>
        <sz val="10"/>
        <rFont val="Arial"/>
        <family val="2"/>
      </rPr>
      <t>Validated</t>
    </r>
    <r>
      <rPr>
        <sz val="10"/>
        <rFont val="Arial"/>
        <family val="2"/>
      </rPr>
      <t xml:space="preserve"> $0
</t>
    </r>
    <r>
      <rPr>
        <b/>
        <sz val="10"/>
        <rFont val="Arial"/>
        <family val="2"/>
      </rPr>
      <t xml:space="preserve">
</t>
    </r>
    <r>
      <rPr>
        <sz val="10"/>
        <rFont val="Arial"/>
        <family val="2"/>
      </rPr>
      <t xml:space="preserve">CAT C: </t>
    </r>
    <r>
      <rPr>
        <b/>
        <sz val="10"/>
        <rFont val="Arial"/>
        <family val="2"/>
      </rPr>
      <t>Estimated:</t>
    </r>
    <r>
      <rPr>
        <sz val="10"/>
        <rFont val="Arial"/>
        <family val="2"/>
      </rPr>
      <t xml:space="preserve"> $6,099.03 Material around the entrance to a 36" culvert washed away and removed gravel, rip rap, and dirt. ($1,625.00). A 36" culvert that runs underneath the roadway separated at a seam and caved in the gravel shoulder. A 8' section of shoulder washed away into the culvert. ($2,863.68) A large sink hole developed under the asphalt roadway and undermined the roadway, gutter, and curb.  ($69.35). A 24" culvert that runs underneath the roadway separated at a seam and caved in the gravel shoulder ($1,541.00)</t>
    </r>
    <r>
      <rPr>
        <b/>
        <sz val="10"/>
        <rFont val="Arial"/>
        <family val="2"/>
      </rPr>
      <t>Validated</t>
    </r>
    <r>
      <rPr>
        <sz val="10"/>
        <rFont val="Arial"/>
        <family val="2"/>
      </rPr>
      <t xml:space="preserve">: $6,099.03 utilizing applicant damage description and cost estimates. </t>
    </r>
  </si>
  <si>
    <r>
      <rPr>
        <b/>
        <sz val="10"/>
        <rFont val="Arial"/>
        <family val="2"/>
      </rPr>
      <t>CAT A</t>
    </r>
    <r>
      <rPr>
        <sz val="10"/>
        <rFont val="Arial"/>
        <family val="2"/>
      </rPr>
      <t xml:space="preserve">: </t>
    </r>
    <r>
      <rPr>
        <b/>
        <sz val="10"/>
        <rFont val="Arial"/>
        <family val="2"/>
      </rPr>
      <t xml:space="preserve">Estimated </t>
    </r>
    <r>
      <rPr>
        <sz val="10"/>
        <rFont val="Arial"/>
        <family val="2"/>
      </rPr>
      <t xml:space="preserve">$13,380.00 for debris clean-up and chipping at multiple site, down/uprooted trees in the lake access easment and in ROW requiring manual removal and chipping FAE. Multiple sites claiming debris clearing with no costs assosciated.  </t>
    </r>
    <r>
      <rPr>
        <b/>
        <sz val="10"/>
        <rFont val="Arial"/>
        <family val="2"/>
      </rPr>
      <t>Validated</t>
    </r>
    <r>
      <rPr>
        <sz val="10"/>
        <rFont val="Arial"/>
        <family val="2"/>
      </rPr>
      <t xml:space="preserve">: $13,380.00 with FAL/E damage description, invoices and cost estimates provided by applicant. 
</t>
    </r>
    <r>
      <rPr>
        <b/>
        <sz val="10"/>
        <rFont val="Arial"/>
        <family val="2"/>
      </rPr>
      <t>CAT C</t>
    </r>
    <r>
      <rPr>
        <sz val="10"/>
        <rFont val="Arial"/>
        <family val="2"/>
      </rPr>
      <t xml:space="preserve">:  </t>
    </r>
    <r>
      <rPr>
        <b/>
        <sz val="10"/>
        <rFont val="Arial"/>
        <family val="2"/>
      </rPr>
      <t xml:space="preserve">Estimated </t>
    </r>
    <r>
      <rPr>
        <sz val="10"/>
        <rFont val="Arial"/>
        <family val="2"/>
      </rPr>
      <t xml:space="preserve">$70,890.00 in damages for road repairs, installation of rip rap, and culvert failure. 
Island Rd. between STH 106 &amp; CTH E closed due to flooding near Circle K campground. Washed out roads to be redone ($15,000) and Piper Rd. was closed between STH 59 and Howard Rd. due to a culvert failure and partial road failure.($50,000) Map, photos, informed estimate based on historic costs for similar type of work provided. $5,890.00 work to be completed damages installing and repairing rip rap on Lowland and Hooper at Bluebird ($1,630.00) and repair shoulders on little Prairie Rd with 3 loads of gravel ($4,260.00). </t>
    </r>
    <r>
      <rPr>
        <b/>
        <sz val="10"/>
        <rFont val="Arial"/>
        <family val="2"/>
      </rPr>
      <t>Validated</t>
    </r>
    <r>
      <rPr>
        <sz val="10"/>
        <rFont val="Arial"/>
        <family val="2"/>
      </rPr>
      <t xml:space="preserve">: $70,890.00 utilizing applicant provided damage description and cost estimates.  
</t>
    </r>
  </si>
  <si>
    <r>
      <rPr>
        <b/>
        <sz val="10"/>
        <rFont val="Arial"/>
        <family val="2"/>
      </rPr>
      <t>CAT A</t>
    </r>
    <r>
      <rPr>
        <sz val="10"/>
        <rFont val="Arial"/>
        <family val="2"/>
      </rPr>
      <t xml:space="preserve">: </t>
    </r>
    <r>
      <rPr>
        <b/>
        <sz val="10"/>
        <rFont val="Arial"/>
        <family val="2"/>
      </rPr>
      <t>Estimated:</t>
    </r>
    <r>
      <rPr>
        <sz val="10"/>
        <rFont val="Arial"/>
        <family val="2"/>
      </rPr>
      <t xml:space="preserve"> $1,872.80 for 10 trees down blocking approximately 6 roads and two signs, debris clearance with estimated quotes for labor and equipment per location.
</t>
    </r>
    <r>
      <rPr>
        <b/>
        <sz val="10"/>
        <rFont val="Arial"/>
        <family val="2"/>
      </rPr>
      <t>Reduced</t>
    </r>
    <r>
      <rPr>
        <sz val="10"/>
        <rFont val="Arial"/>
        <family val="2"/>
      </rPr>
      <t xml:space="preserve">: $1,872.80 for not meeting project minimum threshold. </t>
    </r>
    <r>
      <rPr>
        <b/>
        <sz val="10"/>
        <rFont val="Arial"/>
        <family val="2"/>
      </rPr>
      <t>Validated</t>
    </r>
    <r>
      <rPr>
        <sz val="10"/>
        <rFont val="Arial"/>
        <family val="2"/>
      </rPr>
      <t>: $0</t>
    </r>
  </si>
  <si>
    <r>
      <rPr>
        <b/>
        <sz val="10"/>
        <rFont val="Arial"/>
        <family val="2"/>
      </rPr>
      <t>Cat A: Estimated</t>
    </r>
    <r>
      <rPr>
        <sz val="10"/>
        <rFont val="Arial"/>
        <family val="2"/>
      </rPr>
      <t xml:space="preserve">: $61,250 for debris removal from roads due to flooding. </t>
    </r>
    <r>
      <rPr>
        <b/>
        <sz val="10"/>
        <rFont val="Arial"/>
        <family val="2"/>
      </rPr>
      <t>Validated</t>
    </r>
    <r>
      <rPr>
        <sz val="10"/>
        <rFont val="Arial"/>
        <family val="2"/>
      </rPr>
      <t xml:space="preserve">: $61,250 with applicant provided summary sheets.
</t>
    </r>
    <r>
      <rPr>
        <b/>
        <sz val="10"/>
        <rFont val="Arial"/>
        <family val="2"/>
      </rPr>
      <t>Cat B: Estimated:</t>
    </r>
    <r>
      <rPr>
        <sz val="10"/>
        <rFont val="Arial"/>
        <family val="2"/>
      </rPr>
      <t xml:space="preserve"> $10,350 for traffic control cost due to road closure and detours from flooding. </t>
    </r>
    <r>
      <rPr>
        <b/>
        <sz val="10"/>
        <rFont val="Arial"/>
        <family val="2"/>
      </rPr>
      <t>Validated:</t>
    </r>
    <r>
      <rPr>
        <sz val="10"/>
        <rFont val="Arial"/>
        <family val="2"/>
      </rPr>
      <t xml:space="preserve"> $10,350 with applicant provided summary sheets.
</t>
    </r>
    <r>
      <rPr>
        <b/>
        <sz val="10"/>
        <rFont val="Arial"/>
        <family val="2"/>
      </rPr>
      <t>Cat C: Estimated:</t>
    </r>
    <r>
      <rPr>
        <sz val="10"/>
        <rFont val="Arial"/>
        <family val="2"/>
      </rPr>
      <t xml:space="preserve"> $64,000 for damages to road due to flooding. </t>
    </r>
    <r>
      <rPr>
        <b/>
        <sz val="10"/>
        <rFont val="Arial"/>
        <family val="2"/>
      </rPr>
      <t>Reduced:</t>
    </r>
    <r>
      <rPr>
        <sz val="10"/>
        <rFont val="Arial"/>
        <family val="2"/>
      </rPr>
      <t xml:space="preserve"> $64,000 road is FHWA eligible. </t>
    </r>
    <r>
      <rPr>
        <b/>
        <sz val="10"/>
        <rFont val="Arial"/>
        <family val="2"/>
      </rPr>
      <t>Validated:</t>
    </r>
    <r>
      <rPr>
        <sz val="10"/>
        <rFont val="Arial"/>
        <family val="2"/>
      </rPr>
      <t xml:space="preserve">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</si>
</sst>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6"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
      <sz val="11"/>
      <color rgb="FF000000"/>
      <name val="Aptos Narrow"/>
      <family val="2"/>
    </font>
  </fonts>
  <fills count="10">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4">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0" fontId="6" fillId="5" borderId="3" xfId="0" applyFont="1" applyFill="1" applyBorder="1" applyAlignment="1" applyProtection="1">
      <alignment horizontal="center"/>
    </xf>
    <xf numFmtId="0" fontId="2" fillId="0" borderId="0" xfId="0" applyFont="1" applyAlignment="1" applyProtection="1">
      <alignment wrapText="1"/>
      <protection locked="0"/>
    </xf>
    <xf numFmtId="0" fontId="2" fillId="0" borderId="0" xfId="0" applyFont="1" applyAlignment="1">
      <alignment wrapText="1"/>
    </xf>
    <xf numFmtId="6" fontId="2" fillId="0" borderId="0" xfId="0" applyNumberFormat="1" applyFont="1" applyAlignment="1" applyProtection="1">
      <alignment wrapText="1"/>
      <protection locked="0"/>
    </xf>
    <xf numFmtId="0" fontId="0" fillId="0" borderId="0" xfId="0" applyAlignment="1">
      <alignment wrapText="1"/>
    </xf>
    <xf numFmtId="0" fontId="15" fillId="0" borderId="0" xfId="0" applyFont="1" applyProtection="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23">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708661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708661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708661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670560</xdr:colOff>
      <xdr:row>1</xdr:row>
      <xdr:rowOff>0</xdr:rowOff>
    </xdr:from>
    <xdr:to>
      <xdr:col>5</xdr:col>
      <xdr:colOff>902228</xdr:colOff>
      <xdr:row>1</xdr:row>
      <xdr:rowOff>237765</xdr:rowOff>
    </xdr:to>
    <xdr:pic>
      <xdr:nvPicPr>
        <xdr:cNvPr id="3" name="Picture 2">
          <a:extLst>
            <a:ext uri="{FF2B5EF4-FFF2-40B4-BE49-F238E27FC236}">
              <a16:creationId xmlns:a16="http://schemas.microsoft.com/office/drawing/2014/main" id="{9B9B8853-A1CE-A906-D957-9BE07BEA7608}"/>
            </a:ext>
          </a:extLst>
        </xdr:cNvPr>
        <xdr:cNvPicPr>
          <a:picLocks noChangeAspect="1"/>
        </xdr:cNvPicPr>
      </xdr:nvPicPr>
      <xdr:blipFill>
        <a:blip xmlns:r="http://schemas.openxmlformats.org/officeDocument/2006/relationships" r:embed="rId1"/>
        <a:stretch>
          <a:fillRect/>
        </a:stretch>
      </xdr:blipFill>
      <xdr:spPr>
        <a:xfrm>
          <a:off x="6134100" y="167640"/>
          <a:ext cx="231668" cy="237765"/>
        </a:xfrm>
        <a:prstGeom prst="rect">
          <a:avLst/>
        </a:prstGeom>
      </xdr:spPr>
    </xdr:pic>
    <xdr:clientData/>
  </xdr:twoCellAnchor>
  <xdr:twoCellAnchor editAs="oneCell">
    <xdr:from>
      <xdr:col>9</xdr:col>
      <xdr:colOff>83820</xdr:colOff>
      <xdr:row>1</xdr:row>
      <xdr:rowOff>0</xdr:rowOff>
    </xdr:from>
    <xdr:to>
      <xdr:col>9</xdr:col>
      <xdr:colOff>315488</xdr:colOff>
      <xdr:row>1</xdr:row>
      <xdr:rowOff>237765</xdr:rowOff>
    </xdr:to>
    <xdr:pic>
      <xdr:nvPicPr>
        <xdr:cNvPr id="4" name="Picture 3">
          <a:extLst>
            <a:ext uri="{FF2B5EF4-FFF2-40B4-BE49-F238E27FC236}">
              <a16:creationId xmlns:a16="http://schemas.microsoft.com/office/drawing/2014/main" id="{2066FDF3-E4C2-810F-CDA6-80E40B9615AF}"/>
            </a:ext>
          </a:extLst>
        </xdr:cNvPr>
        <xdr:cNvPicPr>
          <a:picLocks noChangeAspect="1"/>
        </xdr:cNvPicPr>
      </xdr:nvPicPr>
      <xdr:blipFill>
        <a:blip xmlns:r="http://schemas.openxmlformats.org/officeDocument/2006/relationships" r:embed="rId1"/>
        <a:stretch>
          <a:fillRect/>
        </a:stretch>
      </xdr:blipFill>
      <xdr:spPr>
        <a:xfrm>
          <a:off x="10149840" y="167640"/>
          <a:ext cx="231668" cy="237765"/>
        </a:xfrm>
        <a:prstGeom prst="rect">
          <a:avLst/>
        </a:prstGeom>
      </xdr:spPr>
    </xdr:pic>
    <xdr:clientData/>
  </xdr:twoCellAnchor>
  <xdr:twoCellAnchor editAs="oneCell">
    <xdr:from>
      <xdr:col>11</xdr:col>
      <xdr:colOff>1150620</xdr:colOff>
      <xdr:row>1</xdr:row>
      <xdr:rowOff>0</xdr:rowOff>
    </xdr:from>
    <xdr:to>
      <xdr:col>11</xdr:col>
      <xdr:colOff>1382288</xdr:colOff>
      <xdr:row>1</xdr:row>
      <xdr:rowOff>237765</xdr:rowOff>
    </xdr:to>
    <xdr:pic>
      <xdr:nvPicPr>
        <xdr:cNvPr id="5" name="Picture 4">
          <a:extLst>
            <a:ext uri="{FF2B5EF4-FFF2-40B4-BE49-F238E27FC236}">
              <a16:creationId xmlns:a16="http://schemas.microsoft.com/office/drawing/2014/main" id="{8B24117A-5352-C27F-B00B-158F78FBEBF1}"/>
            </a:ext>
          </a:extLst>
        </xdr:cNvPr>
        <xdr:cNvPicPr>
          <a:picLocks noChangeAspect="1"/>
        </xdr:cNvPicPr>
      </xdr:nvPicPr>
      <xdr:blipFill>
        <a:blip xmlns:r="http://schemas.openxmlformats.org/officeDocument/2006/relationships" r:embed="rId1"/>
        <a:stretch>
          <a:fillRect/>
        </a:stretch>
      </xdr:blipFill>
      <xdr:spPr>
        <a:xfrm>
          <a:off x="13517880" y="167640"/>
          <a:ext cx="231668" cy="237765"/>
        </a:xfrm>
        <a:prstGeom prst="rect">
          <a:avLst/>
        </a:prstGeom>
      </xdr:spPr>
    </xdr:pic>
    <xdr:clientData/>
  </xdr:twoCellAnchor>
  <xdr:twoCellAnchor editAs="oneCell">
    <xdr:from>
      <xdr:col>11</xdr:col>
      <xdr:colOff>1386840</xdr:colOff>
      <xdr:row>3</xdr:row>
      <xdr:rowOff>167641</xdr:rowOff>
    </xdr:from>
    <xdr:to>
      <xdr:col>11</xdr:col>
      <xdr:colOff>1579880</xdr:colOff>
      <xdr:row>5</xdr:row>
      <xdr:rowOff>7621</xdr:rowOff>
    </xdr:to>
    <xdr:pic>
      <xdr:nvPicPr>
        <xdr:cNvPr id="10" name="Picture 9">
          <a:extLst>
            <a:ext uri="{FF2B5EF4-FFF2-40B4-BE49-F238E27FC236}">
              <a16:creationId xmlns:a16="http://schemas.microsoft.com/office/drawing/2014/main" id="{2142D369-A9AD-E6AE-33FC-B4DA3EBE5421}"/>
            </a:ext>
          </a:extLst>
        </xdr:cNvPr>
        <xdr:cNvPicPr>
          <a:picLocks noChangeAspect="1"/>
        </xdr:cNvPicPr>
      </xdr:nvPicPr>
      <xdr:blipFill>
        <a:blip xmlns:r="http://schemas.openxmlformats.org/officeDocument/2006/relationships" r:embed="rId1"/>
        <a:stretch>
          <a:fillRect/>
        </a:stretch>
      </xdr:blipFill>
      <xdr:spPr>
        <a:xfrm>
          <a:off x="13754100" y="982981"/>
          <a:ext cx="193040" cy="198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22" headerRowBorderDxfId="21">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73CBDA3F-3CCD-40E9-A1D6-EDEAC3094AD9}" name="Type" dataDxfId="20"/>
    <tableColumn id="2" xr3:uid="{CEF0DEE3-5FBC-4431-8D20-44ADFA086565}" name="Status"/>
    <tableColumn id="3" xr3:uid="{6AE4775A-6962-48E5-A1C4-9FCA9AB9D84E}" name="A" dataDxfId="19"/>
    <tableColumn id="4" xr3:uid="{95329002-0451-4E1E-945B-2C92D7F26AE1}" name="B" dataDxfId="18"/>
    <tableColumn id="5" xr3:uid="{C9970892-8DCE-47CB-869D-F16FA0BD7E06}" name="C" dataDxfId="17"/>
    <tableColumn id="6" xr3:uid="{F0DCACBD-52FF-4FE4-84B1-2D6B25D65311}" name="D" dataDxfId="16"/>
    <tableColumn id="7" xr3:uid="{205919F4-D5DE-486C-90D6-F5D967AC39EC}" name="E" dataDxfId="15"/>
    <tableColumn id="8" xr3:uid="{F9D328E0-74CC-4868-B431-49B3E35EFE9D}" name="F" dataDxfId="14"/>
    <tableColumn id="9" xr3:uid="{03019066-5B79-4995-97FF-5CAED36BB984}" name="G" dataDxfId="13"/>
    <tableColumn id="10" xr3:uid="{1D74BABD-09F2-423C-A7DE-83A1A9B01B7A}" name="Applicant Total" dataDxfId="12">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75" totalsRowShown="0" headerRowDxfId="7" headerRowBorderDxfId="6">
  <autoFilter ref="A3:A75"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9" activePane="bottomRight" state="frozen"/>
      <selection pane="topRight" activeCell="B1" sqref="B1"/>
      <selection pane="bottomLeft" activeCell="A6" sqref="A6"/>
      <selection pane="bottomRight" activeCell="B18" sqref="B18:G18"/>
    </sheetView>
  </sheetViews>
  <sheetFormatPr defaultColWidth="16.6640625" defaultRowHeight="13.2" x14ac:dyDescent="0.25"/>
  <cols>
    <col min="1" max="1" width="0.6640625" style="46" customWidth="1"/>
    <col min="2" max="2" width="31.6640625" customWidth="1"/>
    <col min="3" max="3" width="13.6640625" customWidth="1"/>
    <col min="4" max="4" width="16.6640625" customWidth="1"/>
    <col min="12" max="12" width="26.33203125" customWidth="1"/>
  </cols>
  <sheetData>
    <row r="1" spans="1:12" ht="13.2" customHeight="1" thickBot="1" x14ac:dyDescent="0.3">
      <c r="B1" s="45"/>
      <c r="C1" s="45"/>
      <c r="D1" s="45"/>
      <c r="E1" s="45"/>
      <c r="F1" s="45"/>
      <c r="G1" s="45"/>
      <c r="H1" s="45"/>
      <c r="I1" s="45"/>
      <c r="J1" s="45"/>
      <c r="K1" s="45"/>
      <c r="L1" s="45"/>
    </row>
    <row r="2" spans="1:12" s="1" customFormat="1" ht="20.100000000000001" customHeight="1" thickTop="1" thickBot="1" x14ac:dyDescent="0.3">
      <c r="A2" s="46"/>
      <c r="B2" s="60" t="s">
        <v>15</v>
      </c>
      <c r="C2" s="61"/>
      <c r="D2" s="5" t="s">
        <v>7</v>
      </c>
      <c r="E2" s="56" t="s">
        <v>9</v>
      </c>
      <c r="F2" s="57"/>
      <c r="G2" s="47" t="s">
        <v>13</v>
      </c>
      <c r="H2" s="48"/>
      <c r="I2" s="48"/>
      <c r="J2" s="48"/>
      <c r="K2" s="49"/>
      <c r="L2" s="6" t="s">
        <v>11</v>
      </c>
    </row>
    <row r="3" spans="1:12" s="1" customFormat="1" ht="31.2" customHeight="1" thickTop="1" thickBot="1" x14ac:dyDescent="0.3">
      <c r="A3" s="46"/>
      <c r="B3" s="62" t="s">
        <v>181</v>
      </c>
      <c r="C3" s="63"/>
      <c r="D3" s="14" t="s">
        <v>167</v>
      </c>
      <c r="E3" s="58">
        <f>SUM(Table6[[A]:[B]])</f>
        <v>239915.42</v>
      </c>
      <c r="F3" s="59"/>
      <c r="G3" s="50">
        <f>SUM(Table6[[C]:[G]])</f>
        <v>216890</v>
      </c>
      <c r="H3" s="51"/>
      <c r="I3" s="51"/>
      <c r="J3" s="51"/>
      <c r="K3" s="52"/>
      <c r="L3" s="9">
        <f>SUM(Table6[Applicant Total])</f>
        <v>456805.42</v>
      </c>
    </row>
    <row r="4" spans="1:12" ht="14.4" thickTop="1" thickBot="1" x14ac:dyDescent="0.3">
      <c r="B4" s="53"/>
      <c r="C4" s="54"/>
      <c r="D4" s="54"/>
      <c r="E4" s="54"/>
      <c r="F4" s="54"/>
      <c r="G4" s="54"/>
      <c r="H4" s="54"/>
      <c r="I4" s="54"/>
      <c r="J4" s="54"/>
      <c r="K4" s="54"/>
      <c r="L4" s="55"/>
    </row>
    <row r="5" spans="1:12" ht="13.8" thickBot="1" x14ac:dyDescent="0.3">
      <c r="B5" s="16" t="s">
        <v>12</v>
      </c>
      <c r="C5" s="39" t="s">
        <v>163</v>
      </c>
      <c r="D5" s="17" t="s">
        <v>10</v>
      </c>
      <c r="E5" s="18" t="s">
        <v>0</v>
      </c>
      <c r="F5" s="19" t="s">
        <v>1</v>
      </c>
      <c r="G5" s="20" t="s">
        <v>2</v>
      </c>
      <c r="H5" s="21" t="s">
        <v>3</v>
      </c>
      <c r="I5" s="21" t="s">
        <v>4</v>
      </c>
      <c r="J5" s="21" t="s">
        <v>5</v>
      </c>
      <c r="K5" s="22" t="s">
        <v>6</v>
      </c>
      <c r="L5" s="29" t="s">
        <v>14</v>
      </c>
    </row>
    <row r="6" spans="1:12" x14ac:dyDescent="0.25">
      <c r="B6" s="10" t="s">
        <v>182</v>
      </c>
      <c r="C6" s="10" t="s">
        <v>183</v>
      </c>
      <c r="D6" s="11" t="s">
        <v>184</v>
      </c>
      <c r="E6" s="13"/>
      <c r="F6" s="12">
        <v>0</v>
      </c>
      <c r="G6" s="12"/>
      <c r="H6" s="13"/>
      <c r="I6" s="13">
        <v>0</v>
      </c>
      <c r="J6" s="13"/>
      <c r="K6" s="13"/>
      <c r="L6" s="15">
        <f>SUM(Table6[[#This Row],[A]:[G]])</f>
        <v>0</v>
      </c>
    </row>
    <row r="7" spans="1:12" x14ac:dyDescent="0.25">
      <c r="B7" s="10" t="s">
        <v>185</v>
      </c>
      <c r="C7" s="10" t="s">
        <v>183</v>
      </c>
      <c r="D7" s="11" t="s">
        <v>184</v>
      </c>
      <c r="E7" s="13"/>
      <c r="F7" s="13"/>
      <c r="G7" s="12"/>
      <c r="H7" s="12"/>
      <c r="I7" s="13"/>
      <c r="J7" s="13"/>
      <c r="K7" s="13"/>
      <c r="L7" s="15">
        <f>SUM(Table6[[#This Row],[A]:[G]])</f>
        <v>0</v>
      </c>
    </row>
    <row r="8" spans="1:12" x14ac:dyDescent="0.25">
      <c r="B8" s="10" t="s">
        <v>186</v>
      </c>
      <c r="C8" s="10" t="s">
        <v>183</v>
      </c>
      <c r="D8" s="11" t="s">
        <v>184</v>
      </c>
      <c r="E8" s="13"/>
      <c r="F8" s="13"/>
      <c r="G8" s="13"/>
      <c r="H8" s="13"/>
      <c r="I8" s="13"/>
      <c r="J8" s="13"/>
      <c r="K8" s="13"/>
      <c r="L8" s="15">
        <f>SUM(Table6[[#This Row],[A]:[G]])</f>
        <v>0</v>
      </c>
    </row>
    <row r="9" spans="1:12" x14ac:dyDescent="0.25">
      <c r="B9" s="10" t="s">
        <v>187</v>
      </c>
      <c r="C9" s="10" t="s">
        <v>183</v>
      </c>
      <c r="D9" s="11" t="s">
        <v>184</v>
      </c>
      <c r="E9" s="13">
        <v>53795.63</v>
      </c>
      <c r="F9" s="13">
        <v>10235.09</v>
      </c>
      <c r="G9" s="13"/>
      <c r="H9" s="13"/>
      <c r="I9" s="13"/>
      <c r="J9" s="13"/>
      <c r="K9" s="13"/>
      <c r="L9" s="15">
        <f>SUM(Table6[[#This Row],[A]:[G]])</f>
        <v>64030.720000000001</v>
      </c>
    </row>
    <row r="10" spans="1:12" x14ac:dyDescent="0.25">
      <c r="B10" s="10" t="s">
        <v>188</v>
      </c>
      <c r="C10" s="10" t="s">
        <v>183</v>
      </c>
      <c r="D10" s="11" t="s">
        <v>184</v>
      </c>
      <c r="E10" s="13">
        <v>16011.32</v>
      </c>
      <c r="F10" s="13">
        <v>5797.33</v>
      </c>
      <c r="G10" s="13">
        <v>38254.69</v>
      </c>
      <c r="H10" s="13">
        <v>0</v>
      </c>
      <c r="I10" s="13">
        <v>69860.14</v>
      </c>
      <c r="J10" s="13">
        <v>0</v>
      </c>
      <c r="K10" s="13">
        <v>0</v>
      </c>
      <c r="L10" s="15">
        <f>SUM(Table6[[#This Row],[A]:[G]])</f>
        <v>129923.48000000001</v>
      </c>
    </row>
    <row r="11" spans="1:12" x14ac:dyDescent="0.25">
      <c r="B11" s="10" t="s">
        <v>189</v>
      </c>
      <c r="C11" s="10" t="s">
        <v>183</v>
      </c>
      <c r="D11" s="11" t="s">
        <v>184</v>
      </c>
      <c r="E11" s="13">
        <v>0</v>
      </c>
      <c r="F11" s="13">
        <v>0</v>
      </c>
      <c r="G11" s="13">
        <v>0</v>
      </c>
      <c r="H11" s="13">
        <v>0</v>
      </c>
      <c r="I11" s="13">
        <v>0</v>
      </c>
      <c r="J11" s="13"/>
      <c r="K11" s="13"/>
      <c r="L11" s="15">
        <f>SUM(Table6[[#This Row],[A]:[G]])</f>
        <v>0</v>
      </c>
    </row>
    <row r="12" spans="1:12" x14ac:dyDescent="0.25">
      <c r="B12" s="10" t="s">
        <v>190</v>
      </c>
      <c r="C12" s="10" t="s">
        <v>191</v>
      </c>
      <c r="D12" s="11" t="s">
        <v>184</v>
      </c>
      <c r="E12" s="12"/>
      <c r="F12" s="13"/>
      <c r="G12" s="13"/>
      <c r="H12" s="13"/>
      <c r="I12" s="13"/>
      <c r="J12" s="13">
        <v>26478.61</v>
      </c>
      <c r="K12" s="13"/>
      <c r="L12" s="15">
        <f>SUM(Table6[[#This Row],[A]:[G]])</f>
        <v>26478.61</v>
      </c>
    </row>
    <row r="13" spans="1:12" x14ac:dyDescent="0.25">
      <c r="B13" s="10" t="s">
        <v>192</v>
      </c>
      <c r="C13" s="10" t="s">
        <v>232</v>
      </c>
      <c r="D13" s="11" t="s">
        <v>184</v>
      </c>
      <c r="E13" s="13"/>
      <c r="F13" s="13"/>
      <c r="G13" s="13"/>
      <c r="H13" s="13"/>
      <c r="I13" s="13"/>
      <c r="J13" s="13"/>
      <c r="K13" s="13"/>
      <c r="L13" s="15">
        <f>SUM(Table6[[#This Row],[A]:[G]])</f>
        <v>0</v>
      </c>
    </row>
    <row r="14" spans="1:12" x14ac:dyDescent="0.25">
      <c r="B14" s="10" t="s">
        <v>193</v>
      </c>
      <c r="C14" s="10" t="s">
        <v>232</v>
      </c>
      <c r="D14" s="11" t="s">
        <v>184</v>
      </c>
      <c r="E14" s="13">
        <v>17497</v>
      </c>
      <c r="F14" s="13"/>
      <c r="G14" s="13">
        <v>5307.53</v>
      </c>
      <c r="H14" s="13"/>
      <c r="I14" s="13"/>
      <c r="J14" s="13"/>
      <c r="K14" s="13"/>
      <c r="L14" s="15">
        <f>SUM(Table6[[#This Row],[A]:[G]])</f>
        <v>22804.53</v>
      </c>
    </row>
    <row r="15" spans="1:12" x14ac:dyDescent="0.25">
      <c r="B15" s="10" t="s">
        <v>194</v>
      </c>
      <c r="C15" s="10" t="s">
        <v>232</v>
      </c>
      <c r="D15" s="11" t="s">
        <v>184</v>
      </c>
      <c r="E15" s="13"/>
      <c r="F15" s="13"/>
      <c r="G15" s="13"/>
      <c r="H15" s="13"/>
      <c r="I15" s="13"/>
      <c r="J15" s="13"/>
      <c r="K15" s="13"/>
      <c r="L15" s="15">
        <f>SUM(Table6[[#This Row],[A]:[G]])</f>
        <v>0</v>
      </c>
    </row>
    <row r="16" spans="1:12" x14ac:dyDescent="0.25">
      <c r="B16" s="10" t="s">
        <v>195</v>
      </c>
      <c r="C16" s="10" t="s">
        <v>232</v>
      </c>
      <c r="D16" s="11" t="s">
        <v>184</v>
      </c>
      <c r="E16" s="13"/>
      <c r="F16" s="13"/>
      <c r="G16" s="13"/>
      <c r="H16" s="13"/>
      <c r="I16" s="13"/>
      <c r="J16" s="13"/>
      <c r="K16" s="13"/>
      <c r="L16" s="15">
        <f>SUM(Table6[[#This Row],[A]:[G]])</f>
        <v>0</v>
      </c>
    </row>
    <row r="17" spans="2:12" x14ac:dyDescent="0.25">
      <c r="B17" s="10" t="s">
        <v>196</v>
      </c>
      <c r="C17" s="10" t="s">
        <v>232</v>
      </c>
      <c r="D17" s="11" t="s">
        <v>184</v>
      </c>
      <c r="E17" s="13">
        <v>17872.05</v>
      </c>
      <c r="F17" s="13"/>
      <c r="G17" s="13"/>
      <c r="H17" s="13"/>
      <c r="I17" s="13"/>
      <c r="J17" s="13"/>
      <c r="K17" s="13"/>
      <c r="L17" s="15">
        <f>SUM(Table6[[#This Row],[A]:[G]])</f>
        <v>17872.05</v>
      </c>
    </row>
    <row r="18" spans="2:12" x14ac:dyDescent="0.25">
      <c r="B18" s="10" t="s">
        <v>197</v>
      </c>
      <c r="C18" s="10" t="s">
        <v>232</v>
      </c>
      <c r="D18" s="11" t="s">
        <v>184</v>
      </c>
      <c r="E18" s="13"/>
      <c r="F18" s="13"/>
      <c r="G18" s="13">
        <v>6099.03</v>
      </c>
      <c r="H18" s="13"/>
      <c r="I18" s="13"/>
      <c r="J18" s="13"/>
      <c r="K18" s="13"/>
      <c r="L18" s="15">
        <f>SUM(Table6[[#This Row],[A]:[G]])</f>
        <v>6099.03</v>
      </c>
    </row>
    <row r="19" spans="2:12" x14ac:dyDescent="0.25">
      <c r="B19" s="10" t="s">
        <v>198</v>
      </c>
      <c r="C19" s="10" t="s">
        <v>232</v>
      </c>
      <c r="D19" s="11" t="s">
        <v>184</v>
      </c>
      <c r="E19" s="13"/>
      <c r="F19" s="13"/>
      <c r="G19" s="13"/>
      <c r="H19" s="13"/>
      <c r="I19" s="13"/>
      <c r="J19" s="13"/>
      <c r="K19" s="13"/>
      <c r="L19" s="15">
        <f>SUM(Table6[[#This Row],[A]:[G]])</f>
        <v>0</v>
      </c>
    </row>
    <row r="20" spans="2:12" x14ac:dyDescent="0.25">
      <c r="B20" s="10" t="s">
        <v>199</v>
      </c>
      <c r="C20" s="10" t="s">
        <v>232</v>
      </c>
      <c r="D20" s="11" t="s">
        <v>184</v>
      </c>
      <c r="E20" s="13"/>
      <c r="F20" s="13"/>
      <c r="G20" s="13"/>
      <c r="H20" s="13"/>
      <c r="I20" s="13"/>
      <c r="J20" s="13"/>
      <c r="K20" s="13"/>
      <c r="L20" s="15">
        <f>SUM(Table6[[#This Row],[A]:[G]])</f>
        <v>0</v>
      </c>
    </row>
    <row r="21" spans="2:12" x14ac:dyDescent="0.25">
      <c r="B21" s="10" t="s">
        <v>200</v>
      </c>
      <c r="C21" s="10" t="s">
        <v>232</v>
      </c>
      <c r="D21" s="11" t="s">
        <v>184</v>
      </c>
      <c r="E21" s="13"/>
      <c r="F21" s="13"/>
      <c r="G21" s="13"/>
      <c r="H21" s="13"/>
      <c r="I21" s="13"/>
      <c r="J21" s="13"/>
      <c r="K21" s="13"/>
      <c r="L21" s="15">
        <f>SUM(Table6[[#This Row],[A]:[G]])</f>
        <v>0</v>
      </c>
    </row>
    <row r="22" spans="2:12" x14ac:dyDescent="0.25">
      <c r="B22" s="10" t="s">
        <v>201</v>
      </c>
      <c r="C22" s="10" t="s">
        <v>232</v>
      </c>
      <c r="D22" s="11" t="s">
        <v>184</v>
      </c>
      <c r="E22" s="13"/>
      <c r="F22" s="13"/>
      <c r="G22" s="13"/>
      <c r="H22" s="13"/>
      <c r="I22" s="13"/>
      <c r="J22" s="13"/>
      <c r="K22" s="13"/>
      <c r="L22" s="15">
        <f>SUM(Table6[[#This Row],[A]:[G]])</f>
        <v>0</v>
      </c>
    </row>
    <row r="23" spans="2:12" x14ac:dyDescent="0.25">
      <c r="B23" s="10" t="s">
        <v>202</v>
      </c>
      <c r="C23" s="10" t="s">
        <v>232</v>
      </c>
      <c r="D23" s="11" t="s">
        <v>184</v>
      </c>
      <c r="E23" s="13">
        <v>8000</v>
      </c>
      <c r="F23" s="13"/>
      <c r="G23" s="13"/>
      <c r="H23" s="13"/>
      <c r="I23" s="13"/>
      <c r="J23" s="13"/>
      <c r="K23" s="13"/>
      <c r="L23" s="15">
        <f>SUM(Table6[[#This Row],[A]:[G]])</f>
        <v>8000</v>
      </c>
    </row>
    <row r="24" spans="2:12" x14ac:dyDescent="0.25">
      <c r="B24" s="10" t="s">
        <v>203</v>
      </c>
      <c r="C24" s="10" t="s">
        <v>232</v>
      </c>
      <c r="D24" s="11" t="s">
        <v>184</v>
      </c>
      <c r="E24" s="13">
        <v>8000</v>
      </c>
      <c r="F24" s="13"/>
      <c r="G24" s="13"/>
      <c r="H24" s="13"/>
      <c r="I24" s="13"/>
      <c r="J24" s="13"/>
      <c r="K24" s="13"/>
      <c r="L24" s="15">
        <f>SUM(Table6[[#This Row],[A]:[G]])</f>
        <v>8000</v>
      </c>
    </row>
    <row r="25" spans="2:12" x14ac:dyDescent="0.25">
      <c r="B25" s="10" t="s">
        <v>204</v>
      </c>
      <c r="C25" s="10" t="s">
        <v>232</v>
      </c>
      <c r="D25" s="11" t="s">
        <v>184</v>
      </c>
      <c r="E25" s="13"/>
      <c r="F25" s="13"/>
      <c r="G25" s="13"/>
      <c r="H25" s="13"/>
      <c r="I25" s="13"/>
      <c r="J25" s="13"/>
      <c r="K25" s="13"/>
      <c r="L25" s="15">
        <f>SUM(Table6[[#This Row],[A]:[G]])</f>
        <v>0</v>
      </c>
    </row>
    <row r="26" spans="2:12" x14ac:dyDescent="0.25">
      <c r="B26" s="10" t="s">
        <v>205</v>
      </c>
      <c r="C26" s="10" t="s">
        <v>232</v>
      </c>
      <c r="D26" s="11" t="s">
        <v>184</v>
      </c>
      <c r="E26" s="13">
        <v>13380</v>
      </c>
      <c r="F26" s="13"/>
      <c r="G26" s="13">
        <v>70890</v>
      </c>
      <c r="H26" s="13"/>
      <c r="I26" s="13"/>
      <c r="J26" s="13"/>
      <c r="K26" s="13"/>
      <c r="L26" s="15">
        <f>SUM(Table6[[#This Row],[A]:[G]])</f>
        <v>84270</v>
      </c>
    </row>
    <row r="27" spans="2:12" x14ac:dyDescent="0.25">
      <c r="B27" s="10" t="s">
        <v>206</v>
      </c>
      <c r="C27" s="10" t="s">
        <v>232</v>
      </c>
      <c r="D27" s="11" t="s">
        <v>184</v>
      </c>
      <c r="E27" s="13"/>
      <c r="F27" s="13"/>
      <c r="G27" s="13"/>
      <c r="H27" s="13"/>
      <c r="I27" s="13"/>
      <c r="J27" s="13"/>
      <c r="K27" s="13"/>
      <c r="L27" s="15">
        <f>SUM(Table6[[#This Row],[A]:[G]])</f>
        <v>0</v>
      </c>
    </row>
    <row r="28" spans="2:12" x14ac:dyDescent="0.25">
      <c r="B28" s="10" t="s">
        <v>207</v>
      </c>
      <c r="C28" s="10" t="s">
        <v>232</v>
      </c>
      <c r="D28" s="11" t="s">
        <v>184</v>
      </c>
      <c r="E28" s="13"/>
      <c r="F28" s="13"/>
      <c r="G28" s="13"/>
      <c r="H28" s="13"/>
      <c r="I28" s="13"/>
      <c r="J28" s="13"/>
      <c r="K28" s="13"/>
      <c r="L28" s="15">
        <f>SUM(Table6[[#This Row],[A]:[G]])</f>
        <v>0</v>
      </c>
    </row>
    <row r="29" spans="2:12" x14ac:dyDescent="0.25">
      <c r="B29" s="10" t="s">
        <v>208</v>
      </c>
      <c r="C29" s="10" t="s">
        <v>232</v>
      </c>
      <c r="D29" s="11" t="s">
        <v>184</v>
      </c>
      <c r="E29" s="13">
        <v>0</v>
      </c>
      <c r="F29" s="13">
        <v>0</v>
      </c>
      <c r="G29" s="13">
        <v>0</v>
      </c>
      <c r="H29" s="13"/>
      <c r="I29" s="13"/>
      <c r="J29" s="13"/>
      <c r="K29" s="13"/>
      <c r="L29" s="15">
        <f>SUM(Table6[[#This Row],[A]:[G]])</f>
        <v>0</v>
      </c>
    </row>
    <row r="30" spans="2:12" x14ac:dyDescent="0.25">
      <c r="B30" s="10" t="s">
        <v>209</v>
      </c>
      <c r="C30" s="10" t="s">
        <v>232</v>
      </c>
      <c r="D30" s="11" t="s">
        <v>184</v>
      </c>
      <c r="E30" s="13"/>
      <c r="F30" s="13"/>
      <c r="G30" s="13"/>
      <c r="H30" s="13"/>
      <c r="I30" s="13"/>
      <c r="J30" s="13"/>
      <c r="K30" s="13"/>
      <c r="L30" s="15">
        <f>SUM(Table6[[#This Row],[A]:[G]])</f>
        <v>0</v>
      </c>
    </row>
    <row r="31" spans="2:12" x14ac:dyDescent="0.25">
      <c r="B31" s="10" t="s">
        <v>210</v>
      </c>
      <c r="C31" s="10" t="s">
        <v>232</v>
      </c>
      <c r="D31" s="11" t="s">
        <v>184</v>
      </c>
      <c r="E31" s="13">
        <v>17727</v>
      </c>
      <c r="F31" s="13"/>
      <c r="G31" s="13"/>
      <c r="H31" s="13"/>
      <c r="I31" s="13"/>
      <c r="J31" s="13"/>
      <c r="K31" s="13"/>
      <c r="L31" s="15">
        <f>SUM(Table6[[#This Row],[A]:[G]])</f>
        <v>17727</v>
      </c>
    </row>
    <row r="32" spans="2:12" x14ac:dyDescent="0.25">
      <c r="B32" s="10" t="s">
        <v>211</v>
      </c>
      <c r="C32" s="10" t="s">
        <v>232</v>
      </c>
      <c r="D32" s="11" t="s">
        <v>184</v>
      </c>
      <c r="E32" s="13"/>
      <c r="F32" s="13"/>
      <c r="G32" s="13"/>
      <c r="H32" s="13"/>
      <c r="I32" s="13"/>
      <c r="J32" s="13"/>
      <c r="K32" s="13"/>
      <c r="L32" s="15">
        <f>SUM(Table6[[#This Row],[A]:[G]])</f>
        <v>0</v>
      </c>
    </row>
    <row r="33" spans="2:12" ht="14.4" x14ac:dyDescent="0.3">
      <c r="B33" s="44" t="s">
        <v>231</v>
      </c>
      <c r="C33" s="10" t="s">
        <v>212</v>
      </c>
      <c r="D33" s="11" t="s">
        <v>184</v>
      </c>
      <c r="E33" s="13">
        <v>61250</v>
      </c>
      <c r="F33" s="13">
        <v>10350</v>
      </c>
      <c r="G33" s="13"/>
      <c r="H33" s="13"/>
      <c r="I33" s="13"/>
      <c r="J33" s="13"/>
      <c r="K33" s="13"/>
      <c r="L33" s="15">
        <f>SUM(Table6[[#This Row],[A]:[G]])</f>
        <v>71600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SYxPlrCBLcjyJ1lYdaS6plcUGA1rcjX6gxAPn8seOmd0GiG+1boGDFPndVhUVMJ2WxsAgC4TvHDCnM3XXdYyMw==" saltValue="Vfoy3J37T5T6aXse4XL7WQ==" spinCount="100000" sheet="1" objects="1" scenarios="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A6:XFD6 A7:K100 M7:XFD100 L7:L101">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03C5FD72-F0F2-4C3B-8AD9-9DFABE154267}">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3F447B8-57C0-45EC-B2E4-405629C8DBF8}">
          <x14:formula1>
            <xm:f>'County Population and Threshold'!$A$4:$A$75</xm:f>
          </x14:formula1>
          <xm:sqref>B3</xm:sqref>
        </x14:dataValidation>
        <x14:dataValidation type="list" allowBlank="1" showInputMessage="1" showErrorMessage="1" xr:uid="{4C6248B3-592C-4AD2-B25B-C2E1E253C9FF}">
          <x14:formula1>
            <xm:f>'County Population and Threshold'!$C$4:$C$23</xm:f>
          </x14:formula1>
          <xm:sqref>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zoomScale="80" zoomScaleNormal="80" workbookViewId="0">
      <pane ySplit="1" topLeftCell="A15" activePane="bottomLeft" state="frozen"/>
      <selection pane="bottomLeft" activeCell="B5" sqref="B5"/>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45" customHeight="1" x14ac:dyDescent="0.25">
      <c r="A2" s="28" t="str">
        <f>'County Summary'!B6</f>
        <v>City of Fort Atkinson</v>
      </c>
      <c r="B2" s="41" t="s">
        <v>221</v>
      </c>
    </row>
    <row r="3" spans="1:2" ht="45" customHeight="1" x14ac:dyDescent="0.25">
      <c r="A3" s="28" t="str">
        <f>'County Summary'!B7</f>
        <v>City of Jefferson</v>
      </c>
      <c r="B3" s="41" t="s">
        <v>220</v>
      </c>
    </row>
    <row r="4" spans="1:2" ht="45" customHeight="1" x14ac:dyDescent="0.25">
      <c r="A4" s="28" t="str">
        <f>'County Summary'!B8</f>
        <v>City of Lake Mills</v>
      </c>
      <c r="B4" s="41" t="s">
        <v>219</v>
      </c>
    </row>
    <row r="5" spans="1:2" ht="45" customHeight="1" x14ac:dyDescent="0.25">
      <c r="A5" s="28" t="str">
        <f>'County Summary'!B9</f>
        <v>City of Waterloo</v>
      </c>
      <c r="B5" s="41" t="s">
        <v>218</v>
      </c>
    </row>
    <row r="6" spans="1:2" ht="45" customHeight="1" x14ac:dyDescent="0.25">
      <c r="A6" s="28" t="str">
        <f>'County Summary'!B10</f>
        <v>City of Watertown</v>
      </c>
      <c r="B6" s="41" t="s">
        <v>217</v>
      </c>
    </row>
    <row r="7" spans="1:2" ht="45" customHeight="1" x14ac:dyDescent="0.25">
      <c r="A7" s="28" t="str">
        <f>'County Summary'!B11</f>
        <v>City of Whitewater</v>
      </c>
      <c r="B7" s="41" t="s">
        <v>230</v>
      </c>
    </row>
    <row r="8" spans="1:2" ht="45" customHeight="1" x14ac:dyDescent="0.25">
      <c r="A8" s="28" t="str">
        <f>'County Summary'!B12</f>
        <v>Jefferson Utilities</v>
      </c>
      <c r="B8" s="41" t="s">
        <v>233</v>
      </c>
    </row>
    <row r="9" spans="1:2" ht="45" customHeight="1" x14ac:dyDescent="0.25">
      <c r="A9" s="28" t="str">
        <f>'County Summary'!B13</f>
        <v>Town of Aztalan</v>
      </c>
      <c r="B9" s="41" t="s">
        <v>216</v>
      </c>
    </row>
    <row r="10" spans="1:2" ht="45" customHeight="1" x14ac:dyDescent="0.25">
      <c r="A10" s="28" t="str">
        <f>'County Summary'!B14</f>
        <v>Town of Cold Spring</v>
      </c>
      <c r="B10" s="41" t="s">
        <v>215</v>
      </c>
    </row>
    <row r="11" spans="1:2" ht="45" customHeight="1" x14ac:dyDescent="0.25">
      <c r="A11" s="28" t="str">
        <f>'County Summary'!B15</f>
        <v>Town of Concord</v>
      </c>
      <c r="B11" s="41" t="s">
        <v>214</v>
      </c>
    </row>
    <row r="12" spans="1:2" ht="45" customHeight="1" x14ac:dyDescent="0.25">
      <c r="A12" s="28" t="str">
        <f>'County Summary'!B16</f>
        <v xml:space="preserve">Town of Farmington </v>
      </c>
      <c r="B12" s="40" t="s">
        <v>213</v>
      </c>
    </row>
    <row r="13" spans="1:2" ht="45" customHeight="1" x14ac:dyDescent="0.25">
      <c r="A13" s="28" t="str">
        <f>'County Summary'!B17</f>
        <v>Town of Hebron</v>
      </c>
      <c r="B13" s="40" t="s">
        <v>234</v>
      </c>
    </row>
    <row r="14" spans="1:2" ht="131.25" customHeight="1" x14ac:dyDescent="0.25">
      <c r="A14" s="28" t="str">
        <f>'County Summary'!B18</f>
        <v>Village of Sullivan</v>
      </c>
      <c r="B14" s="42" t="s">
        <v>235</v>
      </c>
    </row>
    <row r="15" spans="1:2" ht="45" customHeight="1" x14ac:dyDescent="0.25">
      <c r="A15" s="28" t="str">
        <f>'County Summary'!B19</f>
        <v>Village of Palmyra</v>
      </c>
      <c r="B15" s="40" t="s">
        <v>222</v>
      </c>
    </row>
    <row r="16" spans="1:2" ht="45" customHeight="1" x14ac:dyDescent="0.25">
      <c r="A16" s="28" t="str">
        <f>'County Summary'!B20</f>
        <v>Village of Johnson Creek</v>
      </c>
      <c r="B16" s="10" t="s">
        <v>222</v>
      </c>
    </row>
    <row r="17" spans="1:2" ht="45" customHeight="1" x14ac:dyDescent="0.25">
      <c r="A17" s="28" t="str">
        <f>'County Summary'!B21</f>
        <v>Village of Cambridge</v>
      </c>
      <c r="B17" s="10" t="s">
        <v>222</v>
      </c>
    </row>
    <row r="18" spans="1:2" ht="45" customHeight="1" x14ac:dyDescent="0.25">
      <c r="A18" s="28" t="str">
        <f>'County Summary'!B22</f>
        <v>Town of Watertown</v>
      </c>
      <c r="B18" s="10" t="s">
        <v>222</v>
      </c>
    </row>
    <row r="19" spans="1:2" ht="45" customHeight="1" x14ac:dyDescent="0.25">
      <c r="A19" s="28" t="str">
        <f>'County Summary'!B23</f>
        <v>Town of Waterloo</v>
      </c>
      <c r="B19" s="40" t="s">
        <v>223</v>
      </c>
    </row>
    <row r="20" spans="1:2" ht="45" customHeight="1" x14ac:dyDescent="0.25">
      <c r="A20" s="28" t="str">
        <f>'County Summary'!B24</f>
        <v>Town of Sumner</v>
      </c>
      <c r="B20" s="10" t="s">
        <v>224</v>
      </c>
    </row>
    <row r="21" spans="1:2" ht="45" customHeight="1" x14ac:dyDescent="0.25">
      <c r="A21" s="28" t="str">
        <f>'County Summary'!B25</f>
        <v>Town of Sullivan</v>
      </c>
      <c r="B21" s="10" t="s">
        <v>225</v>
      </c>
    </row>
    <row r="22" spans="1:2" ht="171.75" customHeight="1" x14ac:dyDescent="0.25">
      <c r="A22" s="28" t="str">
        <f>'County Summary'!B26</f>
        <v>Town of Palmyra</v>
      </c>
      <c r="B22" s="40" t="s">
        <v>236</v>
      </c>
    </row>
    <row r="23" spans="1:2" ht="45" customHeight="1" x14ac:dyDescent="0.25">
      <c r="A23" s="28" t="str">
        <f>'County Summary'!B27</f>
        <v>Town of Oakland</v>
      </c>
      <c r="B23" s="40" t="s">
        <v>237</v>
      </c>
    </row>
    <row r="24" spans="1:2" ht="45" customHeight="1" x14ac:dyDescent="0.25">
      <c r="A24" s="28" t="str">
        <f>'County Summary'!B28</f>
        <v>Town of Milford</v>
      </c>
      <c r="B24" s="10" t="s">
        <v>226</v>
      </c>
    </row>
    <row r="25" spans="1:2" ht="45" customHeight="1" x14ac:dyDescent="0.25">
      <c r="A25" s="28" t="str">
        <f>'County Summary'!B29</f>
        <v>Town of Lake Mills</v>
      </c>
      <c r="B25" s="10" t="s">
        <v>227</v>
      </c>
    </row>
    <row r="26" spans="1:2" ht="45" customHeight="1" x14ac:dyDescent="0.25">
      <c r="A26" s="28" t="str">
        <f>'County Summary'!B30</f>
        <v>Town of Koshkonong</v>
      </c>
      <c r="B26" s="10" t="s">
        <v>227</v>
      </c>
    </row>
    <row r="27" spans="1:2" ht="45" customHeight="1" x14ac:dyDescent="0.25">
      <c r="A27" s="28" t="str">
        <f>'County Summary'!B31</f>
        <v>Town of Jefferson</v>
      </c>
      <c r="B27" s="40" t="s">
        <v>228</v>
      </c>
    </row>
    <row r="28" spans="1:2" ht="45" customHeight="1" x14ac:dyDescent="0.25">
      <c r="A28" s="28" t="str">
        <f>'County Summary'!B32</f>
        <v>Town of Ixonia</v>
      </c>
      <c r="B28" s="10" t="s">
        <v>229</v>
      </c>
    </row>
    <row r="29" spans="1:2" ht="45" customHeight="1" x14ac:dyDescent="0.25">
      <c r="A29" s="28" t="str">
        <f>'County Summary'!B33</f>
        <v>Department of Transportation</v>
      </c>
      <c r="B29" s="43" t="s">
        <v>238</v>
      </c>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formatCells="0" formatRows="0" selectLockedCells="1" sort="0" autoFilter="0"/>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D25" sqref="D25"/>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H75"/>
  <sheetViews>
    <sheetView workbookViewId="0">
      <selection activeCell="C23" sqref="C23"/>
    </sheetView>
  </sheetViews>
  <sheetFormatPr defaultRowHeight="13.2" x14ac:dyDescent="0.25"/>
  <cols>
    <col min="1" max="1" width="42.44140625" customWidth="1"/>
    <col min="3" max="3" width="27" customWidth="1"/>
    <col min="4" max="4" width="28.44140625" style="35" customWidth="1"/>
    <col min="5" max="5" width="8.88671875" customWidth="1"/>
    <col min="6" max="6" width="15.109375" customWidth="1"/>
    <col min="7" max="7" width="14.109375" customWidth="1"/>
    <col min="8" max="8" width="12.6640625" customWidth="1"/>
    <col min="9" max="11" width="8.88671875" customWidth="1"/>
  </cols>
  <sheetData>
    <row r="1" spans="1:8" x14ac:dyDescent="0.25">
      <c r="A1" s="8" t="s">
        <v>164</v>
      </c>
    </row>
    <row r="2" spans="1:8" ht="15" customHeight="1" thickBot="1" x14ac:dyDescent="0.3">
      <c r="A2" s="23"/>
    </row>
    <row r="3" spans="1:8" ht="13.8" thickBot="1" x14ac:dyDescent="0.3">
      <c r="A3" s="7" t="s">
        <v>15</v>
      </c>
      <c r="C3" s="24" t="s">
        <v>16</v>
      </c>
    </row>
    <row r="4" spans="1:8" ht="14.4" x14ac:dyDescent="0.3">
      <c r="A4" s="3" t="str">
        <f>D4 &amp; " (" &amp;F4&amp; ")" &amp; " - " &amp;H4</f>
        <v>Adams County (20,654) - $100,378.44</v>
      </c>
      <c r="C4" t="s">
        <v>165</v>
      </c>
      <c r="D4" s="33" t="s">
        <v>22</v>
      </c>
      <c r="E4" s="31">
        <v>20654</v>
      </c>
      <c r="F4" s="36" t="s">
        <v>30</v>
      </c>
      <c r="G4" s="37">
        <f>E4*4.86</f>
        <v>100378.44</v>
      </c>
      <c r="H4" s="38" t="str">
        <f>TEXT(G4,"$#,##0.00")</f>
        <v>$100,378.44</v>
      </c>
    </row>
    <row r="5" spans="1:8" ht="14.4" x14ac:dyDescent="0.3">
      <c r="A5" s="3" t="str">
        <f t="shared" ref="A5:A68" si="0">D5 &amp; " (" &amp;F5&amp; ")" &amp; " - " &amp;H5</f>
        <v>Ashland County (16,027) - $77,891.22</v>
      </c>
      <c r="C5" t="s">
        <v>166</v>
      </c>
      <c r="D5" s="33" t="s">
        <v>102</v>
      </c>
      <c r="E5" s="31">
        <v>16027</v>
      </c>
      <c r="F5" s="36" t="s">
        <v>67</v>
      </c>
      <c r="G5" s="37">
        <f t="shared" ref="G5:G68" si="1">E5*4.86</f>
        <v>77891.22</v>
      </c>
      <c r="H5" s="38" t="str">
        <f t="shared" ref="H5:H68" si="2">TEXT(G5,"$#,##0.00")</f>
        <v>$77,891.22</v>
      </c>
    </row>
    <row r="6" spans="1:8" ht="14.4" x14ac:dyDescent="0.3">
      <c r="A6" s="3" t="str">
        <f t="shared" si="0"/>
        <v>Barron County (46,711) - $227,015.46</v>
      </c>
      <c r="C6" t="s">
        <v>178</v>
      </c>
      <c r="D6" s="33" t="s">
        <v>103</v>
      </c>
      <c r="E6" s="31">
        <v>46711</v>
      </c>
      <c r="F6" s="36" t="s">
        <v>31</v>
      </c>
      <c r="G6" s="37">
        <f t="shared" si="1"/>
        <v>227015.46000000002</v>
      </c>
      <c r="H6" s="38" t="str">
        <f t="shared" si="2"/>
        <v>$227,015.46</v>
      </c>
    </row>
    <row r="7" spans="1:8" ht="14.4" x14ac:dyDescent="0.3">
      <c r="A7" s="3" t="str">
        <f t="shared" si="0"/>
        <v>Bayfield County (16,220) - $78,829.20</v>
      </c>
      <c r="C7" t="s">
        <v>180</v>
      </c>
      <c r="D7" s="33" t="s">
        <v>104</v>
      </c>
      <c r="E7" s="31">
        <v>16220</v>
      </c>
      <c r="F7" s="36" t="s">
        <v>32</v>
      </c>
      <c r="G7" s="37">
        <f t="shared" si="1"/>
        <v>78829.200000000012</v>
      </c>
      <c r="H7" s="38" t="str">
        <f t="shared" si="2"/>
        <v>$78,829.20</v>
      </c>
    </row>
    <row r="8" spans="1:8" ht="14.4" x14ac:dyDescent="0.3">
      <c r="A8" s="3" t="str">
        <f t="shared" si="0"/>
        <v>Brown County (268,740) - $1,306,076.40</v>
      </c>
      <c r="C8" t="s">
        <v>167</v>
      </c>
      <c r="D8" s="33" t="s">
        <v>19</v>
      </c>
      <c r="E8" s="31">
        <v>268740</v>
      </c>
      <c r="F8" s="36" t="s">
        <v>33</v>
      </c>
      <c r="G8" s="37">
        <f t="shared" si="1"/>
        <v>1306076.4000000001</v>
      </c>
      <c r="H8" s="38" t="str">
        <f t="shared" si="2"/>
        <v>$1,306,076.40</v>
      </c>
    </row>
    <row r="9" spans="1:8" ht="14.4" x14ac:dyDescent="0.3">
      <c r="A9" s="3" t="str">
        <f t="shared" si="0"/>
        <v>Buffalo County (13,317) - $64,720.62</v>
      </c>
      <c r="C9" t="s">
        <v>168</v>
      </c>
      <c r="D9" s="33" t="s">
        <v>105</v>
      </c>
      <c r="E9" s="31">
        <v>13317</v>
      </c>
      <c r="F9" s="36" t="s">
        <v>34</v>
      </c>
      <c r="G9" s="37">
        <f t="shared" si="1"/>
        <v>64720.62</v>
      </c>
      <c r="H9" s="38" t="str">
        <f t="shared" si="2"/>
        <v>$64,720.62</v>
      </c>
    </row>
    <row r="10" spans="1:8" ht="14.4" x14ac:dyDescent="0.3">
      <c r="A10" s="3" t="str">
        <f t="shared" si="0"/>
        <v>Burnett County (16,526) - $80,316.36</v>
      </c>
      <c r="C10" t="s">
        <v>169</v>
      </c>
      <c r="D10" s="33" t="s">
        <v>106</v>
      </c>
      <c r="E10" s="31">
        <v>16526</v>
      </c>
      <c r="F10" s="36" t="s">
        <v>35</v>
      </c>
      <c r="G10" s="37">
        <f t="shared" si="1"/>
        <v>80316.36</v>
      </c>
      <c r="H10" s="38" t="str">
        <f t="shared" si="2"/>
        <v>$80,316.36</v>
      </c>
    </row>
    <row r="11" spans="1:8" ht="14.4" x14ac:dyDescent="0.3">
      <c r="A11" s="3" t="str">
        <f t="shared" si="0"/>
        <v>Calumet County (52,442) - $254,868.12</v>
      </c>
      <c r="C11" t="s">
        <v>176</v>
      </c>
      <c r="D11" s="33" t="s">
        <v>107</v>
      </c>
      <c r="E11" s="31">
        <v>52442</v>
      </c>
      <c r="F11" s="36" t="s">
        <v>36</v>
      </c>
      <c r="G11" s="37">
        <f t="shared" si="1"/>
        <v>254868.12000000002</v>
      </c>
      <c r="H11" s="38" t="str">
        <f t="shared" si="2"/>
        <v>$254,868.12</v>
      </c>
    </row>
    <row r="12" spans="1:8" ht="14.4" x14ac:dyDescent="0.3">
      <c r="A12" s="3" t="str">
        <f t="shared" si="0"/>
        <v>Chippewa County (66,297) - $322,203.42</v>
      </c>
      <c r="C12" t="s">
        <v>170</v>
      </c>
      <c r="D12" s="33" t="s">
        <v>108</v>
      </c>
      <c r="E12" s="31">
        <v>66297</v>
      </c>
      <c r="F12" s="36" t="s">
        <v>37</v>
      </c>
      <c r="G12" s="37">
        <f t="shared" si="1"/>
        <v>322203.42000000004</v>
      </c>
      <c r="H12" s="38" t="str">
        <f t="shared" si="2"/>
        <v>$322,203.42</v>
      </c>
    </row>
    <row r="13" spans="1:8" ht="14.4" x14ac:dyDescent="0.3">
      <c r="A13" s="3" t="str">
        <f t="shared" si="0"/>
        <v>Clark County (34,659) - $168,442.74</v>
      </c>
      <c r="C13" t="s">
        <v>175</v>
      </c>
      <c r="D13" s="33" t="s">
        <v>23</v>
      </c>
      <c r="E13" s="31">
        <v>34659</v>
      </c>
      <c r="F13" s="36" t="s">
        <v>38</v>
      </c>
      <c r="G13" s="37">
        <f t="shared" si="1"/>
        <v>168442.74000000002</v>
      </c>
      <c r="H13" s="38" t="str">
        <f t="shared" si="2"/>
        <v>$168,442.74</v>
      </c>
    </row>
    <row r="14" spans="1:8" ht="14.4" x14ac:dyDescent="0.3">
      <c r="A14" s="3" t="str">
        <f t="shared" si="0"/>
        <v>Columbia County (58,490) - $284,261.40</v>
      </c>
      <c r="C14" t="s">
        <v>177</v>
      </c>
      <c r="D14" s="33" t="s">
        <v>109</v>
      </c>
      <c r="E14" s="31">
        <v>58490</v>
      </c>
      <c r="F14" s="36" t="s">
        <v>39</v>
      </c>
      <c r="G14" s="37">
        <f t="shared" si="1"/>
        <v>284261.40000000002</v>
      </c>
      <c r="H14" s="38" t="str">
        <f t="shared" si="2"/>
        <v>$284,261.40</v>
      </c>
    </row>
    <row r="15" spans="1:8" ht="14.4" x14ac:dyDescent="0.3">
      <c r="A15" s="3" t="str">
        <f t="shared" si="0"/>
        <v>Crawford County (16,113) - $78,309.18</v>
      </c>
      <c r="C15" t="s">
        <v>171</v>
      </c>
      <c r="D15" s="33" t="s">
        <v>24</v>
      </c>
      <c r="E15" s="31">
        <v>16113</v>
      </c>
      <c r="F15" s="36" t="s">
        <v>40</v>
      </c>
      <c r="G15" s="37">
        <f t="shared" si="1"/>
        <v>78309.180000000008</v>
      </c>
      <c r="H15" s="38" t="str">
        <f t="shared" si="2"/>
        <v>$78,309.18</v>
      </c>
    </row>
    <row r="16" spans="1:8" ht="14.4" x14ac:dyDescent="0.3">
      <c r="A16" s="3" t="str">
        <f t="shared" si="0"/>
        <v>Dane County (561,504) - $2,728,909.44</v>
      </c>
      <c r="C16" t="s">
        <v>179</v>
      </c>
      <c r="D16" s="33" t="s">
        <v>110</v>
      </c>
      <c r="E16" s="31">
        <v>561504</v>
      </c>
      <c r="F16" s="36" t="s">
        <v>41</v>
      </c>
      <c r="G16" s="37">
        <f t="shared" si="1"/>
        <v>2728909.4400000004</v>
      </c>
      <c r="H16" s="38" t="str">
        <f t="shared" si="2"/>
        <v>$2,728,909.44</v>
      </c>
    </row>
    <row r="17" spans="1:8" ht="14.4" x14ac:dyDescent="0.3">
      <c r="A17" s="3" t="str">
        <f t="shared" si="0"/>
        <v>Dodge County (89,396) - $434,464.56</v>
      </c>
      <c r="C17" t="s">
        <v>172</v>
      </c>
      <c r="D17" s="33" t="s">
        <v>111</v>
      </c>
      <c r="E17" s="31">
        <v>89396</v>
      </c>
      <c r="F17" s="36" t="s">
        <v>42</v>
      </c>
      <c r="G17" s="37">
        <f t="shared" si="1"/>
        <v>434464.56000000006</v>
      </c>
      <c r="H17" s="38" t="str">
        <f t="shared" si="2"/>
        <v>$434,464.56</v>
      </c>
    </row>
    <row r="18" spans="1:8" ht="14.4" x14ac:dyDescent="0.3">
      <c r="A18" s="3" t="str">
        <f t="shared" si="0"/>
        <v>Door County (30,066) - $146,120.76</v>
      </c>
      <c r="C18" t="s">
        <v>173</v>
      </c>
      <c r="D18" s="33" t="s">
        <v>112</v>
      </c>
      <c r="E18" s="31">
        <v>30066</v>
      </c>
      <c r="F18" s="36" t="s">
        <v>43</v>
      </c>
      <c r="G18" s="37">
        <f t="shared" si="1"/>
        <v>146120.76</v>
      </c>
      <c r="H18" s="38" t="str">
        <f t="shared" si="2"/>
        <v>$146,120.76</v>
      </c>
    </row>
    <row r="19" spans="1:8" ht="14.4" x14ac:dyDescent="0.3">
      <c r="A19" s="3" t="str">
        <f t="shared" si="0"/>
        <v>Douglas County (44,295) - $215,273.70</v>
      </c>
      <c r="C19" t="s">
        <v>174</v>
      </c>
      <c r="D19" s="33" t="s">
        <v>28</v>
      </c>
      <c r="E19" s="31">
        <v>44295</v>
      </c>
      <c r="F19" s="36" t="s">
        <v>44</v>
      </c>
      <c r="G19" s="37">
        <f t="shared" si="1"/>
        <v>215273.7</v>
      </c>
      <c r="H19" s="38" t="str">
        <f t="shared" si="2"/>
        <v>$215,273.70</v>
      </c>
    </row>
    <row r="20" spans="1:8" ht="14.4" x14ac:dyDescent="0.3">
      <c r="A20" s="3" t="str">
        <f t="shared" si="0"/>
        <v>Dunn County (45,440) - $220,838.40</v>
      </c>
      <c r="C20" s="2"/>
      <c r="D20" s="33" t="s">
        <v>113</v>
      </c>
      <c r="E20" s="31">
        <v>45440</v>
      </c>
      <c r="F20" s="36" t="s">
        <v>45</v>
      </c>
      <c r="G20" s="37">
        <f t="shared" si="1"/>
        <v>220838.40000000002</v>
      </c>
      <c r="H20" s="38" t="str">
        <f t="shared" si="2"/>
        <v>$220,838.40</v>
      </c>
    </row>
    <row r="21" spans="1:8" ht="14.4" x14ac:dyDescent="0.3">
      <c r="A21" s="3" t="str">
        <f t="shared" si="0"/>
        <v>Eau Claire County (105,710) - $513,750.60</v>
      </c>
      <c r="C21" s="25"/>
      <c r="D21" s="33" t="s">
        <v>159</v>
      </c>
      <c r="E21" s="31">
        <v>105710</v>
      </c>
      <c r="F21" s="36" t="s">
        <v>46</v>
      </c>
      <c r="G21" s="37">
        <f t="shared" si="1"/>
        <v>513750.60000000003</v>
      </c>
      <c r="H21" s="38" t="str">
        <f t="shared" si="2"/>
        <v>$513,750.60</v>
      </c>
    </row>
    <row r="22" spans="1:8" ht="14.4" x14ac:dyDescent="0.3">
      <c r="A22" s="3" t="str">
        <f t="shared" si="0"/>
        <v>Florence County (4,558) - $22,151.88</v>
      </c>
      <c r="D22" s="33" t="s">
        <v>114</v>
      </c>
      <c r="E22" s="31">
        <v>4558</v>
      </c>
      <c r="F22" s="36" t="s">
        <v>47</v>
      </c>
      <c r="G22" s="37">
        <f t="shared" si="1"/>
        <v>22151.88</v>
      </c>
      <c r="H22" s="38" t="str">
        <f t="shared" si="2"/>
        <v>$22,151.88</v>
      </c>
    </row>
    <row r="23" spans="1:8" ht="14.4" x14ac:dyDescent="0.3">
      <c r="A23" s="3" t="str">
        <f t="shared" si="0"/>
        <v>Fond Du Loc County (104,154) - $506,188.44</v>
      </c>
      <c r="D23" s="33" t="s">
        <v>158</v>
      </c>
      <c r="E23" s="31">
        <v>104154</v>
      </c>
      <c r="F23" s="36" t="s">
        <v>48</v>
      </c>
      <c r="G23" s="37">
        <f t="shared" si="1"/>
        <v>506188.44000000006</v>
      </c>
      <c r="H23" s="38" t="str">
        <f t="shared" si="2"/>
        <v>$506,188.44</v>
      </c>
    </row>
    <row r="24" spans="1:8" ht="14.4" x14ac:dyDescent="0.3">
      <c r="A24" s="3" t="str">
        <f t="shared" si="0"/>
        <v>Forest County (9,179) - $44,609.94</v>
      </c>
      <c r="D24" s="33" t="s">
        <v>115</v>
      </c>
      <c r="E24" s="31">
        <v>9179</v>
      </c>
      <c r="F24" s="36" t="s">
        <v>49</v>
      </c>
      <c r="G24" s="37">
        <f t="shared" si="1"/>
        <v>44609.94</v>
      </c>
      <c r="H24" s="38" t="str">
        <f t="shared" si="2"/>
        <v>$44,609.94</v>
      </c>
    </row>
    <row r="25" spans="1:8" ht="14.4" x14ac:dyDescent="0.3">
      <c r="A25" s="3" t="str">
        <f t="shared" si="0"/>
        <v>Grant County (51,938) - $252,418.68</v>
      </c>
      <c r="D25" s="33" t="s">
        <v>116</v>
      </c>
      <c r="E25" s="31">
        <v>51938</v>
      </c>
      <c r="F25" s="36" t="s">
        <v>50</v>
      </c>
      <c r="G25" s="37">
        <f t="shared" si="1"/>
        <v>252418.68000000002</v>
      </c>
      <c r="H25" s="38" t="str">
        <f t="shared" si="2"/>
        <v>$252,418.68</v>
      </c>
    </row>
    <row r="26" spans="1:8" ht="14.4" x14ac:dyDescent="0.3">
      <c r="A26" s="3" t="str">
        <f t="shared" si="0"/>
        <v>Green County (37,093) - $180,271.98</v>
      </c>
      <c r="D26" s="33" t="s">
        <v>117</v>
      </c>
      <c r="E26" s="31">
        <v>37093</v>
      </c>
      <c r="F26" s="36" t="s">
        <v>51</v>
      </c>
      <c r="G26" s="37">
        <f t="shared" si="1"/>
        <v>180271.98</v>
      </c>
      <c r="H26" s="38" t="str">
        <f t="shared" si="2"/>
        <v>$180,271.98</v>
      </c>
    </row>
    <row r="27" spans="1:8" ht="14.4" x14ac:dyDescent="0.3">
      <c r="A27" s="3" t="str">
        <f t="shared" si="0"/>
        <v>Green Lake County (19,018) - $92,427.48</v>
      </c>
      <c r="D27" s="33" t="s">
        <v>160</v>
      </c>
      <c r="E27" s="31">
        <v>19018</v>
      </c>
      <c r="F27" s="36" t="s">
        <v>52</v>
      </c>
      <c r="G27" s="37">
        <f t="shared" si="1"/>
        <v>92427.48000000001</v>
      </c>
      <c r="H27" s="38" t="str">
        <f t="shared" si="2"/>
        <v>$92,427.48</v>
      </c>
    </row>
    <row r="28" spans="1:8" ht="14.4" x14ac:dyDescent="0.3">
      <c r="A28" s="3" t="str">
        <f t="shared" si="0"/>
        <v>Iowa County (23,709) - $115,225.74</v>
      </c>
      <c r="D28" s="33" t="s">
        <v>118</v>
      </c>
      <c r="E28" s="31">
        <v>23709</v>
      </c>
      <c r="F28" s="36" t="s">
        <v>53</v>
      </c>
      <c r="G28" s="37">
        <f t="shared" si="1"/>
        <v>115225.74</v>
      </c>
      <c r="H28" s="38" t="str">
        <f t="shared" si="2"/>
        <v>$115,225.74</v>
      </c>
    </row>
    <row r="29" spans="1:8" ht="14.4" x14ac:dyDescent="0.3">
      <c r="A29" s="3" t="str">
        <f t="shared" si="0"/>
        <v>Iron County (6,137) - $29,825.82</v>
      </c>
      <c r="D29" s="33" t="s">
        <v>119</v>
      </c>
      <c r="E29" s="31">
        <v>6137</v>
      </c>
      <c r="F29" s="36" t="s">
        <v>54</v>
      </c>
      <c r="G29" s="37">
        <f t="shared" si="1"/>
        <v>29825.820000000003</v>
      </c>
      <c r="H29" s="38" t="str">
        <f t="shared" si="2"/>
        <v>$29,825.82</v>
      </c>
    </row>
    <row r="30" spans="1:8" ht="14.4" x14ac:dyDescent="0.3">
      <c r="A30" s="3" t="str">
        <f t="shared" si="0"/>
        <v>Jackson County (21,145) - $102,764.70</v>
      </c>
      <c r="D30" s="33" t="s">
        <v>20</v>
      </c>
      <c r="E30" s="31">
        <v>21145</v>
      </c>
      <c r="F30" s="36" t="s">
        <v>55</v>
      </c>
      <c r="G30" s="37">
        <f t="shared" si="1"/>
        <v>102764.70000000001</v>
      </c>
      <c r="H30" s="38" t="str">
        <f t="shared" si="2"/>
        <v>$102,764.70</v>
      </c>
    </row>
    <row r="31" spans="1:8" ht="14.4" x14ac:dyDescent="0.3">
      <c r="A31" s="3" t="str">
        <f t="shared" si="0"/>
        <v>Jefferson County (84,900) - $412,614.00</v>
      </c>
      <c r="D31" s="33" t="s">
        <v>25</v>
      </c>
      <c r="E31" s="31">
        <v>84900</v>
      </c>
      <c r="F31" s="36" t="s">
        <v>56</v>
      </c>
      <c r="G31" s="37">
        <f t="shared" si="1"/>
        <v>412614</v>
      </c>
      <c r="H31" s="38" t="str">
        <f t="shared" si="2"/>
        <v>$412,614.00</v>
      </c>
    </row>
    <row r="32" spans="1:8" ht="14.4" x14ac:dyDescent="0.3">
      <c r="A32" s="3" t="str">
        <f t="shared" si="0"/>
        <v>Juneau County (26,718) - $129,849.48</v>
      </c>
      <c r="D32" s="33" t="s">
        <v>120</v>
      </c>
      <c r="E32" s="31">
        <v>26718</v>
      </c>
      <c r="F32" s="36" t="s">
        <v>57</v>
      </c>
      <c r="G32" s="37">
        <f t="shared" si="1"/>
        <v>129849.48000000001</v>
      </c>
      <c r="H32" s="38" t="str">
        <f t="shared" si="2"/>
        <v>$129,849.48</v>
      </c>
    </row>
    <row r="33" spans="1:8" ht="14.4" x14ac:dyDescent="0.3">
      <c r="A33" s="3" t="str">
        <f t="shared" si="0"/>
        <v>Kenosha County (169,151) - $822,073.86</v>
      </c>
      <c r="D33" s="33" t="s">
        <v>121</v>
      </c>
      <c r="E33" s="31">
        <v>169151</v>
      </c>
      <c r="F33" s="36" t="s">
        <v>58</v>
      </c>
      <c r="G33" s="37">
        <f t="shared" si="1"/>
        <v>822073.8600000001</v>
      </c>
      <c r="H33" s="38" t="str">
        <f t="shared" si="2"/>
        <v>$822,073.86</v>
      </c>
    </row>
    <row r="34" spans="1:8" ht="14.4" x14ac:dyDescent="0.3">
      <c r="A34" s="3" t="str">
        <f t="shared" si="0"/>
        <v>Kewaunee County (20,563) - $99,936.18</v>
      </c>
      <c r="D34" s="33" t="s">
        <v>122</v>
      </c>
      <c r="E34" s="31">
        <v>20563</v>
      </c>
      <c r="F34" s="36" t="s">
        <v>59</v>
      </c>
      <c r="G34" s="37">
        <f t="shared" si="1"/>
        <v>99936.180000000008</v>
      </c>
      <c r="H34" s="38" t="str">
        <f t="shared" si="2"/>
        <v>$99,936.18</v>
      </c>
    </row>
    <row r="35" spans="1:8" ht="14.4" x14ac:dyDescent="0.3">
      <c r="A35" s="3" t="str">
        <f t="shared" si="0"/>
        <v>La Cross County (120,784) - $587,010.24</v>
      </c>
      <c r="D35" s="33" t="s">
        <v>161</v>
      </c>
      <c r="E35" s="31">
        <v>120784</v>
      </c>
      <c r="F35" s="36" t="s">
        <v>60</v>
      </c>
      <c r="G35" s="37">
        <f t="shared" si="1"/>
        <v>587010.24</v>
      </c>
      <c r="H35" s="38" t="str">
        <f t="shared" si="2"/>
        <v>$587,010.24</v>
      </c>
    </row>
    <row r="36" spans="1:8" ht="14.4" x14ac:dyDescent="0.3">
      <c r="A36" s="3" t="str">
        <f t="shared" si="0"/>
        <v>Lafayette County (16,611) - $80,729.46</v>
      </c>
      <c r="D36" s="33" t="s">
        <v>123</v>
      </c>
      <c r="E36" s="31">
        <v>16611</v>
      </c>
      <c r="F36" s="36" t="s">
        <v>61</v>
      </c>
      <c r="G36" s="37">
        <f t="shared" si="1"/>
        <v>80729.460000000006</v>
      </c>
      <c r="H36" s="38" t="str">
        <f t="shared" si="2"/>
        <v>$80,729.46</v>
      </c>
    </row>
    <row r="37" spans="1:8" ht="14.4" x14ac:dyDescent="0.3">
      <c r="A37" s="3" t="str">
        <f t="shared" si="0"/>
        <v>Langlade County (19,491) - $94,726.26</v>
      </c>
      <c r="D37" s="33" t="s">
        <v>124</v>
      </c>
      <c r="E37" s="31">
        <v>19491</v>
      </c>
      <c r="F37" s="36" t="s">
        <v>62</v>
      </c>
      <c r="G37" s="37">
        <f t="shared" si="1"/>
        <v>94726.260000000009</v>
      </c>
      <c r="H37" s="38" t="str">
        <f t="shared" si="2"/>
        <v>$94,726.26</v>
      </c>
    </row>
    <row r="38" spans="1:8" ht="14.4" x14ac:dyDescent="0.3">
      <c r="A38" s="3" t="str">
        <f t="shared" si="0"/>
        <v>Lincoln County (28,415) - $138,096.90</v>
      </c>
      <c r="D38" s="33" t="s">
        <v>125</v>
      </c>
      <c r="E38" s="31">
        <v>28415</v>
      </c>
      <c r="F38" s="36" t="s">
        <v>63</v>
      </c>
      <c r="G38" s="37">
        <f t="shared" si="1"/>
        <v>138096.90000000002</v>
      </c>
      <c r="H38" s="38" t="str">
        <f t="shared" si="2"/>
        <v>$138,096.90</v>
      </c>
    </row>
    <row r="39" spans="1:8" ht="14.4" x14ac:dyDescent="0.3">
      <c r="A39" s="3" t="str">
        <f t="shared" si="0"/>
        <v>Manitowoc County (81,359) - $395,404.74</v>
      </c>
      <c r="D39" s="33" t="s">
        <v>126</v>
      </c>
      <c r="E39" s="31">
        <v>81359</v>
      </c>
      <c r="F39" s="36" t="s">
        <v>64</v>
      </c>
      <c r="G39" s="37">
        <f t="shared" si="1"/>
        <v>395404.74000000005</v>
      </c>
      <c r="H39" s="38" t="str">
        <f t="shared" si="2"/>
        <v>$395,404.74</v>
      </c>
    </row>
    <row r="40" spans="1:8" ht="14.4" x14ac:dyDescent="0.3">
      <c r="A40" s="3" t="str">
        <f t="shared" si="0"/>
        <v>Marathon County (138,013) - $670,743.18</v>
      </c>
      <c r="D40" s="33" t="s">
        <v>127</v>
      </c>
      <c r="E40" s="31">
        <v>138013</v>
      </c>
      <c r="F40" s="36" t="s">
        <v>65</v>
      </c>
      <c r="G40" s="37">
        <f t="shared" si="1"/>
        <v>670743.18000000005</v>
      </c>
      <c r="H40" s="38" t="str">
        <f t="shared" si="2"/>
        <v>$670,743.18</v>
      </c>
    </row>
    <row r="41" spans="1:8" ht="14.4" x14ac:dyDescent="0.3">
      <c r="A41" s="3" t="str">
        <f t="shared" si="0"/>
        <v>Marinette County (41,872) - $203,497.92</v>
      </c>
      <c r="D41" s="33" t="s">
        <v>128</v>
      </c>
      <c r="E41" s="31">
        <v>41872</v>
      </c>
      <c r="F41" s="36" t="s">
        <v>66</v>
      </c>
      <c r="G41" s="37">
        <f t="shared" si="1"/>
        <v>203497.92</v>
      </c>
      <c r="H41" s="38" t="str">
        <f t="shared" si="2"/>
        <v>$203,497.92</v>
      </c>
    </row>
    <row r="42" spans="1:8" ht="14.4" x14ac:dyDescent="0.3">
      <c r="A42" s="3" t="str">
        <f t="shared" si="0"/>
        <v>Marquette County (15,592) - $75,777.12</v>
      </c>
      <c r="D42" s="33" t="s">
        <v>129</v>
      </c>
      <c r="E42" s="31">
        <v>15592</v>
      </c>
      <c r="F42" s="36" t="s">
        <v>68</v>
      </c>
      <c r="G42" s="37">
        <f t="shared" si="1"/>
        <v>75777.12000000001</v>
      </c>
      <c r="H42" s="38" t="str">
        <f t="shared" si="2"/>
        <v>$75,777.12</v>
      </c>
    </row>
    <row r="43" spans="1:8" ht="14.4" x14ac:dyDescent="0.3">
      <c r="A43" s="3" t="str">
        <f t="shared" si="0"/>
        <v>Menominee County (4,255) - $20,679.30</v>
      </c>
      <c r="D43" s="33" t="s">
        <v>130</v>
      </c>
      <c r="E43" s="31">
        <v>4255</v>
      </c>
      <c r="F43" s="36" t="s">
        <v>69</v>
      </c>
      <c r="G43" s="37">
        <f t="shared" si="1"/>
        <v>20679.300000000003</v>
      </c>
      <c r="H43" s="38" t="str">
        <f t="shared" si="2"/>
        <v>$20,679.30</v>
      </c>
    </row>
    <row r="44" spans="1:8" ht="14.4" x14ac:dyDescent="0.3">
      <c r="A44" s="3" t="str">
        <f t="shared" si="0"/>
        <v>Milwaukee County (939,489) - $4,565,916.54</v>
      </c>
      <c r="D44" s="33" t="s">
        <v>131</v>
      </c>
      <c r="E44" s="31">
        <v>939489</v>
      </c>
      <c r="F44" s="36" t="s">
        <v>70</v>
      </c>
      <c r="G44" s="37">
        <f t="shared" si="1"/>
        <v>4565916.54</v>
      </c>
      <c r="H44" s="38" t="str">
        <f t="shared" si="2"/>
        <v>$4,565,916.54</v>
      </c>
    </row>
    <row r="45" spans="1:8" ht="14.4" x14ac:dyDescent="0.3">
      <c r="A45" s="3" t="str">
        <f t="shared" si="0"/>
        <v>Monroe County (46,274) - $224,891.64</v>
      </c>
      <c r="D45" s="33" t="s">
        <v>26</v>
      </c>
      <c r="E45" s="31">
        <v>46274</v>
      </c>
      <c r="F45" s="36" t="s">
        <v>71</v>
      </c>
      <c r="G45" s="37">
        <f t="shared" si="1"/>
        <v>224891.64</v>
      </c>
      <c r="H45" s="38" t="str">
        <f t="shared" si="2"/>
        <v>$224,891.64</v>
      </c>
    </row>
    <row r="46" spans="1:8" ht="14.4" x14ac:dyDescent="0.3">
      <c r="A46" s="3" t="str">
        <f t="shared" si="0"/>
        <v>Oconto County (38,965) - $189,369.90</v>
      </c>
      <c r="D46" s="33" t="s">
        <v>132</v>
      </c>
      <c r="E46" s="31">
        <v>38965</v>
      </c>
      <c r="F46" s="36" t="s">
        <v>72</v>
      </c>
      <c r="G46" s="37">
        <f t="shared" si="1"/>
        <v>189369.90000000002</v>
      </c>
      <c r="H46" s="38" t="str">
        <f t="shared" si="2"/>
        <v>$189,369.90</v>
      </c>
    </row>
    <row r="47" spans="1:8" ht="14.4" x14ac:dyDescent="0.3">
      <c r="A47" s="3" t="str">
        <f t="shared" si="0"/>
        <v>Oneida County (37,845) - $183,926.70</v>
      </c>
      <c r="D47" s="33" t="s">
        <v>133</v>
      </c>
      <c r="E47" s="31">
        <v>37845</v>
      </c>
      <c r="F47" s="36" t="s">
        <v>73</v>
      </c>
      <c r="G47" s="37">
        <f t="shared" si="1"/>
        <v>183926.7</v>
      </c>
      <c r="H47" s="38" t="str">
        <f t="shared" si="2"/>
        <v>$183,926.70</v>
      </c>
    </row>
    <row r="48" spans="1:8" ht="14.4" x14ac:dyDescent="0.3">
      <c r="A48" s="3" t="str">
        <f t="shared" si="0"/>
        <v>Outagamie County (190,705) - $926,826.30</v>
      </c>
      <c r="D48" s="33" t="s">
        <v>134</v>
      </c>
      <c r="E48" s="31">
        <v>190705</v>
      </c>
      <c r="F48" s="36" t="s">
        <v>74</v>
      </c>
      <c r="G48" s="37">
        <f t="shared" si="1"/>
        <v>926826.3</v>
      </c>
      <c r="H48" s="38" t="str">
        <f t="shared" si="2"/>
        <v>$926,826.30</v>
      </c>
    </row>
    <row r="49" spans="1:8" ht="14.4" x14ac:dyDescent="0.3">
      <c r="A49" s="3" t="str">
        <f t="shared" si="0"/>
        <v>Ozaukee County (91,503) - $444,704.58</v>
      </c>
      <c r="D49" s="33" t="s">
        <v>135</v>
      </c>
      <c r="E49" s="31">
        <v>91503</v>
      </c>
      <c r="F49" s="36" t="s">
        <v>75</v>
      </c>
      <c r="G49" s="37">
        <f t="shared" si="1"/>
        <v>444704.58</v>
      </c>
      <c r="H49" s="38" t="str">
        <f t="shared" si="2"/>
        <v>$444,704.58</v>
      </c>
    </row>
    <row r="50" spans="1:8" ht="14.4" x14ac:dyDescent="0.3">
      <c r="A50" s="3" t="str">
        <f t="shared" si="0"/>
        <v>Pepin County (7,318) - $35,565.48</v>
      </c>
      <c r="D50" s="33" t="s">
        <v>136</v>
      </c>
      <c r="E50" s="31">
        <v>7318</v>
      </c>
      <c r="F50" s="36" t="s">
        <v>76</v>
      </c>
      <c r="G50" s="37">
        <f t="shared" si="1"/>
        <v>35565.480000000003</v>
      </c>
      <c r="H50" s="38" t="str">
        <f t="shared" si="2"/>
        <v>$35,565.48</v>
      </c>
    </row>
    <row r="51" spans="1:8" ht="14.4" x14ac:dyDescent="0.3">
      <c r="A51" s="3" t="str">
        <f t="shared" si="0"/>
        <v>Pierce County (42,212) - $205,150.32</v>
      </c>
      <c r="D51" s="33" t="s">
        <v>137</v>
      </c>
      <c r="E51" s="31">
        <v>42212</v>
      </c>
      <c r="F51" s="36" t="s">
        <v>77</v>
      </c>
      <c r="G51" s="37">
        <f t="shared" si="1"/>
        <v>205150.32</v>
      </c>
      <c r="H51" s="38" t="str">
        <f t="shared" si="2"/>
        <v>$205,150.32</v>
      </c>
    </row>
    <row r="52" spans="1:8" ht="14.4" x14ac:dyDescent="0.3">
      <c r="A52" s="3" t="str">
        <f t="shared" si="0"/>
        <v>Polk County (44,977) - $218,588.22</v>
      </c>
      <c r="D52" s="33" t="s">
        <v>138</v>
      </c>
      <c r="E52" s="31">
        <v>44977</v>
      </c>
      <c r="F52" s="36" t="s">
        <v>78</v>
      </c>
      <c r="G52" s="37">
        <f t="shared" si="1"/>
        <v>218588.22</v>
      </c>
      <c r="H52" s="38" t="str">
        <f t="shared" si="2"/>
        <v>$218,588.22</v>
      </c>
    </row>
    <row r="53" spans="1:8" ht="14.4" x14ac:dyDescent="0.3">
      <c r="A53" s="3" t="str">
        <f t="shared" si="0"/>
        <v>Portage County (70,377) - $342,032.22</v>
      </c>
      <c r="D53" s="33" t="s">
        <v>139</v>
      </c>
      <c r="E53" s="31">
        <v>70377</v>
      </c>
      <c r="F53" s="36" t="s">
        <v>79</v>
      </c>
      <c r="G53" s="37">
        <f t="shared" si="1"/>
        <v>342032.22000000003</v>
      </c>
      <c r="H53" s="38" t="str">
        <f t="shared" si="2"/>
        <v>$342,032.22</v>
      </c>
    </row>
    <row r="54" spans="1:8" ht="14.4" x14ac:dyDescent="0.3">
      <c r="A54" s="3" t="str">
        <f t="shared" si="0"/>
        <v>Price County (14,054) - $68,302.44</v>
      </c>
      <c r="D54" s="33" t="s">
        <v>140</v>
      </c>
      <c r="E54" s="31">
        <v>14054</v>
      </c>
      <c r="F54" s="36" t="s">
        <v>80</v>
      </c>
      <c r="G54" s="37">
        <f t="shared" si="1"/>
        <v>68302.44</v>
      </c>
      <c r="H54" s="38" t="str">
        <f t="shared" si="2"/>
        <v>$68,302.44</v>
      </c>
    </row>
    <row r="55" spans="1:8" ht="14.4" x14ac:dyDescent="0.3">
      <c r="A55" s="3" t="str">
        <f t="shared" si="0"/>
        <v>Racine County (197,727) - $960,953.22</v>
      </c>
      <c r="D55" s="33" t="s">
        <v>141</v>
      </c>
      <c r="E55" s="31">
        <v>197727</v>
      </c>
      <c r="F55" s="36" t="s">
        <v>81</v>
      </c>
      <c r="G55" s="37">
        <f t="shared" si="1"/>
        <v>960953.22000000009</v>
      </c>
      <c r="H55" s="38" t="str">
        <f t="shared" si="2"/>
        <v>$960,953.22</v>
      </c>
    </row>
    <row r="56" spans="1:8" ht="14.4" x14ac:dyDescent="0.3">
      <c r="A56" s="3" t="str">
        <f t="shared" si="0"/>
        <v>Richland County (17,304) - $84,097.44</v>
      </c>
      <c r="D56" s="33" t="s">
        <v>27</v>
      </c>
      <c r="E56" s="31">
        <v>17304</v>
      </c>
      <c r="F56" s="36" t="s">
        <v>82</v>
      </c>
      <c r="G56" s="37">
        <f t="shared" si="1"/>
        <v>84097.44</v>
      </c>
      <c r="H56" s="38" t="str">
        <f t="shared" si="2"/>
        <v>$84,097.44</v>
      </c>
    </row>
    <row r="57" spans="1:8" ht="14.4" x14ac:dyDescent="0.3">
      <c r="A57" s="3" t="str">
        <f t="shared" si="0"/>
        <v>Rock County (163,687) - $795,518.82</v>
      </c>
      <c r="D57" s="33" t="s">
        <v>142</v>
      </c>
      <c r="E57" s="31">
        <v>163687</v>
      </c>
      <c r="F57" s="36" t="s">
        <v>83</v>
      </c>
      <c r="G57" s="37">
        <f t="shared" si="1"/>
        <v>795518.82000000007</v>
      </c>
      <c r="H57" s="38" t="str">
        <f t="shared" si="2"/>
        <v>$795,518.82</v>
      </c>
    </row>
    <row r="58" spans="1:8" ht="14.4" x14ac:dyDescent="0.3">
      <c r="A58" s="3" t="str">
        <f t="shared" si="0"/>
        <v>Rusk County (14,188) - $68,953.68</v>
      </c>
      <c r="D58" s="33" t="s">
        <v>143</v>
      </c>
      <c r="E58" s="31">
        <v>14188</v>
      </c>
      <c r="F58" s="36" t="s">
        <v>84</v>
      </c>
      <c r="G58" s="37">
        <f t="shared" si="1"/>
        <v>68953.680000000008</v>
      </c>
      <c r="H58" s="38" t="str">
        <f t="shared" si="2"/>
        <v>$68,953.68</v>
      </c>
    </row>
    <row r="59" spans="1:8" ht="14.4" x14ac:dyDescent="0.3">
      <c r="A59" s="3" t="str">
        <f t="shared" si="0"/>
        <v>St.Croix County (93,536) - $454,584.96</v>
      </c>
      <c r="D59" s="33" t="s">
        <v>162</v>
      </c>
      <c r="E59" s="31">
        <v>93536</v>
      </c>
      <c r="F59" s="36" t="s">
        <v>85</v>
      </c>
      <c r="G59" s="37">
        <f t="shared" si="1"/>
        <v>454584.96</v>
      </c>
      <c r="H59" s="38" t="str">
        <f t="shared" si="2"/>
        <v>$454,584.96</v>
      </c>
    </row>
    <row r="60" spans="1:8" ht="14.4" x14ac:dyDescent="0.3">
      <c r="A60" s="3" t="str">
        <f t="shared" si="0"/>
        <v>Sauk County (65,763) - $319,608.18</v>
      </c>
      <c r="D60" s="33" t="s">
        <v>144</v>
      </c>
      <c r="E60" s="31">
        <v>65763</v>
      </c>
      <c r="F60" s="36" t="s">
        <v>86</v>
      </c>
      <c r="G60" s="37">
        <f t="shared" si="1"/>
        <v>319608.18</v>
      </c>
      <c r="H60" s="38" t="str">
        <f t="shared" si="2"/>
        <v>$319,608.18</v>
      </c>
    </row>
    <row r="61" spans="1:8" ht="14.4" x14ac:dyDescent="0.3">
      <c r="A61" s="3" t="str">
        <f t="shared" si="0"/>
        <v>Sawyer County (18,074) - $87,839.64</v>
      </c>
      <c r="D61" s="33" t="s">
        <v>145</v>
      </c>
      <c r="E61" s="31">
        <v>18074</v>
      </c>
      <c r="F61" s="36" t="s">
        <v>87</v>
      </c>
      <c r="G61" s="37">
        <f t="shared" si="1"/>
        <v>87839.64</v>
      </c>
      <c r="H61" s="38" t="str">
        <f t="shared" si="2"/>
        <v>$87,839.64</v>
      </c>
    </row>
    <row r="62" spans="1:8" ht="14.4" x14ac:dyDescent="0.3">
      <c r="A62" s="3" t="str">
        <f t="shared" si="0"/>
        <v>Shawano County (40,881) - $198,681.66</v>
      </c>
      <c r="D62" s="33" t="s">
        <v>146</v>
      </c>
      <c r="E62" s="31">
        <v>40881</v>
      </c>
      <c r="F62" s="36" t="s">
        <v>88</v>
      </c>
      <c r="G62" s="37">
        <f t="shared" si="1"/>
        <v>198681.66</v>
      </c>
      <c r="H62" s="38" t="str">
        <f t="shared" si="2"/>
        <v>$198,681.66</v>
      </c>
    </row>
    <row r="63" spans="1:8" ht="14.4" x14ac:dyDescent="0.3">
      <c r="A63" s="3" t="str">
        <f t="shared" si="0"/>
        <v>Sheboygan County (118,034) - $573,645.24</v>
      </c>
      <c r="D63" s="33" t="s">
        <v>147</v>
      </c>
      <c r="E63" s="31">
        <v>118034</v>
      </c>
      <c r="F63" s="36" t="s">
        <v>89</v>
      </c>
      <c r="G63" s="37">
        <f t="shared" si="1"/>
        <v>573645.24</v>
      </c>
      <c r="H63" s="38" t="str">
        <f t="shared" si="2"/>
        <v>$573,645.24</v>
      </c>
    </row>
    <row r="64" spans="1:8" ht="14.4" x14ac:dyDescent="0.3">
      <c r="A64" s="3" t="str">
        <f t="shared" si="0"/>
        <v>Taylor County (19,913) - $96,777.18</v>
      </c>
      <c r="D64" s="33" t="s">
        <v>148</v>
      </c>
      <c r="E64" s="31">
        <v>19913</v>
      </c>
      <c r="F64" s="36" t="s">
        <v>90</v>
      </c>
      <c r="G64" s="37">
        <f t="shared" si="1"/>
        <v>96777.180000000008</v>
      </c>
      <c r="H64" s="38" t="str">
        <f t="shared" si="2"/>
        <v>$96,777.18</v>
      </c>
    </row>
    <row r="65" spans="1:8" ht="14.4" x14ac:dyDescent="0.3">
      <c r="A65" s="3" t="str">
        <f t="shared" si="0"/>
        <v>Trempealeau County (30,760) - $149,493.60</v>
      </c>
      <c r="D65" s="33" t="s">
        <v>149</v>
      </c>
      <c r="E65" s="31">
        <v>30760</v>
      </c>
      <c r="F65" s="36" t="s">
        <v>91</v>
      </c>
      <c r="G65" s="37">
        <f t="shared" si="1"/>
        <v>149493.6</v>
      </c>
      <c r="H65" s="38" t="str">
        <f t="shared" si="2"/>
        <v>$149,493.60</v>
      </c>
    </row>
    <row r="66" spans="1:8" ht="14.4" x14ac:dyDescent="0.3">
      <c r="A66" s="3" t="str">
        <f t="shared" si="0"/>
        <v>Vernon County (30,714) - $149,270.04</v>
      </c>
      <c r="D66" s="33" t="s">
        <v>150</v>
      </c>
      <c r="E66" s="31">
        <v>30714</v>
      </c>
      <c r="F66" s="36" t="s">
        <v>92</v>
      </c>
      <c r="G66" s="37">
        <f t="shared" si="1"/>
        <v>149270.04</v>
      </c>
      <c r="H66" s="38" t="str">
        <f t="shared" si="2"/>
        <v>$149,270.04</v>
      </c>
    </row>
    <row r="67" spans="1:8" ht="14.4" x14ac:dyDescent="0.3">
      <c r="A67" s="3" t="str">
        <f t="shared" si="0"/>
        <v>Vilas County (23,047) - $112,008.42</v>
      </c>
      <c r="D67" s="33" t="s">
        <v>151</v>
      </c>
      <c r="E67" s="31">
        <v>23047</v>
      </c>
      <c r="F67" s="36" t="s">
        <v>93</v>
      </c>
      <c r="G67" s="37">
        <f t="shared" si="1"/>
        <v>112008.42000000001</v>
      </c>
      <c r="H67" s="38" t="str">
        <f t="shared" si="2"/>
        <v>$112,008.42</v>
      </c>
    </row>
    <row r="68" spans="1:8" ht="14.4" x14ac:dyDescent="0.3">
      <c r="A68" s="3" t="str">
        <f t="shared" si="0"/>
        <v>Walworth County (106,478) - $517,483.08</v>
      </c>
      <c r="D68" s="33" t="s">
        <v>152</v>
      </c>
      <c r="E68" s="31">
        <v>106478</v>
      </c>
      <c r="F68" s="36" t="s">
        <v>94</v>
      </c>
      <c r="G68" s="37">
        <f t="shared" si="1"/>
        <v>517483.08</v>
      </c>
      <c r="H68" s="38" t="str">
        <f t="shared" si="2"/>
        <v>$517,483.08</v>
      </c>
    </row>
    <row r="69" spans="1:8" ht="14.4" x14ac:dyDescent="0.3">
      <c r="A69" s="3" t="str">
        <f t="shared" ref="A69:A75" si="3">D69 &amp; " (" &amp;F69&amp; ")" &amp; " - " &amp;H69</f>
        <v>Washburn County (16,623) - $80,787.78</v>
      </c>
      <c r="D69" s="33" t="s">
        <v>153</v>
      </c>
      <c r="E69" s="31">
        <v>16623</v>
      </c>
      <c r="F69" s="36" t="s">
        <v>95</v>
      </c>
      <c r="G69" s="37">
        <f t="shared" ref="G69:G75" si="4">E69*4.86</f>
        <v>80787.78</v>
      </c>
      <c r="H69" s="38" t="str">
        <f t="shared" ref="H69:H75" si="5">TEXT(G69,"$#,##0.00")</f>
        <v>$80,787.78</v>
      </c>
    </row>
    <row r="70" spans="1:8" ht="14.4" x14ac:dyDescent="0.3">
      <c r="A70" s="3" t="str">
        <f t="shared" si="3"/>
        <v>Washington County (136,761) - $664,658.46</v>
      </c>
      <c r="D70" s="33" t="s">
        <v>21</v>
      </c>
      <c r="E70" s="31">
        <v>136761</v>
      </c>
      <c r="F70" s="36" t="s">
        <v>96</v>
      </c>
      <c r="G70" s="37">
        <f t="shared" si="4"/>
        <v>664658.46000000008</v>
      </c>
      <c r="H70" s="38" t="str">
        <f t="shared" si="5"/>
        <v>$664,658.46</v>
      </c>
    </row>
    <row r="71" spans="1:8" ht="14.4" x14ac:dyDescent="0.3">
      <c r="A71" s="3" t="str">
        <f t="shared" si="3"/>
        <v>Waukesha County (406,978) - $1,977,913.08</v>
      </c>
      <c r="D71" s="33" t="s">
        <v>154</v>
      </c>
      <c r="E71" s="31">
        <v>406978</v>
      </c>
      <c r="F71" s="36" t="s">
        <v>97</v>
      </c>
      <c r="G71" s="37">
        <f t="shared" si="4"/>
        <v>1977913.08</v>
      </c>
      <c r="H71" s="38" t="str">
        <f t="shared" si="5"/>
        <v>$1,977,913.08</v>
      </c>
    </row>
    <row r="72" spans="1:8" ht="14.4" x14ac:dyDescent="0.3">
      <c r="A72" s="3" t="str">
        <f t="shared" si="3"/>
        <v>Waupaca County (51,812) - $251,806.32</v>
      </c>
      <c r="D72" s="33" t="s">
        <v>155</v>
      </c>
      <c r="E72" s="31">
        <v>51812</v>
      </c>
      <c r="F72" s="36" t="s">
        <v>98</v>
      </c>
      <c r="G72" s="37">
        <f t="shared" si="4"/>
        <v>251806.32</v>
      </c>
      <c r="H72" s="38" t="str">
        <f t="shared" si="5"/>
        <v>$251,806.32</v>
      </c>
    </row>
    <row r="73" spans="1:8" ht="14.4" x14ac:dyDescent="0.3">
      <c r="A73" s="3" t="str">
        <f t="shared" si="3"/>
        <v>Waushara County (24,520) - $119,167.20</v>
      </c>
      <c r="D73" s="33" t="s">
        <v>156</v>
      </c>
      <c r="E73" s="31">
        <v>24520</v>
      </c>
      <c r="F73" s="36" t="s">
        <v>99</v>
      </c>
      <c r="G73" s="37">
        <f t="shared" si="4"/>
        <v>119167.20000000001</v>
      </c>
      <c r="H73" s="38" t="str">
        <f t="shared" si="5"/>
        <v>$119,167.20</v>
      </c>
    </row>
    <row r="74" spans="1:8" ht="14.4" x14ac:dyDescent="0.3">
      <c r="A74" s="3" t="str">
        <f t="shared" si="3"/>
        <v>Winnebago County (171,730) - $834,607.80</v>
      </c>
      <c r="D74" s="33" t="s">
        <v>29</v>
      </c>
      <c r="E74" s="31">
        <v>171730</v>
      </c>
      <c r="F74" s="36" t="s">
        <v>100</v>
      </c>
      <c r="G74" s="37">
        <f t="shared" si="4"/>
        <v>834607.8</v>
      </c>
      <c r="H74" s="38" t="str">
        <f t="shared" si="5"/>
        <v>$834,607.80</v>
      </c>
    </row>
    <row r="75" spans="1:8" ht="14.4" x14ac:dyDescent="0.3">
      <c r="A75" s="3" t="str">
        <f t="shared" si="3"/>
        <v>Wood County (74,207) - $360,646.02</v>
      </c>
      <c r="D75" s="34" t="s">
        <v>157</v>
      </c>
      <c r="E75" s="32">
        <v>74207</v>
      </c>
      <c r="F75" s="36" t="s">
        <v>101</v>
      </c>
      <c r="G75" s="37">
        <f t="shared" si="4"/>
        <v>360646.02</v>
      </c>
      <c r="H75" s="38" t="str">
        <f t="shared" si="5"/>
        <v>$360,646.02</v>
      </c>
    </row>
  </sheetData>
  <autoFilter ref="C3:C21" xr:uid="{39375668-CE9B-46F3-A62C-31156637A2D1}">
    <sortState xmlns:xlrd2="http://schemas.microsoft.com/office/spreadsheetml/2017/richdata2" ref="C4:C23">
      <sortCondition ref="C3:C21"/>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951337-8392-4D46-B1EE-43F2B42A9FDC}">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538c035d-569c-47ab-a864-fdd8ae3d4516"/>
    <ds:schemaRef ds:uri="http://www.w3.org/XML/1998/namespace"/>
    <ds:schemaRef ds:uri="http://purl.org/dc/dcmitype/"/>
    <ds:schemaRef ds:uri="4f1a833c-a938-4a5e-81e3-99cd1b92e526"/>
    <ds:schemaRef ds:uri="http://purl.org/dc/terms/"/>
    <ds:schemaRef ds:uri="http://purl.org/dc/elements/1.1/"/>
  </ds:schemaRefs>
</ds:datastoreItem>
</file>

<file path=customXml/itemProps2.xml><?xml version="1.0" encoding="utf-8"?>
<ds:datastoreItem xmlns:ds="http://schemas.openxmlformats.org/officeDocument/2006/customXml" ds:itemID="{EB4A9E63-9AC4-49CD-A09F-CFB5005F6FC1}">
  <ds:schemaRefs>
    <ds:schemaRef ds:uri="http://schemas.microsoft.com/sharepoint/v3/contenttype/forms"/>
  </ds:schemaRefs>
</ds:datastoreItem>
</file>

<file path=customXml/itemProps3.xml><?xml version="1.0" encoding="utf-8"?>
<ds:datastoreItem xmlns:ds="http://schemas.openxmlformats.org/officeDocument/2006/customXml" ds:itemID="{E18060F8-661C-4EB0-92CA-9145EE96D0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County Summary</vt:lpstr>
      <vt:lpstr>Deduction 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Edwards, Ashley</cp:lastModifiedBy>
  <cp:lastPrinted>2021-08-11T17:13:15Z</cp:lastPrinted>
  <dcterms:created xsi:type="dcterms:W3CDTF">2000-06-27T13:20:49Z</dcterms:created>
  <dcterms:modified xsi:type="dcterms:W3CDTF">2026-07-14T19:12:46Z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